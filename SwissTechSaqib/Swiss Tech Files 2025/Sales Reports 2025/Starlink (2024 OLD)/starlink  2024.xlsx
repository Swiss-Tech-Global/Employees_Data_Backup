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5300\Desktop\Starlink\"/>
    </mc:Choice>
  </mc:AlternateContent>
  <xr:revisionPtr revIDLastSave="0" documentId="13_ncr:1_{65D3A653-3F05-4FED-A49E-93D0D2B46FAA}" xr6:coauthVersionLast="47" xr6:coauthVersionMax="47" xr10:uidLastSave="{00000000-0000-0000-0000-000000000000}"/>
  <bookViews>
    <workbookView xWindow="-110" yWindow="-110" windowWidth="19420" windowHeight="10300" tabRatio="601" firstSheet="1" activeTab="3" xr2:uid="{00000000-000D-0000-FFFF-FFFF00000000}"/>
  </bookViews>
  <sheets>
    <sheet name="close" sheetId="25" r:id="rId1"/>
    <sheet name="Cards Payments" sheetId="8" r:id="rId2"/>
    <sheet name="Problem" sheetId="21" r:id="rId3"/>
    <sheet name="Total" sheetId="10" r:id="rId4"/>
    <sheet name="Pending Work" sheetId="17" r:id="rId5"/>
    <sheet name="Sheet2" sheetId="27" r:id="rId6"/>
    <sheet name="Ledgers" sheetId="13" r:id="rId7"/>
    <sheet name="Refund &amp; GC" sheetId="11" r:id="rId8"/>
    <sheet name="Prchasing Entry" sheetId="14" r:id="rId9"/>
    <sheet name="Sell Sheet" sheetId="19" r:id="rId10"/>
    <sheet name="AB CArd" sheetId="16" r:id="rId11"/>
    <sheet name="Starlink Stock" sheetId="23" r:id="rId12"/>
    <sheet name="Purchasing From July" sheetId="24" r:id="rId13"/>
    <sheet name="GST Charges" sheetId="9" r:id="rId14"/>
    <sheet name="Expense Sheet" sheetId="18" r:id="rId15"/>
    <sheet name="Sheet1" sheetId="22" r:id="rId16"/>
    <sheet name="Sheet3" sheetId="26" r:id="rId17"/>
  </sheets>
  <definedNames>
    <definedName name="_xlnm._FilterDatabase" localSheetId="14" hidden="1">'Expense Sheet'!$B$152:$H$182</definedName>
    <definedName name="_xlnm._FilterDatabase" localSheetId="6" hidden="1">Ledgers!$B$2:$B$534</definedName>
    <definedName name="_xlnm._FilterDatabase" localSheetId="8" hidden="1">'Prchasing Entry'!$K$2:$K$179</definedName>
    <definedName name="_xlnm._FilterDatabase" localSheetId="3" hidden="1">Total!$C$268:$D$278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84" i="10" l="1"/>
  <c r="L1183" i="10"/>
  <c r="G88" i="25"/>
  <c r="S21" i="27"/>
  <c r="U21" i="27" s="1"/>
  <c r="W21" i="27" s="1"/>
  <c r="S20" i="27"/>
  <c r="U20" i="27" s="1"/>
  <c r="W20" i="27" s="1"/>
  <c r="S19" i="27"/>
  <c r="U19" i="27" s="1"/>
  <c r="W19" i="27" s="1"/>
  <c r="S18" i="27"/>
  <c r="U18" i="27" s="1"/>
  <c r="W18" i="27" s="1"/>
  <c r="S16" i="27"/>
  <c r="U16" i="27" s="1"/>
  <c r="W16" i="27" s="1"/>
  <c r="S14" i="27"/>
  <c r="U14" i="27" s="1"/>
  <c r="W14" i="27" s="1"/>
  <c r="K23" i="27"/>
  <c r="H23" i="27"/>
  <c r="G23" i="27"/>
  <c r="F23" i="27"/>
  <c r="J23" i="27"/>
  <c r="I16" i="27"/>
  <c r="I8" i="27"/>
  <c r="G90" i="25"/>
  <c r="W22" i="27" l="1"/>
  <c r="I23" i="27"/>
  <c r="G78" i="25"/>
  <c r="G77" i="25"/>
  <c r="G80" i="25" l="1"/>
  <c r="G87" i="25" l="1"/>
  <c r="G91" i="25" s="1"/>
  <c r="G93" i="25" s="1"/>
  <c r="H324" i="17"/>
  <c r="I1193" i="10" l="1"/>
  <c r="K1193" i="10" s="1"/>
  <c r="G1192" i="10"/>
  <c r="I1192" i="10" s="1"/>
  <c r="K1192" i="10" s="1"/>
  <c r="G1210" i="10" l="1"/>
  <c r="I1210" i="10" s="1"/>
  <c r="G1209" i="10"/>
  <c r="I1209" i="10" s="1"/>
  <c r="G1208" i="10"/>
  <c r="I1208" i="10" s="1"/>
  <c r="K1208" i="10" s="1"/>
  <c r="K171" i="17"/>
  <c r="K1209" i="10" l="1"/>
  <c r="K1210" i="10" s="1"/>
  <c r="K1211" i="10" s="1"/>
  <c r="K1212" i="10" s="1"/>
  <c r="L176" i="17"/>
  <c r="X188" i="17"/>
  <c r="X299" i="17" s="1"/>
  <c r="X322" i="17" s="1"/>
  <c r="X330" i="17" s="1"/>
  <c r="H351" i="17" s="1"/>
  <c r="W188" i="17"/>
  <c r="W299" i="17" s="1"/>
  <c r="W322" i="17" s="1"/>
  <c r="W330" i="17" s="1"/>
  <c r="H350" i="17" s="1"/>
  <c r="V188" i="17"/>
  <c r="V299" i="17" s="1"/>
  <c r="V322" i="17" s="1"/>
  <c r="V330" i="17" s="1"/>
  <c r="H349" i="17" s="1"/>
  <c r="U188" i="17"/>
  <c r="U299" i="17" s="1"/>
  <c r="U322" i="17" s="1"/>
  <c r="U330" i="17" s="1"/>
  <c r="H348" i="17" s="1"/>
  <c r="T188" i="17"/>
  <c r="T299" i="17" s="1"/>
  <c r="T322" i="17" s="1"/>
  <c r="T330" i="17" s="1"/>
  <c r="H347" i="17" s="1"/>
  <c r="G1201" i="10"/>
  <c r="I1201" i="10" s="1"/>
  <c r="G1200" i="10"/>
  <c r="I1200" i="10" s="1"/>
  <c r="G1199" i="10"/>
  <c r="I1199" i="10" s="1"/>
  <c r="K1199" i="10" s="1"/>
  <c r="G1191" i="10" l="1"/>
  <c r="G1190" i="10"/>
  <c r="H1190" i="10" s="1"/>
  <c r="G1189" i="10"/>
  <c r="H1189" i="10" s="1"/>
  <c r="I1189" i="10" s="1"/>
  <c r="K1189" i="10" s="1"/>
  <c r="G1188" i="10"/>
  <c r="G1187" i="10"/>
  <c r="I1187" i="10" s="1"/>
  <c r="K1187" i="10" s="1"/>
  <c r="G1186" i="10"/>
  <c r="I1186" i="10" s="1"/>
  <c r="K1186" i="10" s="1"/>
  <c r="G1185" i="10"/>
  <c r="H1185" i="10" s="1"/>
  <c r="G1184" i="10"/>
  <c r="H1184" i="10" s="1"/>
  <c r="I1184" i="10" s="1"/>
  <c r="K1184" i="10" s="1"/>
  <c r="G1183" i="10"/>
  <c r="H1183" i="10" s="1"/>
  <c r="I1183" i="10" s="1"/>
  <c r="K1183" i="10" s="1"/>
  <c r="G1182" i="10"/>
  <c r="H1182" i="10" s="1"/>
  <c r="G1181" i="10"/>
  <c r="H1181" i="10" s="1"/>
  <c r="G1180" i="10"/>
  <c r="I1180" i="10" s="1"/>
  <c r="G1179" i="10"/>
  <c r="I1179" i="10" s="1"/>
  <c r="K1179" i="10" s="1"/>
  <c r="G1178" i="10"/>
  <c r="H1178" i="10" s="1"/>
  <c r="I1178" i="10" s="1"/>
  <c r="K1178" i="10" s="1"/>
  <c r="G1177" i="10"/>
  <c r="H1177" i="10" s="1"/>
  <c r="I1177" i="10" s="1"/>
  <c r="G1176" i="10"/>
  <c r="H1176" i="10" s="1"/>
  <c r="I1176" i="10" s="1"/>
  <c r="G1175" i="10"/>
  <c r="G1174" i="10"/>
  <c r="G1173" i="10"/>
  <c r="H1173" i="10" s="1"/>
  <c r="I1173" i="10" s="1"/>
  <c r="G1172" i="10"/>
  <c r="H1172" i="10" s="1"/>
  <c r="I1172" i="10" s="1"/>
  <c r="G1171" i="10"/>
  <c r="H1171" i="10" s="1"/>
  <c r="I1171" i="10" s="1"/>
  <c r="K1171" i="10" s="1"/>
  <c r="G1170" i="10"/>
  <c r="K1200" i="10"/>
  <c r="K1201" i="10" s="1"/>
  <c r="K1202" i="10" s="1"/>
  <c r="K1203" i="10" s="1"/>
  <c r="H1175" i="10"/>
  <c r="I1175" i="10" s="1"/>
  <c r="H1174" i="10"/>
  <c r="I1174" i="10" s="1"/>
  <c r="G1162" i="10"/>
  <c r="I1162" i="10" s="1"/>
  <c r="K1162" i="10" s="1"/>
  <c r="K1163" i="10" s="1"/>
  <c r="K1164" i="10" s="1"/>
  <c r="K1165" i="10" s="1"/>
  <c r="K1166" i="10" s="1"/>
  <c r="G1154" i="10"/>
  <c r="I1154" i="10" s="1"/>
  <c r="G1153" i="10"/>
  <c r="I1153" i="10" s="1"/>
  <c r="K1153" i="10" s="1"/>
  <c r="G1055" i="10"/>
  <c r="G1146" i="10"/>
  <c r="I1146" i="10" s="1"/>
  <c r="G1144" i="10"/>
  <c r="I1144" i="10" s="1"/>
  <c r="K1144" i="10" s="1"/>
  <c r="G1137" i="10"/>
  <c r="I1137" i="10" s="1"/>
  <c r="G1136" i="10"/>
  <c r="I1136" i="10" s="1"/>
  <c r="K1136" i="10" s="1"/>
  <c r="G1131" i="10"/>
  <c r="I1131" i="10" s="1"/>
  <c r="G1130" i="10"/>
  <c r="I1130" i="10" s="1"/>
  <c r="G1129" i="10"/>
  <c r="I1129" i="10" s="1"/>
  <c r="G1128" i="10"/>
  <c r="I1128" i="10" s="1"/>
  <c r="K1128" i="10" s="1"/>
  <c r="I1185" i="10" l="1"/>
  <c r="K1185" i="10" s="1"/>
  <c r="H1191" i="10"/>
  <c r="I1191" i="10" s="1"/>
  <c r="K1191" i="10" s="1"/>
  <c r="I1190" i="10"/>
  <c r="K1190" i="10" s="1"/>
  <c r="H1188" i="10"/>
  <c r="I1188" i="10" s="1"/>
  <c r="K1188" i="10" s="1"/>
  <c r="I1182" i="10"/>
  <c r="K1182" i="10" s="1"/>
  <c r="I1181" i="10"/>
  <c r="K1181" i="10" s="1"/>
  <c r="K1175" i="10"/>
  <c r="K1176" i="10"/>
  <c r="K1180" i="10"/>
  <c r="K1172" i="10"/>
  <c r="K1177" i="10"/>
  <c r="K1174" i="10"/>
  <c r="K1173" i="10"/>
  <c r="H1170" i="10"/>
  <c r="I1170" i="10" s="1"/>
  <c r="K1170" i="10" s="1"/>
  <c r="K1154" i="10"/>
  <c r="K1155" i="10" s="1"/>
  <c r="K1156" i="10" s="1"/>
  <c r="K1157" i="10" s="1"/>
  <c r="K1145" i="10"/>
  <c r="K1146" i="10" s="1"/>
  <c r="K1147" i="10" s="1"/>
  <c r="K1148" i="10" s="1"/>
  <c r="K1137" i="10"/>
  <c r="K1138" i="10" s="1"/>
  <c r="K1139" i="10" s="1"/>
  <c r="K1140" i="10" s="1"/>
  <c r="K1129" i="10"/>
  <c r="K1130" i="10" s="1"/>
  <c r="K1131" i="10" s="1"/>
  <c r="K1132" i="10" s="1"/>
  <c r="K1195" i="10" l="1"/>
  <c r="G1120" i="10"/>
  <c r="I1120" i="10" s="1"/>
  <c r="G1119" i="10"/>
  <c r="I1119" i="10" s="1"/>
  <c r="K1119" i="10" s="1"/>
  <c r="K1120" i="10" l="1"/>
  <c r="K1121" i="10" s="1"/>
  <c r="K1122" i="10" s="1"/>
  <c r="K1123" i="10" s="1"/>
  <c r="G1112" i="10"/>
  <c r="I1112" i="10" s="1"/>
  <c r="G1111" i="10"/>
  <c r="I1111" i="10" s="1"/>
  <c r="K1111" i="10" s="1"/>
  <c r="G1105" i="10"/>
  <c r="I1105" i="10" s="1"/>
  <c r="G1104" i="10"/>
  <c r="I1104" i="10" s="1"/>
  <c r="G1103" i="10"/>
  <c r="I1103" i="10" s="1"/>
  <c r="G1102" i="10"/>
  <c r="I1102" i="10" s="1"/>
  <c r="G1101" i="10"/>
  <c r="I1101" i="10" s="1"/>
  <c r="K1101" i="10" s="1"/>
  <c r="G1094" i="10"/>
  <c r="I1094" i="10" s="1"/>
  <c r="G1093" i="10"/>
  <c r="I1093" i="10" s="1"/>
  <c r="G1092" i="10"/>
  <c r="I1092" i="10" s="1"/>
  <c r="G1091" i="10"/>
  <c r="I1091" i="10" s="1"/>
  <c r="K1091" i="10" s="1"/>
  <c r="K1112" i="10" l="1"/>
  <c r="K1113" i="10" s="1"/>
  <c r="K1114" i="10" s="1"/>
  <c r="K1115" i="10" s="1"/>
  <c r="K1102" i="10"/>
  <c r="K1103" i="10" s="1"/>
  <c r="K1104" i="10" s="1"/>
  <c r="K1105" i="10" s="1"/>
  <c r="K1106" i="10" s="1"/>
  <c r="K1092" i="10"/>
  <c r="K1093" i="10" s="1"/>
  <c r="K1094" i="10" s="1"/>
  <c r="K1095" i="10" s="1"/>
  <c r="K1096" i="10" s="1"/>
  <c r="G1084" i="10"/>
  <c r="I1084" i="10" s="1"/>
  <c r="G1083" i="10"/>
  <c r="I1083" i="10" s="1"/>
  <c r="G1082" i="10"/>
  <c r="I1082" i="10" s="1"/>
  <c r="G1081" i="10"/>
  <c r="I1081" i="10" s="1"/>
  <c r="K1081" i="10" s="1"/>
  <c r="I1074" i="10"/>
  <c r="G1073" i="10"/>
  <c r="I1073" i="10" s="1"/>
  <c r="G1072" i="10"/>
  <c r="I1072" i="10" s="1"/>
  <c r="G1071" i="10"/>
  <c r="I1071" i="10" s="1"/>
  <c r="K1071" i="10" s="1"/>
  <c r="K1082" i="10" l="1"/>
  <c r="K1083" i="10" s="1"/>
  <c r="K1084" i="10" s="1"/>
  <c r="K1085" i="10" s="1"/>
  <c r="K1086" i="10" s="1"/>
  <c r="K1072" i="10"/>
  <c r="K1073" i="10" s="1"/>
  <c r="K1074" i="10" l="1"/>
  <c r="K1075" i="10" s="1"/>
  <c r="K1076" i="10" s="1"/>
  <c r="G1063" i="10"/>
  <c r="I1063" i="10" s="1"/>
  <c r="G1062" i="10"/>
  <c r="I1062" i="10" s="1"/>
  <c r="K1062" i="10" s="1"/>
  <c r="I1055" i="10"/>
  <c r="G1053" i="10"/>
  <c r="I1053" i="10" s="1"/>
  <c r="G1052" i="10"/>
  <c r="I1052" i="10" s="1"/>
  <c r="G1051" i="10"/>
  <c r="I1051" i="10" s="1"/>
  <c r="G1050" i="10"/>
  <c r="I1050" i="10" s="1"/>
  <c r="K1050" i="10" s="1"/>
  <c r="K76" i="17"/>
  <c r="R77" i="17"/>
  <c r="O78" i="17"/>
  <c r="G941" i="10"/>
  <c r="G937" i="10"/>
  <c r="G936" i="10"/>
  <c r="L38" i="17"/>
  <c r="K37" i="17"/>
  <c r="G1041" i="10"/>
  <c r="I1041" i="10" s="1"/>
  <c r="G1040" i="10"/>
  <c r="I1040" i="10" s="1"/>
  <c r="K1040" i="10" s="1"/>
  <c r="G1043" i="10"/>
  <c r="I1043" i="10" s="1"/>
  <c r="G1030" i="10"/>
  <c r="I1030" i="10" s="1"/>
  <c r="G1029" i="10"/>
  <c r="I1029" i="10" s="1"/>
  <c r="K1029" i="10" s="1"/>
  <c r="G1021" i="10"/>
  <c r="I1021" i="10" s="1"/>
  <c r="G1020" i="10"/>
  <c r="I1020" i="10" s="1"/>
  <c r="G1019" i="10"/>
  <c r="I1019" i="10" s="1"/>
  <c r="G1018" i="10"/>
  <c r="I1018" i="10" s="1"/>
  <c r="G1017" i="10"/>
  <c r="I1017" i="10" s="1"/>
  <c r="K1017" i="10" s="1"/>
  <c r="G1010" i="10"/>
  <c r="I1010" i="10" s="1"/>
  <c r="G1009" i="10"/>
  <c r="G1008" i="10"/>
  <c r="G1007" i="10"/>
  <c r="G1006" i="10"/>
  <c r="G1005" i="10"/>
  <c r="K1063" i="10" l="1"/>
  <c r="K1064" i="10" s="1"/>
  <c r="K1065" i="10" s="1"/>
  <c r="K1066" i="10" s="1"/>
  <c r="K1051" i="10"/>
  <c r="K1052" i="10" s="1"/>
  <c r="K1053" i="10" s="1"/>
  <c r="K1041" i="10"/>
  <c r="K1030" i="10"/>
  <c r="K1031" i="10" s="1"/>
  <c r="K1018" i="10"/>
  <c r="K1019" i="10" s="1"/>
  <c r="K1020" i="10" s="1"/>
  <c r="K1021" i="10" s="1"/>
  <c r="K1022" i="10" s="1"/>
  <c r="K1023" i="10" s="1"/>
  <c r="K1024" i="10" s="1"/>
  <c r="I1009" i="10"/>
  <c r="I1008" i="10"/>
  <c r="I1007" i="10"/>
  <c r="I1006" i="10"/>
  <c r="I1005" i="10"/>
  <c r="K1005" i="10" s="1"/>
  <c r="G996" i="10"/>
  <c r="I996" i="10" s="1"/>
  <c r="G995" i="10"/>
  <c r="I995" i="10" s="1"/>
  <c r="G993" i="10"/>
  <c r="I993" i="10" s="1"/>
  <c r="G992" i="10"/>
  <c r="I992" i="10" s="1"/>
  <c r="G991" i="10"/>
  <c r="I991" i="10" s="1"/>
  <c r="G990" i="10"/>
  <c r="I990" i="10" s="1"/>
  <c r="G989" i="10"/>
  <c r="I989" i="10" s="1"/>
  <c r="K989" i="10" s="1"/>
  <c r="G982" i="10"/>
  <c r="I982" i="10" s="1"/>
  <c r="G981" i="10"/>
  <c r="I981" i="10" s="1"/>
  <c r="G980" i="10"/>
  <c r="I980" i="10" s="1"/>
  <c r="G979" i="10"/>
  <c r="I979" i="10" s="1"/>
  <c r="G978" i="10"/>
  <c r="I978" i="10" s="1"/>
  <c r="G977" i="10"/>
  <c r="I977" i="10" s="1"/>
  <c r="G976" i="10"/>
  <c r="G975" i="10"/>
  <c r="G974" i="10"/>
  <c r="G973" i="10"/>
  <c r="K1032" i="10" l="1"/>
  <c r="K1033" i="10" s="1"/>
  <c r="K1034" i="10" s="1"/>
  <c r="K1035" i="10" s="1"/>
  <c r="K1054" i="10"/>
  <c r="K1055" i="10" s="1"/>
  <c r="K1056" i="10" s="1"/>
  <c r="K1057" i="10" s="1"/>
  <c r="K1042" i="10"/>
  <c r="K1006" i="10"/>
  <c r="K1007" i="10" s="1"/>
  <c r="K1008" i="10" s="1"/>
  <c r="K1009" i="10" s="1"/>
  <c r="K1010" i="10" s="1"/>
  <c r="K990" i="10"/>
  <c r="K991" i="10" s="1"/>
  <c r="K992" i="10" s="1"/>
  <c r="K993" i="10" s="1"/>
  <c r="K994" i="10" s="1"/>
  <c r="K995" i="10" s="1"/>
  <c r="K996" i="10" s="1"/>
  <c r="K997" i="10" s="1"/>
  <c r="K998" i="10" s="1"/>
  <c r="K999" i="10" s="1"/>
  <c r="K1000" i="10" s="1"/>
  <c r="G965" i="10"/>
  <c r="G964" i="10"/>
  <c r="G963" i="10"/>
  <c r="I976" i="10"/>
  <c r="I975" i="10"/>
  <c r="I974" i="10"/>
  <c r="I973" i="10"/>
  <c r="K973" i="10" s="1"/>
  <c r="K1043" i="10" l="1"/>
  <c r="K1044" i="10" s="1"/>
  <c r="K1045" i="10" s="1"/>
  <c r="K1011" i="10"/>
  <c r="K1012" i="10" s="1"/>
  <c r="K974" i="10"/>
  <c r="K975" i="10" s="1"/>
  <c r="K976" i="10" s="1"/>
  <c r="I965" i="10"/>
  <c r="I964" i="10"/>
  <c r="I963" i="10"/>
  <c r="K963" i="10" s="1"/>
  <c r="S139" i="17"/>
  <c r="S188" i="17" s="1"/>
  <c r="S299" i="17" s="1"/>
  <c r="S322" i="17" s="1"/>
  <c r="S330" i="17" s="1"/>
  <c r="H346" i="17" s="1"/>
  <c r="G956" i="10"/>
  <c r="I956" i="10" s="1"/>
  <c r="G955" i="10"/>
  <c r="I955" i="10" s="1"/>
  <c r="G954" i="10"/>
  <c r="I954" i="10" s="1"/>
  <c r="G953" i="10"/>
  <c r="I953" i="10" s="1"/>
  <c r="G952" i="10"/>
  <c r="I952" i="10" s="1"/>
  <c r="G950" i="10"/>
  <c r="I950" i="10" s="1"/>
  <c r="G949" i="10"/>
  <c r="I949" i="10" s="1"/>
  <c r="G948" i="10"/>
  <c r="I948" i="10" s="1"/>
  <c r="G947" i="10"/>
  <c r="I947" i="10" s="1"/>
  <c r="K947" i="10" s="1"/>
  <c r="I951" i="10"/>
  <c r="O46" i="17"/>
  <c r="G867" i="10"/>
  <c r="K977" i="10" l="1"/>
  <c r="K978" i="10" s="1"/>
  <c r="K979" i="10" s="1"/>
  <c r="K980" i="10" s="1"/>
  <c r="K981" i="10" s="1"/>
  <c r="K982" i="10" s="1"/>
  <c r="K983" i="10" s="1"/>
  <c r="K984" i="10" s="1"/>
  <c r="K964" i="10"/>
  <c r="K965" i="10" s="1"/>
  <c r="K966" i="10" s="1"/>
  <c r="K967" i="10" s="1"/>
  <c r="K968" i="10" s="1"/>
  <c r="K948" i="10"/>
  <c r="K949" i="10" s="1"/>
  <c r="K950" i="10" s="1"/>
  <c r="K951" i="10" s="1"/>
  <c r="K952" i="10" s="1"/>
  <c r="K953" i="10" s="1"/>
  <c r="K954" i="10" s="1"/>
  <c r="K955" i="10" s="1"/>
  <c r="K956" i="10" s="1"/>
  <c r="K957" i="10" s="1"/>
  <c r="K163" i="17"/>
  <c r="M181" i="17"/>
  <c r="L181" i="17"/>
  <c r="J181" i="17"/>
  <c r="I181" i="17"/>
  <c r="H181" i="17"/>
  <c r="R139" i="17"/>
  <c r="H154" i="17" l="1"/>
  <c r="R188" i="17"/>
  <c r="R299" i="17" s="1"/>
  <c r="K958" i="10"/>
  <c r="K181" i="17"/>
  <c r="G942" i="10"/>
  <c r="I942" i="10" s="1"/>
  <c r="G938" i="10"/>
  <c r="I938" i="10" s="1"/>
  <c r="I937" i="10"/>
  <c r="I936" i="10"/>
  <c r="G935" i="10"/>
  <c r="I935" i="10" s="1"/>
  <c r="K935" i="10" s="1"/>
  <c r="I941" i="10"/>
  <c r="I940" i="10"/>
  <c r="I939" i="10"/>
  <c r="G927" i="10"/>
  <c r="I927" i="10" s="1"/>
  <c r="G926" i="10"/>
  <c r="I926" i="10" s="1"/>
  <c r="G925" i="10"/>
  <c r="I925" i="10" s="1"/>
  <c r="K925" i="10" s="1"/>
  <c r="G918" i="10"/>
  <c r="I918" i="10" s="1"/>
  <c r="G917" i="10"/>
  <c r="I917" i="10" s="1"/>
  <c r="G916" i="10"/>
  <c r="I916" i="10" s="1"/>
  <c r="G915" i="10"/>
  <c r="G913" i="10"/>
  <c r="I913" i="10" s="1"/>
  <c r="G914" i="10"/>
  <c r="I914" i="10" s="1"/>
  <c r="I928" i="10"/>
  <c r="I915" i="10"/>
  <c r="I912" i="10"/>
  <c r="K912" i="10" s="1"/>
  <c r="G904" i="10"/>
  <c r="I904" i="10" s="1"/>
  <c r="G902" i="10"/>
  <c r="I902" i="10" s="1"/>
  <c r="K902" i="10" s="1"/>
  <c r="I903" i="10"/>
  <c r="G895" i="10"/>
  <c r="I895" i="10" s="1"/>
  <c r="I894" i="10"/>
  <c r="G893" i="10"/>
  <c r="I893" i="10" s="1"/>
  <c r="K893" i="10" s="1"/>
  <c r="H314" i="17" l="1"/>
  <c r="R322" i="17"/>
  <c r="R330" i="17" s="1"/>
  <c r="H345" i="17" s="1"/>
  <c r="K936" i="10"/>
  <c r="K937" i="10" s="1"/>
  <c r="K938" i="10" s="1"/>
  <c r="K926" i="10"/>
  <c r="K927" i="10" s="1"/>
  <c r="K928" i="10" s="1"/>
  <c r="K913" i="10"/>
  <c r="K914" i="10" s="1"/>
  <c r="K903" i="10"/>
  <c r="K904" i="10" s="1"/>
  <c r="K894" i="10"/>
  <c r="K895" i="10" s="1"/>
  <c r="K896" i="10" s="1"/>
  <c r="K897" i="10" s="1"/>
  <c r="G885" i="10"/>
  <c r="I885" i="10" s="1"/>
  <c r="K885" i="10" s="1"/>
  <c r="K886" i="10" s="1"/>
  <c r="Q139" i="17"/>
  <c r="P139" i="17"/>
  <c r="H153" i="17" l="1"/>
  <c r="Q188" i="17"/>
  <c r="Q299" i="17" s="1"/>
  <c r="H152" i="17"/>
  <c r="P188" i="17"/>
  <c r="P299" i="17" s="1"/>
  <c r="K939" i="10"/>
  <c r="K940" i="10" s="1"/>
  <c r="K941" i="10" s="1"/>
  <c r="K942" i="10" s="1"/>
  <c r="K943" i="10" s="1"/>
  <c r="K929" i="10"/>
  <c r="K930" i="10" s="1"/>
  <c r="K915" i="10"/>
  <c r="K916" i="10" s="1"/>
  <c r="K917" i="10" s="1"/>
  <c r="K918" i="10" s="1"/>
  <c r="K919" i="10" s="1"/>
  <c r="K920" i="10" s="1"/>
  <c r="K905" i="10"/>
  <c r="K906" i="10" s="1"/>
  <c r="K907" i="10" s="1"/>
  <c r="K887" i="10"/>
  <c r="K888" i="10" s="1"/>
  <c r="K889" i="10" s="1"/>
  <c r="G876" i="10"/>
  <c r="I876" i="10" s="1"/>
  <c r="G875" i="10"/>
  <c r="I875" i="10" s="1"/>
  <c r="K875" i="10" s="1"/>
  <c r="H313" i="17" l="1"/>
  <c r="Q322" i="17"/>
  <c r="Q330" i="17" s="1"/>
  <c r="H344" i="17" s="1"/>
  <c r="H312" i="17"/>
  <c r="P322" i="17"/>
  <c r="P330" i="17" s="1"/>
  <c r="H343" i="17" s="1"/>
  <c r="K876" i="10"/>
  <c r="K877" i="10" s="1"/>
  <c r="K878" i="10" s="1"/>
  <c r="K879" i="10" s="1"/>
  <c r="K880" i="10" s="1"/>
  <c r="G44" i="25"/>
  <c r="G54" i="25"/>
  <c r="E468" i="13"/>
  <c r="E467" i="13"/>
  <c r="G467" i="13" s="1"/>
  <c r="G468" i="13" l="1"/>
  <c r="G469" i="13" s="1"/>
  <c r="G470" i="13" s="1"/>
  <c r="G471" i="13" s="1"/>
  <c r="E454" i="13" l="1"/>
  <c r="G45" i="25"/>
  <c r="G46" i="25" s="1"/>
  <c r="F56" i="9"/>
  <c r="F57" i="9" s="1"/>
  <c r="G56" i="25" l="1"/>
  <c r="G58" i="25" s="1"/>
  <c r="J68" i="21"/>
  <c r="J67" i="21"/>
  <c r="F57" i="21"/>
  <c r="F56" i="21"/>
  <c r="F55" i="21"/>
  <c r="F54" i="21"/>
  <c r="F53" i="21"/>
  <c r="F52" i="21"/>
  <c r="F48" i="21"/>
  <c r="F47" i="21"/>
  <c r="F46" i="21"/>
  <c r="F45" i="21"/>
  <c r="F44" i="21"/>
  <c r="F43" i="21"/>
  <c r="F42" i="21"/>
  <c r="F41" i="21"/>
  <c r="G60" i="25" l="1"/>
  <c r="G61" i="25"/>
  <c r="O139" i="17"/>
  <c r="N139" i="17"/>
  <c r="M139" i="17"/>
  <c r="L139" i="17"/>
  <c r="K139" i="17"/>
  <c r="H150" i="17" l="1"/>
  <c r="N188" i="17"/>
  <c r="N299" i="17" s="1"/>
  <c r="H151" i="17"/>
  <c r="O188" i="17"/>
  <c r="O299" i="17" s="1"/>
  <c r="H149" i="17"/>
  <c r="M188" i="17"/>
  <c r="M299" i="17" s="1"/>
  <c r="H148" i="17"/>
  <c r="L188" i="17"/>
  <c r="L299" i="17" s="1"/>
  <c r="H147" i="17"/>
  <c r="K188" i="17"/>
  <c r="K299" i="17" s="1"/>
  <c r="F11" i="25"/>
  <c r="G12" i="25"/>
  <c r="G10" i="25"/>
  <c r="G868" i="10"/>
  <c r="G20" i="25"/>
  <c r="H308" i="17" l="1"/>
  <c r="L322" i="17"/>
  <c r="L330" i="17" s="1"/>
  <c r="H339" i="17" s="1"/>
  <c r="H309" i="17"/>
  <c r="M322" i="17"/>
  <c r="M330" i="17" s="1"/>
  <c r="H340" i="17" s="1"/>
  <c r="H310" i="17"/>
  <c r="N322" i="17"/>
  <c r="N330" i="17" s="1"/>
  <c r="H341" i="17" s="1"/>
  <c r="H311" i="17"/>
  <c r="O322" i="17"/>
  <c r="O330" i="17" s="1"/>
  <c r="H342" i="17" s="1"/>
  <c r="H307" i="17"/>
  <c r="K322" i="17"/>
  <c r="K330" i="17" s="1"/>
  <c r="H338" i="17" s="1"/>
  <c r="H866" i="10"/>
  <c r="H868" i="10"/>
  <c r="I868" i="10" s="1"/>
  <c r="H867" i="10"/>
  <c r="I867" i="10" s="1"/>
  <c r="G13" i="25"/>
  <c r="H870" i="10" l="1"/>
  <c r="J867" i="10"/>
  <c r="K867" i="10" s="1"/>
  <c r="M867" i="10" s="1"/>
  <c r="J868" i="10"/>
  <c r="K868" i="10" s="1"/>
  <c r="M868" i="10" s="1"/>
  <c r="J866" i="10"/>
  <c r="K866" i="10" s="1"/>
  <c r="M866" i="10" s="1"/>
  <c r="I866" i="10"/>
  <c r="I870" i="10" s="1"/>
  <c r="M870" i="10" l="1"/>
  <c r="J870" i="10"/>
  <c r="G861" i="10"/>
  <c r="G859" i="10"/>
  <c r="I859" i="10" s="1"/>
  <c r="J859" i="10" s="1"/>
  <c r="G858" i="10"/>
  <c r="I858" i="10" s="1"/>
  <c r="J858" i="10" s="1"/>
  <c r="G857" i="10"/>
  <c r="G854" i="10"/>
  <c r="G853" i="10"/>
  <c r="G852" i="10"/>
  <c r="G851" i="10"/>
  <c r="G850" i="10"/>
  <c r="H850" i="10" s="1"/>
  <c r="G841" i="10"/>
  <c r="I841" i="10" s="1"/>
  <c r="K841" i="10" s="1"/>
  <c r="K842" i="10" s="1"/>
  <c r="K843" i="10" s="1"/>
  <c r="K844" i="10" s="1"/>
  <c r="K845" i="10" s="1"/>
  <c r="K846" i="10" s="1"/>
  <c r="J139" i="17"/>
  <c r="I139" i="17"/>
  <c r="H139" i="17"/>
  <c r="G831" i="10"/>
  <c r="I831" i="10" s="1"/>
  <c r="K831" i="10" s="1"/>
  <c r="K832" i="10" s="1"/>
  <c r="K833" i="10" s="1"/>
  <c r="K834" i="10" s="1"/>
  <c r="K835" i="10" s="1"/>
  <c r="H351" i="18"/>
  <c r="H350" i="18"/>
  <c r="H349" i="18"/>
  <c r="H347" i="18"/>
  <c r="H346" i="18"/>
  <c r="H344" i="18"/>
  <c r="H343" i="18"/>
  <c r="H340" i="18"/>
  <c r="H339" i="18"/>
  <c r="H335" i="18"/>
  <c r="H331" i="18"/>
  <c r="H330" i="18"/>
  <c r="H329" i="18"/>
  <c r="H327" i="18"/>
  <c r="H326" i="18"/>
  <c r="H325" i="18"/>
  <c r="H324" i="18"/>
  <c r="H323" i="18"/>
  <c r="H322" i="18"/>
  <c r="H321" i="18"/>
  <c r="H320" i="18"/>
  <c r="H319" i="18"/>
  <c r="H297" i="18"/>
  <c r="H293" i="18"/>
  <c r="H287" i="18"/>
  <c r="H286" i="18"/>
  <c r="H284" i="18"/>
  <c r="H283" i="18"/>
  <c r="H282" i="18"/>
  <c r="H280" i="18"/>
  <c r="H279" i="18"/>
  <c r="H277" i="18"/>
  <c r="H276" i="18"/>
  <c r="H273" i="18"/>
  <c r="H271" i="18"/>
  <c r="H270" i="18"/>
  <c r="H261" i="18"/>
  <c r="H260" i="18"/>
  <c r="H259" i="18"/>
  <c r="H258" i="18"/>
  <c r="H257" i="18"/>
  <c r="H256" i="18"/>
  <c r="H255" i="18"/>
  <c r="H254" i="18"/>
  <c r="H253" i="18"/>
  <c r="H252" i="18"/>
  <c r="H251" i="18"/>
  <c r="H243" i="18"/>
  <c r="H242" i="18"/>
  <c r="H241" i="18"/>
  <c r="H240" i="18"/>
  <c r="H237" i="18"/>
  <c r="H236" i="18"/>
  <c r="H235" i="18"/>
  <c r="H234" i="18"/>
  <c r="H233" i="18"/>
  <c r="H230" i="18"/>
  <c r="H228" i="18"/>
  <c r="H226" i="18"/>
  <c r="H224" i="18"/>
  <c r="H223" i="18"/>
  <c r="H222" i="18"/>
  <c r="H221" i="18"/>
  <c r="H216" i="18"/>
  <c r="H357" i="18" s="1"/>
  <c r="F458" i="13"/>
  <c r="F261" i="13"/>
  <c r="G807" i="10"/>
  <c r="I807" i="10" s="1"/>
  <c r="G804" i="10"/>
  <c r="C41" i="26"/>
  <c r="E40" i="26"/>
  <c r="E39" i="26"/>
  <c r="E38" i="26"/>
  <c r="E37" i="26"/>
  <c r="E36" i="26"/>
  <c r="E35" i="26"/>
  <c r="E34" i="26"/>
  <c r="E33" i="26"/>
  <c r="E32" i="26"/>
  <c r="C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J13" i="26"/>
  <c r="I13" i="26"/>
  <c r="K13" i="26" s="1"/>
  <c r="C13" i="26"/>
  <c r="K12" i="26"/>
  <c r="J12" i="26"/>
  <c r="I12" i="26"/>
  <c r="E12" i="26"/>
  <c r="E11" i="26"/>
  <c r="C9" i="26"/>
  <c r="E8" i="26"/>
  <c r="E7" i="26"/>
  <c r="E6" i="26"/>
  <c r="G824" i="10"/>
  <c r="I824" i="10" s="1"/>
  <c r="G816" i="10"/>
  <c r="I816" i="10" s="1"/>
  <c r="G797" i="10"/>
  <c r="I797" i="10" s="1"/>
  <c r="G792" i="10"/>
  <c r="G786" i="10"/>
  <c r="I786" i="10" s="1"/>
  <c r="G775" i="10"/>
  <c r="I775" i="10" s="1"/>
  <c r="G764" i="10"/>
  <c r="I764" i="10" s="1"/>
  <c r="G749" i="10"/>
  <c r="I749" i="10" s="1"/>
  <c r="E14" i="26" l="1"/>
  <c r="I5" i="26" s="1"/>
  <c r="E42" i="26"/>
  <c r="I6" i="26" s="1"/>
  <c r="H144" i="17"/>
  <c r="H188" i="17"/>
  <c r="H299" i="17" s="1"/>
  <c r="H146" i="17"/>
  <c r="J188" i="17"/>
  <c r="J299" i="17" s="1"/>
  <c r="H145" i="17"/>
  <c r="I188" i="17"/>
  <c r="I299" i="17" s="1"/>
  <c r="H860" i="10"/>
  <c r="I860" i="10" s="1"/>
  <c r="J860" i="10" s="1"/>
  <c r="H852" i="10"/>
  <c r="I852" i="10" s="1"/>
  <c r="J852" i="10" s="1"/>
  <c r="K852" i="10" s="1"/>
  <c r="M852" i="10" s="1"/>
  <c r="H851" i="10"/>
  <c r="I851" i="10" s="1"/>
  <c r="J851" i="10" s="1"/>
  <c r="K851" i="10" s="1"/>
  <c r="M851" i="10" s="1"/>
  <c r="H861" i="10"/>
  <c r="I861" i="10" s="1"/>
  <c r="J861" i="10" s="1"/>
  <c r="K861" i="10" s="1"/>
  <c r="M861" i="10" s="1"/>
  <c r="I850" i="10"/>
  <c r="H856" i="10"/>
  <c r="I856" i="10" s="1"/>
  <c r="J856" i="10" s="1"/>
  <c r="H854" i="10"/>
  <c r="I854" i="10" s="1"/>
  <c r="J854" i="10" s="1"/>
  <c r="K854" i="10" s="1"/>
  <c r="M854" i="10" s="1"/>
  <c r="K859" i="10"/>
  <c r="M859" i="10" s="1"/>
  <c r="H857" i="10"/>
  <c r="I857" i="10" s="1"/>
  <c r="J857" i="10" s="1"/>
  <c r="H855" i="10"/>
  <c r="K858" i="10"/>
  <c r="M858" i="10" s="1"/>
  <c r="H853" i="10"/>
  <c r="K836" i="10"/>
  <c r="I8" i="26"/>
  <c r="G29" i="25"/>
  <c r="G25" i="25"/>
  <c r="H304" i="17" l="1"/>
  <c r="H322" i="17"/>
  <c r="H330" i="17" s="1"/>
  <c r="H335" i="17" s="1"/>
  <c r="H306" i="17"/>
  <c r="J322" i="17"/>
  <c r="J330" i="17" s="1"/>
  <c r="H337" i="17" s="1"/>
  <c r="H305" i="17"/>
  <c r="I322" i="17"/>
  <c r="I330" i="17" s="1"/>
  <c r="H336" i="17" s="1"/>
  <c r="J850" i="10"/>
  <c r="K850" i="10" s="1"/>
  <c r="M850" i="10" s="1"/>
  <c r="K860" i="10"/>
  <c r="M860" i="10" s="1"/>
  <c r="I853" i="10"/>
  <c r="J853" i="10" s="1"/>
  <c r="K853" i="10" s="1"/>
  <c r="M853" i="10" s="1"/>
  <c r="K856" i="10"/>
  <c r="M856" i="10" s="1"/>
  <c r="I855" i="10"/>
  <c r="J855" i="10" s="1"/>
  <c r="K855" i="10" s="1"/>
  <c r="M855" i="10" s="1"/>
  <c r="H862" i="10"/>
  <c r="K857" i="10"/>
  <c r="M857" i="10" s="1"/>
  <c r="G734" i="10"/>
  <c r="I734" i="10" s="1"/>
  <c r="G718" i="10"/>
  <c r="I718" i="10" s="1"/>
  <c r="G606" i="10"/>
  <c r="G592" i="10"/>
  <c r="G574" i="10"/>
  <c r="G555" i="10"/>
  <c r="G542" i="10"/>
  <c r="G528" i="10"/>
  <c r="G513" i="10"/>
  <c r="G497" i="10"/>
  <c r="G480" i="10"/>
  <c r="G463" i="10"/>
  <c r="G423" i="10"/>
  <c r="I862" i="10" l="1"/>
  <c r="J862" i="10"/>
  <c r="M862" i="10"/>
  <c r="G21" i="25"/>
  <c r="G22" i="25" s="1"/>
  <c r="G30" i="25"/>
  <c r="G31" i="25" s="1"/>
  <c r="G823" i="10"/>
  <c r="I823" i="10" s="1"/>
  <c r="G822" i="10"/>
  <c r="I822" i="10" s="1"/>
  <c r="K822" i="10" s="1"/>
  <c r="G46" i="22"/>
  <c r="I46" i="22" s="1"/>
  <c r="G45" i="22"/>
  <c r="I45" i="22" s="1"/>
  <c r="J40" i="22"/>
  <c r="J39" i="22"/>
  <c r="J38" i="22"/>
  <c r="J37" i="22"/>
  <c r="J36" i="22"/>
  <c r="J35" i="22"/>
  <c r="J34" i="22"/>
  <c r="J33" i="22"/>
  <c r="J32" i="22"/>
  <c r="J31" i="22"/>
  <c r="J42" i="22" s="1"/>
  <c r="J30" i="22"/>
  <c r="J29" i="22"/>
  <c r="G42" i="22"/>
  <c r="H42" i="22"/>
  <c r="I186" i="14"/>
  <c r="I195" i="14"/>
  <c r="I194" i="14"/>
  <c r="I47" i="22" l="1"/>
  <c r="G33" i="25"/>
  <c r="K823" i="10"/>
  <c r="K824" i="10" s="1"/>
  <c r="K825" i="10" s="1"/>
  <c r="K826" i="10" s="1"/>
  <c r="G192" i="14"/>
  <c r="I192" i="14" s="1"/>
  <c r="G191" i="14"/>
  <c r="I191" i="14" s="1"/>
  <c r="I189" i="14"/>
  <c r="G806" i="10"/>
  <c r="G188" i="14"/>
  <c r="I188" i="14" s="1"/>
  <c r="I185" i="14"/>
  <c r="I184" i="14"/>
  <c r="I183" i="14"/>
  <c r="I182" i="14"/>
  <c r="I181" i="14"/>
  <c r="I190" i="14"/>
  <c r="I733" i="10"/>
  <c r="G196" i="14" l="1"/>
  <c r="I196" i="14"/>
  <c r="E428" i="13" l="1"/>
  <c r="F63" i="11"/>
  <c r="G742" i="10"/>
  <c r="T5" i="14"/>
  <c r="T4" i="14"/>
  <c r="J126" i="14"/>
  <c r="J129" i="14"/>
  <c r="I806" i="10"/>
  <c r="P4" i="14" l="1"/>
  <c r="Q4" i="14" s="1"/>
  <c r="P5" i="14"/>
  <c r="Q5" i="14" s="1"/>
  <c r="J151" i="14"/>
  <c r="G815" i="10"/>
  <c r="I815" i="10" s="1"/>
  <c r="F65" i="11"/>
  <c r="F64" i="11"/>
  <c r="E422" i="13"/>
  <c r="J150" i="14"/>
  <c r="J149" i="14"/>
  <c r="G100" i="19" l="1"/>
  <c r="H98" i="19" l="1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F121" i="8"/>
  <c r="H100" i="19" l="1"/>
  <c r="H206" i="18"/>
  <c r="G814" i="10"/>
  <c r="I814" i="10" s="1"/>
  <c r="F54" i="19"/>
  <c r="J139" i="14"/>
  <c r="G762" i="10"/>
  <c r="I762" i="10" s="1"/>
  <c r="H20" i="19"/>
  <c r="H19" i="19"/>
  <c r="H18" i="19"/>
  <c r="H17" i="19"/>
  <c r="H16" i="19"/>
  <c r="H15" i="19"/>
  <c r="H14" i="19"/>
  <c r="H13" i="19"/>
  <c r="H12" i="19"/>
  <c r="J175" i="14"/>
  <c r="J174" i="14"/>
  <c r="J145" i="14"/>
  <c r="G813" i="10"/>
  <c r="I813" i="10" s="1"/>
  <c r="K813" i="10" s="1"/>
  <c r="G805" i="10"/>
  <c r="I805" i="10" s="1"/>
  <c r="I804" i="10"/>
  <c r="K804" i="10" s="1"/>
  <c r="I792" i="10"/>
  <c r="K792" i="10" s="1"/>
  <c r="I795" i="10"/>
  <c r="I794" i="10"/>
  <c r="I793" i="10"/>
  <c r="H10" i="19"/>
  <c r="H9" i="19"/>
  <c r="H8" i="19"/>
  <c r="H6" i="19"/>
  <c r="H5" i="19"/>
  <c r="H4" i="19"/>
  <c r="H3" i="19"/>
  <c r="G157" i="14"/>
  <c r="G156" i="14"/>
  <c r="G155" i="14"/>
  <c r="G153" i="14"/>
  <c r="J169" i="14"/>
  <c r="J168" i="14"/>
  <c r="J167" i="14"/>
  <c r="J166" i="14"/>
  <c r="J143" i="14"/>
  <c r="J142" i="14"/>
  <c r="J141" i="14"/>
  <c r="J138" i="14"/>
  <c r="J136" i="14"/>
  <c r="J135" i="14"/>
  <c r="J134" i="14"/>
  <c r="G784" i="10"/>
  <c r="I784" i="10" s="1"/>
  <c r="G783" i="10"/>
  <c r="I783" i="10" s="1"/>
  <c r="G782" i="10"/>
  <c r="I782" i="10" s="1"/>
  <c r="G781" i="10"/>
  <c r="I781" i="10" s="1"/>
  <c r="K781" i="10" s="1"/>
  <c r="G774" i="10"/>
  <c r="I774" i="10" s="1"/>
  <c r="G773" i="10"/>
  <c r="I773" i="10" s="1"/>
  <c r="G772" i="10"/>
  <c r="I772" i="10" s="1"/>
  <c r="K772" i="10" s="1"/>
  <c r="E435" i="13"/>
  <c r="E434" i="13"/>
  <c r="H205" i="18"/>
  <c r="H204" i="18"/>
  <c r="G761" i="10"/>
  <c r="I761" i="10" s="1"/>
  <c r="G759" i="10"/>
  <c r="I759" i="10" s="1"/>
  <c r="G758" i="10"/>
  <c r="I758" i="10" s="1"/>
  <c r="G757" i="10"/>
  <c r="I757" i="10" s="1"/>
  <c r="K757" i="10" s="1"/>
  <c r="I760" i="10"/>
  <c r="G745" i="10"/>
  <c r="K814" i="10" l="1"/>
  <c r="K815" i="10" s="1"/>
  <c r="K816" i="10" s="1"/>
  <c r="K817" i="10" s="1"/>
  <c r="K805" i="10"/>
  <c r="K793" i="10"/>
  <c r="K794" i="10" s="1"/>
  <c r="K795" i="10" s="1"/>
  <c r="K796" i="10" s="1"/>
  <c r="K797" i="10" s="1"/>
  <c r="K798" i="10" s="1"/>
  <c r="K799" i="10" s="1"/>
  <c r="K782" i="10"/>
  <c r="K783" i="10" s="1"/>
  <c r="K773" i="10"/>
  <c r="K774" i="10" s="1"/>
  <c r="K758" i="10"/>
  <c r="K759" i="10" s="1"/>
  <c r="K760" i="10" s="1"/>
  <c r="K761" i="10" s="1"/>
  <c r="K762" i="10" s="1"/>
  <c r="K763" i="10" s="1"/>
  <c r="K764" i="10" s="1"/>
  <c r="K765" i="10" s="1"/>
  <c r="K766" i="10" s="1"/>
  <c r="K767" i="10" s="1"/>
  <c r="I747" i="10"/>
  <c r="I746" i="10"/>
  <c r="I745" i="10"/>
  <c r="I744" i="10"/>
  <c r="I743" i="10"/>
  <c r="I742" i="10"/>
  <c r="K742" i="10" s="1"/>
  <c r="H203" i="18"/>
  <c r="H202" i="18"/>
  <c r="J124" i="14"/>
  <c r="F83" i="11"/>
  <c r="G732" i="10"/>
  <c r="I732" i="10" s="1"/>
  <c r="J123" i="14"/>
  <c r="J122" i="14"/>
  <c r="J119" i="14"/>
  <c r="I729" i="10"/>
  <c r="I728" i="10"/>
  <c r="G731" i="10"/>
  <c r="I731" i="10" s="1"/>
  <c r="G730" i="10"/>
  <c r="I730" i="10" s="1"/>
  <c r="G727" i="10"/>
  <c r="I727" i="10" s="1"/>
  <c r="K727" i="10" s="1"/>
  <c r="E427" i="13"/>
  <c r="J117" i="14"/>
  <c r="J116" i="14"/>
  <c r="G716" i="10"/>
  <c r="I716" i="10" s="1"/>
  <c r="G715" i="10"/>
  <c r="I715" i="10" s="1"/>
  <c r="K715" i="10" s="1"/>
  <c r="J112" i="14"/>
  <c r="J111" i="14"/>
  <c r="J108" i="14"/>
  <c r="J103" i="14"/>
  <c r="I657" i="10"/>
  <c r="G653" i="10"/>
  <c r="G656" i="10"/>
  <c r="H201" i="18"/>
  <c r="G80" i="24"/>
  <c r="G78" i="24"/>
  <c r="G76" i="24"/>
  <c r="G74" i="24"/>
  <c r="G72" i="24"/>
  <c r="G70" i="24"/>
  <c r="G68" i="24"/>
  <c r="G64" i="24"/>
  <c r="G59" i="24"/>
  <c r="G57" i="24"/>
  <c r="G55" i="24"/>
  <c r="G53" i="24"/>
  <c r="G51" i="24"/>
  <c r="G49" i="24"/>
  <c r="G47" i="24"/>
  <c r="G45" i="24"/>
  <c r="G43" i="24"/>
  <c r="G41" i="24"/>
  <c r="G39" i="24"/>
  <c r="G37" i="24"/>
  <c r="G35" i="24"/>
  <c r="G33" i="24"/>
  <c r="G31" i="24"/>
  <c r="G24" i="24"/>
  <c r="G22" i="24"/>
  <c r="G20" i="24"/>
  <c r="G18" i="24"/>
  <c r="G16" i="24"/>
  <c r="G12" i="24"/>
  <c r="G10" i="24"/>
  <c r="I199" i="10"/>
  <c r="G6" i="24"/>
  <c r="G4" i="24"/>
  <c r="K806" i="10" l="1"/>
  <c r="K807" i="10" s="1"/>
  <c r="K808" i="10" s="1"/>
  <c r="K784" i="10"/>
  <c r="K785" i="10" s="1"/>
  <c r="K786" i="10" s="1"/>
  <c r="K787" i="10" s="1"/>
  <c r="K788" i="10" s="1"/>
  <c r="K775" i="10"/>
  <c r="K776" i="10" s="1"/>
  <c r="K716" i="10"/>
  <c r="K717" i="10" s="1"/>
  <c r="K718" i="10" s="1"/>
  <c r="K719" i="10" s="1"/>
  <c r="K720" i="10" s="1"/>
  <c r="K721" i="10" s="1"/>
  <c r="K722" i="10" s="1"/>
  <c r="K743" i="10"/>
  <c r="K744" i="10" s="1"/>
  <c r="K745" i="10" s="1"/>
  <c r="K746" i="10" s="1"/>
  <c r="K747" i="10" s="1"/>
  <c r="K728" i="10"/>
  <c r="K729" i="10" s="1"/>
  <c r="K730" i="10" s="1"/>
  <c r="K731" i="10" s="1"/>
  <c r="K732" i="10" s="1"/>
  <c r="J60" i="24"/>
  <c r="F60" i="24"/>
  <c r="H86" i="24"/>
  <c r="F401" i="13"/>
  <c r="F413" i="13"/>
  <c r="J82" i="24"/>
  <c r="F82" i="24"/>
  <c r="F26" i="24"/>
  <c r="J22" i="24"/>
  <c r="J26" i="24" s="1"/>
  <c r="K733" i="10" l="1"/>
  <c r="K748" i="10"/>
  <c r="K749" i="10" s="1"/>
  <c r="K750" i="10" s="1"/>
  <c r="K751" i="10" s="1"/>
  <c r="K752" i="10" s="1"/>
  <c r="H66" i="24"/>
  <c r="G66" i="24" s="1"/>
  <c r="H29" i="24"/>
  <c r="G29" i="24" s="1"/>
  <c r="G105" i="9"/>
  <c r="H14" i="24"/>
  <c r="G14" i="24" s="1"/>
  <c r="H8" i="24"/>
  <c r="G8" i="24" s="1"/>
  <c r="L121" i="10"/>
  <c r="F255" i="13"/>
  <c r="F254" i="13"/>
  <c r="F253" i="13"/>
  <c r="F82" i="11"/>
  <c r="F81" i="11"/>
  <c r="F78" i="11"/>
  <c r="F62" i="11"/>
  <c r="F61" i="11"/>
  <c r="F60" i="11"/>
  <c r="J705" i="10"/>
  <c r="I704" i="10"/>
  <c r="J703" i="10"/>
  <c r="I702" i="10"/>
  <c r="K702" i="10" s="1"/>
  <c r="F219" i="13"/>
  <c r="E408" i="13"/>
  <c r="E407" i="13"/>
  <c r="E395" i="13"/>
  <c r="E389" i="13"/>
  <c r="E230" i="13"/>
  <c r="E388" i="13"/>
  <c r="E387" i="13"/>
  <c r="E227" i="13"/>
  <c r="E385" i="13"/>
  <c r="E225" i="13"/>
  <c r="E224" i="13"/>
  <c r="I695" i="10"/>
  <c r="I694" i="10"/>
  <c r="I693" i="10"/>
  <c r="I690" i="10"/>
  <c r="I689" i="10"/>
  <c r="I687" i="10"/>
  <c r="G692" i="10"/>
  <c r="I692" i="10" s="1"/>
  <c r="G691" i="10"/>
  <c r="I691" i="10" s="1"/>
  <c r="G688" i="10"/>
  <c r="I688" i="10" s="1"/>
  <c r="G683" i="10"/>
  <c r="I683" i="10" s="1"/>
  <c r="K683" i="10" s="1"/>
  <c r="I686" i="10"/>
  <c r="I685" i="10"/>
  <c r="I684" i="10"/>
  <c r="K668" i="10"/>
  <c r="J99" i="14"/>
  <c r="J98" i="14"/>
  <c r="J96" i="14"/>
  <c r="I656" i="10"/>
  <c r="G655" i="10"/>
  <c r="I655" i="10" s="1"/>
  <c r="I653" i="10"/>
  <c r="K653" i="10" s="1"/>
  <c r="I659" i="10"/>
  <c r="I654" i="10"/>
  <c r="J94" i="14"/>
  <c r="J92" i="14"/>
  <c r="J91" i="14"/>
  <c r="J90" i="14"/>
  <c r="F48" i="11"/>
  <c r="I644" i="10"/>
  <c r="I640" i="10"/>
  <c r="G638" i="10"/>
  <c r="I638" i="10" s="1"/>
  <c r="K638" i="10" s="1"/>
  <c r="I639" i="10"/>
  <c r="I630" i="10"/>
  <c r="G629" i="10"/>
  <c r="I629" i="10" s="1"/>
  <c r="G628" i="10"/>
  <c r="I628" i="10" s="1"/>
  <c r="G627" i="10"/>
  <c r="I627" i="10" s="1"/>
  <c r="K627" i="10" s="1"/>
  <c r="K639" i="10" l="1"/>
  <c r="K640" i="10" s="1"/>
  <c r="K641" i="10" s="1"/>
  <c r="K642" i="10" s="1"/>
  <c r="K734" i="10"/>
  <c r="K735" i="10" s="1"/>
  <c r="K736" i="10" s="1"/>
  <c r="K737" i="10" s="1"/>
  <c r="F93" i="11"/>
  <c r="F95" i="11" s="1"/>
  <c r="F73" i="11"/>
  <c r="F75" i="11" s="1"/>
  <c r="K703" i="10"/>
  <c r="K704" i="10" s="1"/>
  <c r="K705" i="10" s="1"/>
  <c r="K706" i="10" s="1"/>
  <c r="K707" i="10" s="1"/>
  <c r="K708" i="10" s="1"/>
  <c r="K709" i="10" s="1"/>
  <c r="K684" i="10"/>
  <c r="K685" i="10" s="1"/>
  <c r="K686" i="10" s="1"/>
  <c r="K687" i="10" s="1"/>
  <c r="K669" i="10"/>
  <c r="K670" i="10" s="1"/>
  <c r="K671" i="10" s="1"/>
  <c r="K672" i="10" s="1"/>
  <c r="K673" i="10" s="1"/>
  <c r="K674" i="10" s="1"/>
  <c r="K675" i="10" s="1"/>
  <c r="K676" i="10" s="1"/>
  <c r="K677" i="10" s="1"/>
  <c r="K678" i="10" s="1"/>
  <c r="K654" i="10"/>
  <c r="K655" i="10" s="1"/>
  <c r="K656" i="10" s="1"/>
  <c r="K657" i="10" s="1"/>
  <c r="K658" i="10" s="1"/>
  <c r="K659" i="10" s="1"/>
  <c r="K660" i="10" s="1"/>
  <c r="K661" i="10" s="1"/>
  <c r="K662" i="10" s="1"/>
  <c r="K663" i="10" s="1"/>
  <c r="K628" i="10"/>
  <c r="K629" i="10" s="1"/>
  <c r="K630" i="10" s="1"/>
  <c r="K631" i="10" s="1"/>
  <c r="F46" i="11"/>
  <c r="G160" i="14"/>
  <c r="H200" i="18"/>
  <c r="I618" i="10"/>
  <c r="I604" i="10"/>
  <c r="I603" i="10"/>
  <c r="I602" i="10"/>
  <c r="I523" i="10"/>
  <c r="G522" i="10"/>
  <c r="I522" i="10" s="1"/>
  <c r="K688" i="10" l="1"/>
  <c r="K689" i="10" s="1"/>
  <c r="K690" i="10" s="1"/>
  <c r="K691" i="10" s="1"/>
  <c r="K692" i="10" s="1"/>
  <c r="K693" i="10" s="1"/>
  <c r="K694" i="10" s="1"/>
  <c r="K695" i="10" s="1"/>
  <c r="K696" i="10" s="1"/>
  <c r="K697" i="10" s="1"/>
  <c r="K643" i="10"/>
  <c r="K644" i="10" s="1"/>
  <c r="K645" i="10" s="1"/>
  <c r="K646" i="10" s="1"/>
  <c r="K647" i="10" s="1"/>
  <c r="K648" i="10" s="1"/>
  <c r="K632" i="10"/>
  <c r="K633" i="10" s="1"/>
  <c r="J45" i="14"/>
  <c r="J85" i="14"/>
  <c r="G615" i="10"/>
  <c r="I615" i="10" s="1"/>
  <c r="K615" i="10" s="1"/>
  <c r="I619" i="10"/>
  <c r="I617" i="10"/>
  <c r="I616" i="10"/>
  <c r="J78" i="14"/>
  <c r="J77" i="14"/>
  <c r="J75" i="14"/>
  <c r="J74" i="14"/>
  <c r="J73" i="14"/>
  <c r="J71" i="14"/>
  <c r="J63" i="14"/>
  <c r="J62" i="14"/>
  <c r="J60" i="14"/>
  <c r="J59" i="14"/>
  <c r="J58" i="14"/>
  <c r="J56" i="14"/>
  <c r="J54" i="14"/>
  <c r="I552" i="10"/>
  <c r="I553" i="10"/>
  <c r="J52" i="14"/>
  <c r="J48" i="14"/>
  <c r="J44" i="14"/>
  <c r="J43" i="14"/>
  <c r="J42" i="14"/>
  <c r="J41" i="14"/>
  <c r="J39" i="14"/>
  <c r="J38" i="14"/>
  <c r="J37" i="14"/>
  <c r="J36" i="14"/>
  <c r="J35" i="14"/>
  <c r="J33" i="14"/>
  <c r="J32" i="14"/>
  <c r="J31" i="14"/>
  <c r="J30" i="14"/>
  <c r="J29" i="14"/>
  <c r="J28" i="14"/>
  <c r="J27" i="14"/>
  <c r="J25" i="14"/>
  <c r="J24" i="14"/>
  <c r="J23" i="14"/>
  <c r="J22" i="14"/>
  <c r="J21" i="14"/>
  <c r="J20" i="14"/>
  <c r="J18" i="14"/>
  <c r="J14" i="14"/>
  <c r="J12" i="14"/>
  <c r="J11" i="14"/>
  <c r="J10" i="14"/>
  <c r="J9" i="14"/>
  <c r="J8" i="14"/>
  <c r="J6" i="14"/>
  <c r="F179" i="9"/>
  <c r="I182" i="9"/>
  <c r="I184" i="9" s="1"/>
  <c r="F124" i="9"/>
  <c r="G124" i="9"/>
  <c r="I606" i="10"/>
  <c r="I601" i="10"/>
  <c r="G600" i="10"/>
  <c r="I600" i="10" s="1"/>
  <c r="G599" i="10"/>
  <c r="I599" i="10" s="1"/>
  <c r="K599" i="10" s="1"/>
  <c r="G39" i="23"/>
  <c r="G60" i="23" s="1"/>
  <c r="G73" i="23"/>
  <c r="H197" i="18"/>
  <c r="H196" i="18"/>
  <c r="I592" i="10"/>
  <c r="G591" i="10"/>
  <c r="I591" i="10" s="1"/>
  <c r="G590" i="10"/>
  <c r="I590" i="10" s="1"/>
  <c r="G589" i="10"/>
  <c r="I589" i="10" s="1"/>
  <c r="G587" i="10"/>
  <c r="I587" i="10" s="1"/>
  <c r="I588" i="10"/>
  <c r="I586" i="10"/>
  <c r="I585" i="10"/>
  <c r="I584" i="10"/>
  <c r="I583" i="10"/>
  <c r="I582" i="10"/>
  <c r="K582" i="10" s="1"/>
  <c r="I574" i="10"/>
  <c r="J60" i="23"/>
  <c r="K616" i="10" l="1"/>
  <c r="K617" i="10" s="1"/>
  <c r="K618" i="10" s="1"/>
  <c r="K619" i="10" s="1"/>
  <c r="K620" i="10" s="1"/>
  <c r="K621" i="10" s="1"/>
  <c r="K622" i="10" s="1"/>
  <c r="K623" i="10" s="1"/>
  <c r="K600" i="10"/>
  <c r="K601" i="10" s="1"/>
  <c r="K583" i="10"/>
  <c r="K584" i="10" s="1"/>
  <c r="K585" i="10" s="1"/>
  <c r="K586" i="10" s="1"/>
  <c r="K587" i="10" s="1"/>
  <c r="K588" i="10" s="1"/>
  <c r="K589" i="10" s="1"/>
  <c r="K590" i="10" s="1"/>
  <c r="K591" i="10" s="1"/>
  <c r="K592" i="10" s="1"/>
  <c r="K593" i="10" s="1"/>
  <c r="K594" i="10" s="1"/>
  <c r="K602" i="10" l="1"/>
  <c r="K603" i="10" s="1"/>
  <c r="K604" i="10" s="1"/>
  <c r="K605" i="10" s="1"/>
  <c r="K606" i="10" s="1"/>
  <c r="K607" i="10" s="1"/>
  <c r="K608" i="10" s="1"/>
  <c r="K609" i="10" s="1"/>
  <c r="K610" i="10" s="1"/>
  <c r="G572" i="10"/>
  <c r="I572" i="10" s="1"/>
  <c r="G571" i="10"/>
  <c r="I571" i="10" s="1"/>
  <c r="I573" i="10"/>
  <c r="G569" i="10"/>
  <c r="I569" i="10" s="1"/>
  <c r="G568" i="10"/>
  <c r="I568" i="10" s="1"/>
  <c r="G567" i="10"/>
  <c r="I567" i="10" s="1"/>
  <c r="I566" i="10"/>
  <c r="G565" i="10"/>
  <c r="I565" i="10" s="1"/>
  <c r="K565" i="10" s="1"/>
  <c r="I570" i="10"/>
  <c r="G550" i="10"/>
  <c r="I550" i="10" s="1"/>
  <c r="K550" i="10" s="1"/>
  <c r="I555" i="10"/>
  <c r="I554" i="10"/>
  <c r="I551" i="10"/>
  <c r="I542" i="10"/>
  <c r="H192" i="18"/>
  <c r="F37" i="11"/>
  <c r="F38" i="11"/>
  <c r="F36" i="11"/>
  <c r="F32" i="11"/>
  <c r="F7" i="11"/>
  <c r="F6" i="11"/>
  <c r="L19" i="22"/>
  <c r="K8" i="22"/>
  <c r="L8" i="22" s="1"/>
  <c r="I8" i="22"/>
  <c r="K14" i="22"/>
  <c r="L14" i="22" s="1"/>
  <c r="I14" i="22"/>
  <c r="K13" i="22"/>
  <c r="L13" i="22" s="1"/>
  <c r="I13" i="22"/>
  <c r="K11" i="22"/>
  <c r="L11" i="22" s="1"/>
  <c r="I11" i="22"/>
  <c r="K10" i="22"/>
  <c r="L10" i="22" s="1"/>
  <c r="I10" i="22"/>
  <c r="K7" i="22"/>
  <c r="L7" i="22" s="1"/>
  <c r="K5" i="22"/>
  <c r="L5" i="22" s="1"/>
  <c r="K4" i="22"/>
  <c r="L4" i="22" s="1"/>
  <c r="I7" i="22"/>
  <c r="I5" i="22"/>
  <c r="I4" i="22"/>
  <c r="G435" i="10"/>
  <c r="I435" i="10" s="1"/>
  <c r="G434" i="10"/>
  <c r="I434" i="10" s="1"/>
  <c r="G433" i="10"/>
  <c r="I433" i="10" s="1"/>
  <c r="G432" i="10"/>
  <c r="I432" i="10" s="1"/>
  <c r="K432" i="10" s="1"/>
  <c r="G419" i="10"/>
  <c r="H419" i="10" s="1"/>
  <c r="G420" i="10"/>
  <c r="H420" i="10" s="1"/>
  <c r="G421" i="10"/>
  <c r="I421" i="10" s="1"/>
  <c r="G422" i="10"/>
  <c r="I422" i="10" s="1"/>
  <c r="I423" i="10"/>
  <c r="G541" i="10"/>
  <c r="I541" i="10" s="1"/>
  <c r="I540" i="10"/>
  <c r="I539" i="10"/>
  <c r="I538" i="10"/>
  <c r="G537" i="10"/>
  <c r="I537" i="10" s="1"/>
  <c r="I528" i="10"/>
  <c r="I527" i="10"/>
  <c r="I513" i="10"/>
  <c r="I497" i="10"/>
  <c r="I480" i="10"/>
  <c r="I463" i="10"/>
  <c r="G462" i="10"/>
  <c r="I462" i="10" s="1"/>
  <c r="I461" i="10"/>
  <c r="I460" i="10"/>
  <c r="H459" i="10"/>
  <c r="G458" i="10"/>
  <c r="I458" i="10" s="1"/>
  <c r="H457" i="10"/>
  <c r="G456" i="10"/>
  <c r="H456" i="10" s="1"/>
  <c r="G455" i="10"/>
  <c r="I455" i="10" s="1"/>
  <c r="G454" i="10"/>
  <c r="H454" i="10" s="1"/>
  <c r="G453" i="10"/>
  <c r="H453" i="10" s="1"/>
  <c r="G452" i="10"/>
  <c r="H452" i="10" s="1"/>
  <c r="K452" i="10"/>
  <c r="K453" i="10" s="1"/>
  <c r="K454" i="10" s="1"/>
  <c r="G526" i="10"/>
  <c r="I526" i="10" s="1"/>
  <c r="G525" i="10"/>
  <c r="I525" i="10" s="1"/>
  <c r="G521" i="10"/>
  <c r="I521" i="10" s="1"/>
  <c r="G520" i="10"/>
  <c r="I520" i="10" s="1"/>
  <c r="G512" i="10"/>
  <c r="I512" i="10" s="1"/>
  <c r="G511" i="10"/>
  <c r="I511" i="10" s="1"/>
  <c r="G510" i="10"/>
  <c r="I510" i="10" s="1"/>
  <c r="G509" i="10"/>
  <c r="I509" i="10" s="1"/>
  <c r="G508" i="10"/>
  <c r="I508" i="10" s="1"/>
  <c r="K507" i="10"/>
  <c r="G496" i="10"/>
  <c r="I496" i="10" s="1"/>
  <c r="G495" i="10"/>
  <c r="I495" i="10" s="1"/>
  <c r="G493" i="10"/>
  <c r="I493" i="10" s="1"/>
  <c r="G492" i="10"/>
  <c r="I492" i="10" s="1"/>
  <c r="G491" i="10"/>
  <c r="I491" i="10" s="1"/>
  <c r="G490" i="10"/>
  <c r="I490" i="10" s="1"/>
  <c r="G489" i="10"/>
  <c r="I489" i="10" s="1"/>
  <c r="K488" i="10"/>
  <c r="G479" i="10"/>
  <c r="I479" i="10" s="1"/>
  <c r="G478" i="10"/>
  <c r="I478" i="10" s="1"/>
  <c r="G477" i="10"/>
  <c r="I477" i="10" s="1"/>
  <c r="G476" i="10"/>
  <c r="I476" i="10" s="1"/>
  <c r="G475" i="10"/>
  <c r="I475" i="10" s="1"/>
  <c r="G474" i="10"/>
  <c r="I474" i="10" s="1"/>
  <c r="K473" i="10"/>
  <c r="K419" i="10"/>
  <c r="K420" i="10" s="1"/>
  <c r="F218" i="13"/>
  <c r="F217" i="13"/>
  <c r="F216" i="13"/>
  <c r="F215" i="13"/>
  <c r="F202" i="13"/>
  <c r="L16" i="22" l="1"/>
  <c r="L21" i="22" s="1"/>
  <c r="I16" i="22"/>
  <c r="F52" i="11"/>
  <c r="F54" i="11" s="1"/>
  <c r="F14" i="11"/>
  <c r="F22" i="11" s="1"/>
  <c r="K551" i="10"/>
  <c r="K508" i="10"/>
  <c r="K509" i="10" s="1"/>
  <c r="K510" i="10" s="1"/>
  <c r="K511" i="10" s="1"/>
  <c r="K512" i="10" s="1"/>
  <c r="K513" i="10" s="1"/>
  <c r="K566" i="10"/>
  <c r="K567" i="10" s="1"/>
  <c r="K568" i="10" s="1"/>
  <c r="K569" i="10" s="1"/>
  <c r="K570" i="10" s="1"/>
  <c r="K571" i="10" s="1"/>
  <c r="K572" i="10" s="1"/>
  <c r="K573" i="10" s="1"/>
  <c r="K574" i="10" s="1"/>
  <c r="K433" i="10"/>
  <c r="K434" i="10" s="1"/>
  <c r="K435" i="10" s="1"/>
  <c r="K436" i="10" s="1"/>
  <c r="K437" i="10" s="1"/>
  <c r="K438" i="10" s="1"/>
  <c r="K439" i="10" s="1"/>
  <c r="K440" i="10" s="1"/>
  <c r="K441" i="10" s="1"/>
  <c r="K421" i="10"/>
  <c r="K422" i="10" s="1"/>
  <c r="K423" i="10" s="1"/>
  <c r="K424" i="10" s="1"/>
  <c r="K425" i="10" s="1"/>
  <c r="K426" i="10" s="1"/>
  <c r="K427" i="10" s="1"/>
  <c r="K428" i="10" s="1"/>
  <c r="K455" i="10"/>
  <c r="K456" i="10" s="1"/>
  <c r="K457" i="10" s="1"/>
  <c r="K458" i="10" s="1"/>
  <c r="K459" i="10" s="1"/>
  <c r="K460" i="10" s="1"/>
  <c r="K461" i="10" s="1"/>
  <c r="K462" i="10" s="1"/>
  <c r="K463" i="10" s="1"/>
  <c r="K464" i="10" s="1"/>
  <c r="K489" i="10"/>
  <c r="K490" i="10" s="1"/>
  <c r="K491" i="10" s="1"/>
  <c r="K492" i="10" s="1"/>
  <c r="K493" i="10" s="1"/>
  <c r="K494" i="10" s="1"/>
  <c r="K474" i="10"/>
  <c r="K475" i="10" s="1"/>
  <c r="K476" i="10" s="1"/>
  <c r="K477" i="10" s="1"/>
  <c r="K478" i="10" s="1"/>
  <c r="K479" i="10" s="1"/>
  <c r="K480" i="10" s="1"/>
  <c r="K481" i="10" s="1"/>
  <c r="K482" i="10" s="1"/>
  <c r="K483" i="10" s="1"/>
  <c r="K552" i="10" l="1"/>
  <c r="K553" i="10" s="1"/>
  <c r="K554" i="10" s="1"/>
  <c r="K555" i="10" s="1"/>
  <c r="K556" i="10" s="1"/>
  <c r="K557" i="10" s="1"/>
  <c r="K558" i="10" s="1"/>
  <c r="K559" i="10" s="1"/>
  <c r="K560" i="10" s="1"/>
  <c r="K575" i="10"/>
  <c r="K576" i="10" s="1"/>
  <c r="K577" i="10" s="1"/>
  <c r="K520" i="10"/>
  <c r="K521" i="10" s="1"/>
  <c r="K522" i="10" s="1"/>
  <c r="K523" i="10" s="1"/>
  <c r="K524" i="10" s="1"/>
  <c r="K514" i="10"/>
  <c r="K515" i="10" s="1"/>
  <c r="K465" i="10"/>
  <c r="K466" i="10" s="1"/>
  <c r="K495" i="10"/>
  <c r="K496" i="10" s="1"/>
  <c r="K497" i="10" s="1"/>
  <c r="K525" i="10" l="1"/>
  <c r="K526" i="10" s="1"/>
  <c r="K527" i="10" s="1"/>
  <c r="K528" i="10" s="1"/>
  <c r="K529" i="10" s="1"/>
  <c r="K530" i="10" s="1"/>
  <c r="K531" i="10" s="1"/>
  <c r="K537" i="10"/>
  <c r="K538" i="10" s="1"/>
  <c r="K539" i="10" s="1"/>
  <c r="K540" i="10" s="1"/>
  <c r="K541" i="10" s="1"/>
  <c r="K542" i="10" s="1"/>
  <c r="K543" i="10" s="1"/>
  <c r="K544" i="10" s="1"/>
  <c r="K545" i="10" s="1"/>
  <c r="K498" i="10"/>
  <c r="K499" i="10" s="1"/>
  <c r="K500" i="10" s="1"/>
  <c r="K501" i="10" s="1"/>
  <c r="K502" i="10" s="1"/>
  <c r="J52" i="8"/>
  <c r="H52" i="8" s="1"/>
  <c r="J377" i="10"/>
  <c r="J375" i="10"/>
  <c r="J376" i="10"/>
  <c r="J246" i="10"/>
  <c r="J245" i="10"/>
  <c r="J244" i="10"/>
  <c r="U213" i="16"/>
  <c r="S212" i="16"/>
  <c r="S211" i="16"/>
  <c r="S209" i="16"/>
  <c r="S208" i="16"/>
  <c r="S206" i="16"/>
  <c r="S205" i="16"/>
  <c r="S204" i="16"/>
  <c r="S202" i="16"/>
  <c r="S201" i="16"/>
  <c r="S200" i="16"/>
  <c r="S199" i="16"/>
  <c r="E118" i="8"/>
  <c r="E117" i="8"/>
  <c r="F201" i="13"/>
  <c r="J401" i="10"/>
  <c r="S213" i="16" l="1"/>
  <c r="S217" i="16" s="1"/>
  <c r="E364" i="13"/>
  <c r="G410" i="10"/>
  <c r="E363" i="13"/>
  <c r="E616" i="13"/>
  <c r="E615" i="13"/>
  <c r="E614" i="13"/>
  <c r="E199" i="13"/>
  <c r="E362" i="13"/>
  <c r="E198" i="13"/>
  <c r="E197" i="13"/>
  <c r="E196" i="13"/>
  <c r="E195" i="13"/>
  <c r="E194" i="13"/>
  <c r="E193" i="13"/>
  <c r="E361" i="13"/>
  <c r="E613" i="13"/>
  <c r="E612" i="13"/>
  <c r="G320" i="10"/>
  <c r="I112" i="10"/>
  <c r="H185" i="18"/>
  <c r="G398" i="10"/>
  <c r="I398" i="10" s="1"/>
  <c r="G397" i="10"/>
  <c r="I397" i="10" s="1"/>
  <c r="G396" i="10"/>
  <c r="I396" i="10" s="1"/>
  <c r="G395" i="10"/>
  <c r="I395" i="10" s="1"/>
  <c r="G394" i="10"/>
  <c r="I394" i="10" s="1"/>
  <c r="G393" i="10"/>
  <c r="I393" i="10" s="1"/>
  <c r="G392" i="10"/>
  <c r="I392" i="10" s="1"/>
  <c r="G391" i="10"/>
  <c r="I391" i="10" s="1"/>
  <c r="G390" i="10"/>
  <c r="I390" i="10" s="1"/>
  <c r="G389" i="10"/>
  <c r="I389" i="10" s="1"/>
  <c r="G388" i="10"/>
  <c r="I388" i="10" s="1"/>
  <c r="G387" i="10"/>
  <c r="I387" i="10" s="1"/>
  <c r="H184" i="18"/>
  <c r="I386" i="10"/>
  <c r="I385" i="10"/>
  <c r="I384" i="10"/>
  <c r="K384" i="10" s="1"/>
  <c r="H183" i="18"/>
  <c r="F76" i="21"/>
  <c r="G66" i="21"/>
  <c r="G70" i="21"/>
  <c r="E74" i="21"/>
  <c r="E78" i="21" s="1"/>
  <c r="D74" i="21"/>
  <c r="D78" i="21" s="1"/>
  <c r="I30" i="21"/>
  <c r="I22" i="21"/>
  <c r="E360" i="13"/>
  <c r="I372" i="10"/>
  <c r="I239" i="10"/>
  <c r="I238" i="10"/>
  <c r="I226" i="10"/>
  <c r="I210" i="10"/>
  <c r="I183" i="10"/>
  <c r="I168" i="10"/>
  <c r="I156" i="10"/>
  <c r="I141" i="10"/>
  <c r="I122" i="10"/>
  <c r="I107" i="10"/>
  <c r="I355" i="10"/>
  <c r="F189" i="13"/>
  <c r="F188" i="13"/>
  <c r="F187" i="13"/>
  <c r="F186" i="13"/>
  <c r="F185" i="13"/>
  <c r="F184" i="13"/>
  <c r="F182" i="13"/>
  <c r="F181" i="13"/>
  <c r="F180" i="13"/>
  <c r="E116" i="8"/>
  <c r="E115" i="8"/>
  <c r="E114" i="8"/>
  <c r="E113" i="8"/>
  <c r="E112" i="8"/>
  <c r="E111" i="8"/>
  <c r="E110" i="8"/>
  <c r="E109" i="8"/>
  <c r="G109" i="8" s="1"/>
  <c r="H182" i="18"/>
  <c r="H181" i="18"/>
  <c r="H180" i="18"/>
  <c r="H179" i="18"/>
  <c r="H178" i="18"/>
  <c r="H177" i="18"/>
  <c r="H176" i="18"/>
  <c r="H175" i="18"/>
  <c r="G371" i="10"/>
  <c r="I371" i="10" s="1"/>
  <c r="K371" i="10" s="1"/>
  <c r="H174" i="18"/>
  <c r="I354" i="10"/>
  <c r="J365" i="10"/>
  <c r="J364" i="10"/>
  <c r="F67" i="18"/>
  <c r="F46" i="18"/>
  <c r="G29" i="18"/>
  <c r="G27" i="18"/>
  <c r="G35" i="18"/>
  <c r="I32" i="21" l="1"/>
  <c r="I410" i="10"/>
  <c r="K410" i="10" s="1"/>
  <c r="G411" i="10"/>
  <c r="I411" i="10" s="1"/>
  <c r="H209" i="18"/>
  <c r="K385" i="10"/>
  <c r="K386" i="10" s="1"/>
  <c r="K387" i="10" s="1"/>
  <c r="K388" i="10" s="1"/>
  <c r="K389" i="10" s="1"/>
  <c r="K390" i="10" s="1"/>
  <c r="K391" i="10" s="1"/>
  <c r="K392" i="10" s="1"/>
  <c r="K393" i="10" s="1"/>
  <c r="K394" i="10" s="1"/>
  <c r="K395" i="10" s="1"/>
  <c r="K396" i="10" s="1"/>
  <c r="K397" i="10" s="1"/>
  <c r="K398" i="10" s="1"/>
  <c r="K372" i="10"/>
  <c r="K373" i="10" s="1"/>
  <c r="K374" i="10" s="1"/>
  <c r="G110" i="8"/>
  <c r="G111" i="8" s="1"/>
  <c r="F74" i="21"/>
  <c r="J363" i="10"/>
  <c r="J362" i="10"/>
  <c r="J361" i="10"/>
  <c r="J360" i="10"/>
  <c r="E170" i="13"/>
  <c r="H148" i="18"/>
  <c r="H147" i="18"/>
  <c r="J359" i="10"/>
  <c r="J358" i="10"/>
  <c r="J357" i="10"/>
  <c r="F568" i="13"/>
  <c r="E546" i="13"/>
  <c r="H143" i="18"/>
  <c r="H142" i="18"/>
  <c r="H140" i="18"/>
  <c r="H139" i="18"/>
  <c r="H138" i="18"/>
  <c r="H136" i="18"/>
  <c r="H135" i="18"/>
  <c r="H133" i="18"/>
  <c r="H132" i="18"/>
  <c r="H129" i="18"/>
  <c r="H127" i="18"/>
  <c r="H126" i="18"/>
  <c r="H117" i="18"/>
  <c r="H116" i="18"/>
  <c r="H115" i="18"/>
  <c r="H114" i="18"/>
  <c r="H113" i="18"/>
  <c r="H112" i="18"/>
  <c r="H111" i="18"/>
  <c r="H110" i="18"/>
  <c r="H109" i="18"/>
  <c r="H108" i="18"/>
  <c r="H107" i="18"/>
  <c r="H99" i="18"/>
  <c r="H98" i="18"/>
  <c r="G83" i="10"/>
  <c r="H97" i="18"/>
  <c r="H96" i="18"/>
  <c r="H93" i="18"/>
  <c r="H92" i="18"/>
  <c r="H91" i="18"/>
  <c r="H90" i="18"/>
  <c r="H89" i="18"/>
  <c r="H86" i="18"/>
  <c r="H84" i="18"/>
  <c r="H82" i="18"/>
  <c r="H80" i="18"/>
  <c r="H79" i="18"/>
  <c r="H78" i="18"/>
  <c r="H77" i="18"/>
  <c r="H72" i="18"/>
  <c r="K411" i="10" l="1"/>
  <c r="K412" i="10" s="1"/>
  <c r="K413" i="10" s="1"/>
  <c r="L374" i="10"/>
  <c r="K375" i="10"/>
  <c r="K376" i="10" s="1"/>
  <c r="K377" i="10" s="1"/>
  <c r="K378" i="10" s="1"/>
  <c r="K379" i="10" s="1"/>
  <c r="K399" i="10"/>
  <c r="K400" i="10" s="1"/>
  <c r="K401" i="10" s="1"/>
  <c r="K402" i="10" s="1"/>
  <c r="K403" i="10" s="1"/>
  <c r="K404" i="10" s="1"/>
  <c r="K405" i="10" s="1"/>
  <c r="G112" i="8"/>
  <c r="H150" i="18"/>
  <c r="G113" i="8" l="1"/>
  <c r="G114" i="8" l="1"/>
  <c r="F356" i="13"/>
  <c r="E175" i="13"/>
  <c r="E355" i="13"/>
  <c r="E174" i="13"/>
  <c r="E591" i="13"/>
  <c r="E590" i="13"/>
  <c r="E479" i="13"/>
  <c r="E340" i="13"/>
  <c r="G611" i="13"/>
  <c r="G612" i="13" s="1"/>
  <c r="G613" i="13" s="1"/>
  <c r="G614" i="13" s="1"/>
  <c r="G615" i="13" s="1"/>
  <c r="G616" i="13" s="1"/>
  <c r="G617" i="13" s="1"/>
  <c r="G618" i="13" s="1"/>
  <c r="G619" i="13" s="1"/>
  <c r="G620" i="13" s="1"/>
  <c r="G621" i="13" s="1"/>
  <c r="G622" i="13" s="1"/>
  <c r="G623" i="13" s="1"/>
  <c r="G624" i="13" s="1"/>
  <c r="G625" i="13" s="1"/>
  <c r="G626" i="13" s="1"/>
  <c r="G627" i="13" s="1"/>
  <c r="G589" i="13"/>
  <c r="G567" i="13"/>
  <c r="G545" i="13"/>
  <c r="E524" i="13"/>
  <c r="E532" i="13"/>
  <c r="E526" i="13"/>
  <c r="F353" i="13"/>
  <c r="G525" i="13"/>
  <c r="I349" i="10"/>
  <c r="I348" i="10"/>
  <c r="I347" i="10"/>
  <c r="I346" i="10"/>
  <c r="G26" i="18"/>
  <c r="G25" i="18"/>
  <c r="G24" i="18"/>
  <c r="G23" i="18"/>
  <c r="G22" i="18"/>
  <c r="G20" i="18"/>
  <c r="G19" i="18"/>
  <c r="G18" i="18"/>
  <c r="G16" i="18"/>
  <c r="G15" i="18"/>
  <c r="G13" i="18"/>
  <c r="G12" i="18"/>
  <c r="G11" i="18"/>
  <c r="G10" i="18"/>
  <c r="G7" i="18"/>
  <c r="F171" i="13"/>
  <c r="J190" i="10"/>
  <c r="J258" i="10"/>
  <c r="L332" i="10"/>
  <c r="L333" i="10" s="1"/>
  <c r="I29" i="8"/>
  <c r="F351" i="13"/>
  <c r="F350" i="13"/>
  <c r="F349" i="13"/>
  <c r="E168" i="13"/>
  <c r="E167" i="13"/>
  <c r="E166" i="13"/>
  <c r="F78" i="9"/>
  <c r="I345" i="10"/>
  <c r="K345" i="10" s="1"/>
  <c r="G332" i="10"/>
  <c r="I332" i="10" s="1"/>
  <c r="G331" i="10"/>
  <c r="I331" i="10" s="1"/>
  <c r="G329" i="10"/>
  <c r="I329" i="10" s="1"/>
  <c r="G328" i="10"/>
  <c r="I328" i="10" s="1"/>
  <c r="I326" i="10"/>
  <c r="F163" i="13"/>
  <c r="J189" i="10"/>
  <c r="I188" i="10"/>
  <c r="E348" i="13"/>
  <c r="F333" i="13"/>
  <c r="F289" i="13"/>
  <c r="E505" i="13"/>
  <c r="I225" i="10"/>
  <c r="E154" i="13"/>
  <c r="R507" i="13"/>
  <c r="E161" i="13"/>
  <c r="R506" i="13"/>
  <c r="R505" i="13"/>
  <c r="R504" i="13"/>
  <c r="R503" i="13"/>
  <c r="R502" i="13"/>
  <c r="R501" i="13"/>
  <c r="R500" i="13"/>
  <c r="F342" i="13"/>
  <c r="F347" i="13"/>
  <c r="F346" i="13"/>
  <c r="F345" i="13"/>
  <c r="F344" i="13"/>
  <c r="F343" i="13"/>
  <c r="E160" i="13"/>
  <c r="E159" i="13"/>
  <c r="E158" i="13"/>
  <c r="E157" i="13"/>
  <c r="E156" i="13"/>
  <c r="G590" i="13" l="1"/>
  <c r="G591" i="13" s="1"/>
  <c r="G592" i="13" s="1"/>
  <c r="G593" i="13" s="1"/>
  <c r="G594" i="13" s="1"/>
  <c r="G595" i="13" s="1"/>
  <c r="G596" i="13" s="1"/>
  <c r="G597" i="13" s="1"/>
  <c r="G598" i="13" s="1"/>
  <c r="G599" i="13" s="1"/>
  <c r="G600" i="13" s="1"/>
  <c r="G601" i="13" s="1"/>
  <c r="G602" i="13" s="1"/>
  <c r="G603" i="13" s="1"/>
  <c r="G604" i="13" s="1"/>
  <c r="G605" i="13" s="1"/>
  <c r="G115" i="8"/>
  <c r="I338" i="10"/>
  <c r="G31" i="18"/>
  <c r="G338" i="10"/>
  <c r="G568" i="13"/>
  <c r="G569" i="13" s="1"/>
  <c r="G570" i="13" s="1"/>
  <c r="G571" i="13" s="1"/>
  <c r="G572" i="13" s="1"/>
  <c r="G573" i="13" s="1"/>
  <c r="G574" i="13" s="1"/>
  <c r="G575" i="13" s="1"/>
  <c r="G576" i="13" s="1"/>
  <c r="G577" i="13" s="1"/>
  <c r="G578" i="13" s="1"/>
  <c r="G579" i="13" s="1"/>
  <c r="G580" i="13" s="1"/>
  <c r="G581" i="13" s="1"/>
  <c r="G582" i="13" s="1"/>
  <c r="G583" i="13" s="1"/>
  <c r="G546" i="13"/>
  <c r="G547" i="13" s="1"/>
  <c r="G548" i="13" s="1"/>
  <c r="G549" i="13" s="1"/>
  <c r="G550" i="13" s="1"/>
  <c r="G551" i="13" s="1"/>
  <c r="G552" i="13" s="1"/>
  <c r="G553" i="13" s="1"/>
  <c r="G554" i="13" s="1"/>
  <c r="G555" i="13" s="1"/>
  <c r="G556" i="13" s="1"/>
  <c r="G557" i="13" s="1"/>
  <c r="G558" i="13" s="1"/>
  <c r="G559" i="13" s="1"/>
  <c r="G560" i="13" s="1"/>
  <c r="G561" i="13" s="1"/>
  <c r="K346" i="10"/>
  <c r="K347" i="10" s="1"/>
  <c r="K348" i="10" s="1"/>
  <c r="K349" i="10" s="1"/>
  <c r="K350" i="10" s="1"/>
  <c r="K351" i="10" s="1"/>
  <c r="K352" i="10" s="1"/>
  <c r="K353" i="10" s="1"/>
  <c r="K354" i="10" s="1"/>
  <c r="K355" i="10" s="1"/>
  <c r="R517" i="13"/>
  <c r="G237" i="10"/>
  <c r="I237" i="10" s="1"/>
  <c r="E486" i="13" s="1"/>
  <c r="G224" i="10"/>
  <c r="I224" i="10" s="1"/>
  <c r="E153" i="13" s="1"/>
  <c r="G88" i="16"/>
  <c r="F152" i="13"/>
  <c r="F149" i="13"/>
  <c r="J187" i="10"/>
  <c r="I257" i="10"/>
  <c r="E151" i="13" s="1"/>
  <c r="J186" i="10"/>
  <c r="I184" i="10"/>
  <c r="H175" i="16"/>
  <c r="H174" i="16"/>
  <c r="H163" i="16"/>
  <c r="H153" i="16"/>
  <c r="H150" i="16"/>
  <c r="H149" i="16"/>
  <c r="H148" i="16"/>
  <c r="H147" i="16"/>
  <c r="H140" i="16"/>
  <c r="H139" i="16"/>
  <c r="H138" i="16"/>
  <c r="H127" i="16"/>
  <c r="H126" i="16"/>
  <c r="G116" i="8" l="1"/>
  <c r="G117" i="8" s="1"/>
  <c r="G118" i="8" s="1"/>
  <c r="G119" i="8" s="1"/>
  <c r="G120" i="8" s="1"/>
  <c r="G121" i="8" s="1"/>
  <c r="K356" i="10"/>
  <c r="K357" i="10" s="1"/>
  <c r="L355" i="10"/>
  <c r="H97" i="16"/>
  <c r="H96" i="16"/>
  <c r="H94" i="16"/>
  <c r="H93" i="16"/>
  <c r="F145" i="13"/>
  <c r="F81" i="13"/>
  <c r="F71" i="13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5" i="16"/>
  <c r="G60" i="16"/>
  <c r="G58" i="16"/>
  <c r="G57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122" i="8" l="1"/>
  <c r="G123" i="8" s="1"/>
  <c r="G124" i="8" s="1"/>
  <c r="G125" i="8" s="1"/>
  <c r="K358" i="10"/>
  <c r="K359" i="10" s="1"/>
  <c r="K360" i="10" s="1"/>
  <c r="K361" i="10" s="1"/>
  <c r="K362" i="10" s="1"/>
  <c r="K363" i="10" s="1"/>
  <c r="K364" i="10" s="1"/>
  <c r="K365" i="10" s="1"/>
  <c r="K366" i="10" s="1"/>
  <c r="H192" i="16"/>
  <c r="I40" i="16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G192" i="16"/>
  <c r="I192" i="16" l="1"/>
  <c r="I92" i="16"/>
  <c r="I93" i="16" l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J217" i="10"/>
  <c r="F148" i="13" s="1"/>
  <c r="J320" i="10"/>
  <c r="J216" i="10"/>
  <c r="J211" i="10"/>
  <c r="M141" i="8"/>
  <c r="G130" i="8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22" i="16"/>
  <c r="I22" i="16" s="1"/>
  <c r="G21" i="16"/>
  <c r="I21" i="16" s="1"/>
  <c r="I20" i="16"/>
  <c r="G20" i="16"/>
  <c r="I104" i="16" l="1"/>
  <c r="G19" i="16"/>
  <c r="I19" i="16" s="1"/>
  <c r="I18" i="16"/>
  <c r="I17" i="16"/>
  <c r="I16" i="16"/>
  <c r="G15" i="16"/>
  <c r="I15" i="16" s="1"/>
  <c r="G14" i="16"/>
  <c r="I14" i="16" s="1"/>
  <c r="I13" i="16"/>
  <c r="G13" i="16"/>
  <c r="I12" i="16"/>
  <c r="G11" i="16"/>
  <c r="I11" i="16" s="1"/>
  <c r="G10" i="16"/>
  <c r="I10" i="16" s="1"/>
  <c r="G9" i="16"/>
  <c r="I9" i="16" s="1"/>
  <c r="I8" i="16"/>
  <c r="I7" i="16"/>
  <c r="G7" i="16"/>
  <c r="G6" i="16"/>
  <c r="I6" i="16" s="1"/>
  <c r="I5" i="16"/>
  <c r="I4" i="16"/>
  <c r="G479" i="13"/>
  <c r="G480" i="13" s="1"/>
  <c r="G481" i="13" s="1"/>
  <c r="G482" i="13" s="1"/>
  <c r="G483" i="13" s="1"/>
  <c r="G484" i="13" s="1"/>
  <c r="G485" i="13" s="1"/>
  <c r="F134" i="13"/>
  <c r="F133" i="13"/>
  <c r="F132" i="13"/>
  <c r="F129" i="13"/>
  <c r="F11" i="9"/>
  <c r="I214" i="10"/>
  <c r="I213" i="10"/>
  <c r="I212" i="10"/>
  <c r="E339" i="13" s="1"/>
  <c r="I236" i="10"/>
  <c r="E341" i="13" s="1"/>
  <c r="G235" i="10"/>
  <c r="I235" i="10" s="1"/>
  <c r="G234" i="10"/>
  <c r="I234" i="10" s="1"/>
  <c r="G223" i="10"/>
  <c r="I223" i="10" s="1"/>
  <c r="E137" i="13" s="1"/>
  <c r="G486" i="13" l="1"/>
  <c r="G487" i="13" s="1"/>
  <c r="G488" i="13" s="1"/>
  <c r="K4" i="16"/>
  <c r="K5" i="16" s="1"/>
  <c r="K6" i="16" s="1"/>
  <c r="K7" i="16" s="1"/>
  <c r="K8" i="16" s="1"/>
  <c r="K9" i="16" s="1"/>
  <c r="K10" i="16" s="1"/>
  <c r="K11" i="16" s="1"/>
  <c r="K12" i="16" s="1"/>
  <c r="K13" i="16" s="1"/>
  <c r="K14" i="16" s="1"/>
  <c r="K15" i="16" s="1"/>
  <c r="K16" i="16" s="1"/>
  <c r="K17" i="16" s="1"/>
  <c r="K18" i="16" s="1"/>
  <c r="K19" i="16" s="1"/>
  <c r="K20" i="16" s="1"/>
  <c r="K21" i="16" s="1"/>
  <c r="K22" i="16" s="1"/>
  <c r="I24" i="16"/>
  <c r="I31" i="16" s="1"/>
  <c r="J34" i="16" s="1"/>
  <c r="J173" i="10" l="1"/>
  <c r="J172" i="10"/>
  <c r="J171" i="10"/>
  <c r="J160" i="10"/>
  <c r="G154" i="8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208" i="10"/>
  <c r="I208" i="10" s="1"/>
  <c r="G207" i="10"/>
  <c r="I207" i="10" s="1"/>
  <c r="E338" i="13" s="1"/>
  <c r="E86" i="13"/>
  <c r="O500" i="13"/>
  <c r="O501" i="13" s="1"/>
  <c r="O502" i="13" s="1"/>
  <c r="O503" i="13" s="1"/>
  <c r="O504" i="13" s="1"/>
  <c r="O505" i="13" s="1"/>
  <c r="O506" i="13" s="1"/>
  <c r="I198" i="10"/>
  <c r="E337" i="13" s="1"/>
  <c r="G197" i="10"/>
  <c r="I197" i="10" s="1"/>
  <c r="E127" i="13" s="1"/>
  <c r="G196" i="10"/>
  <c r="I196" i="10" s="1"/>
  <c r="E336" i="13" s="1"/>
  <c r="G181" i="10"/>
  <c r="I181" i="10" s="1"/>
  <c r="E331" i="13" s="1"/>
  <c r="I182" i="10"/>
  <c r="E332" i="13" s="1"/>
  <c r="I167" i="10"/>
  <c r="E330" i="13" s="1"/>
  <c r="G166" i="10"/>
  <c r="I166" i="10" s="1"/>
  <c r="G165" i="10"/>
  <c r="I165" i="10" s="1"/>
  <c r="E329" i="13" s="1"/>
  <c r="E126" i="13"/>
  <c r="E125" i="13"/>
  <c r="F335" i="13"/>
  <c r="F334" i="13"/>
  <c r="E504" i="13"/>
  <c r="E503" i="13"/>
  <c r="E502" i="13"/>
  <c r="E501" i="13"/>
  <c r="E500" i="13"/>
  <c r="G500" i="13" s="1"/>
  <c r="O507" i="13" l="1"/>
  <c r="G170" i="8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501" i="13"/>
  <c r="G502" i="13" s="1"/>
  <c r="G503" i="13" s="1"/>
  <c r="G504" i="13" s="1"/>
  <c r="G505" i="13" s="1"/>
  <c r="G506" i="13" s="1"/>
  <c r="G509" i="13" s="1"/>
  <c r="G517" i="13" s="1"/>
  <c r="F120" i="13"/>
  <c r="F119" i="13"/>
  <c r="F118" i="13"/>
  <c r="J159" i="10"/>
  <c r="J158" i="10"/>
  <c r="J157" i="10"/>
  <c r="I154" i="10"/>
  <c r="E327" i="13" s="1"/>
  <c r="I153" i="10"/>
  <c r="E326" i="13" s="1"/>
  <c r="G152" i="10"/>
  <c r="I152" i="10" s="1"/>
  <c r="E325" i="13" s="1"/>
  <c r="G151" i="10"/>
  <c r="I151" i="10" s="1"/>
  <c r="F115" i="13"/>
  <c r="F114" i="13"/>
  <c r="F113" i="13"/>
  <c r="F112" i="13"/>
  <c r="F111" i="13"/>
  <c r="E324" i="13"/>
  <c r="J146" i="10"/>
  <c r="J145" i="10"/>
  <c r="J144" i="10"/>
  <c r="J143" i="10"/>
  <c r="J142" i="10"/>
  <c r="G134" i="10"/>
  <c r="I134" i="10" s="1"/>
  <c r="I133" i="10"/>
  <c r="I132" i="10"/>
  <c r="E323" i="13" s="1"/>
  <c r="I131" i="10"/>
  <c r="E322" i="13" s="1"/>
  <c r="I130" i="10"/>
  <c r="E321" i="13" s="1"/>
  <c r="I129" i="10"/>
  <c r="I128" i="10"/>
  <c r="E320" i="13" s="1"/>
  <c r="F101" i="13"/>
  <c r="E317" i="13"/>
  <c r="J123" i="10"/>
  <c r="I121" i="10"/>
  <c r="G121" i="10" s="1"/>
  <c r="I120" i="10"/>
  <c r="E319" i="13" s="1"/>
  <c r="G119" i="10"/>
  <c r="I119" i="10" s="1"/>
  <c r="E318" i="13" s="1"/>
  <c r="G118" i="10"/>
  <c r="I118" i="10" s="1"/>
  <c r="G117" i="10"/>
  <c r="I117" i="10" s="1"/>
  <c r="O508" i="13" l="1"/>
  <c r="O509" i="13" s="1"/>
  <c r="O510" i="13" s="1"/>
  <c r="O511" i="13" s="1"/>
  <c r="O512" i="13" s="1"/>
  <c r="O513" i="13" s="1"/>
  <c r="O514" i="13" s="1"/>
  <c r="O515" i="13" s="1"/>
  <c r="O516" i="13" s="1"/>
  <c r="O517" i="13" s="1"/>
  <c r="E116" i="13"/>
  <c r="E100" i="13"/>
  <c r="F99" i="13"/>
  <c r="F98" i="13"/>
  <c r="F97" i="13"/>
  <c r="J111" i="10"/>
  <c r="J110" i="10"/>
  <c r="J109" i="10"/>
  <c r="F50" i="9"/>
  <c r="F51" i="9" s="1"/>
  <c r="I108" i="10"/>
  <c r="G106" i="10"/>
  <c r="I106" i="10" s="1"/>
  <c r="I105" i="10"/>
  <c r="G104" i="10"/>
  <c r="I104" i="10" s="1"/>
  <c r="G103" i="10"/>
  <c r="I103" i="10" s="1"/>
  <c r="E316" i="13" s="1"/>
  <c r="G102" i="10"/>
  <c r="I102" i="10" s="1"/>
  <c r="G101" i="10"/>
  <c r="I101" i="10" s="1"/>
  <c r="I100" i="10"/>
  <c r="F314" i="13"/>
  <c r="E92" i="13"/>
  <c r="F312" i="13"/>
  <c r="F309" i="13"/>
  <c r="F308" i="13"/>
  <c r="F307" i="13"/>
  <c r="E89" i="13"/>
  <c r="E85" i="13"/>
  <c r="E84" i="13"/>
  <c r="E83" i="13"/>
  <c r="F306" i="13"/>
  <c r="F305" i="13"/>
  <c r="F304" i="13"/>
  <c r="E78" i="13"/>
  <c r="E77" i="13"/>
  <c r="E76" i="13"/>
  <c r="F44" i="9"/>
  <c r="F13" i="9"/>
  <c r="J93" i="10"/>
  <c r="J91" i="10"/>
  <c r="I85" i="10"/>
  <c r="E300" i="13" s="1"/>
  <c r="I84" i="10"/>
  <c r="E299" i="13" s="1"/>
  <c r="I83" i="10"/>
  <c r="G82" i="10"/>
  <c r="I82" i="10" s="1"/>
  <c r="I81" i="10"/>
  <c r="I80" i="10"/>
  <c r="G79" i="10"/>
  <c r="I79" i="10" s="1"/>
  <c r="E298" i="13" s="1"/>
  <c r="G78" i="10"/>
  <c r="I78" i="10" s="1"/>
  <c r="G77" i="10"/>
  <c r="I77" i="10" s="1"/>
  <c r="G9" i="8"/>
  <c r="G10" i="8" s="1"/>
  <c r="G11" i="8" s="1"/>
  <c r="G12" i="8" s="1"/>
  <c r="G13" i="8" s="1"/>
  <c r="G14" i="8" s="1"/>
  <c r="G15" i="8" s="1"/>
  <c r="F297" i="13"/>
  <c r="F296" i="13"/>
  <c r="E64" i="13"/>
  <c r="E63" i="13"/>
  <c r="I72" i="10"/>
  <c r="I71" i="10"/>
  <c r="I70" i="10"/>
  <c r="I67" i="10"/>
  <c r="E295" i="13" s="1"/>
  <c r="I66" i="10"/>
  <c r="E294" i="13" s="1"/>
  <c r="G65" i="10"/>
  <c r="I65" i="10" s="1"/>
  <c r="E51" i="13" s="1"/>
  <c r="G64" i="10"/>
  <c r="I64" i="10" s="1"/>
  <c r="G63" i="10"/>
  <c r="I63" i="10" s="1"/>
  <c r="G16" i="8" l="1"/>
  <c r="G17" i="8" s="1"/>
  <c r="G18" i="8" s="1"/>
  <c r="G19" i="8" s="1"/>
  <c r="G20" i="8" s="1"/>
  <c r="G21" i="8" s="1"/>
  <c r="G22" i="8" s="1"/>
  <c r="G23" i="8" s="1"/>
  <c r="G24" i="8" s="1"/>
  <c r="E315" i="13"/>
  <c r="E95" i="13"/>
  <c r="J60" i="10"/>
  <c r="J58" i="10"/>
  <c r="J57" i="10"/>
  <c r="I56" i="10"/>
  <c r="I55" i="10"/>
  <c r="I54" i="10"/>
  <c r="G52" i="10"/>
  <c r="I52" i="10" s="1"/>
  <c r="E291" i="13"/>
  <c r="I45" i="10"/>
  <c r="I43" i="10"/>
  <c r="I41" i="10"/>
  <c r="G40" i="10"/>
  <c r="I40" i="10" s="1"/>
  <c r="E290" i="13" s="1"/>
  <c r="F276" i="13"/>
  <c r="F275" i="13"/>
  <c r="F273" i="13"/>
  <c r="F272" i="13"/>
  <c r="E9" i="13"/>
  <c r="E8" i="13"/>
  <c r="E6" i="13"/>
  <c r="E5" i="13"/>
  <c r="G5" i="13" s="1"/>
  <c r="G272" i="13" l="1"/>
  <c r="G273" i="13" s="1"/>
  <c r="G274" i="13" s="1"/>
  <c r="G275" i="13" s="1"/>
  <c r="G276" i="13" s="1"/>
  <c r="G277" i="13" s="1"/>
  <c r="F462" i="13"/>
  <c r="E462" i="13"/>
  <c r="G25" i="8"/>
  <c r="G26" i="8" s="1"/>
  <c r="G27" i="8" s="1"/>
  <c r="G6" i="13"/>
  <c r="G7" i="13" s="1"/>
  <c r="G8" i="13" s="1"/>
  <c r="G9" i="13" s="1"/>
  <c r="G10" i="13" s="1"/>
  <c r="G11" i="13" s="1"/>
  <c r="G12" i="13" s="1"/>
  <c r="G462" i="13" l="1"/>
  <c r="G28" i="8"/>
  <c r="G29" i="8" s="1"/>
  <c r="G30" i="8" s="1"/>
  <c r="G31" i="8" s="1"/>
  <c r="G32" i="8" s="1"/>
  <c r="G33" i="8" s="1"/>
  <c r="J37" i="10"/>
  <c r="J36" i="10"/>
  <c r="J35" i="10"/>
  <c r="J34" i="10"/>
  <c r="J33" i="10"/>
  <c r="J32" i="10"/>
  <c r="J31" i="10"/>
  <c r="J30" i="10"/>
  <c r="J29" i="10"/>
  <c r="J28" i="10"/>
  <c r="J27" i="10"/>
  <c r="J26" i="10"/>
  <c r="G26" i="10"/>
  <c r="I25" i="10"/>
  <c r="I24" i="10"/>
  <c r="I23" i="10"/>
  <c r="I22" i="10"/>
  <c r="I21" i="10"/>
  <c r="I20" i="10"/>
  <c r="I19" i="10"/>
  <c r="I18" i="10"/>
  <c r="I17" i="10"/>
  <c r="I16" i="10"/>
  <c r="J12" i="10"/>
  <c r="J11" i="10"/>
  <c r="J10" i="10"/>
  <c r="G6" i="10"/>
  <c r="I6" i="10" s="1"/>
  <c r="I7" i="10"/>
  <c r="I5" i="10"/>
  <c r="G278" i="13" s="1"/>
  <c r="G34" i="8" l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I105" i="16"/>
  <c r="I106" i="16" s="1"/>
  <c r="I107" i="16" s="1"/>
  <c r="I108" i="16" s="1"/>
  <c r="I109" i="16" s="1"/>
  <c r="I110" i="16" s="1"/>
  <c r="I111" i="16" s="1"/>
  <c r="I112" i="16" s="1"/>
  <c r="I113" i="16" s="1"/>
  <c r="I114" i="16" s="1"/>
  <c r="I115" i="16" s="1"/>
  <c r="I116" i="16" s="1"/>
  <c r="I117" i="16" s="1"/>
  <c r="E266" i="13"/>
  <c r="G13" i="13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79" i="13"/>
  <c r="G280" i="13" s="1"/>
  <c r="G281" i="13" s="1"/>
  <c r="G282" i="13" s="1"/>
  <c r="G283" i="13" s="1"/>
  <c r="G284" i="13" s="1"/>
  <c r="G285" i="13" s="1"/>
  <c r="G286" i="13" s="1"/>
  <c r="G287" i="13" s="1"/>
  <c r="G288" i="13" s="1"/>
  <c r="G289" i="13" s="1"/>
  <c r="G290" i="13" s="1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F266" i="13"/>
  <c r="G266" i="13" l="1"/>
  <c r="E528" i="13" s="1"/>
  <c r="I118" i="16"/>
  <c r="I119" i="16" s="1"/>
  <c r="I120" i="16" s="1"/>
  <c r="I121" i="16" s="1"/>
  <c r="I122" i="16" s="1"/>
  <c r="I123" i="16" s="1"/>
  <c r="I124" i="16" s="1"/>
  <c r="I125" i="16" s="1"/>
  <c r="G25" i="13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291" i="13"/>
  <c r="G292" i="13" s="1"/>
  <c r="G293" i="13" s="1"/>
  <c r="G294" i="13" s="1"/>
  <c r="G295" i="13" s="1"/>
  <c r="G296" i="13" s="1"/>
  <c r="G297" i="13" s="1"/>
  <c r="G298" i="13" s="1"/>
  <c r="G299" i="13" s="1"/>
  <c r="G300" i="13" s="1"/>
  <c r="G301" i="13" s="1"/>
  <c r="G302" i="13" s="1"/>
  <c r="G303" i="13" s="1"/>
  <c r="G304" i="13" s="1"/>
  <c r="G305" i="13" s="1"/>
  <c r="G306" i="13" s="1"/>
  <c r="G307" i="13" s="1"/>
  <c r="G308" i="13" s="1"/>
  <c r="G309" i="13" s="1"/>
  <c r="G310" i="13" s="1"/>
  <c r="G311" i="13" s="1"/>
  <c r="G312" i="13" s="1"/>
  <c r="G313" i="13" s="1"/>
  <c r="G314" i="13" s="1"/>
  <c r="G315" i="13" s="1"/>
  <c r="G316" i="13" s="1"/>
  <c r="G317" i="13" s="1"/>
  <c r="G318" i="13" s="1"/>
  <c r="G319" i="13" s="1"/>
  <c r="G320" i="13" s="1"/>
  <c r="G321" i="13" s="1"/>
  <c r="G322" i="13" s="1"/>
  <c r="G323" i="13" s="1"/>
  <c r="G324" i="13" s="1"/>
  <c r="G325" i="13" s="1"/>
  <c r="G326" i="13" s="1"/>
  <c r="G327" i="13" s="1"/>
  <c r="G328" i="13" s="1"/>
  <c r="G329" i="13" s="1"/>
  <c r="G330" i="13" s="1"/>
  <c r="K41" i="10"/>
  <c r="K42" i="10" s="1"/>
  <c r="K43" i="10" s="1"/>
  <c r="K44" i="10" s="1"/>
  <c r="K45" i="10" s="1"/>
  <c r="K46" i="10" s="1"/>
  <c r="K47" i="10" s="1"/>
  <c r="K48" i="10" s="1"/>
  <c r="G49" i="8" l="1"/>
  <c r="G50" i="8" s="1"/>
  <c r="G51" i="8" s="1"/>
  <c r="G52" i="8" s="1"/>
  <c r="G53" i="8" s="1"/>
  <c r="G54" i="8" s="1"/>
  <c r="G55" i="8" s="1"/>
  <c r="G38" i="13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I126" i="16"/>
  <c r="I127" i="16" s="1"/>
  <c r="G331" i="13"/>
  <c r="G332" i="13" s="1"/>
  <c r="K49" i="10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G56" i="8" l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333" i="13"/>
  <c r="G334" i="13" s="1"/>
  <c r="G335" i="13" s="1"/>
  <c r="G336" i="13" s="1"/>
  <c r="G337" i="13" s="1"/>
  <c r="G338" i="13" s="1"/>
  <c r="G339" i="13" s="1"/>
  <c r="G340" i="13" s="1"/>
  <c r="G341" i="13" s="1"/>
  <c r="G342" i="13" s="1"/>
  <c r="G343" i="13" s="1"/>
  <c r="G96" i="13"/>
  <c r="G97" i="13" s="1"/>
  <c r="G98" i="13" s="1"/>
  <c r="G99" i="13" s="1"/>
  <c r="G100" i="13" s="1"/>
  <c r="G101" i="13" s="1"/>
  <c r="G102" i="13" s="1"/>
  <c r="G103" i="13" s="1"/>
  <c r="G104" i="13" s="1"/>
  <c r="I128" i="16"/>
  <c r="I129" i="16" s="1"/>
  <c r="I130" i="16" s="1"/>
  <c r="I131" i="16" s="1"/>
  <c r="I132" i="16" s="1"/>
  <c r="I133" i="16" s="1"/>
  <c r="K62" i="10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G83" i="8" l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344" i="13"/>
  <c r="G345" i="13" s="1"/>
  <c r="G346" i="13" s="1"/>
  <c r="G347" i="13" s="1"/>
  <c r="G348" i="13" s="1"/>
  <c r="G105" i="13"/>
  <c r="G106" i="13" s="1"/>
  <c r="G107" i="13" s="1"/>
  <c r="G108" i="13" s="1"/>
  <c r="G109" i="13" s="1"/>
  <c r="G110" i="13" s="1"/>
  <c r="G111" i="13" s="1"/>
  <c r="G112" i="13" s="1"/>
  <c r="G113" i="13" s="1"/>
  <c r="G114" i="13" s="1"/>
  <c r="G115" i="13" s="1"/>
  <c r="G116" i="13" s="1"/>
  <c r="G117" i="13" s="1"/>
  <c r="G118" i="13" s="1"/>
  <c r="G119" i="13" s="1"/>
  <c r="G120" i="13" s="1"/>
  <c r="G121" i="13" s="1"/>
  <c r="G122" i="13" s="1"/>
  <c r="G123" i="13" s="1"/>
  <c r="G124" i="13" s="1"/>
  <c r="G125" i="13" s="1"/>
  <c r="G126" i="13" s="1"/>
  <c r="G127" i="13" s="1"/>
  <c r="I134" i="16"/>
  <c r="K98" i="10"/>
  <c r="K99" i="10" s="1"/>
  <c r="K100" i="10" s="1"/>
  <c r="K101" i="10" s="1"/>
  <c r="K102" i="10" s="1"/>
  <c r="K103" i="10" s="1"/>
  <c r="K104" i="10" s="1"/>
  <c r="G105" i="8" l="1"/>
  <c r="G349" i="13"/>
  <c r="G350" i="13" s="1"/>
  <c r="G351" i="13" s="1"/>
  <c r="K105" i="10"/>
  <c r="G128" i="13"/>
  <c r="G129" i="13" s="1"/>
  <c r="G130" i="13" s="1"/>
  <c r="G131" i="13" s="1"/>
  <c r="G132" i="13" s="1"/>
  <c r="G133" i="13" s="1"/>
  <c r="G134" i="13" s="1"/>
  <c r="G135" i="13" s="1"/>
  <c r="G136" i="13" s="1"/>
  <c r="G137" i="13" s="1"/>
  <c r="G138" i="13" s="1"/>
  <c r="G139" i="13" s="1"/>
  <c r="G140" i="13" s="1"/>
  <c r="G141" i="13" s="1"/>
  <c r="G142" i="13" s="1"/>
  <c r="G143" i="13" s="1"/>
  <c r="G144" i="13" s="1"/>
  <c r="G145" i="13" s="1"/>
  <c r="I135" i="16"/>
  <c r="I136" i="16" s="1"/>
  <c r="I137" i="16" s="1"/>
  <c r="I138" i="16" s="1"/>
  <c r="I139" i="16" s="1"/>
  <c r="I140" i="16" s="1"/>
  <c r="K106" i="10" l="1"/>
  <c r="G352" i="13"/>
  <c r="G353" i="13" s="1"/>
  <c r="G354" i="13" s="1"/>
  <c r="G355" i="13" s="1"/>
  <c r="G146" i="13"/>
  <c r="G147" i="13" s="1"/>
  <c r="G148" i="13" s="1"/>
  <c r="G149" i="13" s="1"/>
  <c r="G150" i="13" s="1"/>
  <c r="G151" i="13" s="1"/>
  <c r="G152" i="13" s="1"/>
  <c r="G153" i="13" s="1"/>
  <c r="I141" i="16"/>
  <c r="I142" i="16" s="1"/>
  <c r="I143" i="16" s="1"/>
  <c r="I144" i="16" s="1"/>
  <c r="I145" i="16" s="1"/>
  <c r="I146" i="16" s="1"/>
  <c r="I147" i="16" s="1"/>
  <c r="I148" i="16" s="1"/>
  <c r="I149" i="16" s="1"/>
  <c r="I150" i="16" s="1"/>
  <c r="I151" i="16" s="1"/>
  <c r="I152" i="16" s="1"/>
  <c r="I153" i="16" s="1"/>
  <c r="I154" i="16" s="1"/>
  <c r="I155" i="16" s="1"/>
  <c r="I156" i="16" s="1"/>
  <c r="I157" i="16" s="1"/>
  <c r="I158" i="16" s="1"/>
  <c r="I159" i="16" s="1"/>
  <c r="I160" i="16" s="1"/>
  <c r="I161" i="16" s="1"/>
  <c r="K107" i="10" l="1"/>
  <c r="K108" i="10" s="1"/>
  <c r="L108" i="10" s="1"/>
  <c r="G356" i="13"/>
  <c r="G357" i="13" s="1"/>
  <c r="G358" i="13" s="1"/>
  <c r="G359" i="13" s="1"/>
  <c r="G360" i="13" s="1"/>
  <c r="G154" i="13"/>
  <c r="G155" i="13" s="1"/>
  <c r="G156" i="13" s="1"/>
  <c r="G157" i="13" s="1"/>
  <c r="G158" i="13" s="1"/>
  <c r="G159" i="13" s="1"/>
  <c r="G160" i="13" s="1"/>
  <c r="G161" i="13" s="1"/>
  <c r="I162" i="16"/>
  <c r="I163" i="16" s="1"/>
  <c r="I164" i="16" s="1"/>
  <c r="I165" i="16" s="1"/>
  <c r="I166" i="16" s="1"/>
  <c r="I167" i="16" s="1"/>
  <c r="G361" i="13" l="1"/>
  <c r="G362" i="13" s="1"/>
  <c r="G363" i="13" s="1"/>
  <c r="G364" i="13" s="1"/>
  <c r="G365" i="13" s="1"/>
  <c r="G366" i="13" s="1"/>
  <c r="G367" i="13" s="1"/>
  <c r="G368" i="13" s="1"/>
  <c r="G369" i="13" s="1"/>
  <c r="K109" i="10"/>
  <c r="K110" i="10" s="1"/>
  <c r="K111" i="10" s="1"/>
  <c r="K112" i="10" s="1"/>
  <c r="K117" i="10" s="1"/>
  <c r="K118" i="10" s="1"/>
  <c r="K119" i="10" s="1"/>
  <c r="K120" i="10" s="1"/>
  <c r="K121" i="10" s="1"/>
  <c r="G162" i="13"/>
  <c r="G163" i="13" s="1"/>
  <c r="G164" i="13" s="1"/>
  <c r="G165" i="13" s="1"/>
  <c r="G166" i="13" s="1"/>
  <c r="G167" i="13" s="1"/>
  <c r="G168" i="13" s="1"/>
  <c r="G169" i="13" s="1"/>
  <c r="I168" i="16"/>
  <c r="I169" i="16" s="1"/>
  <c r="I170" i="16" s="1"/>
  <c r="I171" i="16" s="1"/>
  <c r="I172" i="16" s="1"/>
  <c r="I173" i="16" s="1"/>
  <c r="G370" i="13" l="1"/>
  <c r="G371" i="13" s="1"/>
  <c r="G372" i="13" s="1"/>
  <c r="G373" i="13" s="1"/>
  <c r="K128" i="10"/>
  <c r="K129" i="10" s="1"/>
  <c r="K130" i="10" s="1"/>
  <c r="K131" i="10" s="1"/>
  <c r="K132" i="10" s="1"/>
  <c r="K133" i="10" s="1"/>
  <c r="K134" i="10" s="1"/>
  <c r="K135" i="10" s="1"/>
  <c r="K136" i="10" s="1"/>
  <c r="K137" i="10" s="1"/>
  <c r="K138" i="10" s="1"/>
  <c r="K139" i="10" s="1"/>
  <c r="K140" i="10" s="1"/>
  <c r="K122" i="10"/>
  <c r="G170" i="13"/>
  <c r="G171" i="13" s="1"/>
  <c r="G172" i="13" s="1"/>
  <c r="G173" i="13" s="1"/>
  <c r="I174" i="16"/>
  <c r="I175" i="16" s="1"/>
  <c r="I176" i="16" s="1"/>
  <c r="I177" i="16" s="1"/>
  <c r="I178" i="16" s="1"/>
  <c r="I179" i="16" s="1"/>
  <c r="I180" i="16" s="1"/>
  <c r="G374" i="13" l="1"/>
  <c r="G375" i="13" s="1"/>
  <c r="G376" i="13" s="1"/>
  <c r="G377" i="13" s="1"/>
  <c r="G378" i="13" s="1"/>
  <c r="G379" i="13" s="1"/>
  <c r="K141" i="10"/>
  <c r="K123" i="10"/>
  <c r="L122" i="10"/>
  <c r="G174" i="13"/>
  <c r="G175" i="13" s="1"/>
  <c r="G176" i="13" s="1"/>
  <c r="G177" i="13" s="1"/>
  <c r="G178" i="13" s="1"/>
  <c r="G179" i="13" s="1"/>
  <c r="G180" i="13" s="1"/>
  <c r="I181" i="16"/>
  <c r="I182" i="16" s="1"/>
  <c r="I183" i="16" s="1"/>
  <c r="I184" i="16" s="1"/>
  <c r="I185" i="16" s="1"/>
  <c r="I186" i="16" s="1"/>
  <c r="I187" i="16" s="1"/>
  <c r="I188" i="16" s="1"/>
  <c r="I189" i="16" s="1"/>
  <c r="I190" i="16" s="1"/>
  <c r="I191" i="16" s="1"/>
  <c r="G380" i="13" l="1"/>
  <c r="G381" i="13" s="1"/>
  <c r="G382" i="13" s="1"/>
  <c r="G383" i="13" s="1"/>
  <c r="G384" i="13" s="1"/>
  <c r="K142" i="10"/>
  <c r="K143" i="10" s="1"/>
  <c r="K144" i="10" s="1"/>
  <c r="K145" i="10" s="1"/>
  <c r="K146" i="10" s="1"/>
  <c r="K151" i="10" s="1"/>
  <c r="K152" i="10" s="1"/>
  <c r="K153" i="10" s="1"/>
  <c r="K154" i="10" s="1"/>
  <c r="K155" i="10" s="1"/>
  <c r="L141" i="10"/>
  <c r="G181" i="13"/>
  <c r="G182" i="13" s="1"/>
  <c r="G385" i="13" l="1"/>
  <c r="G386" i="13" s="1"/>
  <c r="G387" i="13" s="1"/>
  <c r="G388" i="13" s="1"/>
  <c r="G389" i="13" s="1"/>
  <c r="G390" i="13" s="1"/>
  <c r="G391" i="13" s="1"/>
  <c r="G392" i="13" s="1"/>
  <c r="K156" i="10"/>
  <c r="K157" i="10" s="1"/>
  <c r="K158" i="10" s="1"/>
  <c r="K159" i="10" s="1"/>
  <c r="K160" i="10" s="1"/>
  <c r="K165" i="10" s="1"/>
  <c r="K166" i="10" s="1"/>
  <c r="K167" i="10" s="1"/>
  <c r="G183" i="13"/>
  <c r="G184" i="13" s="1"/>
  <c r="G185" i="13" s="1"/>
  <c r="G186" i="13" s="1"/>
  <c r="G187" i="13" s="1"/>
  <c r="G188" i="13" s="1"/>
  <c r="G189" i="13" s="1"/>
  <c r="G190" i="13" s="1"/>
  <c r="G191" i="13" s="1"/>
  <c r="G192" i="13" s="1"/>
  <c r="G193" i="13" s="1"/>
  <c r="G393" i="13" l="1"/>
  <c r="G394" i="13" s="1"/>
  <c r="G395" i="13" s="1"/>
  <c r="G396" i="13" s="1"/>
  <c r="G397" i="13" s="1"/>
  <c r="G398" i="13" s="1"/>
  <c r="G399" i="13" s="1"/>
  <c r="G400" i="13" s="1"/>
  <c r="G401" i="13" s="1"/>
  <c r="G402" i="13" s="1"/>
  <c r="G403" i="13" s="1"/>
  <c r="G404" i="13" s="1"/>
  <c r="G405" i="13" s="1"/>
  <c r="G406" i="13" s="1"/>
  <c r="G407" i="13" s="1"/>
  <c r="G408" i="13" s="1"/>
  <c r="G409" i="13" s="1"/>
  <c r="G410" i="13" s="1"/>
  <c r="G411" i="13" s="1"/>
  <c r="G194" i="13"/>
  <c r="G195" i="13" s="1"/>
  <c r="G196" i="13" s="1"/>
  <c r="G197" i="13" s="1"/>
  <c r="G198" i="13" s="1"/>
  <c r="G199" i="13" s="1"/>
  <c r="G200" i="13" s="1"/>
  <c r="G201" i="13" s="1"/>
  <c r="K168" i="10"/>
  <c r="K169" i="10" s="1"/>
  <c r="K170" i="10" s="1"/>
  <c r="G412" i="13" l="1"/>
  <c r="G413" i="13" s="1"/>
  <c r="G202" i="13"/>
  <c r="G203" i="13" s="1"/>
  <c r="G204" i="13" s="1"/>
  <c r="G205" i="13" s="1"/>
  <c r="K171" i="10"/>
  <c r="K172" i="10" s="1"/>
  <c r="K173" i="10" s="1"/>
  <c r="K174" i="10" s="1"/>
  <c r="K175" i="10" s="1"/>
  <c r="K181" i="10" s="1"/>
  <c r="K182" i="10" s="1"/>
  <c r="L170" i="10"/>
  <c r="G414" i="13" l="1"/>
  <c r="G415" i="13" s="1"/>
  <c r="G416" i="13" s="1"/>
  <c r="G417" i="13" s="1"/>
  <c r="G418" i="13" s="1"/>
  <c r="G419" i="13" s="1"/>
  <c r="G206" i="13"/>
  <c r="G207" i="13" s="1"/>
  <c r="G208" i="13" s="1"/>
  <c r="G209" i="13" s="1"/>
  <c r="K183" i="10"/>
  <c r="K184" i="10" s="1"/>
  <c r="K185" i="10" s="1"/>
  <c r="K186" i="10" s="1"/>
  <c r="K187" i="10" s="1"/>
  <c r="K188" i="10" s="1"/>
  <c r="K189" i="10" s="1"/>
  <c r="K190" i="10" s="1"/>
  <c r="K191" i="10" s="1"/>
  <c r="K196" i="10" s="1"/>
  <c r="K197" i="10" s="1"/>
  <c r="K198" i="10" s="1"/>
  <c r="K199" i="10" s="1"/>
  <c r="K200" i="10" s="1"/>
  <c r="G420" i="13" l="1"/>
  <c r="G421" i="13" s="1"/>
  <c r="G422" i="13" s="1"/>
  <c r="G423" i="13" s="1"/>
  <c r="G424" i="13" s="1"/>
  <c r="G425" i="13" s="1"/>
  <c r="G426" i="13" s="1"/>
  <c r="G427" i="13" s="1"/>
  <c r="G428" i="13" s="1"/>
  <c r="G429" i="13" s="1"/>
  <c r="G430" i="13" s="1"/>
  <c r="G210" i="13"/>
  <c r="G211" i="13" s="1"/>
  <c r="G212" i="13" s="1"/>
  <c r="G213" i="13" s="1"/>
  <c r="K207" i="10"/>
  <c r="K208" i="10" s="1"/>
  <c r="K209" i="10" s="1"/>
  <c r="K210" i="10" s="1"/>
  <c r="K211" i="10" s="1"/>
  <c r="K212" i="10" s="1"/>
  <c r="K213" i="10" s="1"/>
  <c r="K214" i="10" s="1"/>
  <c r="K215" i="10" s="1"/>
  <c r="K216" i="10" s="1"/>
  <c r="K217" i="10" s="1"/>
  <c r="K222" i="10" s="1"/>
  <c r="K223" i="10" s="1"/>
  <c r="K224" i="10" s="1"/>
  <c r="K225" i="10" s="1"/>
  <c r="K201" i="10"/>
  <c r="G431" i="13" l="1"/>
  <c r="G432" i="13" s="1"/>
  <c r="G433" i="13" s="1"/>
  <c r="G214" i="13"/>
  <c r="G215" i="13" s="1"/>
  <c r="G216" i="13" s="1"/>
  <c r="G217" i="13" s="1"/>
  <c r="G218" i="13" s="1"/>
  <c r="K226" i="10"/>
  <c r="K227" i="10" s="1"/>
  <c r="K228" i="10" s="1"/>
  <c r="K234" i="10" s="1"/>
  <c r="K235" i="10" s="1"/>
  <c r="K236" i="10" s="1"/>
  <c r="K237" i="10" s="1"/>
  <c r="G434" i="13" l="1"/>
  <c r="G435" i="13" s="1"/>
  <c r="G436" i="13" s="1"/>
  <c r="G437" i="13" s="1"/>
  <c r="G438" i="13" s="1"/>
  <c r="G219" i="13"/>
  <c r="G220" i="13" s="1"/>
  <c r="G221" i="13" s="1"/>
  <c r="G222" i="13" s="1"/>
  <c r="G223" i="13" s="1"/>
  <c r="G224" i="13" s="1"/>
  <c r="G225" i="13" s="1"/>
  <c r="G226" i="13" s="1"/>
  <c r="G227" i="13" s="1"/>
  <c r="K238" i="10"/>
  <c r="K239" i="10" s="1"/>
  <c r="K240" i="10" s="1"/>
  <c r="K242" i="10" s="1"/>
  <c r="K243" i="10" s="1"/>
  <c r="K244" i="10" s="1"/>
  <c r="K245" i="10" s="1"/>
  <c r="K246" i="10" s="1"/>
  <c r="K247" i="10" s="1"/>
  <c r="K248" i="10" s="1"/>
  <c r="K249" i="10" s="1"/>
  <c r="K250" i="10" s="1"/>
  <c r="K251" i="10" s="1"/>
  <c r="G439" i="13" l="1"/>
  <c r="G440" i="13" s="1"/>
  <c r="G441" i="13" s="1"/>
  <c r="G442" i="13" s="1"/>
  <c r="G443" i="13" s="1"/>
  <c r="G444" i="13" s="1"/>
  <c r="G445" i="13" s="1"/>
  <c r="G446" i="13" s="1"/>
  <c r="G228" i="13"/>
  <c r="G229" i="13" s="1"/>
  <c r="G230" i="13" s="1"/>
  <c r="G231" i="13" s="1"/>
  <c r="K257" i="10"/>
  <c r="K258" i="10" s="1"/>
  <c r="K259" i="10" s="1"/>
  <c r="K260" i="10" s="1"/>
  <c r="K261" i="10" s="1"/>
  <c r="L239" i="10"/>
  <c r="G447" i="13" l="1"/>
  <c r="G448" i="13" s="1"/>
  <c r="G449" i="13" s="1"/>
  <c r="G232" i="13"/>
  <c r="G233" i="13" s="1"/>
  <c r="G234" i="13" s="1"/>
  <c r="G235" i="13" s="1"/>
  <c r="G236" i="13" s="1"/>
  <c r="G237" i="13" s="1"/>
  <c r="G238" i="13" s="1"/>
  <c r="G239" i="13" s="1"/>
  <c r="E529" i="13" l="1"/>
  <c r="E531" i="13" s="1"/>
  <c r="E536" i="13" s="1"/>
  <c r="G450" i="13"/>
  <c r="G451" i="13" s="1"/>
  <c r="G452" i="13" s="1"/>
  <c r="G453" i="13" s="1"/>
  <c r="G240" i="13"/>
  <c r="G241" i="13" s="1"/>
  <c r="G242" i="13" s="1"/>
  <c r="G243" i="13" s="1"/>
  <c r="G244" i="13" s="1"/>
  <c r="G245" i="13" s="1"/>
  <c r="G246" i="13" s="1"/>
  <c r="G247" i="13" s="1"/>
  <c r="G248" i="13" s="1"/>
  <c r="G454" i="13" l="1"/>
  <c r="G455" i="13" s="1"/>
  <c r="G456" i="13" s="1"/>
  <c r="G457" i="13" s="1"/>
  <c r="G458" i="13" s="1"/>
  <c r="G459" i="13" s="1"/>
  <c r="G460" i="13" s="1"/>
  <c r="G461" i="13" s="1"/>
  <c r="G249" i="13"/>
  <c r="G250" i="13" s="1"/>
  <c r="G251" i="13" s="1"/>
  <c r="G252" i="13" s="1"/>
  <c r="G253" i="13" l="1"/>
  <c r="G254" i="13" s="1"/>
  <c r="G255" i="13" s="1"/>
  <c r="G256" i="13" l="1"/>
  <c r="G257" i="13" s="1"/>
  <c r="G258" i="13" s="1"/>
  <c r="G259" i="13" s="1"/>
  <c r="G260" i="13" s="1"/>
  <c r="G261" i="13" s="1"/>
  <c r="G262" i="13" s="1"/>
  <c r="G263" i="13" s="1"/>
  <c r="G264" i="13" s="1"/>
  <c r="G265" i="13" s="1"/>
</calcChain>
</file>

<file path=xl/sharedStrings.xml><?xml version="1.0" encoding="utf-8"?>
<sst xmlns="http://schemas.openxmlformats.org/spreadsheetml/2006/main" count="6783" uniqueCount="1704">
  <si>
    <t>Date</t>
  </si>
  <si>
    <t>Particular</t>
  </si>
  <si>
    <t>Dr</t>
  </si>
  <si>
    <t>Cr</t>
  </si>
  <si>
    <t>Balance</t>
  </si>
  <si>
    <t>Details</t>
  </si>
  <si>
    <t xml:space="preserve">Dollar </t>
  </si>
  <si>
    <t>Rate</t>
  </si>
  <si>
    <t>Sasco Shipping Charges (1st Invoice)</t>
  </si>
  <si>
    <t>Sasco Shipping Charges (2nd Invoice)</t>
  </si>
  <si>
    <t>Sell By A/R  V2   20pcs   @1450</t>
  </si>
  <si>
    <t>V2 Sold AMGT  5pcs  @1190 (09/05/2024)</t>
  </si>
  <si>
    <t>Sold To A/R  2pcs  @1000</t>
  </si>
  <si>
    <t>Purchasing</t>
  </si>
  <si>
    <t>V3 106pcs Import Charges (Paid By A/R Dubai)</t>
  </si>
  <si>
    <t>Hamali Charges (by Amgt 09pcs sell)</t>
  </si>
  <si>
    <t>Car Petrol</t>
  </si>
  <si>
    <t>Van Petrol</t>
  </si>
  <si>
    <t>Van Hire</t>
  </si>
  <si>
    <t>1 Unit Purchase Waheed Bhai Card</t>
  </si>
  <si>
    <t>Shipping Charges</t>
  </si>
  <si>
    <t>7units Purchase A/R Card</t>
  </si>
  <si>
    <t>46Units Purchase Ashfaq Sahab Card</t>
  </si>
  <si>
    <t>Card Payment Ashfaq Sahab</t>
  </si>
  <si>
    <t>Card Payment Abdul Rehman bhai</t>
  </si>
  <si>
    <t>Card Payment Waheed bhai</t>
  </si>
  <si>
    <t>Less GST $47.49 x106</t>
  </si>
  <si>
    <t>Sold to Encell Shop 20pcs  @1790</t>
  </si>
  <si>
    <t>Sell to AMGT V3 09pcs  @1800</t>
  </si>
  <si>
    <t>Sold to Encell Shop 10pcs  @1800</t>
  </si>
  <si>
    <t>Sold To AMGT V3  2pcs @1800 (09/05/2024)</t>
  </si>
  <si>
    <t>Sold To AMGT V3  2pcs @1750 (09/05/2024)</t>
  </si>
  <si>
    <t>Sold To AMGT V3  5pcs @1740 (13/05/2024)</t>
  </si>
  <si>
    <t>Sold To AMGT V3  16pcs @1650 (13/05/2024)</t>
  </si>
  <si>
    <t>Sold to Encell Shop 26pcs  @1750</t>
  </si>
  <si>
    <t>Sold to Encell Shop 5pcs  @1700</t>
  </si>
  <si>
    <t>Sold To AMGT V3  1pcs @1700 (15/05/2024)</t>
  </si>
  <si>
    <t>Sold To AMGT V3  10pcs @1695 (15/05/2024)</t>
  </si>
  <si>
    <t>V3 106pcs  GST  $47.49  each</t>
  </si>
  <si>
    <t>GST V2 Shipping Invoice $37.12</t>
  </si>
  <si>
    <t>GST</t>
  </si>
  <si>
    <t>47pcs Shipping Charges GST</t>
  </si>
  <si>
    <t>60pcs Shipping Charges GST</t>
  </si>
  <si>
    <t>46pcs Refundable Charges $75</t>
  </si>
  <si>
    <t>Total</t>
  </si>
  <si>
    <t xml:space="preserve">Ref#1010 92units GST </t>
  </si>
  <si>
    <t xml:space="preserve">Ref#1008 59units GST </t>
  </si>
  <si>
    <t xml:space="preserve">Ref#1009 42units GST </t>
  </si>
  <si>
    <t xml:space="preserve">Ref#1011 54units GST </t>
  </si>
  <si>
    <t xml:space="preserve">Shipment </t>
  </si>
  <si>
    <t>AR</t>
  </si>
  <si>
    <t>From A/R Laguna Payment</t>
  </si>
  <si>
    <t>From A/R Paid to Waheed Bhai (agha m.aftab A/C)</t>
  </si>
  <si>
    <t>Pur/Sell</t>
  </si>
  <si>
    <t>Shipment</t>
  </si>
  <si>
    <t>Ledger</t>
  </si>
  <si>
    <t>1st Shipment Purchasing Invoice (1) 
Starlink V2 Device 16Units   $5774.55</t>
  </si>
  <si>
    <t>Total AED</t>
  </si>
  <si>
    <t>V2 16pcs Shipment invoice</t>
  </si>
  <si>
    <t>Waheed bhai</t>
  </si>
  <si>
    <t>V2 11pcs Shipment invoice</t>
  </si>
  <si>
    <t>2nd Shipment Purchasing Invoice (2) 
Starlink V2 Device 11Units  $3970.01</t>
  </si>
  <si>
    <t>1st Shipping Invoice V2  $1516.06</t>
  </si>
  <si>
    <t>1st shipping invoice</t>
  </si>
  <si>
    <t>From A/R by Sasco (9744.30 dollar)  @2.44</t>
  </si>
  <si>
    <t>???</t>
  </si>
  <si>
    <t>Exp</t>
  </si>
  <si>
    <t>Stock Qnty</t>
  </si>
  <si>
    <t>-</t>
  </si>
  <si>
    <t>Sell</t>
  </si>
  <si>
    <t>Waheed Bhai</t>
  </si>
  <si>
    <t>AB</t>
  </si>
  <si>
    <t>WB</t>
  </si>
  <si>
    <t>Payment From/To</t>
  </si>
  <si>
    <t>Paid From A/R to Faisal Bhai Behalf of Waheed Bhai</t>
  </si>
  <si>
    <t xml:space="preserve">Payment </t>
  </si>
  <si>
    <t>Received</t>
  </si>
  <si>
    <t>Shipping Charges V3</t>
  </si>
  <si>
    <t>Send To australia By A/R  (AUD  8782.5  @2.28)</t>
  </si>
  <si>
    <t>Send To australia By A/R  (AUD  23152.5  @2.505)</t>
  </si>
  <si>
    <t>Import Charges V3  35pcs</t>
  </si>
  <si>
    <t>V3 Import Charges 35pcs</t>
  </si>
  <si>
    <t>V3 35pcs</t>
  </si>
  <si>
    <t>35 pcs Purchased  @474.58</t>
  </si>
  <si>
    <t>Other Expense Paid by Waheed Bhai</t>
  </si>
  <si>
    <t>Hamali Charges Paid by AR</t>
  </si>
  <si>
    <t xml:space="preserve">Shipping Charges  </t>
  </si>
  <si>
    <t>Fahib Salary M/O May-2024 (15000 PKR)</t>
  </si>
  <si>
    <t>Surcharge Include</t>
  </si>
  <si>
    <t>Business</t>
  </si>
  <si>
    <t>35pcs Shipping Charges   GST</t>
  </si>
  <si>
    <t>…</t>
  </si>
  <si>
    <t>….</t>
  </si>
  <si>
    <t>Online A/R A/C (Withdraw By Waheed Bhai)</t>
  </si>
  <si>
    <t>Sell Encell Shop 2pcs</t>
  </si>
  <si>
    <t>Sell Encell Shop 18pcs</t>
  </si>
  <si>
    <t>Sell AMGT Office 15pcs</t>
  </si>
  <si>
    <t>V3 Clearing Charges 60pcs (Paid by A/R)</t>
  </si>
  <si>
    <t>60 pcs Purchased  @474.58</t>
  </si>
  <si>
    <t>Hamali Charges Paid by Encell Shop</t>
  </si>
  <si>
    <t>Other Expense Paid By Waheed Bhai</t>
  </si>
  <si>
    <t xml:space="preserve">Shipping Invoice </t>
  </si>
  <si>
    <t>Shipping Invoice GST</t>
  </si>
  <si>
    <t>Sell Encell Shop 20pcs</t>
  </si>
  <si>
    <t>Sell Encell Shop 30pcs</t>
  </si>
  <si>
    <t>Sell AMGT 2pcs</t>
  </si>
  <si>
    <t>Sell to AMGT 6pcs</t>
  </si>
  <si>
    <t>V3 60pcs</t>
  </si>
  <si>
    <t>Paid To Ashfaq Sahab Card Purchasing</t>
  </si>
  <si>
    <t xml:space="preserve">Other Expense Paid By Waheed Bhai $360  (60pcs) </t>
  </si>
  <si>
    <t>V3 47pcs</t>
  </si>
  <si>
    <t>Purchased 40pcs @474.58   (GST 1890)</t>
  </si>
  <si>
    <t>Purchased 5pcs @481.81   (GST 193)</t>
  </si>
  <si>
    <t>Purchased 2pcs @474.58   (GST 94.50)  (wire Payment AR)</t>
  </si>
  <si>
    <t>Expense $40 Petrol Charges</t>
  </si>
  <si>
    <t>Expense $50 Toll Charges</t>
  </si>
  <si>
    <t xml:space="preserve">Clearing Charges Paid by A/R </t>
  </si>
  <si>
    <t>Hamali Charges Paid by A/R</t>
  </si>
  <si>
    <t>Sell Encell Shop 35pcs</t>
  </si>
  <si>
    <t>Sell To AMGT 7pcs</t>
  </si>
  <si>
    <t>Sell Encell Shop 5pcs</t>
  </si>
  <si>
    <t>Sell AMGT Office 6pcs</t>
  </si>
  <si>
    <t>ARY Laguna A/C (From Noman Bhai A/R To waheed Bhai)  200000PKR</t>
  </si>
  <si>
    <t>ARY Laguna A/C (From Noman Bhai A/R To Waheed Bhai)  62,222PKR</t>
  </si>
  <si>
    <t>Ashfaq Sahab Card</t>
  </si>
  <si>
    <t xml:space="preserve">Opening From Zameer Bhai </t>
  </si>
  <si>
    <t>Cash Deposit by Faisal bhai</t>
  </si>
  <si>
    <t>Ref# 1007 V3</t>
  </si>
  <si>
    <t>Ashfaq Shab Card  57.5 Units @474</t>
  </si>
  <si>
    <t>Ashfaq Shab Card  24 Units @474</t>
  </si>
  <si>
    <t>Waheed Bhai Card 12.5 Units @474</t>
  </si>
  <si>
    <t>94pcs Total GST @$48</t>
  </si>
  <si>
    <t>GST amount GST Ledger  (12.5 units Waheed Bhai / 81.5 Units Business)</t>
  </si>
  <si>
    <t>Refundable Charges 94Units  @597-522.04 =74.96</t>
  </si>
  <si>
    <t>Refundable Charges Adjustment (12.5 units Waheed Bhai / 81.5 Units Business)</t>
  </si>
  <si>
    <t>Other Expense Paid by Waheed Bhai
ticket/car/petrol/toll/bus)</t>
  </si>
  <si>
    <t>Shipping Charges paid By Waheed Bhai</t>
  </si>
  <si>
    <t>Cargo Charges Paid by A/R</t>
  </si>
  <si>
    <t>V3 Hamali Charges Paid by A/R (ali karachi Ledger)</t>
  </si>
  <si>
    <t>V3 Clearing Charges Paid by A/R (Ali karachi Ledger)</t>
  </si>
  <si>
    <t>26pcs Sell To Encell Shop @1580</t>
  </si>
  <si>
    <t>20pcs Sell To Encell Shop @1575</t>
  </si>
  <si>
    <t>48pcs Sell To Encell Shop @1530</t>
  </si>
  <si>
    <t>REFUND</t>
  </si>
  <si>
    <t xml:space="preserve">Deposite Ashfaq Sahab Card </t>
  </si>
  <si>
    <t>Online Transaction By Waheed Bhai (AR Dubai A/C)</t>
  </si>
  <si>
    <t>Online ARY Laguna (Paid by A/R) 30,000/76</t>
  </si>
  <si>
    <t>Online ARY Laguna (Paid by A/R) 97,774/76</t>
  </si>
  <si>
    <t>Online ARY Laguna (Paid by A/R) 164,448/76</t>
  </si>
  <si>
    <t>Online A/R Meezan A/C (Nadeem Ghani A/C waheed Bhai Payment 250,000/76)</t>
  </si>
  <si>
    <t>Online A/R Meezan A/C (Agha M.Aftab A/C waheed Bhai Payment 40000/76)</t>
  </si>
  <si>
    <t>Online A/R Meezan A/C (Usama Bin Anees A/C waheed Bhai Payment 60000/76)</t>
  </si>
  <si>
    <t>Paid to Waheed Bhai (AR Card Charged)</t>
  </si>
  <si>
    <t>Payment To Waheed Bhai (Online Amina Hameed Abbasi A/C)</t>
  </si>
  <si>
    <t>Payment to Waheed bhai (Online meezan A/C) 200,000 PKR</t>
  </si>
  <si>
    <t>Deposite AR Card</t>
  </si>
  <si>
    <t>AR Card</t>
  </si>
  <si>
    <t>V3 Hamali Charges Paid by A/R (Encell Shop)</t>
  </si>
  <si>
    <t>V3 Clearing Charges Paid by A/R (Encell Shop)</t>
  </si>
  <si>
    <t>Petrol Expense (Ab + WB Card)</t>
  </si>
  <si>
    <t>4pcs Harvey Norman $500</t>
  </si>
  <si>
    <t>3 JB hi fi  $500</t>
  </si>
  <si>
    <t>2 JB Hi fi $500  (WB Card)</t>
  </si>
  <si>
    <t xml:space="preserve">3 JB Hi fi $522  </t>
  </si>
  <si>
    <t>46 Bunnings $522</t>
  </si>
  <si>
    <t>Refundable Amount 46 Pcs  @75</t>
  </si>
  <si>
    <t>Shipping Charges Paid (AR Card)</t>
  </si>
  <si>
    <t>Ref# 1008 V3</t>
  </si>
  <si>
    <t>AB/WB</t>
  </si>
  <si>
    <t xml:space="preserve">Ref#1007 81.5pcs Refundable Charges </t>
  </si>
  <si>
    <t>Refundable</t>
  </si>
  <si>
    <t>Ref#1007 12.5 units  GST Charges</t>
  </si>
  <si>
    <t>Refundable Charges Ref#1007 12.5Units  @597-522.04 =74.96</t>
  </si>
  <si>
    <t>Refund</t>
  </si>
  <si>
    <t>24pcs Sell To Encell Shop @1530</t>
  </si>
  <si>
    <t>31pcs Sell To Encell Shop @1500</t>
  </si>
  <si>
    <t>3pcs Sell To Encell Shop @1425  (1/2)</t>
  </si>
  <si>
    <t>Ref# 1009 V3</t>
  </si>
  <si>
    <t>28pcs  @$359  (1960 WB  +  8092 AB)</t>
  </si>
  <si>
    <t xml:space="preserve">3pcs  @$359  (ARB Card)  </t>
  </si>
  <si>
    <t>Petrol Exp (WB Card)</t>
  </si>
  <si>
    <t>11pcs Purchased (AB Card)  @831.21 Aed</t>
  </si>
  <si>
    <t>Sell to Encell Shop 42pcs  @1220</t>
  </si>
  <si>
    <t>WB/AB</t>
  </si>
  <si>
    <t>Total 42 pcs Shipping Charges (WB)</t>
  </si>
  <si>
    <t>Ref# 1010 V3</t>
  </si>
  <si>
    <t>Uber (Waheed Bhai Card)</t>
  </si>
  <si>
    <t>Ticket Charges (Ashfaq Sahab Card )</t>
  </si>
  <si>
    <t>Food Exp (Waheed Bhai Card)</t>
  </si>
  <si>
    <t>Van Hire Charges (Waheed Bhai Card)</t>
  </si>
  <si>
    <t>Petrol Exp (Waheed Bhai Card)</t>
  </si>
  <si>
    <t>Shipping Charges + Surcharge (Ashfaq Sahab Card)</t>
  </si>
  <si>
    <t>92 pcs Purchased $359 (32078 Ashfaq Sahab Card / $290+$710 Waheed Bhai Card)</t>
  </si>
  <si>
    <t>freeZone charges Paid by A/R (From Encell Shop)</t>
  </si>
  <si>
    <t>Hamali Charges Paid from encell shop</t>
  </si>
  <si>
    <t>Encell Shop Rent Paid by A/R</t>
  </si>
  <si>
    <t>Paid to Faisal Bhai (by A/R)</t>
  </si>
  <si>
    <t xml:space="preserve">67pcs Encell Shop Sell Expense </t>
  </si>
  <si>
    <t>Starlink Cargo Charges From Encell Shop</t>
  </si>
  <si>
    <t>Paid to Sasco (Payment Transfer Charges)</t>
  </si>
  <si>
    <t>20pcs Sell To Encell Shop @1425  (2/2)</t>
  </si>
  <si>
    <t>5pcs Sell To Encell Shop @1470</t>
  </si>
  <si>
    <t>10pcs Sell To Encell Shop @1425</t>
  </si>
  <si>
    <t>20pcs Sell To Encell Shop @1370</t>
  </si>
  <si>
    <t>37pcs Sell To Encell Shop @1390</t>
  </si>
  <si>
    <t>Ref# 1011 V3</t>
  </si>
  <si>
    <t>7 units Purchase (AR Card)</t>
  </si>
  <si>
    <t>47 units Purchase (WB Card)</t>
  </si>
  <si>
    <t>Commission+ Petrol Exp (WB Card)</t>
  </si>
  <si>
    <t>Storage Exp (WB Card)</t>
  </si>
  <si>
    <t>Sell to Encell Shop  1pcs  @1220</t>
  </si>
  <si>
    <t>Sell to Encell Shop  30pcs  @1240</t>
  </si>
  <si>
    <t>Sell to Encell Shop  22pcs  @1230</t>
  </si>
  <si>
    <r>
      <t xml:space="preserve">1 JB Hi fi $522  </t>
    </r>
    <r>
      <rPr>
        <b/>
        <u/>
        <sz val="11"/>
        <color rgb="FFFF0000"/>
        <rFont val="Times New Roman"/>
        <family val="1"/>
      </rPr>
      <t>(Pending )</t>
    </r>
  </si>
  <si>
    <t>starlink hamali charges</t>
  </si>
  <si>
    <t>Deposit Ashfaq Sahab  Card</t>
  </si>
  <si>
    <t>Shipment Details</t>
  </si>
  <si>
    <t>Profit</t>
  </si>
  <si>
    <t xml:space="preserve">Ref#1001V2 </t>
  </si>
  <si>
    <t>Ref#1002 V2</t>
  </si>
  <si>
    <t>Ref#1003V3</t>
  </si>
  <si>
    <t xml:space="preserve">Ref#1001 to 1003 (V2 27.Units &amp; V3 106.Units)  </t>
  </si>
  <si>
    <t xml:space="preserve">Ref#1004 (V3 35.Units)  </t>
  </si>
  <si>
    <t xml:space="preserve">Ref#1005 (V3 60.Units)  </t>
  </si>
  <si>
    <t xml:space="preserve">Ref#1006 (V3 47.Units)  </t>
  </si>
  <si>
    <t xml:space="preserve">Ref#1007 (V3 94.Units)  </t>
  </si>
  <si>
    <t xml:space="preserve">Ref#1008 (V3 59.Units) </t>
  </si>
  <si>
    <t xml:space="preserve">Ref#1009 (V3 42.Units)  </t>
  </si>
  <si>
    <t xml:space="preserve">Ref#1010 (V3 92.Units)  </t>
  </si>
  <si>
    <t xml:space="preserve">Ref#1011 (V3 54.Units)  </t>
  </si>
  <si>
    <t>TOTAL</t>
  </si>
  <si>
    <t xml:space="preserve">Investment 27000 Dollar  2.44 Dirham Rate </t>
  </si>
  <si>
    <t>Jawed Bhai 2nd Profit 9.June To 29.June  $500</t>
  </si>
  <si>
    <t>Jawed Bhai 3rd Profit 30.June To 20July  $500</t>
  </si>
  <si>
    <r>
      <t xml:space="preserve">V3 35pcs Profit  $10  Each  </t>
    </r>
    <r>
      <rPr>
        <b/>
        <sz val="11"/>
        <color theme="1"/>
        <rFont val="Times New Roman"/>
        <family val="1"/>
      </rPr>
      <t>Total $350</t>
    </r>
    <r>
      <rPr>
        <sz val="11"/>
        <color theme="1"/>
        <rFont val="Times New Roman"/>
        <family val="1"/>
      </rPr>
      <t xml:space="preserve"> 19 May To 8June</t>
    </r>
  </si>
  <si>
    <r>
      <t xml:space="preserve">V3 15pcs Profit  $10  Each  </t>
    </r>
    <r>
      <rPr>
        <b/>
        <sz val="11"/>
        <color theme="1"/>
        <rFont val="Times New Roman"/>
        <family val="1"/>
      </rPr>
      <t>Total $150</t>
    </r>
    <r>
      <rPr>
        <sz val="11"/>
        <color theme="1"/>
        <rFont val="Times New Roman"/>
        <family val="1"/>
      </rPr>
      <t xml:space="preserve"> 19 May To 8June</t>
    </r>
  </si>
  <si>
    <t>Send by AR online (behalf of Waheed Bhai)</t>
  </si>
  <si>
    <t>Ref# 1012 V3</t>
  </si>
  <si>
    <t xml:space="preserve">49units purchased @357 AB </t>
  </si>
  <si>
    <t>Ref# 1013 V3</t>
  </si>
  <si>
    <t xml:space="preserve">250units Purchased  @357  WB </t>
  </si>
  <si>
    <t>Expense WB</t>
  </si>
  <si>
    <t xml:space="preserve">Ref#1013 250Units  </t>
  </si>
  <si>
    <t>Shipping Charges WB</t>
  </si>
  <si>
    <t>1 Unit Pending Collection</t>
  </si>
  <si>
    <t>1 unit Balance Available In Dubai</t>
  </si>
  <si>
    <t>56 Units Purchased (1 Pending Collection)</t>
  </si>
  <si>
    <t>Dubai Balance Stock</t>
  </si>
  <si>
    <t>Australia Qnty</t>
  </si>
  <si>
    <t>250 Units Purchased</t>
  </si>
  <si>
    <t>Ref# 1014 V3</t>
  </si>
  <si>
    <t xml:space="preserve">Ref#1012 (V3 56.Units)  </t>
  </si>
  <si>
    <t xml:space="preserve">Ref#1013 (V3 250.Units)  </t>
  </si>
  <si>
    <t>35 units Purchased  @357 WB</t>
  </si>
  <si>
    <t>78 units Purchased  @357 AR Card</t>
  </si>
  <si>
    <t>113 Units Purchased</t>
  </si>
  <si>
    <t>Ref#1014 Expense WB</t>
  </si>
  <si>
    <t>Ref#1014  35 units Purchased  @357 WB</t>
  </si>
  <si>
    <t>Ref# 1012  Shipping Charges WB</t>
  </si>
  <si>
    <t xml:space="preserve">Ref#1013  250units Purchased  @357  WB </t>
  </si>
  <si>
    <t>Ref#1013   Expense WB</t>
  </si>
  <si>
    <t>Jawed bhai Investment   AED</t>
  </si>
  <si>
    <t xml:space="preserve">Investment 27000 Dollar  </t>
  </si>
  <si>
    <t>Jawed bhai Investment</t>
  </si>
  <si>
    <t xml:space="preserve">Ref#1014 (V3 113.Units)  </t>
  </si>
  <si>
    <t>Send To Australia by Sasco (Add Waheed Bhai Ledger) @2.53</t>
  </si>
  <si>
    <t>Send To Australia  @2.52</t>
  </si>
  <si>
    <t>Send To Australia by Sasco (Add Waheed Bhai Ledger)  @2.53</t>
  </si>
  <si>
    <t xml:space="preserve">Payment For 3 week $54000  </t>
  </si>
  <si>
    <t xml:space="preserve">Rate Update 2.52 (As per Payment Send )
51000+87500 Aed </t>
  </si>
  <si>
    <t>Fahib Salary M/O June-2024 (15000 PKR)</t>
  </si>
  <si>
    <t xml:space="preserve">Ref# 1012 7units Purchased  @357  WB </t>
  </si>
  <si>
    <t>Ref# 1015 V3</t>
  </si>
  <si>
    <t>2units @357   WB</t>
  </si>
  <si>
    <t>74units @357  AB</t>
  </si>
  <si>
    <t>AR ENBD CARD</t>
  </si>
  <si>
    <t>Sell to Encell Shop  1pcs  @1180</t>
  </si>
  <si>
    <t>Sell to Encell Shop  7pcs  @1180</t>
  </si>
  <si>
    <t>Sell to Encell Shop  20pcs  @1180</t>
  </si>
  <si>
    <t>Sell to Encell Shop  28pcs  @1175</t>
  </si>
  <si>
    <t>Starlink Hamali Charges From Encell Shop</t>
  </si>
  <si>
    <t>Ref#1015 2unit Purchased @357</t>
  </si>
  <si>
    <t>Ref#1014 78 units Purchased  @357 AR Card</t>
  </si>
  <si>
    <t>76 Units Purchased</t>
  </si>
  <si>
    <t>Payment Deposit</t>
  </si>
  <si>
    <t>withdrawl (Oasis Tower Baniyas)</t>
  </si>
  <si>
    <t>Bunnings 2174 Ellenbro</t>
  </si>
  <si>
    <t>AED</t>
  </si>
  <si>
    <t>Bunnings 453000</t>
  </si>
  <si>
    <t>Bunnings 462000</t>
  </si>
  <si>
    <t>Bunnings 317000</t>
  </si>
  <si>
    <t>Bunnings 483000</t>
  </si>
  <si>
    <t>Bunnings 458000</t>
  </si>
  <si>
    <t>Bunnings 591000</t>
  </si>
  <si>
    <t>Bunnings 303000</t>
  </si>
  <si>
    <t>Bunnings 729000</t>
  </si>
  <si>
    <t>Bunnings 316000</t>
  </si>
  <si>
    <t>Cash Deposit</t>
  </si>
  <si>
    <t>Bunnings 751000</t>
  </si>
  <si>
    <t>Bunnings 350000</t>
  </si>
  <si>
    <t>Mcdonalds Forrestdale</t>
  </si>
  <si>
    <t>Jb Hi Fi Rockingham</t>
  </si>
  <si>
    <t>Jb Hi Fi Mandurah Home</t>
  </si>
  <si>
    <t>Officeworks 0614 Mandurawa:au357.00,aud008561 13-07-2024</t>
  </si>
  <si>
    <t>Sdm Ref.-e800114**8516;baniyas Branch Atm-3</t>
  </si>
  <si>
    <t>Hungry Jacks South Wentwor:au23.20,aud099527 06-07-2024</t>
  </si>
  <si>
    <t>Account Credited</t>
  </si>
  <si>
    <t>ok</t>
  </si>
  <si>
    <t>withdrawl (Baniyas)</t>
  </si>
  <si>
    <t>July 2024</t>
  </si>
  <si>
    <t>AUS</t>
  </si>
  <si>
    <t>Dubai Islamic Bank AR</t>
  </si>
  <si>
    <r>
      <t xml:space="preserve">ELECTRON DEBIT CARD TRANSACTION </t>
    </r>
    <r>
      <rPr>
        <b/>
        <u/>
        <sz val="10"/>
        <color rgb="FF000000"/>
        <rFont val="Times New Roman"/>
        <family val="1"/>
      </rPr>
      <t>BUNNINGS GROUP LTD</t>
    </r>
    <r>
      <rPr>
        <sz val="10"/>
        <color rgb="FF000000"/>
        <rFont val="Times New Roman"/>
        <family val="1"/>
      </rPr>
      <t xml:space="preserve"> HAWTHORN EAST AU 456835XXXXXX6648</t>
    </r>
  </si>
  <si>
    <t>ELECTRON DEBIT CARD TRANSACTION BUNNINGS 553000 CARLINGFORD AU 456835XXXXXX6648</t>
  </si>
  <si>
    <t>Send To dubai</t>
  </si>
  <si>
    <t>Cargo Charges Paid from Encell Shop</t>
  </si>
  <si>
    <t>Sell To Faisal Bhai  30Units  @1180</t>
  </si>
  <si>
    <t xml:space="preserve">Ref#1015 76Units  </t>
  </si>
  <si>
    <t>Sell into Dubai</t>
  </si>
  <si>
    <t xml:space="preserve">Ref#1015 (V3 76.Units)  </t>
  </si>
  <si>
    <t xml:space="preserve">Refund </t>
  </si>
  <si>
    <t>Purchasing 4284 AUD   @2.523</t>
  </si>
  <si>
    <t>Purchasing 2142 AUD   @2.523</t>
  </si>
  <si>
    <t>Purchasing 1428 AUD   @2.523</t>
  </si>
  <si>
    <t>Purchasing 7140 AUD   @2.523</t>
  </si>
  <si>
    <t>Purchasing 8568 AUD   @2.523</t>
  </si>
  <si>
    <t>Purchasing 2856 AUD   @2.523</t>
  </si>
  <si>
    <t>Ref#1004  35 pcs Purchased  @474.58</t>
  </si>
  <si>
    <t>Ref# 1016 V3</t>
  </si>
  <si>
    <t>Perth   18Units   AR Card</t>
  </si>
  <si>
    <t>Ref# 1017 V3</t>
  </si>
  <si>
    <t>Sydney  6units  AB Card  @358</t>
  </si>
  <si>
    <t>49Units @359 ($5567 WB CR Dubai / $12024 WB Personal)</t>
  </si>
  <si>
    <t>Expense $70 WB</t>
  </si>
  <si>
    <t>Expense 350  WB</t>
  </si>
  <si>
    <t>Shipping Charges 56units  without GST</t>
  </si>
  <si>
    <t>Shipping Charges 20units  without GST</t>
  </si>
  <si>
    <t xml:space="preserve">Ref#1017 55Units  </t>
  </si>
  <si>
    <t xml:space="preserve">Ref#1012 56Units </t>
  </si>
  <si>
    <t>250units Shipping Charges GST</t>
  </si>
  <si>
    <t>76units Shipping Charges GST</t>
  </si>
  <si>
    <t>Received And Adjust Waheed Bhai Ledger</t>
  </si>
  <si>
    <t>Waheed Bhai Credit Card Dubai</t>
  </si>
  <si>
    <t>Ref#1011  Sell to Encell Shop  1pcs  @1180</t>
  </si>
  <si>
    <t>Ref#1012  Sell to Encell Shop  7pcs  @1180</t>
  </si>
  <si>
    <t>Ref#1012  Sell to Encell Shop  20pcs  @1180</t>
  </si>
  <si>
    <t>Ref#1012  Sell to Encell Shop  28pcs  @1175</t>
  </si>
  <si>
    <t>Pending Payment</t>
  </si>
  <si>
    <t>Ref#1015  Cargo Charges Paid from Encell Shop</t>
  </si>
  <si>
    <t>Ref#1015  Sell To Faisal Bhai  30Units  @1180</t>
  </si>
  <si>
    <t>Ref#1015  Expense 350  WB</t>
  </si>
  <si>
    <t>Ref#1016  Perth   18Units   AR Card</t>
  </si>
  <si>
    <t>Ref#1017  Expense $70 WB</t>
  </si>
  <si>
    <t>18unit Purchased</t>
  </si>
  <si>
    <t>55 units purchased</t>
  </si>
  <si>
    <t>Hamali Charges</t>
  </si>
  <si>
    <t>Ref#1012  Starlink Cargo Charges From Encell Shop</t>
  </si>
  <si>
    <t>Ref#1012  Starlink Hamali Charges From Encell Shop</t>
  </si>
  <si>
    <t>Ref#1015  Hamali Charges</t>
  </si>
  <si>
    <t>Harvey</t>
  </si>
  <si>
    <t>Cash Emirates Card</t>
  </si>
  <si>
    <t>Paid to Ashafaq Sahab (V3 Purchasing Card Payment)</t>
  </si>
  <si>
    <t>Paid to Waseem Bhai For V3 Purchasing Card Deposit</t>
  </si>
  <si>
    <t>Deposite Ashafaq Sahab Card Payment (Paid to Waseem Bhai)</t>
  </si>
  <si>
    <t xml:space="preserve">Deposite Ashafaq Sahab Card Payment </t>
  </si>
  <si>
    <t>Payment Deposit By A/R (379982)</t>
  </si>
  <si>
    <t>Payment Deposit By A/R (379989)</t>
  </si>
  <si>
    <t>Payment Deposit By A/R (379998)</t>
  </si>
  <si>
    <t>Payment Deposit By A/R (380019)</t>
  </si>
  <si>
    <t>Payment Deposit By A/R (380028)</t>
  </si>
  <si>
    <t>Payment Deposit By A/R (380035)</t>
  </si>
  <si>
    <t>Sell To Encell Shop 26Units  @1165</t>
  </si>
  <si>
    <t>Received In Dubai</t>
  </si>
  <si>
    <t>Sell 26 Pcs encell Shop</t>
  </si>
  <si>
    <t>Clearing Charges 150 Units</t>
  </si>
  <si>
    <t>Clearing Charges Paid by A/R 168 Units</t>
  </si>
  <si>
    <t>Cash Sell SI0080  20Units  @1160</t>
  </si>
  <si>
    <t>Cash Sell SI0080  130Units  @1160</t>
  </si>
  <si>
    <t>FreeZone</t>
  </si>
  <si>
    <t>Ref#1015  Cash Sell SI0080  20Units  @1160</t>
  </si>
  <si>
    <t>Ref#1014  Cash Sell SI0080  130Units  @1160</t>
  </si>
  <si>
    <t>Cash Payment</t>
  </si>
  <si>
    <t>sasco Shipping Charges</t>
  </si>
  <si>
    <t>From Encell Shop</t>
  </si>
  <si>
    <t>Paid to Ashfaq sahb V3 Purchasing</t>
  </si>
  <si>
    <t>v3 Import Charges</t>
  </si>
  <si>
    <t xml:space="preserve">Ashfaq Sahab Remaining Payment Returned V3 </t>
  </si>
  <si>
    <t>V3 Import Charges Paid (35pcs )</t>
  </si>
  <si>
    <t>Hamali Charges  V3 35pcs</t>
  </si>
  <si>
    <t>Encell Shop Rent Paid by Wajahat</t>
  </si>
  <si>
    <t>V3 Clearing Charges Paid (60pcs)  by A/R</t>
  </si>
  <si>
    <t>Hamali Charges  V3 60pcs</t>
  </si>
  <si>
    <t>Starlink v3 47pcs Clearing charges</t>
  </si>
  <si>
    <t>hamali charges</t>
  </si>
  <si>
    <t>Cash From Encell Shop (Hamali Charges)</t>
  </si>
  <si>
    <t>Cash From Encell Shop (Cargo Charges)</t>
  </si>
  <si>
    <t>From Encell shop (V3 Cargo Charges)</t>
  </si>
  <si>
    <t>From Encell shop (V3 Hamali Charges)</t>
  </si>
  <si>
    <t>hamali bill SI0059</t>
  </si>
  <si>
    <t>Send To Australia</t>
  </si>
  <si>
    <t>V3 Freezone Charges</t>
  </si>
  <si>
    <t xml:space="preserve">v3 hamali Charges Paid </t>
  </si>
  <si>
    <t>V3 Expense</t>
  </si>
  <si>
    <t>Paid to Sasco (Payment Transfer Charges V3)</t>
  </si>
  <si>
    <t>starlink cargo charges</t>
  </si>
  <si>
    <t xml:space="preserve">hamali Charges Starlink </t>
  </si>
  <si>
    <t>starlink Hamali  charges</t>
  </si>
  <si>
    <t>starlink cargo charges (56pcs Shipment)</t>
  </si>
  <si>
    <t>Starlink Hamali Charges</t>
  </si>
  <si>
    <t>Deposit Dubai Islamic Credit Card (Waheed Bhai)</t>
  </si>
  <si>
    <t>Paid to Waseem  Bhai For V3 Card Payment</t>
  </si>
  <si>
    <t>Starlink V3 Clearing Charges   168 Units</t>
  </si>
  <si>
    <t>Deposite Ashfaq Sahab Card</t>
  </si>
  <si>
    <r>
      <t xml:space="preserve">Payment Send To </t>
    </r>
    <r>
      <rPr>
        <b/>
        <u/>
        <sz val="11"/>
        <color theme="1"/>
        <rFont val="Times New Roman"/>
        <family val="1"/>
      </rPr>
      <t>waheed bhai  $9744.30</t>
    </r>
  </si>
  <si>
    <t xml:space="preserve">hamali </t>
  </si>
  <si>
    <t>Shipping Charges Pending</t>
  </si>
  <si>
    <t>Ref#1017</t>
  </si>
  <si>
    <t>Ref# 1018 V3</t>
  </si>
  <si>
    <t xml:space="preserve">Ref#1018 (V3 17.Units)  </t>
  </si>
  <si>
    <t>Local Dubai Purchasing By A/R  17Units</t>
  </si>
  <si>
    <t>Sell to Encell Shop 15Units  @1170</t>
  </si>
  <si>
    <t>Sell To Encell Shop 15Units @1170</t>
  </si>
  <si>
    <t>Sell to Encell Shop</t>
  </si>
  <si>
    <t>Cash Sell by A/R</t>
  </si>
  <si>
    <t>Cash Purchased By AR</t>
  </si>
  <si>
    <t>Perth   19Units  AR Card</t>
  </si>
  <si>
    <t>Sydney  6Units  WB Credit Card</t>
  </si>
  <si>
    <t xml:space="preserve">Ref#1017 6Units  </t>
  </si>
  <si>
    <t>Ref# 1016 Perth   19Units  AR Card</t>
  </si>
  <si>
    <t>Ref#1017 Sydney  6Units  WB Credit Card</t>
  </si>
  <si>
    <t>Ref#1017 49Units @359 ($5567 WB CR Dubai / $12024 WB Personal)</t>
  </si>
  <si>
    <t>Purchased perth 19 units</t>
  </si>
  <si>
    <t>Purchased sydney 6Units</t>
  </si>
  <si>
    <t>Jawed Bhai 4th Profit 21.July To 11.Aug  $500 x 3</t>
  </si>
  <si>
    <t>Fahib Salary M/O July-2024</t>
  </si>
  <si>
    <t>Room Advance Payment By A/R</t>
  </si>
  <si>
    <t>Rent Expense Flat 307   by Faisal Bhai</t>
  </si>
  <si>
    <t>WB CR</t>
  </si>
  <si>
    <t>Ref#1018 Local Dubai Purchasing By A/R  17Units</t>
  </si>
  <si>
    <t>Online Nadeem Ghani A/C (Behalf of Waheed Bhai) 01/08/2024</t>
  </si>
  <si>
    <t>Online Syed Zohaib A/C (Behalf of Waheed Bhai) 05/08/2024</t>
  </si>
  <si>
    <t>Online ARY Laguna A/C (Behalf of Waheed Bhai) 06/08/2024</t>
  </si>
  <si>
    <t>Online Syed Zohaib A/C (Behalf of Waheed Bhai) 06/08/2024</t>
  </si>
  <si>
    <t xml:space="preserve">Ref#1016 (V3 37.Units)  </t>
  </si>
  <si>
    <t xml:space="preserve">Ref#1017 (V3 61.Units)  </t>
  </si>
  <si>
    <t>Business GST Received &amp; Adjust  $13673.52</t>
  </si>
  <si>
    <t>Cargo Charges +hamali</t>
  </si>
  <si>
    <t>Starlink Cargo Charges+hamali 102 Units</t>
  </si>
  <si>
    <t>Units</t>
  </si>
  <si>
    <t>Room Advance Paid by A/R</t>
  </si>
  <si>
    <t xml:space="preserve">7units Purchased  @357  WB </t>
  </si>
  <si>
    <t>Returned</t>
  </si>
  <si>
    <t>Purchasing Expense WB</t>
  </si>
  <si>
    <t xml:space="preserve">Returned </t>
  </si>
  <si>
    <t>Payment For 3 week $54000  2.52 Dirham Rate</t>
  </si>
  <si>
    <t>Payment From Jawed Bhai   $27000  @2.42</t>
  </si>
  <si>
    <t>Payment From Jawed Bhai   $54000  @2.52</t>
  </si>
  <si>
    <t>Payment to Jawed Bhai  $3000  @2.42</t>
  </si>
  <si>
    <t>Sell to Encell Shop 50Units  @1155</t>
  </si>
  <si>
    <t>Ref #1013 Sell to Encell Shop  15units  @1170</t>
  </si>
  <si>
    <t>Ref #1013 Sell to Encell Shop  50units  @1155</t>
  </si>
  <si>
    <r>
      <t xml:space="preserve">1 JB Hi fi $522  </t>
    </r>
    <r>
      <rPr>
        <b/>
        <u/>
        <sz val="11"/>
        <color rgb="FFFF0000"/>
        <rFont val="Times New Roman"/>
        <family val="1"/>
      </rPr>
      <t>(Pending )</t>
    </r>
    <r>
      <rPr>
        <sz val="11"/>
        <rFont val="Times New Roman"/>
        <family val="1"/>
      </rPr>
      <t xml:space="preserve">  AB</t>
    </r>
  </si>
  <si>
    <t>Returned Units</t>
  </si>
  <si>
    <t xml:space="preserve">Total Purchasing Returned </t>
  </si>
  <si>
    <t>Send to Australia by Sasco  @2.52</t>
  </si>
  <si>
    <t>Profit  Returned By Waheed Bhai</t>
  </si>
  <si>
    <t>Ref# 1019 V3</t>
  </si>
  <si>
    <t>Purchase</t>
  </si>
  <si>
    <t>400 units @357  30000.AB Card / 20000 ARB Card</t>
  </si>
  <si>
    <t xml:space="preserve">Ref#1019 400Units  </t>
  </si>
  <si>
    <t>Ref#1019  Australia Purchasing Credit Card</t>
  </si>
  <si>
    <t>Paid to Waheed Bhai From Faisal Bhai (Deposit Syed Zohaib A/C) @78</t>
  </si>
  <si>
    <t>Paid to Waheed Bhai From Faisal Bhai (Deposit Mariam Mujtaba A/C @78</t>
  </si>
  <si>
    <t>Paid to Waheed Bhai From Faisal Bhai (Online Mohsin Jamil A/C) @78</t>
  </si>
  <si>
    <t>Purchase 400 Units</t>
  </si>
  <si>
    <t>Payment By A/R</t>
  </si>
  <si>
    <t>Bussings Purchasing</t>
  </si>
  <si>
    <t>Sasco</t>
  </si>
  <si>
    <t>Group</t>
  </si>
  <si>
    <t>AR Payments</t>
  </si>
  <si>
    <t>msg 22k/20k</t>
  </si>
  <si>
    <t>Send To australia By A/R  (AUD  8782.5  @2.50)</t>
  </si>
  <si>
    <t>Purchasing Bunnings</t>
  </si>
  <si>
    <t>total Refund In AED</t>
  </si>
  <si>
    <t>in AUD   @2.50</t>
  </si>
  <si>
    <t>Sell to Faisal Bhai  @1140</t>
  </si>
  <si>
    <t xml:space="preserve">Starlink Sell to Faisal Bhai  @1140 x72 </t>
  </si>
  <si>
    <t>Card No</t>
  </si>
  <si>
    <t>Amount AUD</t>
  </si>
  <si>
    <t>AB CARD</t>
  </si>
  <si>
    <t>3units</t>
  </si>
  <si>
    <t>4units</t>
  </si>
  <si>
    <t>2units</t>
  </si>
  <si>
    <t>19units</t>
  </si>
  <si>
    <t>6units</t>
  </si>
  <si>
    <t>7units</t>
  </si>
  <si>
    <t>8units</t>
  </si>
  <si>
    <t>9units</t>
  </si>
  <si>
    <t>12units</t>
  </si>
  <si>
    <t>5units</t>
  </si>
  <si>
    <t>Payment from AB Rak Card  $14000</t>
  </si>
  <si>
    <t>Payment from WB Card  $6000</t>
  </si>
  <si>
    <t>Payment from Noman Bhai Card $20000</t>
  </si>
  <si>
    <t>Payment from Noman Bhai Card $52800</t>
  </si>
  <si>
    <t>Abdul Rehman Bhai Balance</t>
  </si>
  <si>
    <t>Waheed Bhai Balance</t>
  </si>
  <si>
    <t>Refund Payment $2686</t>
  </si>
  <si>
    <t>Refund Amount Pending   $6,525.45</t>
  </si>
  <si>
    <t>Paid to Jawed Bhai</t>
  </si>
  <si>
    <t>AR Investment</t>
  </si>
  <si>
    <t>Encell Shop Rent (July-2024)</t>
  </si>
  <si>
    <t>Encell Shop Rent (Aug-2024)</t>
  </si>
  <si>
    <t>Refund Amount Received  AB Card</t>
  </si>
  <si>
    <t>Total Purchasing 62units</t>
  </si>
  <si>
    <t>WB.P</t>
  </si>
  <si>
    <t>Payment</t>
  </si>
  <si>
    <t>WAHEED BHAI LEDGER</t>
  </si>
  <si>
    <t>NOMAN BHAI LEDGER</t>
  </si>
  <si>
    <t>Ref#1019 From Noman Bhai Card $20000  @2.52</t>
  </si>
  <si>
    <t>Ref#1019 From Noman Bhai Card $52800  @2.52</t>
  </si>
  <si>
    <t>Payment by AR</t>
  </si>
  <si>
    <t xml:space="preserve">Ref#1019  new Purchasing $20,000  </t>
  </si>
  <si>
    <t>Ref#1019  new Purchasing $6000</t>
  </si>
  <si>
    <t>Paid to Waheed Bhai Canadian Dollar 400 @2.7</t>
  </si>
  <si>
    <t>From AR Canadian Dollar 400  @2.7</t>
  </si>
  <si>
    <t>Expense $</t>
  </si>
  <si>
    <t>Expense Aed</t>
  </si>
  <si>
    <t>AUD</t>
  </si>
  <si>
    <t>Purchased</t>
  </si>
  <si>
    <t>Ref#1004V3</t>
  </si>
  <si>
    <t>Sell to Faisal Bhai  55Units @1140</t>
  </si>
  <si>
    <t>AR PENDING LEDGER</t>
  </si>
  <si>
    <t>paid to Waheed Bhai 1900 Dollar  530,000PKR</t>
  </si>
  <si>
    <t>From A/R 1900 Dollar  530,000 PKR</t>
  </si>
  <si>
    <t>Received In Dubai  Flat307</t>
  </si>
  <si>
    <t>Expense</t>
  </si>
  <si>
    <t xml:space="preserve">Paid to Sasco by A/R </t>
  </si>
  <si>
    <t>Sell by A/R 150units  @1170</t>
  </si>
  <si>
    <t>Sell by A/R 5units  @1170</t>
  </si>
  <si>
    <t>Sell by A/R 10units  @1190</t>
  </si>
  <si>
    <t>A/R Canada Ticket  630786.10/77</t>
  </si>
  <si>
    <t>Faisal Bhai Visa Charges Paid by A/R</t>
  </si>
  <si>
    <t>Faisal Bhai Visa Charges by A/R</t>
  </si>
  <si>
    <t>Sasco Charges Paid by A/R</t>
  </si>
  <si>
    <t>Hamali Charges by A/R</t>
  </si>
  <si>
    <t>Ref#1019  Sasco Charges by A/R</t>
  </si>
  <si>
    <t>Ref#1019  Hamali Charges By A/R</t>
  </si>
  <si>
    <t>M/O SEP 2024</t>
  </si>
  <si>
    <t>Sell by A/R 20units  @1170</t>
  </si>
  <si>
    <t>Sell by A/R 100units  @1170</t>
  </si>
  <si>
    <t>Sell by A/R 60units  @1175</t>
  </si>
  <si>
    <t>070</t>
  </si>
  <si>
    <t>Invoice No.1</t>
  </si>
  <si>
    <t>Invoice No.2</t>
  </si>
  <si>
    <t>Invoice No.3</t>
  </si>
  <si>
    <t>11units</t>
  </si>
  <si>
    <t>Sell by A/R 44units  @1170</t>
  </si>
  <si>
    <t>Sell by A/R 6units  @1170</t>
  </si>
  <si>
    <t>Shiping Charges</t>
  </si>
  <si>
    <t>Ref# 1020 V4</t>
  </si>
  <si>
    <t xml:space="preserve">40 units @358  WB </t>
  </si>
  <si>
    <t>26/08 burlington stores (Noman Bhai Card)</t>
  </si>
  <si>
    <t>26/08 Exonmobil inside (Noman Bhai Card)</t>
  </si>
  <si>
    <t>27/08 Sun wing Super.mrkt (Noman Bhai Card)</t>
  </si>
  <si>
    <t>28/08 UA.FH DeerPark (Noman Bhai Card)</t>
  </si>
  <si>
    <t>28/08 Saks Off Deer Park (Noman Bhai Card)</t>
  </si>
  <si>
    <t>29/08 TJ Max  (Noman Bhai Card)</t>
  </si>
  <si>
    <t>30/08 Uniqlo USA LLC(Noman Bhai Card)</t>
  </si>
  <si>
    <t>31/08 Abdo Halal Grill (Noman Bhai Card)</t>
  </si>
  <si>
    <t>Travelling Exp</t>
  </si>
  <si>
    <t>Shipping Exp</t>
  </si>
  <si>
    <t>Misc.Exp</t>
  </si>
  <si>
    <t>Noman Bhai Card  $20000 ($13,525.98 USA)</t>
  </si>
  <si>
    <t>Noman Bhai Card  $52800 ($35,708.59 USA)</t>
  </si>
  <si>
    <t>Noman Bhai Card</t>
  </si>
  <si>
    <t>Ref#1019 Sell by A/R 150units  @1170</t>
  </si>
  <si>
    <t>Ref#1019 Sell by A/R 5units  @1170</t>
  </si>
  <si>
    <t>Ref#1019 Sell by A/R 10units  @1190</t>
  </si>
  <si>
    <t>Ref#1019 Sell by A/R 20units  @1170</t>
  </si>
  <si>
    <t>Ref#1019 Sell by A/R 100units  @1170</t>
  </si>
  <si>
    <t>Ref#1019 Sell by A/R 60units  @1175</t>
  </si>
  <si>
    <t>Ref#1019 Sell by A/R 44units  @1170</t>
  </si>
  <si>
    <t>Ref#1019 Sell by A/R 6units  @1170</t>
  </si>
  <si>
    <t>Ref#1020  New Purchasing 40 Units WB @358   $14,320</t>
  </si>
  <si>
    <t>Less GST Amount $12981</t>
  </si>
  <si>
    <t>Ref#1020 40Units GST</t>
  </si>
  <si>
    <t>Ref#1021 31Units GST</t>
  </si>
  <si>
    <t>Ref#1016 37Units GST</t>
  </si>
  <si>
    <t>Less GST $3210</t>
  </si>
  <si>
    <t>Less GST $1370</t>
  </si>
  <si>
    <t>Less GST  $3002.65</t>
  </si>
  <si>
    <t>Less GST  $1763</t>
  </si>
  <si>
    <t>Ship</t>
  </si>
  <si>
    <t xml:space="preserve">Shipping Charges 250units  </t>
  </si>
  <si>
    <t>Cargo Charges 150 Units</t>
  </si>
  <si>
    <t xml:space="preserve">Shipping Charges 56units  </t>
  </si>
  <si>
    <t xml:space="preserve">Shipping Charges 20units  </t>
  </si>
  <si>
    <t>Less GST $2480</t>
  </si>
  <si>
    <t>Less GST $1207</t>
  </si>
  <si>
    <t>Less GST</t>
  </si>
  <si>
    <t>Less GST $1795</t>
  </si>
  <si>
    <t>Less GST $196</t>
  </si>
  <si>
    <t>400units Shipping Charges GST</t>
  </si>
  <si>
    <t xml:space="preserve">Ref# 1021 </t>
  </si>
  <si>
    <t>Less GST $2251.78</t>
  </si>
  <si>
    <t>Less GST $1301.82</t>
  </si>
  <si>
    <t>Sold by A/R 04/09  to 07/09</t>
  </si>
  <si>
    <t>Ref# 1021</t>
  </si>
  <si>
    <t>Purchased Starlink Mini</t>
  </si>
  <si>
    <t xml:space="preserve">Ref#1019 (V3 400.Units)  </t>
  </si>
  <si>
    <t xml:space="preserve">Ref#1020 (V4 40.Units)  </t>
  </si>
  <si>
    <t xml:space="preserve">Ref#1014 113Units GST  </t>
  </si>
  <si>
    <t>Payment Pending</t>
  </si>
  <si>
    <t>Whatsapp py msg krdya he list</t>
  </si>
  <si>
    <t xml:space="preserve">Last purchasing Kissy howi he?? Ref1021 wali </t>
  </si>
  <si>
    <t>Refund Charges pending</t>
  </si>
  <si>
    <t>jo Pcs Returned howe hein unki GST amount ??</t>
  </si>
  <si>
    <t>Old 62 pcs Returned Pending</t>
  </si>
  <si>
    <t>Send to Australia by Sasco  @2.53</t>
  </si>
  <si>
    <t>Send to Australia By Sasco @2.53</t>
  </si>
  <si>
    <t>Closing Report GST Amount</t>
  </si>
  <si>
    <t>Old Purchasing 62Units</t>
  </si>
  <si>
    <t>New Purchasing 400 Units</t>
  </si>
  <si>
    <t>Total Purchasing</t>
  </si>
  <si>
    <t>AMGT Receivable</t>
  </si>
  <si>
    <t>A/R Receivable</t>
  </si>
  <si>
    <t>Waheed Bhai Receivable</t>
  </si>
  <si>
    <t>GST Receivable</t>
  </si>
  <si>
    <t>Total Receivable amount</t>
  </si>
  <si>
    <t>Jawed Bhai Payable $81000</t>
  </si>
  <si>
    <t>WB Invesment</t>
  </si>
  <si>
    <t>Credit Card Payable</t>
  </si>
  <si>
    <t>Total Value  (413905.8+371400.8)</t>
  </si>
  <si>
    <t>Closing 31-AUG-2024</t>
  </si>
  <si>
    <t>16units</t>
  </si>
  <si>
    <t>*BUNNINGS 582000 GLADESVILLE AUS    1,791.00 AUD
 (1 AED = AUD 0.42635)</t>
  </si>
  <si>
    <t xml:space="preserve"> *BUNNINGS 722000 TAREE AUS          3,582.00 AUD
 (1 AED = AUD 0.42635)</t>
  </si>
  <si>
    <t>*BUNNINGS PYMBLE PYMBLE AUS 4,176.40 AUD (1 AED = AUD 0.42635)</t>
  </si>
  <si>
    <t>*BUNNINGS 553000 CARLINGFORD AUS 2,388.00 AUD (1 AED = AUD 0.42635)</t>
  </si>
  <si>
    <t>*BUNNINGS 757000 CHATSWOOD AUS 1,194.00 AUD (1 AED = AUD 0.42635)</t>
  </si>
  <si>
    <t>*BUNNINGS 572000 PENRITH AUS        2,088.00 AUD
 (1 AED = AUD 0.42635)</t>
  </si>
  <si>
    <t>*BUNNINGS 441000 PENRITH AUS 3,654.35 AUD (1 AED = AUD 0.42635)</t>
  </si>
  <si>
    <t>*BUNNINGS 409000 GREENACRE AUS      1,791.00 AUD
 (1 AED = AUD 0.42635)</t>
  </si>
  <si>
    <t xml:space="preserve"> *BUNNINGS 689000 MILL PARK AUS      4,179.00 AUD
 (1 AED = AUD 0.42635)</t>
  </si>
  <si>
    <t>*BUNNINGS 758000 RAVENHALL AUS 2,388.00 AUD (1 AED = AUD 0.42635)</t>
  </si>
  <si>
    <t xml:space="preserve"> *BUNNINGS 676000 NUNAWADING AUS     4,179.00 AUD
 (1 AED = AUD 0.42635)</t>
  </si>
  <si>
    <t xml:space="preserve"> *BUNNINGS 605000 NARRE WARREN AUS   4,776.00 AUD
 (1 AED = AUD 0.42635)</t>
  </si>
  <si>
    <t xml:space="preserve"> *BUNNINGS 641000 SOUTH KEMPSEY AUS  5,373.00 AUD
 (1 AED = AUD 0.42635)</t>
  </si>
  <si>
    <t xml:space="preserve"> *BUNNINGS 433000 VERMONT SOUTH AUS  7,164.00 AUD
 (1 AED = AUD 0.42635)</t>
  </si>
  <si>
    <t xml:space="preserve"> *BUNNINGS 426000 COFFS HARBOUR AUS  11,343.00 AUD
 (1 AED = AUD 0.42635)</t>
  </si>
  <si>
    <t>*BUNNINGS 442000 BOX HILL AUS 4,776.00 AUD (1 AED = AUD 0.42635)</t>
  </si>
  <si>
    <t xml:space="preserve"> *BUNNINGS 731000 PAKENHAM AUS       6,866.00 AUD
 (1 AED = AUD 0.42635)</t>
  </si>
  <si>
    <t>Harvey Norman Domayne</t>
  </si>
  <si>
    <t>Harvey Norman Av/it Po</t>
  </si>
  <si>
    <t>Jb Hi Fi Macquarie  $522</t>
  </si>
  <si>
    <t>Card No.6012</t>
  </si>
  <si>
    <t>Card No.6866</t>
  </si>
  <si>
    <t>TOTAL AMOUNT</t>
  </si>
  <si>
    <t>Old pcs 60 Send to Dubai</t>
  </si>
  <si>
    <t>40 units Send to dubai</t>
  </si>
  <si>
    <t>23 units mini Send to Dubai</t>
  </si>
  <si>
    <t>misc Exp</t>
  </si>
  <si>
    <t>Liverpool 8untis   @750  (A/R Card)</t>
  </si>
  <si>
    <t>Liverpool 5untis   @770  (A/R Card)</t>
  </si>
  <si>
    <t>Castle Hill 3units  @745 (A/R Card)</t>
  </si>
  <si>
    <t>Hornsby 2units  @780  (A/R Card)</t>
  </si>
  <si>
    <t>Near Hornsby 1Unit  @745  (A/R Card)</t>
  </si>
  <si>
    <t>Auburn 2units  @799 (A/R Card)</t>
  </si>
  <si>
    <t>Auburn 2units  @799 (WB Card)</t>
  </si>
  <si>
    <t>Fyshwick 8 units @758  (A/R Card)</t>
  </si>
  <si>
    <t>1 Laptop Purchased Jbhi Fi AB Card</t>
  </si>
  <si>
    <t>Jb Hifi  1unit  @759  (AB Card)</t>
  </si>
  <si>
    <t>Harvey Norman 1unit  @799 (AB Card)</t>
  </si>
  <si>
    <t>port Stephen 3unit  @799  (AB Card)</t>
  </si>
  <si>
    <t>kotara 6unit  @795   (WB Card)</t>
  </si>
  <si>
    <t>1unit Missing in Australia</t>
  </si>
  <si>
    <t>1 unit Missing in Australia</t>
  </si>
  <si>
    <t xml:space="preserve">1unit Returned AB Card msg by Waheed Bhai </t>
  </si>
  <si>
    <t xml:space="preserve">1 JB Hi fi $522  </t>
  </si>
  <si>
    <t>1unit Returned AB Card</t>
  </si>
  <si>
    <t>1unit Missing Australia</t>
  </si>
  <si>
    <t xml:space="preserve">Ref# 1022 </t>
  </si>
  <si>
    <t xml:space="preserve">Ref#1021 Starlink Mini ( 42.Units)  </t>
  </si>
  <si>
    <t xml:space="preserve">Ref#1022 (Starlink Mini 10.Units)  </t>
  </si>
  <si>
    <t>Starlink mini 10 units @799  (WB Card)</t>
  </si>
  <si>
    <t>Ref# 1022</t>
  </si>
  <si>
    <t>Old Balance</t>
  </si>
  <si>
    <t>ASHFAQ SAHAB CARD LEDGER</t>
  </si>
  <si>
    <t>Ref#1019  $30,000</t>
  </si>
  <si>
    <t>Ref#1019  Rak Bank Card $14000</t>
  </si>
  <si>
    <t>Misc. Exp  WB</t>
  </si>
  <si>
    <t>Ref#1021  Other Expense $87</t>
  </si>
  <si>
    <t>Ref#1021 Liverpool 8untis   $6000  (A/R Card)</t>
  </si>
  <si>
    <t>Ref#1021 Liverpool 5untis   $3850  (A/R Card)</t>
  </si>
  <si>
    <t>Ref#1021 Castle Hill 3units  $2235 (A/R Card)</t>
  </si>
  <si>
    <t>Ref#1021 Hornsby 2units  $1560  (A/R Card)</t>
  </si>
  <si>
    <t>Ref#1021 Near Hornsby 1Unit  $745  (A/R Card)</t>
  </si>
  <si>
    <t>Ref#1021 Auburn 2units  $1598 (A/R Card)</t>
  </si>
  <si>
    <t>Ref#1021 Auburn 2units  $1598 (WB Card)</t>
  </si>
  <si>
    <t>Ref#1021 Fyshwick 8 units $6064  (A/R Card)</t>
  </si>
  <si>
    <t>Ref#1021 Jb Hifi  1unit  $759  (AB Card)</t>
  </si>
  <si>
    <t>Ref#1021 Harvey Norman 1unit  $799 (AB Card)</t>
  </si>
  <si>
    <t>Ref#1021 port Stephen 3unit  $2397  (AB Card)</t>
  </si>
  <si>
    <t>Ref#1021 kotara 6unit  $4770   (WB Card)</t>
  </si>
  <si>
    <t>Ref#1022 Starlink mini 10 units $7990  (WB Card)</t>
  </si>
  <si>
    <t>Paid to Sasco</t>
  </si>
  <si>
    <t>Ref#1021 Paid to Sasco 23unit mini Shipment</t>
  </si>
  <si>
    <t>Sell 23units World Mart  @2780</t>
  </si>
  <si>
    <t>Ref#1021 starlink Mini Sell 23unit  @2780</t>
  </si>
  <si>
    <t>Sasco Charges</t>
  </si>
  <si>
    <t>Ref#1020</t>
  </si>
  <si>
    <t xml:space="preserve">Ref#1020 Sasco Payment </t>
  </si>
  <si>
    <t>Ref#1020 Hamali Charges</t>
  </si>
  <si>
    <t>Loss</t>
  </si>
  <si>
    <t>Waheed Bhai Payment By A/R (282,000 PKR)</t>
  </si>
  <si>
    <t>Payment By AR behalf of Waheed Bhai (282,000 Pkr)</t>
  </si>
  <si>
    <t xml:space="preserve">Paid to Noman Sahab Card Payment </t>
  </si>
  <si>
    <t>Invoice #</t>
  </si>
  <si>
    <t>Total Amount</t>
  </si>
  <si>
    <t>Phone Stock</t>
  </si>
  <si>
    <t>Starlink Stock Received</t>
  </si>
  <si>
    <t>Starlink Stock Pending</t>
  </si>
  <si>
    <t>Ref#0001</t>
  </si>
  <si>
    <t>Ledger Entry</t>
  </si>
  <si>
    <t>Ref#0002</t>
  </si>
  <si>
    <t>AB Card</t>
  </si>
  <si>
    <t>4.unit IP 16ProMax 256GB  @2147 AUD</t>
  </si>
  <si>
    <t>4.unit IP 16ProMax 512GB  @2497 AUD</t>
  </si>
  <si>
    <t>5.unit IP 16ProMax 256GB  @2147 AUD</t>
  </si>
  <si>
    <t>5.unit IP 16ProMax 512GB  @2497 AUD</t>
  </si>
  <si>
    <t>Ref#0003</t>
  </si>
  <si>
    <t>3.unit IP 16ProMax 512GB  @2497 AUD</t>
  </si>
  <si>
    <t>6.unit IP 16ProMax 512GB  @2497 AUD</t>
  </si>
  <si>
    <t>WB Card</t>
  </si>
  <si>
    <t>Ref#0004</t>
  </si>
  <si>
    <t>Ref#0005</t>
  </si>
  <si>
    <t>2.unit IP 16ProMax 1TB  @2847 AUD</t>
  </si>
  <si>
    <t>3.unit IP 16ProMax 1TB  @2847 AUD</t>
  </si>
  <si>
    <t>Less GST 10%</t>
  </si>
  <si>
    <t>Net Costing</t>
  </si>
  <si>
    <t>30units Sell By Rabi @1175</t>
  </si>
  <si>
    <t>20units Sell By Rabi @1170</t>
  </si>
  <si>
    <t>10units Sell By Rabi @1170</t>
  </si>
  <si>
    <t>5Units Sell to Rabi  @1170</t>
  </si>
  <si>
    <t>Rabi Commission Charges</t>
  </si>
  <si>
    <t>Com.Charges</t>
  </si>
  <si>
    <t>30Units Sell to Rabi  @1165</t>
  </si>
  <si>
    <t>Sell Starlink Mini by A/R</t>
  </si>
  <si>
    <t>5Units Sell to Encell Shop  @1170</t>
  </si>
  <si>
    <t>JB HiFi</t>
  </si>
  <si>
    <t>Harvey Norman</t>
  </si>
  <si>
    <t>Ref#1020 30unit Starlink Sell  @1165</t>
  </si>
  <si>
    <t>Send to Australia by Raaz.Mohammad @2.485  $50000 AUD  (1/2)</t>
  </si>
  <si>
    <t>Ref#1017 30unit Starlink Sell  @1175</t>
  </si>
  <si>
    <t>Ref#1017 20unit Starlink Sell  @1170</t>
  </si>
  <si>
    <t>Ref#1017 10unit Starlink Sell  @1170</t>
  </si>
  <si>
    <t>Ref#1020 5unit Starlink Sell  @1170</t>
  </si>
  <si>
    <t xml:space="preserve">Rabi Commission </t>
  </si>
  <si>
    <t>Paid to Noman Sahab Card payment 13000USD</t>
  </si>
  <si>
    <t>Purchasing By A/R</t>
  </si>
  <si>
    <t>Starlink  AB Card 6units  $299</t>
  </si>
  <si>
    <t>Starlink  AB Card 12units  $298</t>
  </si>
  <si>
    <t>Starlink  AB Card 5units  $297</t>
  </si>
  <si>
    <t>Starlink  WB Card 7units  $297</t>
  </si>
  <si>
    <t>Starlink  WB Card 2units  $299</t>
  </si>
  <si>
    <t>Starlink Mini  AB Card 2units  $759 +$6</t>
  </si>
  <si>
    <t>Starlink Mini  WB Card 2units  $798</t>
  </si>
  <si>
    <t>P.D</t>
  </si>
  <si>
    <t>Starlink V4 AB Card  9units  $298</t>
  </si>
  <si>
    <t>Starlink V4 WB Card  51units  $298</t>
  </si>
  <si>
    <t>Starlink V4  AB Card  7units  $299</t>
  </si>
  <si>
    <t>Starlink V4  WB Card  1unit  $312</t>
  </si>
  <si>
    <t>Starlink V4  WB Card  1unit  $298</t>
  </si>
  <si>
    <t>Starlink V4  WB Card  3unit  $297</t>
  </si>
  <si>
    <t>Starlink V4  ARB Card  2unit  $298</t>
  </si>
  <si>
    <t>PD</t>
  </si>
  <si>
    <t>PD  1unit</t>
  </si>
  <si>
    <t>Starlink Mini WB Card  10units  $755</t>
  </si>
  <si>
    <t>Starlink Mini WB Card  54units  $790</t>
  </si>
  <si>
    <t xml:space="preserve">Exp. Van.hire/petrol </t>
  </si>
  <si>
    <t>Waheed Bhai Payment By A/R (200,000 PKR)</t>
  </si>
  <si>
    <t>Payment By AR behalf of Waheed Bhai (200,000 Pkr)</t>
  </si>
  <si>
    <t>JB HiFi 4unit IP 16ProMax 256GB ARB Card $2147</t>
  </si>
  <si>
    <t>JB HiFi 4unit IP 16ProMax 512GB ARB Card $2497</t>
  </si>
  <si>
    <t xml:space="preserve">Ref#1023 (IP 16PM Units)  </t>
  </si>
  <si>
    <t>BCF V4     6Units $297 ARB Card</t>
  </si>
  <si>
    <t>Bunnings V4 3units $298  AB Card</t>
  </si>
  <si>
    <t>Harvey 4unit IP 16ProMax 256GB AB Card $2147</t>
  </si>
  <si>
    <t>Harvey 4unit IP 16ProMax 512GB AB Card $2497</t>
  </si>
  <si>
    <t>1000Advance</t>
  </si>
  <si>
    <t>Remaining?? Which A/C</t>
  </si>
  <si>
    <t>IP</t>
  </si>
  <si>
    <t>V4</t>
  </si>
  <si>
    <t>BCF V4   10Units  $297  ARB Card</t>
  </si>
  <si>
    <t>OfficeWorks 1Unit  $297  ARB Card</t>
  </si>
  <si>
    <t>Starlink V4 2Units  $298 AB Card</t>
  </si>
  <si>
    <t>OfficeWorks 1Unit  $297  WB Card</t>
  </si>
  <si>
    <t>Starlink V4 1Unit   $298 WB Card</t>
  </si>
  <si>
    <t>Bunnings V4 1unit $298  WB Card</t>
  </si>
  <si>
    <t>Starlink V4  3Units  $230 WB Card</t>
  </si>
  <si>
    <t>Less GST 10% Total Purchasing $9502</t>
  </si>
  <si>
    <t>Less GST 10% Total Purchasing $41,796</t>
  </si>
  <si>
    <t>Starlink V4 AB Card 8units  $299</t>
  </si>
  <si>
    <t>Starlink V4 AB Card 9units  $298</t>
  </si>
  <si>
    <t>Starlink V4 WB Card 8units  $298</t>
  </si>
  <si>
    <t>Starlink V4 WB Card 3units  $299</t>
  </si>
  <si>
    <t>Starlink V4 WB Card 4unit  $297</t>
  </si>
  <si>
    <t>Starlink V4 WB Card 5units  $298</t>
  </si>
  <si>
    <t>Mini</t>
  </si>
  <si>
    <t>Less GST 10% Total Purchasing $11033</t>
  </si>
  <si>
    <t>Less GST 10% Total Purchasing $12658</t>
  </si>
  <si>
    <t>Starlink V4 WB Card 2units  $299</t>
  </si>
  <si>
    <t>Starlink V4 ARB Card 1unit  $299</t>
  </si>
  <si>
    <t>Starlink V4 WB Card 1unit  $297</t>
  </si>
  <si>
    <t>Starlink V4 ARB Card 1unit  $297</t>
  </si>
  <si>
    <t>Starlink Mini WB Card 7Units  $790</t>
  </si>
  <si>
    <t>Ref#001</t>
  </si>
  <si>
    <t>Ref#002</t>
  </si>
  <si>
    <t xml:space="preserve">4.Units IP 16ProMax 256GB  @2147 AUD </t>
  </si>
  <si>
    <t xml:space="preserve">4.Units IP 16ProMax 512GB  @2497 AUD </t>
  </si>
  <si>
    <t xml:space="preserve">5.Units IP 16ProMax 512GB  @2497 AUD </t>
  </si>
  <si>
    <t xml:space="preserve">5.Units IP 16ProMax 256GB  @2147 AUD </t>
  </si>
  <si>
    <t>Amount</t>
  </si>
  <si>
    <t>IP 16ProMax 256GB</t>
  </si>
  <si>
    <t>Model</t>
  </si>
  <si>
    <t>Price</t>
  </si>
  <si>
    <t>Total $</t>
  </si>
  <si>
    <t>Total Aed</t>
  </si>
  <si>
    <t>Qty</t>
  </si>
  <si>
    <t>Per Unit Aed</t>
  </si>
  <si>
    <t>Invoice</t>
  </si>
  <si>
    <t>Party</t>
  </si>
  <si>
    <t>Sell Per Unit</t>
  </si>
  <si>
    <t>Total Per Unit</t>
  </si>
  <si>
    <t>IP 16ProMax 512GB</t>
  </si>
  <si>
    <t>Ref#003</t>
  </si>
  <si>
    <t>IP 16ProMax 1TB</t>
  </si>
  <si>
    <t>IP 16Pro  256GB</t>
  </si>
  <si>
    <t>NB Card</t>
  </si>
  <si>
    <t>Ref#005</t>
  </si>
  <si>
    <t>Clearing Charges</t>
  </si>
  <si>
    <t>Shipping Charges $700</t>
  </si>
  <si>
    <t>NET PURCHASING</t>
  </si>
  <si>
    <t>Sell To AMGT 33 Units</t>
  </si>
  <si>
    <t>Profit Amount</t>
  </si>
  <si>
    <t>2unit IP 16PM 256GB Returned @2147</t>
  </si>
  <si>
    <t>1unit IP 16PM 512GB Returned @2497</t>
  </si>
  <si>
    <t xml:space="preserve">Invoice </t>
  </si>
  <si>
    <t>total Shipment Returned  $1000 Advance</t>
  </si>
  <si>
    <t>3.unit 16PM 512Gb Returned</t>
  </si>
  <si>
    <t>6.unit 16PM 512Gb Returned</t>
  </si>
  <si>
    <t>Ref#004</t>
  </si>
  <si>
    <t>4.unit 16PM 512Gb Returned Add Gift Card</t>
  </si>
  <si>
    <t>Total Refund Amount</t>
  </si>
  <si>
    <t>Gift Card Balance</t>
  </si>
  <si>
    <t>Starlink Mini 2Unit  $759</t>
  </si>
  <si>
    <t>Starlink V4 2Unit  $297</t>
  </si>
  <si>
    <t>Starlink Mini 1Unit  $299</t>
  </si>
  <si>
    <t>Less: WB Card</t>
  </si>
  <si>
    <t>Starlink V4  3units $230 ARB Card</t>
  </si>
  <si>
    <t>JB HiFi V4  3Units $230 AB Card</t>
  </si>
  <si>
    <t xml:space="preserve">Ref#1025 (Starlink V4  37.Units)  </t>
  </si>
  <si>
    <t>Waheed Bhai Expense</t>
  </si>
  <si>
    <t xml:space="preserve">Ref#1026 (Starlink V4 32.Units &amp; Mini  4.Units)  </t>
  </si>
  <si>
    <t>Done</t>
  </si>
  <si>
    <t xml:space="preserve">Ref#1027 (Starlink V4  14.Units)  </t>
  </si>
  <si>
    <t>Less GST 10% Total Purchasing $7021</t>
  </si>
  <si>
    <t xml:space="preserve">Ref#1029 (Starlink V4 5.Units &amp;  Mini 7Units)  </t>
  </si>
  <si>
    <t>Starlink Mini 30 Units  $799</t>
  </si>
  <si>
    <t>$10,000 ARB Card</t>
  </si>
  <si>
    <t>$8970 WB Card</t>
  </si>
  <si>
    <t xml:space="preserve">Ref#1030 (Starlink Mini 30Units)  </t>
  </si>
  <si>
    <t>V4 3units  ARB Card  $297</t>
  </si>
  <si>
    <t>V4 1units  ARB Card  $298</t>
  </si>
  <si>
    <t>Mini  2 Units Gift Card  $759</t>
  </si>
  <si>
    <t>V4  2units  Gift Card  $297</t>
  </si>
  <si>
    <t>V4  1units  Gift Card  $299</t>
  </si>
  <si>
    <t>Mini  2 Units Gift Card  $759  ($361  WB Card)</t>
  </si>
  <si>
    <t>V4  5Units  WB Card  $298</t>
  </si>
  <si>
    <t>V4  3Units  WB Card  $297</t>
  </si>
  <si>
    <t>Mini 1Unit  WB Card  $745</t>
  </si>
  <si>
    <t xml:space="preserve">Ref#1031 (Starlink V4 15.Units &amp;  Mini 5.Units)  </t>
  </si>
  <si>
    <t>Pending Stock</t>
  </si>
  <si>
    <t>Less GST 10% Total Purchasing $8244</t>
  </si>
  <si>
    <t>V4  1.unit WB Card  $299</t>
  </si>
  <si>
    <t>V4  1.unit Gift Card  $299</t>
  </si>
  <si>
    <t>Mini 1.unit Gift Card  $796</t>
  </si>
  <si>
    <t>V4 5.units WB Card  $298</t>
  </si>
  <si>
    <t>V4 1.unit Gift Card  $299</t>
  </si>
  <si>
    <t>Mini 10.unit WB Card  $758</t>
  </si>
  <si>
    <t>V4 10.units WB Card  $298</t>
  </si>
  <si>
    <r>
      <t xml:space="preserve">Mini 10.unit WB Card  $750   </t>
    </r>
    <r>
      <rPr>
        <sz val="11"/>
        <color rgb="FFFF0000"/>
        <rFont val="Times New Roman"/>
        <family val="1"/>
      </rPr>
      <t>($2060 Balance amount)</t>
    </r>
  </si>
  <si>
    <t>Less GST 10% Total Purchasing $22338</t>
  </si>
  <si>
    <t xml:space="preserve">Ref#1032 (Starlink V4 19.Units &amp;  Mini 22.Units)  </t>
  </si>
  <si>
    <t>Faisal Bhai Visa/Ticket Payment (95500Pkr)</t>
  </si>
  <si>
    <t>Clearing Exp</t>
  </si>
  <si>
    <t>Starlink Stock Dubai Received</t>
  </si>
  <si>
    <t xml:space="preserve">Ref#1024 (Starlink V4 34.Units)  </t>
  </si>
  <si>
    <t>Ref# 1024 V4</t>
  </si>
  <si>
    <t>Starlink V4 Purchased</t>
  </si>
  <si>
    <t xml:space="preserve">Starlink V4 Pending </t>
  </si>
  <si>
    <t>Ref# 1025 V4</t>
  </si>
  <si>
    <t>Ref# 1026 V4</t>
  </si>
  <si>
    <t>Ref# 1026 Mini</t>
  </si>
  <si>
    <t>Starlink Mini Purchased</t>
  </si>
  <si>
    <t>Ref# 1027 V4</t>
  </si>
  <si>
    <t>Ref# 1028 V4</t>
  </si>
  <si>
    <t>Ref# 1028 Mini</t>
  </si>
  <si>
    <t>Ref# 1029 V4</t>
  </si>
  <si>
    <t>Ref# 1029 Mini</t>
  </si>
  <si>
    <t>Ref# 1030 Mini</t>
  </si>
  <si>
    <t>Ref# 1031 V4</t>
  </si>
  <si>
    <t>Ref# 1031 Mini</t>
  </si>
  <si>
    <t>Ref# 1032 V4</t>
  </si>
  <si>
    <t>Ref# 1032 Mini</t>
  </si>
  <si>
    <t>Total Pending Stock</t>
  </si>
  <si>
    <t>Send to Dubai  (V4 164Units  Mini 84Units)</t>
  </si>
  <si>
    <t>V4 2Units WB Card  $297</t>
  </si>
  <si>
    <t>V4 6Units Gift Card  $299</t>
  </si>
  <si>
    <t>Mini  1Unit  Gift Card  $796</t>
  </si>
  <si>
    <t>Less GST 10% Total Purchasing $7990</t>
  </si>
  <si>
    <t>Ref#1022 10Units GST</t>
  </si>
  <si>
    <t>Ref#1023 IP 16  33Units GST</t>
  </si>
  <si>
    <t>Ref#1024 34.Units GST</t>
  </si>
  <si>
    <t>Ref#1025 37.Units GST</t>
  </si>
  <si>
    <t>Ref#1026 36.Units GST</t>
  </si>
  <si>
    <t>Ref#1027 14.Units GST</t>
  </si>
  <si>
    <t>Ref#1028 124.Units GST</t>
  </si>
  <si>
    <t>Ref#1029 12.Units GST</t>
  </si>
  <si>
    <t>Ref#1030 30.Units GST</t>
  </si>
  <si>
    <t>Ref#1031 20.Units GST</t>
  </si>
  <si>
    <t>Ref#1032 41.Units GST</t>
  </si>
  <si>
    <t>Ref#1033 9.Units GST</t>
  </si>
  <si>
    <t>Ref# 1033 Mini</t>
  </si>
  <si>
    <t>Ref# 1033 V4</t>
  </si>
  <si>
    <t>Ref#1004  35 pcs GST Charges</t>
  </si>
  <si>
    <t>Ref#1005  60pcs V3 Starlink GST</t>
  </si>
  <si>
    <t>Ref#1006  47pcs V3 Starlink GST</t>
  </si>
  <si>
    <t>Ref#1007 92Units GST Charges</t>
  </si>
  <si>
    <t xml:space="preserve">Ref#1016 37Units </t>
  </si>
  <si>
    <t xml:space="preserve">Ref#1014 113Units </t>
  </si>
  <si>
    <t xml:space="preserve">Ref#1017 61Units  </t>
  </si>
  <si>
    <t>Ref#1004  35Units</t>
  </si>
  <si>
    <t>Ref#1005  60Units</t>
  </si>
  <si>
    <t>Ref#1006  47Units</t>
  </si>
  <si>
    <t xml:space="preserve">Ref#1008 59units </t>
  </si>
  <si>
    <t xml:space="preserve">Ref#1009 42units </t>
  </si>
  <si>
    <t xml:space="preserve">Ref#1010 92units </t>
  </si>
  <si>
    <t xml:space="preserve">Ref#1011 54units </t>
  </si>
  <si>
    <t>Ref#1007 94Units</t>
  </si>
  <si>
    <t>Ref#1003  106Units</t>
  </si>
  <si>
    <t>Ref#1001  16Units</t>
  </si>
  <si>
    <t>Ref#1002  11Units</t>
  </si>
  <si>
    <t>Ref#1020 40Units</t>
  </si>
  <si>
    <t>Ref#1021 31Units</t>
  </si>
  <si>
    <t xml:space="preserve">Ref#1022 10Units </t>
  </si>
  <si>
    <t xml:space="preserve">Ref#1024 34.Units </t>
  </si>
  <si>
    <t xml:space="preserve">Ref#1025 37.Units </t>
  </si>
  <si>
    <t xml:space="preserve">Ref#1026 36.Units </t>
  </si>
  <si>
    <t xml:space="preserve">Ref#1027 14.Units </t>
  </si>
  <si>
    <t xml:space="preserve">Ref#1029 12.Units </t>
  </si>
  <si>
    <t xml:space="preserve">Ref#1030 30.Units </t>
  </si>
  <si>
    <t xml:space="preserve">Ref#1031 20.Units </t>
  </si>
  <si>
    <t xml:space="preserve">Ref#1032 41.Units </t>
  </si>
  <si>
    <t xml:space="preserve">Ref#1033 9.Units </t>
  </si>
  <si>
    <r>
      <t xml:space="preserve">Ref#1023 33Units  </t>
    </r>
    <r>
      <rPr>
        <b/>
        <sz val="10"/>
        <color rgb="FF000000"/>
        <rFont val="Times New Roman"/>
        <family val="1"/>
      </rPr>
      <t>IP 16PM Shipment</t>
    </r>
    <r>
      <rPr>
        <sz val="10"/>
        <color rgb="FF000000"/>
        <rFont val="Times New Roman"/>
        <family val="1"/>
      </rPr>
      <t xml:space="preserve">  </t>
    </r>
  </si>
  <si>
    <t>1 Unit Returned</t>
  </si>
  <si>
    <t>Shipment Returned</t>
  </si>
  <si>
    <t>GST Received</t>
  </si>
  <si>
    <t>Sell to AMGT  IP 16 Shipment</t>
  </si>
  <si>
    <t>Total Unit</t>
  </si>
  <si>
    <t>Total Sell</t>
  </si>
  <si>
    <t>Total Returned</t>
  </si>
  <si>
    <t>Missing</t>
  </si>
  <si>
    <t>Dubai Stock Available</t>
  </si>
  <si>
    <t>Australia Stock Available</t>
  </si>
  <si>
    <t>Card</t>
  </si>
  <si>
    <t>Ref# 1024</t>
  </si>
  <si>
    <t>ARB</t>
  </si>
  <si>
    <t xml:space="preserve">Last Remaining Units Mini </t>
  </si>
  <si>
    <t>Ref# 1025</t>
  </si>
  <si>
    <t>Ref# 1026</t>
  </si>
  <si>
    <t>Ref# 1027</t>
  </si>
  <si>
    <t>Ref# 1028</t>
  </si>
  <si>
    <t>Ref# 1029</t>
  </si>
  <si>
    <t>$3000 Cash By A/R</t>
  </si>
  <si>
    <t>$2000 Cash By WB</t>
  </si>
  <si>
    <t>Ref# 1030</t>
  </si>
  <si>
    <t>ARB/WB</t>
  </si>
  <si>
    <t>Ref# 1031</t>
  </si>
  <si>
    <t>Ref# 1032</t>
  </si>
  <si>
    <t>GC</t>
  </si>
  <si>
    <t>Ref# 1033</t>
  </si>
  <si>
    <t>V4 3Units  WB Card  $297</t>
  </si>
  <si>
    <t>V4 1Unit   WB Card  $298</t>
  </si>
  <si>
    <t>V4 1Unit   WB Card  $307</t>
  </si>
  <si>
    <t>Ref# 1034</t>
  </si>
  <si>
    <t>Starlink V4 ARB  Card  1unit  $297</t>
  </si>
  <si>
    <t>Starlink V4 ARB  Card  1unit  $298</t>
  </si>
  <si>
    <t>IP 16  Stock  Shipping charges</t>
  </si>
  <si>
    <t>IP 16  Stock  Clearing Charges</t>
  </si>
  <si>
    <t>WB Msg</t>
  </si>
  <si>
    <t>AR Msg</t>
  </si>
  <si>
    <t>V4  1Unit ARB Card  $318</t>
  </si>
  <si>
    <t>V4  1Unit ARB Card  $309</t>
  </si>
  <si>
    <t>V4  1Unit ARB Card  $307</t>
  </si>
  <si>
    <t>V4 1Unit   ARB Card  $307</t>
  </si>
  <si>
    <t>Expense  (AR)</t>
  </si>
  <si>
    <t>Less GST 10% Total Purchasing $1803</t>
  </si>
  <si>
    <t>Net Unit in Australia</t>
  </si>
  <si>
    <t xml:space="preserve">Ref#1028 (Starlink V4 62.Units &amp; Mini 64.Units)  </t>
  </si>
  <si>
    <t xml:space="preserve">Ref#1028 126.Units </t>
  </si>
  <si>
    <t xml:space="preserve">Ref#1034 (Starlink V4 6.Units)  </t>
  </si>
  <si>
    <t xml:space="preserve">Ref#1034 6.Units </t>
  </si>
  <si>
    <t xml:space="preserve">Net Balance GC </t>
  </si>
  <si>
    <t>Starlink V4  3Units  WB Card  $297</t>
  </si>
  <si>
    <t>Starlink V4  6Units  Gift Card  $299</t>
  </si>
  <si>
    <t>Starlink V4  5Units  WB Card  $297</t>
  </si>
  <si>
    <t>Less GST 10% Total Purchasing $4170</t>
  </si>
  <si>
    <t xml:space="preserve">Ref#1035 (Starlink V4 14.Units)  </t>
  </si>
  <si>
    <t xml:space="preserve">Ref#1036 (Starlink V4 100.Units)  </t>
  </si>
  <si>
    <t>Starlink V4 100 Units   $298</t>
  </si>
  <si>
    <t>Commotion Exp</t>
  </si>
  <si>
    <t>Cash $20,000  WB</t>
  </si>
  <si>
    <t>Gift Card 250</t>
  </si>
  <si>
    <t>WB Card  $8155</t>
  </si>
  <si>
    <t xml:space="preserve">Less: New Gift Card Received </t>
  </si>
  <si>
    <t xml:space="preserve">Less GST </t>
  </si>
  <si>
    <t>Gift Card Purchased $250</t>
  </si>
  <si>
    <t>Ref# 1035</t>
  </si>
  <si>
    <t>Online File</t>
  </si>
  <si>
    <t>Ref# 1036</t>
  </si>
  <si>
    <t>Starlink V4  9units  WB Card  $297</t>
  </si>
  <si>
    <t>Starlink V4  1units  ARB Card  $297</t>
  </si>
  <si>
    <t>Starlink V4  2units  WB Card  $298</t>
  </si>
  <si>
    <t>Starlink V4  2units  WB Card  $297</t>
  </si>
  <si>
    <t>Refund To WB Card</t>
  </si>
  <si>
    <t>Ref# 1037</t>
  </si>
  <si>
    <t>JB Hifi V4  1units  ARB Card  $299</t>
  </si>
  <si>
    <t>Bunnings V4  1units  ARB Card  $297</t>
  </si>
  <si>
    <t>Officework V4  1units  ARB Card  $297</t>
  </si>
  <si>
    <t>Less GST 10% Total Purchasing $</t>
  </si>
  <si>
    <t xml:space="preserve">Ref#1038 (Starlink V4 3.Units)  </t>
  </si>
  <si>
    <t>DJI</t>
  </si>
  <si>
    <t>Harvey V4  1Unit  WB Card  $298</t>
  </si>
  <si>
    <t>Sell v4 50units</t>
  </si>
  <si>
    <t>Sell Mini 1Unit</t>
  </si>
  <si>
    <t>Sell Mini 50 Units</t>
  </si>
  <si>
    <t>JB Hifi  V4  1unit  ARB Card  $299</t>
  </si>
  <si>
    <t>JB Hifi  V4  1unit  WB Card  $299</t>
  </si>
  <si>
    <t>JB Hifi  V4  2unit  WB Card  $299</t>
  </si>
  <si>
    <t>JB Hifi  V4  3unit  WB Card  $299</t>
  </si>
  <si>
    <t>JB Hifi  V4  2unit  Gift Card  $299</t>
  </si>
  <si>
    <t>Officeworks 1unit ARB Card $298</t>
  </si>
  <si>
    <t>Less GST 10% Total Purchasing $9580</t>
  </si>
  <si>
    <t xml:space="preserve">Ref#1039 (Starlink V4 15.Units &amp; DJI 3.Units)  </t>
  </si>
  <si>
    <t>wb</t>
  </si>
  <si>
    <t xml:space="preserve">Ref#1030 Mini  $3000 Cash </t>
  </si>
  <si>
    <t>Ref#1030 Mini  $10,000  Card</t>
  </si>
  <si>
    <t xml:space="preserve">Ref#1030 Mini  $2000 Cash </t>
  </si>
  <si>
    <t>Ref#1030 Mini  $8970  WB Card</t>
  </si>
  <si>
    <t>Ref#1031  $361</t>
  </si>
  <si>
    <t>Ref#1036 100 Units Purchased  $20,000 Cash WB</t>
  </si>
  <si>
    <t>Ref#1036 100 Units Purchased  WB Card  $8155</t>
  </si>
  <si>
    <t>Send to Dubai (V4 104Unit, 48Mini, 2Drone)</t>
  </si>
  <si>
    <t>Ref# 1034 V4</t>
  </si>
  <si>
    <t>Ref# 1035 V4</t>
  </si>
  <si>
    <t>Ref# 1036 V4</t>
  </si>
  <si>
    <t>Ref# 1037 V4</t>
  </si>
  <si>
    <t>DJI Mavic 3Pro 2Unit WB Card  $2550</t>
  </si>
  <si>
    <t>Sell Mini 33units</t>
  </si>
  <si>
    <t>Sell v4 44units</t>
  </si>
  <si>
    <t>Sell v4 40units</t>
  </si>
  <si>
    <t>Ref#1020 5unit Starlink Sell  @1170  to Encell Shop</t>
  </si>
  <si>
    <t>Local Market Purchased  2 units @2235</t>
  </si>
  <si>
    <t>Pur</t>
  </si>
  <si>
    <t>Sell @2270  2 Units</t>
  </si>
  <si>
    <t>Local Market Purchased  19 units @2150</t>
  </si>
  <si>
    <t>Sell @2200  19Units</t>
  </si>
  <si>
    <t xml:space="preserve">Ref#1040 (Starlink Mini 21.Units)  </t>
  </si>
  <si>
    <t>IP 16 Stock Clearing</t>
  </si>
  <si>
    <t>Starlink Stock Clearing</t>
  </si>
  <si>
    <t>Payment From AMGT IP 16ProMax Shipment Sold</t>
  </si>
  <si>
    <t>2nd Gift Card</t>
  </si>
  <si>
    <t>2nd Gift Card JB HiFi</t>
  </si>
  <si>
    <t>2unit V4  $299</t>
  </si>
  <si>
    <t>Send to Australia $60000  @2.58</t>
  </si>
  <si>
    <t>Send to Australia $50000  @2.571</t>
  </si>
  <si>
    <t>3rd Gift Card Harvey Norman</t>
  </si>
  <si>
    <t>5Units  V4  @298</t>
  </si>
  <si>
    <t>2Units  V4  @298</t>
  </si>
  <si>
    <t>Send to Australia $100,000 by Raaz   @2.53   1/2</t>
  </si>
  <si>
    <t>Cash Paid to Raaz 2/2</t>
  </si>
  <si>
    <t>Starlink Payment From Faisal Bhai</t>
  </si>
  <si>
    <t xml:space="preserve">Starlink Payment From Faisal Bhai  </t>
  </si>
  <si>
    <t>Starlink Mini 33 Units Sell Faisal Bhai @2200</t>
  </si>
  <si>
    <t>Starlink V4 44 Units Sell Faisal Bhai @1180</t>
  </si>
  <si>
    <t>Starlink V4 40 Units Sell Faisal Bhai @1180</t>
  </si>
  <si>
    <t>Less GST  $8113</t>
  </si>
  <si>
    <t>Total GST M/O JULY &amp; AUG</t>
  </si>
  <si>
    <t>Ref# 1021 Mini</t>
  </si>
  <si>
    <t>42 Units  Purchased</t>
  </si>
  <si>
    <t>Ref# 1022 Mini</t>
  </si>
  <si>
    <t>Ref#1023 IP</t>
  </si>
  <si>
    <t>34 Units  Purchased</t>
  </si>
  <si>
    <t>Ref#1024  V4</t>
  </si>
  <si>
    <t>Ref#1025  V4</t>
  </si>
  <si>
    <t>37 Units  Purchased</t>
  </si>
  <si>
    <t>4 Units  Purchased</t>
  </si>
  <si>
    <t>Ref#1026  Mini</t>
  </si>
  <si>
    <t>Ref#1026  V4</t>
  </si>
  <si>
    <t>Ref#1027  V4</t>
  </si>
  <si>
    <t>14 Units  Purchased</t>
  </si>
  <si>
    <t>Ref#1028  V4</t>
  </si>
  <si>
    <t>Ref#1028  Mini</t>
  </si>
  <si>
    <t>62 Units  Purchased</t>
  </si>
  <si>
    <t>64 Units  Purchased</t>
  </si>
  <si>
    <t>Ref#1029  V4</t>
  </si>
  <si>
    <t>Ref#1029  Mini</t>
  </si>
  <si>
    <t>5 Units  Purchased</t>
  </si>
  <si>
    <t>7 Units  Purchased</t>
  </si>
  <si>
    <t>Ref#1030  Mini</t>
  </si>
  <si>
    <t>30 Units  Purchased</t>
  </si>
  <si>
    <t>Ref#1031  V4</t>
  </si>
  <si>
    <t>Ref#1031  Mini</t>
  </si>
  <si>
    <t>15 Units  Purchased</t>
  </si>
  <si>
    <t>19 Units  Purchased</t>
  </si>
  <si>
    <t>22 Units  Purchased</t>
  </si>
  <si>
    <t>Ref#1032  V4</t>
  </si>
  <si>
    <t>Ref#1032  Mini</t>
  </si>
  <si>
    <t>Ref#1033  V4</t>
  </si>
  <si>
    <t>Ref#1033  Mini</t>
  </si>
  <si>
    <t>12 Units  Purchased</t>
  </si>
  <si>
    <t>1 Units  Purchased</t>
  </si>
  <si>
    <t>Ref#1034 V4</t>
  </si>
  <si>
    <t>6 Units  Purchased</t>
  </si>
  <si>
    <t>Ref#1035 V4</t>
  </si>
  <si>
    <t>Ref#1036 V4</t>
  </si>
  <si>
    <t>100 Units  Purchased</t>
  </si>
  <si>
    <t>Ref#1037 V4</t>
  </si>
  <si>
    <t>Total GST M/O SEP</t>
  </si>
  <si>
    <t>59 Units Purchased  V3</t>
  </si>
  <si>
    <t>42 Units Purchased  V3</t>
  </si>
  <si>
    <t>92 Units Purchased  V3</t>
  </si>
  <si>
    <t>54 Units Purchased  V3</t>
  </si>
  <si>
    <t>56 Units Purchased  V3</t>
  </si>
  <si>
    <t>250 Units Purchased  V3</t>
  </si>
  <si>
    <t>113 Units Purchased  V3</t>
  </si>
  <si>
    <t>76 Units Purchased  V3</t>
  </si>
  <si>
    <t>37 Units Purchased  V3</t>
  </si>
  <si>
    <t>61 Units Purchased  V3</t>
  </si>
  <si>
    <t>400 Units Purchased  V3</t>
  </si>
  <si>
    <t>IPHONE 16 ProMax  Purchased</t>
  </si>
  <si>
    <t>Ref#1038 V4</t>
  </si>
  <si>
    <t>3 Units  Purchased</t>
  </si>
  <si>
    <t>WB Card IP 16 Payment Refund  $1000</t>
  </si>
  <si>
    <t>IP 16PM Refund Amount WB Card  $7000</t>
  </si>
  <si>
    <t>Ref#1039 V4</t>
  </si>
  <si>
    <t>1 unit Returned</t>
  </si>
  <si>
    <t>Less GST  $-1818</t>
  </si>
  <si>
    <t>Less GST $3667</t>
  </si>
  <si>
    <t>Per.Unit</t>
  </si>
  <si>
    <t>Send to Dubai (109 Units V4, 12Mini, 1Printer</t>
  </si>
  <si>
    <t>V4  1Unit ARB Card  $318  (Bunning)</t>
  </si>
  <si>
    <t>V4  1Unit ARB Card  $309  (Officework)</t>
  </si>
  <si>
    <t>V4  1Unit ARB Card  $309  (harvey)</t>
  </si>
  <si>
    <t>V4  1Unit ARB Card  $307  (Bunning)</t>
  </si>
  <si>
    <t>Pending</t>
  </si>
  <si>
    <t>Double</t>
  </si>
  <si>
    <t>Less GST 10% Total Purchasing $4120</t>
  </si>
  <si>
    <t xml:space="preserve">Ref#1033 (Starlink V4 11.Units &amp;  Mini 1.Unit)  </t>
  </si>
  <si>
    <t>Gift Card Paid For Commission Exp</t>
  </si>
  <si>
    <t>Starlink V4  4units  WB Card  $297</t>
  </si>
  <si>
    <t>Online Pending</t>
  </si>
  <si>
    <t>Starlink V4  1units  WB Card  $297</t>
  </si>
  <si>
    <t>Less GST 10% Total Purchasing $5051</t>
  </si>
  <si>
    <t xml:space="preserve">Ref#1037 (Starlink V4 17.Units)  </t>
  </si>
  <si>
    <t>Ref# 1039</t>
  </si>
  <si>
    <t>Bunnings  1unit ARB Card $297</t>
  </si>
  <si>
    <t>CANCLE</t>
  </si>
  <si>
    <t>Purchased 100 Units  $5000 Dollar Advance Payment</t>
  </si>
  <si>
    <t>Starlink Mini  12 Units  $750  WB Card</t>
  </si>
  <si>
    <t>Starlink V4  2Units   $299  GC Card</t>
  </si>
  <si>
    <t>Purchase  100Units  $5000 Advance Payment</t>
  </si>
  <si>
    <t xml:space="preserve">Ref#1041 (Starlink Mini 12.Units  V4.2Unit)  </t>
  </si>
  <si>
    <t>Ref# 1041</t>
  </si>
  <si>
    <t>Starlink V4  1Unit  ARB Card  $298</t>
  </si>
  <si>
    <t>Starlink V4  1Unit  WB Card  $298</t>
  </si>
  <si>
    <t>Purchased 15 Gift Card harvey $298</t>
  </si>
  <si>
    <t>Starlink V4  5Unit  GC Card Harvey  $298</t>
  </si>
  <si>
    <t>Starlink V4  2Unit  GC Card Harvey  $298</t>
  </si>
  <si>
    <t>Starlink V4  2Units  GC Card JBhifi $299</t>
  </si>
  <si>
    <t>Ref# 1042</t>
  </si>
  <si>
    <t>Starlink V4  3Unit  GC Card Harvey  $298</t>
  </si>
  <si>
    <t>3Units  V4  @298</t>
  </si>
  <si>
    <t xml:space="preserve">Ref#1042 (Starlink V4 14.Units)  </t>
  </si>
  <si>
    <t>Van Hire Exp</t>
  </si>
  <si>
    <t>Petrol Exp</t>
  </si>
  <si>
    <t xml:space="preserve">Ref#1043 (Starlink V4 .Units)  </t>
  </si>
  <si>
    <t xml:space="preserve">Ref#1044 (Starlink V4 .Units)  </t>
  </si>
  <si>
    <t>Starlink V4  2units  Wb Card  $298</t>
  </si>
  <si>
    <t>Starlink Mini 10 Units  WB Card  $768</t>
  </si>
  <si>
    <t>Starlink V4  4units  Gift Card Jbhifi  $299</t>
  </si>
  <si>
    <t>Starlink V4  2units  Gift Card Jbhifi  $299</t>
  </si>
  <si>
    <t>Starlink V4  10units  WB Card</t>
  </si>
  <si>
    <t xml:space="preserve">Ref#1045 (Starlink V4 .Units)  </t>
  </si>
  <si>
    <t>Starlink Mini  9Units WB Card  $745</t>
  </si>
  <si>
    <t>Starlink Mini  2Units WB Card  $755</t>
  </si>
  <si>
    <t>Costco Membership WB $130 Exp</t>
  </si>
  <si>
    <t>Gift Card Exp  WB  $50</t>
  </si>
  <si>
    <t>Costco Membership WB Card Exp $130</t>
  </si>
  <si>
    <t>Gift Card Exp  $50</t>
  </si>
  <si>
    <t>Starlink V4   2units  WB Card  $299</t>
  </si>
  <si>
    <t>8 Units  PS5  WB Card  $668</t>
  </si>
  <si>
    <t>7 Units  PS5  WB Card  $668</t>
  </si>
  <si>
    <t>18 Units JBL Charge.5  WB Card  $312</t>
  </si>
  <si>
    <t>16 Units JBL Essential Flip2  WB Card  $76</t>
  </si>
  <si>
    <t>PS5</t>
  </si>
  <si>
    <t>Charge 5</t>
  </si>
  <si>
    <t>Flip 2</t>
  </si>
  <si>
    <t>Ref# 1043</t>
  </si>
  <si>
    <t>Ref# 1044</t>
  </si>
  <si>
    <t>Ref# 1045</t>
  </si>
  <si>
    <t>Total Purchasing (Sep to Oct 2024)</t>
  </si>
  <si>
    <t>Sell v4 30units</t>
  </si>
  <si>
    <t>DATE</t>
  </si>
  <si>
    <t xml:space="preserve">Ref#1047 (Starlink V4 .Units)  </t>
  </si>
  <si>
    <t>Ref#1046</t>
  </si>
  <si>
    <t>Starlink V4  23 Units  WB Card $299.17</t>
  </si>
  <si>
    <t>Starlink V4  1 Unit  WB Card  $299</t>
  </si>
  <si>
    <t>Starlink Mini  1Unit  WB Card  $759</t>
  </si>
  <si>
    <t>Camera</t>
  </si>
  <si>
    <t>Starlink Intax Camera  WB Card $99</t>
  </si>
  <si>
    <t>IP 16ProMax 256Gb  4Units  WB Card  $2149</t>
  </si>
  <si>
    <t>IP 16ProMax 256Gb 14Units  NB Card  $2149</t>
  </si>
  <si>
    <t xml:space="preserve">Ref#1048 (IP 16ProMax  18.Units)  </t>
  </si>
  <si>
    <t>Starlink Mini  7units WB Card  $755</t>
  </si>
  <si>
    <t>Ref# 1047</t>
  </si>
  <si>
    <t>Ref# 1048</t>
  </si>
  <si>
    <t>NB</t>
  </si>
  <si>
    <t>Starlink Mini Sell By Faisal Bhai</t>
  </si>
  <si>
    <t>Starlink V4 Sell  By Faisal Bhai</t>
  </si>
  <si>
    <t>Starlink V4  10units  WB Card  $299</t>
  </si>
  <si>
    <t>Starlink Mini  50units WB Card  $750</t>
  </si>
  <si>
    <t>Paid by A/R (to Waseem) $768.72</t>
  </si>
  <si>
    <t>Paid by A/R (to Waseem) $13000</t>
  </si>
  <si>
    <t>Paid by A/R (to Waseem) $35,708</t>
  </si>
  <si>
    <t>26/08 burlington stores  $30.29</t>
  </si>
  <si>
    <t>26/08 Exonmobil inside $4.32</t>
  </si>
  <si>
    <t>27/08 Sun wing Super.mrkt $5.49</t>
  </si>
  <si>
    <t>28/08 UA.FH DeerPark $13.08</t>
  </si>
  <si>
    <t>28/08 Saks Off Deer Park $39.22</t>
  </si>
  <si>
    <t>29/08 TJ Max  $108.61</t>
  </si>
  <si>
    <t>30/08 Uniqlo USA LLC $20</t>
  </si>
  <si>
    <t>31/08 Abdo Halal Grill $21.73</t>
  </si>
  <si>
    <t>Starlink V3  Sell to Encell Shop</t>
  </si>
  <si>
    <t>Starlink V3  Sell By Faisal Bhai</t>
  </si>
  <si>
    <t>Starlink V3  Sell By AR</t>
  </si>
  <si>
    <t>Starlink Mini  Sell By Rabi</t>
  </si>
  <si>
    <t>Starlink V4   Sell By Rabi</t>
  </si>
  <si>
    <t>Starlink V4   Sell By Faisal Bhai</t>
  </si>
  <si>
    <t>Starlink Mini   Sell By Faisal Bhai</t>
  </si>
  <si>
    <t>74 Units</t>
  </si>
  <si>
    <t>Starlink Mini</t>
  </si>
  <si>
    <t>Starlink V4</t>
  </si>
  <si>
    <t>1,272 Units</t>
  </si>
  <si>
    <t>Entry Pending Ledger</t>
  </si>
  <si>
    <t xml:space="preserve">Total </t>
  </si>
  <si>
    <t>Starlink Mini  10units WB Card  $768</t>
  </si>
  <si>
    <t>Total Mini</t>
  </si>
  <si>
    <t>Total V4</t>
  </si>
  <si>
    <t>Send to Dubai (109 Units V4, 12Mini</t>
  </si>
  <si>
    <t>Send</t>
  </si>
  <si>
    <t>Available</t>
  </si>
  <si>
    <t>Table Rock Complex</t>
  </si>
  <si>
    <t>Intl DCC Fee</t>
  </si>
  <si>
    <t>Tim Hortons  (11.93 CAD)</t>
  </si>
  <si>
    <t>Petro Canada (40 CAD)</t>
  </si>
  <si>
    <t>Petro Canada (20 CAD)</t>
  </si>
  <si>
    <t>Best Buy (18.07 CAD)</t>
  </si>
  <si>
    <t>Tim Hortons  (6.53 CAD)</t>
  </si>
  <si>
    <t>Onroute cambrige (100.84 CAD)</t>
  </si>
  <si>
    <t>Wal-Mart SuperCenter (51.43 CAD)</t>
  </si>
  <si>
    <t>JFK Jamba Juice (9.57 USD)</t>
  </si>
  <si>
    <t xml:space="preserve">Emirates </t>
  </si>
  <si>
    <t>TST Jamba Juice (12.40 AUD)</t>
  </si>
  <si>
    <t>Evolve (11.99 USD)</t>
  </si>
  <si>
    <t xml:space="preserve">Dubai Electricity </t>
  </si>
  <si>
    <t xml:space="preserve">Al Madina </t>
  </si>
  <si>
    <t>Air Can (827.70 CAD)</t>
  </si>
  <si>
    <t>Lax CNBC (8.58 USD)</t>
  </si>
  <si>
    <t>IAH CS CIBO (6.89 USD)</t>
  </si>
  <si>
    <t>DIB Bank</t>
  </si>
  <si>
    <t>AR CC Card  16/08/2024</t>
  </si>
  <si>
    <t>AR CC 10/09/2024</t>
  </si>
  <si>
    <t>AR CC 17/09/2024</t>
  </si>
  <si>
    <t>AR CC 16/09/2024</t>
  </si>
  <si>
    <t>Starlink V4   4Unit GC Card  $298</t>
  </si>
  <si>
    <t>Starlink V4   1Unit WB Card  $298</t>
  </si>
  <si>
    <t>Starlink V4   1Unit ARB Card $298</t>
  </si>
  <si>
    <t>Starlink Mini  2Unit WB Card  $780</t>
  </si>
  <si>
    <t>Starlink V4   1Unit GC Card  $298</t>
  </si>
  <si>
    <t>Starlink V4  3 Units ???</t>
  </si>
  <si>
    <t>Send to Dubai (20 units IP 16PM  2unit JBL)</t>
  </si>
  <si>
    <t>Sell IP 16PM 2Units @5148Aed</t>
  </si>
  <si>
    <t>Visa Exp (Payment to Ayaz by Faisal Bhai)</t>
  </si>
  <si>
    <t>PS5 15units</t>
  </si>
  <si>
    <t>Charge 5 18Units</t>
  </si>
  <si>
    <t>Essential Flip 16Units</t>
  </si>
  <si>
    <t>IP 16PM 256GB 4units</t>
  </si>
  <si>
    <t>IP 16PM 1TB 2units</t>
  </si>
  <si>
    <t>Printer 1 Unit</t>
  </si>
  <si>
    <t>Mini 10 Units</t>
  </si>
  <si>
    <t>Australia</t>
  </si>
  <si>
    <t>Dubai</t>
  </si>
  <si>
    <t>V4  73Unit</t>
  </si>
  <si>
    <t>Mini 121 Units</t>
  </si>
  <si>
    <t>Printer</t>
  </si>
  <si>
    <t>Printer  $290</t>
  </si>
  <si>
    <t>IP 16ProMax 1TB  2Units  NB Card  $2,849</t>
  </si>
  <si>
    <t>Dubai Local</t>
  </si>
  <si>
    <t>V4 49 Unit  @1225</t>
  </si>
  <si>
    <t>Mini 32Unit  @2120</t>
  </si>
  <si>
    <t>Starlink Intax Camera</t>
  </si>
  <si>
    <t>2 Unit IP 16 ProMax 256GB</t>
  </si>
  <si>
    <t>2 Unit IP 16 ProMax 1TB</t>
  </si>
  <si>
    <t>AMGT</t>
  </si>
  <si>
    <t>4 Unit IP 16 ProMax 1TB  $2849</t>
  </si>
  <si>
    <t>25 Unit IP 16 ProMax 256GB $2149</t>
  </si>
  <si>
    <t>Total Stock In Australia Value</t>
  </si>
  <si>
    <t>Total Stock In Dubai Value</t>
  </si>
  <si>
    <t xml:space="preserve">Cash In Hand Dubai </t>
  </si>
  <si>
    <t>Stock</t>
  </si>
  <si>
    <t>Receivable</t>
  </si>
  <si>
    <t>Payables</t>
  </si>
  <si>
    <t>From Waheed Bhai</t>
  </si>
  <si>
    <t>From Abdul Rehman Bhai</t>
  </si>
  <si>
    <t>AR Credit Card</t>
  </si>
  <si>
    <t xml:space="preserve">Jawed Bhai </t>
  </si>
  <si>
    <t xml:space="preserve">V4 55Units </t>
  </si>
  <si>
    <t>Starlink V4 55units  WB Card  $298+20</t>
  </si>
  <si>
    <t>Starlink Mini 10units  WB Card  $799</t>
  </si>
  <si>
    <t>4 Unit IP 16 ProMax 1TB  $2849  (OLD Units 21/09/2024)</t>
  </si>
  <si>
    <t>20 Unit IP 16 ProMax 256GB $2149</t>
  </si>
  <si>
    <t>CLOSING STOCK</t>
  </si>
  <si>
    <t>Gift Card Balance
JB Hifi / Harvey</t>
  </si>
  <si>
    <t>GST Refund Pending</t>
  </si>
  <si>
    <t>Net Profit</t>
  </si>
  <si>
    <t>Less GST Total Purchasing $68685</t>
  </si>
  <si>
    <t>Less GST Total Purchasing $4190</t>
  </si>
  <si>
    <t>Less GST  Total amount 9,598</t>
  </si>
  <si>
    <t>Less GST  Total Amount $4464</t>
  </si>
  <si>
    <t>AMGT Cards $36016.19 USD</t>
  </si>
  <si>
    <t>AB Card Balance</t>
  </si>
  <si>
    <t>Abdul Majid Bhai $13754.7 CAD</t>
  </si>
  <si>
    <t>Less GST  Total Amount $3944</t>
  </si>
  <si>
    <t>Less GST  Total Amount $13,060</t>
  </si>
  <si>
    <t>Less GST  Total Amount $8813</t>
  </si>
  <si>
    <t>Less GST  Total Amount $16,852</t>
  </si>
  <si>
    <t>Less GST  Total Amount $8,037.91</t>
  </si>
  <si>
    <t>Less GST  Total Amount $50,465</t>
  </si>
  <si>
    <t xml:space="preserve">Ref#1049 (Starlink V4 .Units)  </t>
  </si>
  <si>
    <t xml:space="preserve">Ref#1050 (Starlink V4 .Units)  </t>
  </si>
  <si>
    <t>Less GST  Total Amount $25,480</t>
  </si>
  <si>
    <t>Prchasing</t>
  </si>
  <si>
    <t>Unit</t>
  </si>
  <si>
    <t>Total Purchase</t>
  </si>
  <si>
    <t>v4 Balance</t>
  </si>
  <si>
    <t>Mini Balance</t>
  </si>
  <si>
    <t>Less GST  Total Amount $44380</t>
  </si>
  <si>
    <t>Send to Australia  $30,000  @2.447</t>
  </si>
  <si>
    <t xml:space="preserve">Mini 10.unit WB Card  $750   </t>
  </si>
  <si>
    <t>($2060 Balance amount)</t>
  </si>
  <si>
    <t xml:space="preserve">Less: GST </t>
  </si>
  <si>
    <t>Final Stock Value</t>
  </si>
  <si>
    <t>Dubai Local Purchased Stock</t>
  </si>
  <si>
    <t>Invoice Amount</t>
  </si>
  <si>
    <t>92 units  Shipping +surchage</t>
  </si>
  <si>
    <t>42 unit Shipping</t>
  </si>
  <si>
    <t>56 Unit Shipping</t>
  </si>
  <si>
    <t>270 units Shipping</t>
  </si>
  <si>
    <t xml:space="preserve">400 units Shipping </t>
  </si>
  <si>
    <t xml:space="preserve">23 Unit Shipping </t>
  </si>
  <si>
    <t>100 Unit Shipping</t>
  </si>
  <si>
    <t>248 Units Shipping</t>
  </si>
  <si>
    <t>154 Units Shipping</t>
  </si>
  <si>
    <t>Fahib Salary M/O AUG-2024</t>
  </si>
  <si>
    <t>Apex VillaWood 39.70 AUD</t>
  </si>
  <si>
    <t>Delta Air  (2109.08 AUD) ticket Exp</t>
  </si>
  <si>
    <t>Clearing Charges  (55Unit V4 &amp; 10 Units Mini Shipment)</t>
  </si>
  <si>
    <t>Commission Charges</t>
  </si>
  <si>
    <t xml:space="preserve">Send to Dubai </t>
  </si>
  <si>
    <t>Purchase 20 Units Mini  $745</t>
  </si>
  <si>
    <t>14304 Wb Card</t>
  </si>
  <si>
    <t>596  Gift Card</t>
  </si>
  <si>
    <t xml:space="preserve">Ref#1051 (Starlink Mini 20Units)  </t>
  </si>
  <si>
    <t>Last Closing Units</t>
  </si>
  <si>
    <t>Send to Dubai</t>
  </si>
  <si>
    <t>Purchased msg by A/R</t>
  </si>
  <si>
    <t>Remaining Units</t>
  </si>
  <si>
    <t>Mini Purchased WB Card</t>
  </si>
  <si>
    <t>Purchase 8 Units Mini  $745  WB Card</t>
  </si>
  <si>
    <t>Charge.5  45Units  $142</t>
  </si>
  <si>
    <t>Flip Essential 2  14Units  $68</t>
  </si>
  <si>
    <t xml:space="preserve">Starting Investment By A/R </t>
  </si>
  <si>
    <t>Trasnfer to Software</t>
  </si>
  <si>
    <t>Payment Returned</t>
  </si>
  <si>
    <t>Payment Received</t>
  </si>
  <si>
    <t>10%GC</t>
  </si>
  <si>
    <t>Net</t>
  </si>
  <si>
    <t>PS5  10 Units  $669</t>
  </si>
  <si>
    <t>IP 16ProMax 256GB  1.Unit  $2147</t>
  </si>
  <si>
    <t>Starlink Mini  30 Units  $745</t>
  </si>
  <si>
    <t>Charge.5  100 Units  $145</t>
  </si>
  <si>
    <t>Flip Essential 2  100 Units  $68</t>
  </si>
  <si>
    <t>PS5  2 Units  $675</t>
  </si>
  <si>
    <t>Charge.5  100 Units  $133.3</t>
  </si>
  <si>
    <t>Charge.5  34 Units  $133.3</t>
  </si>
  <si>
    <t>Instax Camera  7units  $95</t>
  </si>
  <si>
    <t>4th Gift Card 26/10/2024 Purchasing</t>
  </si>
  <si>
    <t>Total Gift Card Amount</t>
  </si>
  <si>
    <t>$6952.4</t>
  </si>
  <si>
    <t>Purchasing Pending</t>
  </si>
  <si>
    <t>Extra Cash Pending By A/R 15297 Aed</t>
  </si>
  <si>
    <t xml:space="preserve">GST Pending </t>
  </si>
  <si>
    <t>Pending Collections..??</t>
  </si>
  <si>
    <t xml:space="preserve">Starlink V4  12Units Short ??? Msg To AR </t>
  </si>
  <si>
    <t xml:space="preserve">Cash Handover to AMGT Office </t>
  </si>
  <si>
    <t>1400 $  Handover to AMGT Office</t>
  </si>
  <si>
    <t>50 Australian Dollar to AMGT Office</t>
  </si>
  <si>
    <t xml:space="preserve">Australia Stock Confirmation Pending Msg Send to Waheed Bhai </t>
  </si>
  <si>
    <t>Starlink Mini 100 Units  $750</t>
  </si>
  <si>
    <t>PS5  2 Units  $669</t>
  </si>
  <si>
    <t>Essential 2</t>
  </si>
  <si>
    <t>PS 5</t>
  </si>
  <si>
    <t>IP 16PM 256</t>
  </si>
  <si>
    <t>DJI Mavic</t>
  </si>
  <si>
    <t>Send to Dubai Starlink V4 23 Units</t>
  </si>
  <si>
    <t>Shipping Charges Pending ??</t>
  </si>
  <si>
    <t>Gift Card Balances</t>
  </si>
  <si>
    <t>Actual Re</t>
  </si>
  <si>
    <t>Aed</t>
  </si>
  <si>
    <t>Old Refund Charges Adjust  $937 @2.5</t>
  </si>
  <si>
    <t>ABDUL MAJID BHAI</t>
  </si>
  <si>
    <t>iphone 16 Pro Max  8unit  (13754.7 CAD)</t>
  </si>
  <si>
    <t>2000Aud Profit  (From Waheed bhai)  @2.45</t>
  </si>
  <si>
    <t xml:space="preserve">Abdul Majid Bhai </t>
  </si>
  <si>
    <t xml:space="preserve">Faisal Bhai </t>
  </si>
  <si>
    <t xml:space="preserve">Sell Purchase Profit </t>
  </si>
  <si>
    <t>Expenses</t>
  </si>
  <si>
    <t>AR Profit Add</t>
  </si>
  <si>
    <t>WB Profit Add</t>
  </si>
  <si>
    <t>Closing Profit Adjust</t>
  </si>
  <si>
    <t>Instax Wide 400   8units  $189</t>
  </si>
  <si>
    <t>Instax Mini 99  10Units  $230</t>
  </si>
  <si>
    <t>Purchasing Harvey</t>
  </si>
  <si>
    <t>Intax Wide</t>
  </si>
  <si>
    <t>Intax Mini</t>
  </si>
  <si>
    <t>20 Units V4 Purchase  $500</t>
  </si>
  <si>
    <t>Starlink V4  20Units  $500</t>
  </si>
  <si>
    <t>Gross</t>
  </si>
  <si>
    <t xml:space="preserve">Charge.5  45Units  $142-10% </t>
  </si>
  <si>
    <t>Flip Essential 2  14Units  $68-10%</t>
  </si>
  <si>
    <t>PS5  10 Units  $669-10%</t>
  </si>
  <si>
    <t>IP 16ProMax 256GB  1.Unit  $2147-10%</t>
  </si>
  <si>
    <t>Starlink Mini  30 Units  $745-10%</t>
  </si>
  <si>
    <t>Charge.5  100 Units  $145-10%</t>
  </si>
  <si>
    <t>Flip Essential 2  100 Units  $68-10%</t>
  </si>
  <si>
    <t>PS5  2 Units  $675-10%</t>
  </si>
  <si>
    <t>Starlink Mini  10 Units  $768-10%</t>
  </si>
  <si>
    <t>Instax Camera  7units  $95-10%</t>
  </si>
  <si>
    <t>Starlink Mini 100 Units  $750-10%</t>
  </si>
  <si>
    <t>DJI MavicPro  10Units  $2500-10%</t>
  </si>
  <si>
    <t>PS5  2 Units  $669-10%</t>
  </si>
  <si>
    <t>Entry Done</t>
  </si>
  <si>
    <t>Exp $94</t>
  </si>
  <si>
    <t>Strarlink V4  39Units  $549 WB Card</t>
  </si>
  <si>
    <t>Petrol Exp $60 WB</t>
  </si>
  <si>
    <t>Strarlink V4  10Units  $549 WB Card</t>
  </si>
  <si>
    <t>Starlink Mini 120Units  $548  WB Card</t>
  </si>
  <si>
    <t>Commission Charges  $6000</t>
  </si>
  <si>
    <t>Starlink Mini 6Units  $579  WB Card</t>
  </si>
  <si>
    <r>
      <t xml:space="preserve">Mini Purchase </t>
    </r>
    <r>
      <rPr>
        <b/>
        <u/>
        <sz val="10"/>
        <color rgb="FFFF0000"/>
        <rFont val="Times New Roman"/>
        <family val="1"/>
      </rPr>
      <t>Returned</t>
    </r>
    <r>
      <rPr>
        <sz val="10"/>
        <color rgb="FF000000"/>
        <rFont val="Times New Roman"/>
        <family val="1"/>
      </rPr>
      <t xml:space="preserve">  (Ref# 28/10)</t>
    </r>
  </si>
  <si>
    <t xml:space="preserve">JBL Charge 5  100Units </t>
  </si>
  <si>
    <t xml:space="preserve">JBL Charge 5  50Units  $133.30 </t>
  </si>
  <si>
    <t>Starlink Mini 10 Units  $598</t>
  </si>
  <si>
    <t>Starlink V4  7Units  $500</t>
  </si>
  <si>
    <t>Starlink Mini 4 Units  $579</t>
  </si>
  <si>
    <t>Xtreme 4   4Units  $269</t>
  </si>
  <si>
    <t>Charge.5  100 Units  $140-10%  $126</t>
  </si>
  <si>
    <t>Starlink Mini  12Units  $598</t>
  </si>
  <si>
    <t>JBL Charge 5   30Units  $131</t>
  </si>
  <si>
    <t>JBL Charge 5   10Units  $131</t>
  </si>
  <si>
    <t>Expense  $326</t>
  </si>
  <si>
    <t>Starlink Mini 13Units   $598  WB</t>
  </si>
  <si>
    <t>Starlink Mini 4Units   $598 WB</t>
  </si>
  <si>
    <t>JBL Charge 5  200 Units  $120 WB</t>
  </si>
  <si>
    <t>Xtreme 4   50Units  $260   WB</t>
  </si>
  <si>
    <t>JBL Charge 5  30 Units  $126 WB</t>
  </si>
  <si>
    <t>Xtreme 4</t>
  </si>
  <si>
    <t>Intax Camera</t>
  </si>
  <si>
    <t>Essential Flip 2</t>
  </si>
  <si>
    <t>PS  5</t>
  </si>
  <si>
    <t>IP 16 ProMax 256GB</t>
  </si>
  <si>
    <t>DJI Mavic 3 Pro</t>
  </si>
  <si>
    <t>Instax Mini 99</t>
  </si>
  <si>
    <t>Instax Wide 400</t>
  </si>
  <si>
    <t>Total Stock in Australia</t>
  </si>
  <si>
    <t>Cancel by WB 14/11/2024</t>
  </si>
  <si>
    <t>5units extra</t>
  </si>
  <si>
    <t>1missing</t>
  </si>
  <si>
    <t>Mavic Pro3   4units $2500</t>
  </si>
  <si>
    <t>Returned by WB 20/11/2024</t>
  </si>
  <si>
    <t>8 units Returned</t>
  </si>
  <si>
    <t>8 unit Returned by WB 20/11/2024</t>
  </si>
  <si>
    <t>Cancel by WB</t>
  </si>
  <si>
    <t xml:space="preserve">Starlink mini  10 Units  $598  WB </t>
  </si>
  <si>
    <t xml:space="preserve">Starlink V4  9 Units  $549  WB </t>
  </si>
  <si>
    <t xml:space="preserve">Starlink V4  14 Units  $549  WB </t>
  </si>
  <si>
    <t xml:space="preserve">Starlink mini  4 Units  $598  WB </t>
  </si>
  <si>
    <t xml:space="preserve">Starlink V4   6 Units  $549  WB </t>
  </si>
  <si>
    <t xml:space="preserve">Starlink mini  1 Units  $599  WB </t>
  </si>
  <si>
    <t>JBL Extreme 3   2units  $180  WB</t>
  </si>
  <si>
    <t>Xtreme 3</t>
  </si>
  <si>
    <t>JBL Xtreme 4   4Units  $269</t>
  </si>
  <si>
    <t>Starlink Mini 5 units  $599</t>
  </si>
  <si>
    <t>Starlink V4 3 units  $500</t>
  </si>
  <si>
    <t>Starlink V4 2 units  $549</t>
  </si>
  <si>
    <t>Details  (New Zealand Stock)</t>
  </si>
  <si>
    <t>Starlink Mini  3Units  $649</t>
  </si>
  <si>
    <t>Charge.5   2Units  $145</t>
  </si>
  <si>
    <t>PS5  2Units  $692</t>
  </si>
  <si>
    <t>PS5  10Units  $692</t>
  </si>
  <si>
    <t>Starlink Mini  1Unit  $649</t>
  </si>
  <si>
    <t>Starlink Mini  10Unit  $649</t>
  </si>
  <si>
    <t>Starlink V4  5Units   $529</t>
  </si>
  <si>
    <t>Starlink Mini  5Unit  $644</t>
  </si>
  <si>
    <t>Starlink V4  6Units   $598</t>
  </si>
  <si>
    <t>Starlink V4  10units  $598  WB Card</t>
  </si>
  <si>
    <t xml:space="preserve">Details  </t>
  </si>
  <si>
    <t>Starlink Mini 1unit   $649  WB Card</t>
  </si>
  <si>
    <t>Starlink Mini 4unit   $649  WB Card</t>
  </si>
  <si>
    <t>JBL Charge.5  25Units  $128  WB Card</t>
  </si>
  <si>
    <t>Starlink Mini 2unit   $649  WB Card</t>
  </si>
  <si>
    <t>Starlink V4  50units  $598  WB Card</t>
  </si>
  <si>
    <t>Starlink Mini 46Units  $644  WB Card</t>
  </si>
  <si>
    <t>Starlink V4  10Units  $530  WB Card</t>
  </si>
  <si>
    <t>Starlink Mini 5Units  $649  WB Card</t>
  </si>
  <si>
    <t>Starlink Mini 4Units  $649  WB Card</t>
  </si>
  <si>
    <t>Starlink V4  2Units  $529  WB Card</t>
  </si>
  <si>
    <t>Starlink Mini 3Units  $649  WB Card</t>
  </si>
  <si>
    <t>Starlink Mini 1Unit  $649  WB Card</t>
  </si>
  <si>
    <t>Starlink Mini 2Unit  $649  WB Card</t>
  </si>
  <si>
    <t>Starlink Mini 10Unit  $649  WB Card</t>
  </si>
  <si>
    <t>Starlink V4  23Units  $530  WB Card</t>
  </si>
  <si>
    <t>Starlink Mini 20Unit  $649  WB Card</t>
  </si>
  <si>
    <t>Starlink Mini  10 Units  $768  (Returned)</t>
  </si>
  <si>
    <t>DJI MavicPro  10Units  $2500  (8unit Returned)</t>
  </si>
  <si>
    <t>Starlink V4  22Units  $530  WB Card</t>
  </si>
  <si>
    <t>Starlink Mini 100Unit  $649  WB Card</t>
  </si>
  <si>
    <t>Starlink V4  6Units  $549  WB Card</t>
  </si>
  <si>
    <t>Returned By WB  2.44</t>
  </si>
  <si>
    <t>Month Opening Dec-2024</t>
  </si>
  <si>
    <t>Starlink V4   13Units  $549  WB Card</t>
  </si>
  <si>
    <t>Starlink V4   2Units  $520  ARB Card</t>
  </si>
  <si>
    <t>Cancelled Purchased</t>
  </si>
  <si>
    <t>Starlink Mini 14Units   $619 WB</t>
  </si>
  <si>
    <t>Starlink Mini 4Units   $618 WB</t>
  </si>
  <si>
    <t>2 Cancelled Purchased</t>
  </si>
  <si>
    <t>From Jawed Bhai to WB   2.44 (no profit as loan)</t>
  </si>
  <si>
    <t>Purchased Cancel by WB</t>
  </si>
  <si>
    <t>Purchased update by WB commission charges add</t>
  </si>
  <si>
    <t>Pur Cancel by WB</t>
  </si>
  <si>
    <t>Pur Cancel by WB 2units</t>
  </si>
  <si>
    <r>
      <t xml:space="preserve">Mavic Pro3   </t>
    </r>
    <r>
      <rPr>
        <strike/>
        <sz val="11"/>
        <color theme="1"/>
        <rFont val="Times New Roman"/>
        <family val="1"/>
      </rPr>
      <t>4units</t>
    </r>
    <r>
      <rPr>
        <sz val="11"/>
        <color theme="1"/>
        <rFont val="Times New Roman"/>
        <family val="1"/>
      </rPr>
      <t xml:space="preserve"> $2500 2units</t>
    </r>
  </si>
  <si>
    <t>Starlink V4   4Units  $513  WB Card</t>
  </si>
  <si>
    <t>Starlink V4   4Units  $486  WB Card</t>
  </si>
  <si>
    <t>Starlink V4   4Units  $513  ARB Card</t>
  </si>
  <si>
    <t>Starlink V4   6Units  $513  WB Card</t>
  </si>
  <si>
    <t>Starlink V4   5Units  $549  WB Card</t>
  </si>
  <si>
    <t>JBL Essential.2  25units  $69.20  WB Card</t>
  </si>
  <si>
    <t>(New Zealand Stock)</t>
  </si>
  <si>
    <t>Starlink Mini  8Units  $649  WB Card</t>
  </si>
  <si>
    <t>PS5  1unit  $695  WB Card</t>
  </si>
  <si>
    <t>PS5  50unit  $695  WB Card</t>
  </si>
  <si>
    <t>Starlink V4  1Unit  $599  WB Card</t>
  </si>
  <si>
    <t>Starlink V4  2Unit  $550  WB Card</t>
  </si>
  <si>
    <t>Starlink Mini  10Units  $649  WB Card</t>
  </si>
  <si>
    <t>Starlink Mini  36Units  $620  WB Card</t>
  </si>
  <si>
    <t>Pending Collection</t>
  </si>
  <si>
    <t>Starlink Mini  35Units  $620  WB Card</t>
  </si>
  <si>
    <t>Starlink Mini  32Units  $620  WB Card</t>
  </si>
  <si>
    <t>Starlink Mini  33Units  $620  WB Card</t>
  </si>
  <si>
    <t>Starlink Mini  08Units  $620  WB Card</t>
  </si>
  <si>
    <t>Starlink Mini  200Units  $649  WB Card</t>
  </si>
  <si>
    <t>Starlink Mini  100Units  $649  WB Card</t>
  </si>
  <si>
    <t>PS5  35Units  $695  WB Card</t>
  </si>
  <si>
    <t>Starlink Mini  45Units  $620  WB Card</t>
  </si>
  <si>
    <t>Starlink V4   14Units  $530  WB Card</t>
  </si>
  <si>
    <t>Received in Dubai</t>
  </si>
  <si>
    <t>Purchase Cancelled</t>
  </si>
  <si>
    <t>Profit 548 Units V4  (Per unit $6)</t>
  </si>
  <si>
    <t>Profit Paid by WB</t>
  </si>
  <si>
    <t xml:space="preserve">Details </t>
  </si>
  <si>
    <t>Starlink V4  4Units  $490  ARB Card</t>
  </si>
  <si>
    <t>JBL Charge 5  60Units  $132  WB Card</t>
  </si>
  <si>
    <t>MSG 19/12/2024</t>
  </si>
  <si>
    <t>Starlink V4  1Units  $470  WB Card</t>
  </si>
  <si>
    <t>Starlink V4  4Units  $485  WB Card</t>
  </si>
  <si>
    <t>Starlink V4  15Units  $569  WB Card</t>
  </si>
  <si>
    <t>PS5  1Unit JBHifi  $580  WB Card</t>
  </si>
  <si>
    <t>Call 19/12/2024</t>
  </si>
  <si>
    <t>Starlink V4  38Units  $569  WB Card</t>
  </si>
  <si>
    <t>Starlink Mini  11Units  $619  WB Card</t>
  </si>
  <si>
    <t>Starlink V4  51Units  $569  WB Card</t>
  </si>
  <si>
    <t>Sydney Collection Stock</t>
  </si>
  <si>
    <t>Starlink V4  17Units  $569  WB Card</t>
  </si>
  <si>
    <t>Purchase Cancelled by WB Call  19/12/2024</t>
  </si>
  <si>
    <t>8 Units Refund  39 Collect  21/12/2024</t>
  </si>
  <si>
    <r>
      <t xml:space="preserve">JBL Charge5  </t>
    </r>
    <r>
      <rPr>
        <strike/>
        <sz val="11"/>
        <color theme="1"/>
        <rFont val="Times New Roman"/>
        <family val="1"/>
      </rPr>
      <t>47Units</t>
    </r>
    <r>
      <rPr>
        <sz val="11"/>
        <color theme="1"/>
        <rFont val="Times New Roman"/>
        <family val="1"/>
      </rPr>
      <t xml:space="preserve">  $133.30 WB 39Units</t>
    </r>
  </si>
  <si>
    <t>Starlink V4  2Units  $490  WB Card</t>
  </si>
  <si>
    <t>JBL Charge5  75Units $128</t>
  </si>
  <si>
    <t>$1120 by WB  + 8480 by ARB</t>
  </si>
  <si>
    <t>8 Refund 21/12/2024</t>
  </si>
  <si>
    <t>Starlink V4  2Units  $549  ARB Card</t>
  </si>
  <si>
    <t>Mac Book Pro 2Units $2968-10%  WB Card</t>
  </si>
  <si>
    <t>Starlink Mini 1 Unit  $599-10%  WB Card</t>
  </si>
  <si>
    <t>JBL Charge 5  40units $140-10%  WB Card</t>
  </si>
  <si>
    <t>Apple I.Mac  1Unit  $1798-10%  WB Card</t>
  </si>
  <si>
    <t>Starlink V4 1 Unit  $549-10%  WB Card</t>
  </si>
  <si>
    <t>Starlink Mini 5 Unit  $599-10%  WB Card</t>
  </si>
  <si>
    <t>Apple MacBook Pro M4  3Unit  $2968-10%  WB Card</t>
  </si>
  <si>
    <t>JBL Charge 5  75units $128  WB Card</t>
  </si>
  <si>
    <t>JBL Essential 2  40Units  $68.50  WB Card</t>
  </si>
  <si>
    <t>Breville Coffee Machine 2Units  $132-10%  WB Card</t>
  </si>
  <si>
    <t>Delongi Coffee Machine 2Units  $128-10%  WB Card</t>
  </si>
  <si>
    <t>Dyson Airstraight 1Unit  $697-10%  WB Card</t>
  </si>
  <si>
    <t>Dyson Airstraight 1Unit  $598-10%  WB Card</t>
  </si>
  <si>
    <t>JBL Charge5  60Units  $140-10%  WB Card</t>
  </si>
  <si>
    <t>MacBook M3 1Unit  $2158 WB Card</t>
  </si>
  <si>
    <t>Apple I.Mac  1Unit  $1798  WB Card</t>
  </si>
  <si>
    <t>MacBook 2Units  $2948-10% WB Card</t>
  </si>
  <si>
    <t>Apple I.Mac  2Units  $1768-10%  WB Card</t>
  </si>
  <si>
    <t>Starlink Mini 2 Units  $550-10%  WB Card</t>
  </si>
  <si>
    <t>Google Streamer 4k  5Units  $127  WB Card</t>
  </si>
  <si>
    <t>Starlink High.Performance kit 22Units $1790-10%  WB Card</t>
  </si>
  <si>
    <t>Group Date</t>
  </si>
  <si>
    <t>Starlink V4  52Units  $478.40  WB Card</t>
  </si>
  <si>
    <t>Google Tv 4k</t>
  </si>
  <si>
    <t>MacBook Pro</t>
  </si>
  <si>
    <t>I.Mac</t>
  </si>
  <si>
    <t>MacBook M4</t>
  </si>
  <si>
    <t>Breville</t>
  </si>
  <si>
    <t xml:space="preserve">Delongi </t>
  </si>
  <si>
    <t>Dyson</t>
  </si>
  <si>
    <t>MacBook M3</t>
  </si>
  <si>
    <t>Starlink HP Kit</t>
  </si>
  <si>
    <t>MacBook</t>
  </si>
  <si>
    <t>Opening</t>
  </si>
  <si>
    <t>Group Date Msg by AR</t>
  </si>
  <si>
    <t>Starlink V4  16Units  $569  WB Card</t>
  </si>
  <si>
    <t>Starlink Mini 1Units  $599  WB Card</t>
  </si>
  <si>
    <t>JBL Charge5  43Units $132  WB Card</t>
  </si>
  <si>
    <t>Group Date   07/01/2025</t>
  </si>
  <si>
    <t>Cash In Hand</t>
  </si>
  <si>
    <t>Total Stock Value</t>
  </si>
  <si>
    <t>ANAS GOHAR</t>
  </si>
  <si>
    <t>HAMZA CUSTOMER</t>
  </si>
  <si>
    <t>POWER PLAY</t>
  </si>
  <si>
    <t>RAAZ</t>
  </si>
  <si>
    <t>AR STAFF</t>
  </si>
  <si>
    <t>ASHFAQ SAHAB CARD</t>
  </si>
  <si>
    <t>FAISAL BHAI</t>
  </si>
  <si>
    <t>FAISAL BHAI HOLD STOCK KARACHI</t>
  </si>
  <si>
    <t>JAWED BHAI AUSTRALIA</t>
  </si>
  <si>
    <t>SAAD &amp; WAJAHAT</t>
  </si>
  <si>
    <t>SIR ASHFAQ AMGT</t>
  </si>
  <si>
    <t>WAHEED BHAI</t>
  </si>
  <si>
    <t>Group Date 08/01/2025</t>
  </si>
  <si>
    <t>MacBook M3 1Unit  $2158+$40 WB Card</t>
  </si>
  <si>
    <t>MacBook M4 1Unit  $2968+$40-10% WB Card</t>
  </si>
  <si>
    <t>Returned by WB</t>
  </si>
  <si>
    <t xml:space="preserve">From jawed bhai </t>
  </si>
  <si>
    <t>AHMED SODANI</t>
  </si>
  <si>
    <t>GST REFUND AUSTRALIA</t>
  </si>
  <si>
    <t>GST REFUND NEWZEALAND</t>
  </si>
  <si>
    <t xml:space="preserve">DEC-2024 CLOSING </t>
  </si>
  <si>
    <t>Starlink Mini  100Units  $649  WB Card 5000 DDEPOSIT NZ</t>
  </si>
  <si>
    <t>32UNIT PAYMENT BALANCE</t>
  </si>
  <si>
    <t>JBL Charge 5  40units $140-10%  WB Card  $700 Deposit</t>
  </si>
  <si>
    <t>Apple MacBook Pro M4  3Unit  $2968-10%  WB Card  890$ D</t>
  </si>
  <si>
    <t>not paid</t>
  </si>
  <si>
    <t>payment done</t>
  </si>
  <si>
    <t>JBL Charge5  60Units  $140-10%  WB Card $500 D</t>
  </si>
  <si>
    <t>Deposit</t>
  </si>
  <si>
    <t>AED Rate</t>
  </si>
  <si>
    <t>Starlink Mini  100Units  $649  WB Card 5000 Deposit NZ</t>
  </si>
  <si>
    <t xml:space="preserve">JBL Charge 5  32Units  $132  WB Card  </t>
  </si>
  <si>
    <t>JBL Charge 5  75units $128  WB Card (Not Paid)</t>
  </si>
  <si>
    <t>$ Rate</t>
  </si>
  <si>
    <t>$ Total</t>
  </si>
  <si>
    <r>
      <t xml:space="preserve">Less: </t>
    </r>
    <r>
      <rPr>
        <sz val="10"/>
        <color rgb="FF000000"/>
        <rFont val="Times New Roman"/>
        <family val="1"/>
      </rPr>
      <t>Pending Stock</t>
    </r>
  </si>
  <si>
    <t>M4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</si>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</sst>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AED&quot;* #,##0.00_-;\-&quot;AED&quot;* #,##0.00_-;_-&quot;AED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AED-4C09]* #,##0.00_-;\-[$AED-4C09]* #,##0.00_-;_-[$AED-4C09]* &quot;-&quot;??_-;_-@_-"/>
    <numFmt numFmtId="166" formatCode="0.000"/>
    <numFmt numFmtId="167" formatCode="_-* #,##0_-;\-* #,##0_-;_-* &quot;-&quot;??_-;_-@_-"/>
  </numFmts>
  <fonts count="49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b/>
      <u/>
      <sz val="13"/>
      <color theme="1"/>
      <name val="Calibri"/>
      <family val="2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1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rgb="FF000000"/>
      <name val="Calibri"/>
      <family val="2"/>
    </font>
    <font>
      <b/>
      <u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u/>
      <sz val="14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6"/>
      <color rgb="FFFF0000"/>
      <name val="Times New Roman"/>
      <family val="1"/>
    </font>
    <font>
      <b/>
      <u/>
      <sz val="12"/>
      <color rgb="FFFF0000"/>
      <name val="Calibri"/>
      <family val="2"/>
    </font>
    <font>
      <b/>
      <u/>
      <sz val="12"/>
      <color rgb="FFFF0000"/>
      <name val="Calibri"/>
      <family val="2"/>
      <scheme val="minor"/>
    </font>
    <font>
      <b/>
      <u/>
      <sz val="12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u/>
      <sz val="12"/>
      <color theme="1"/>
      <name val="Calibri"/>
      <family val="2"/>
    </font>
    <font>
      <u/>
      <sz val="10"/>
      <color rgb="FF000000"/>
      <name val="Times New Roman"/>
      <family val="1"/>
    </font>
    <font>
      <strike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7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/>
    <xf numFmtId="43" fontId="0" fillId="0" borderId="0" xfId="1" applyFont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43" fontId="3" fillId="0" borderId="2" xfId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wrapText="1"/>
    </xf>
    <xf numFmtId="4" fontId="0" fillId="0" borderId="1" xfId="0" applyNumberFormat="1" applyBorder="1"/>
    <xf numFmtId="0" fontId="7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 applyAlignment="1">
      <alignment horizontal="center" vertical="top"/>
    </xf>
    <xf numFmtId="0" fontId="10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center" vertical="top"/>
    </xf>
    <xf numFmtId="44" fontId="7" fillId="0" borderId="1" xfId="1" applyNumberFormat="1" applyFont="1" applyFill="1" applyBorder="1" applyAlignment="1">
      <alignment horizontal="right" wrapText="1"/>
    </xf>
    <xf numFmtId="44" fontId="0" fillId="0" borderId="1" xfId="0" applyNumberFormat="1" applyBorder="1" applyAlignment="1">
      <alignment horizontal="left" vertical="top"/>
    </xf>
    <xf numFmtId="44" fontId="7" fillId="0" borderId="1" xfId="0" applyNumberFormat="1" applyFont="1" applyBorder="1" applyAlignment="1">
      <alignment horizontal="right"/>
    </xf>
    <xf numFmtId="44" fontId="6" fillId="0" borderId="1" xfId="0" applyNumberFormat="1" applyFont="1" applyBorder="1" applyAlignment="1">
      <alignment horizontal="right" wrapText="1"/>
    </xf>
    <xf numFmtId="44" fontId="8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4" fontId="17" fillId="0" borderId="1" xfId="2" applyNumberFormat="1" applyFont="1" applyBorder="1" applyAlignment="1">
      <alignment horizontal="left" vertical="center"/>
    </xf>
    <xf numFmtId="164" fontId="15" fillId="0" borderId="1" xfId="2" applyNumberFormat="1" applyFont="1" applyBorder="1" applyAlignment="1">
      <alignment horizontal="left" vertical="center"/>
    </xf>
    <xf numFmtId="164" fontId="15" fillId="0" borderId="1" xfId="1" applyNumberFormat="1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17" fillId="0" borderId="0" xfId="2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4" fontId="18" fillId="0" borderId="0" xfId="2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vertical="center" wrapText="1"/>
    </xf>
    <xf numFmtId="0" fontId="10" fillId="0" borderId="1" xfId="0" applyFont="1" applyBorder="1"/>
    <xf numFmtId="2" fontId="10" fillId="0" borderId="1" xfId="0" applyNumberFormat="1" applyFont="1" applyBorder="1" applyAlignment="1">
      <alignment horizontal="right" wrapText="1"/>
    </xf>
    <xf numFmtId="2" fontId="10" fillId="0" borderId="0" xfId="0" applyNumberFormat="1" applyFont="1" applyAlignment="1">
      <alignment horizontal="right" wrapText="1"/>
    </xf>
    <xf numFmtId="14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wrapText="1"/>
    </xf>
    <xf numFmtId="2" fontId="1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/>
    </xf>
    <xf numFmtId="2" fontId="9" fillId="0" borderId="1" xfId="0" applyNumberFormat="1" applyFont="1" applyBorder="1" applyAlignment="1">
      <alignment horizontal="right" wrapText="1"/>
    </xf>
    <xf numFmtId="2" fontId="1" fillId="0" borderId="1" xfId="1" applyNumberFormat="1" applyFont="1" applyBorder="1" applyAlignment="1">
      <alignment horizontal="right"/>
    </xf>
    <xf numFmtId="2" fontId="1" fillId="0" borderId="1" xfId="1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/>
    </xf>
    <xf numFmtId="2" fontId="1" fillId="0" borderId="1" xfId="0" applyNumberFormat="1" applyFont="1" applyBorder="1" applyAlignment="1">
      <alignment vertical="center"/>
    </xf>
    <xf numFmtId="0" fontId="15" fillId="2" borderId="1" xfId="0" applyFont="1" applyFill="1" applyBorder="1" applyAlignment="1">
      <alignment wrapText="1"/>
    </xf>
    <xf numFmtId="0" fontId="21" fillId="2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17" fillId="3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1" xfId="0" applyFont="1" applyBorder="1"/>
    <xf numFmtId="0" fontId="17" fillId="2" borderId="0" xfId="0" applyFont="1" applyFill="1" applyAlignment="1">
      <alignment horizontal="left" vertical="top"/>
    </xf>
    <xf numFmtId="0" fontId="17" fillId="2" borderId="1" xfId="0" applyFont="1" applyFill="1" applyBorder="1"/>
    <xf numFmtId="0" fontId="22" fillId="0" borderId="1" xfId="0" applyFont="1" applyBorder="1" applyAlignment="1">
      <alignment horizontal="center" wrapText="1"/>
    </xf>
    <xf numFmtId="14" fontId="17" fillId="0" borderId="1" xfId="0" applyNumberFormat="1" applyFont="1" applyBorder="1" applyAlignment="1">
      <alignment horizont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7" fillId="2" borderId="1" xfId="0" applyFont="1" applyFill="1" applyBorder="1" applyAlignment="1">
      <alignment horizontal="center" vertical="center"/>
    </xf>
    <xf numFmtId="2" fontId="1" fillId="2" borderId="1" xfId="1" applyNumberFormat="1" applyFont="1" applyFill="1" applyBorder="1" applyAlignment="1">
      <alignment horizontal="right"/>
    </xf>
    <xf numFmtId="2" fontId="1" fillId="3" borderId="1" xfId="1" applyNumberFormat="1" applyFont="1" applyFill="1" applyBorder="1" applyAlignment="1">
      <alignment horizontal="right"/>
    </xf>
    <xf numFmtId="2" fontId="10" fillId="0" borderId="1" xfId="1" applyNumberFormat="1" applyFont="1" applyBorder="1" applyAlignment="1">
      <alignment horizontal="center" wrapText="1"/>
    </xf>
    <xf numFmtId="2" fontId="10" fillId="2" borderId="1" xfId="1" applyNumberFormat="1" applyFont="1" applyFill="1" applyBorder="1" applyAlignment="1">
      <alignment horizontal="center" wrapText="1"/>
    </xf>
    <xf numFmtId="2" fontId="10" fillId="0" borderId="1" xfId="1" applyNumberFormat="1" applyFont="1" applyFill="1" applyBorder="1" applyAlignment="1">
      <alignment horizontal="center" wrapText="1"/>
    </xf>
    <xf numFmtId="2" fontId="10" fillId="3" borderId="1" xfId="1" applyNumberFormat="1" applyFont="1" applyFill="1" applyBorder="1" applyAlignment="1">
      <alignment horizontal="center" wrapText="1"/>
    </xf>
    <xf numFmtId="0" fontId="17" fillId="4" borderId="0" xfId="0" applyFont="1" applyFill="1" applyAlignment="1">
      <alignment horizontal="left" vertical="top"/>
    </xf>
    <xf numFmtId="14" fontId="17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wrapText="1"/>
    </xf>
    <xf numFmtId="2" fontId="10" fillId="4" borderId="1" xfId="1" applyNumberFormat="1" applyFont="1" applyFill="1" applyBorder="1" applyAlignment="1">
      <alignment horizontal="center" wrapText="1"/>
    </xf>
    <xf numFmtId="2" fontId="1" fillId="4" borderId="1" xfId="1" applyNumberFormat="1" applyFont="1" applyFill="1" applyBorder="1" applyAlignment="1">
      <alignment horizontal="right"/>
    </xf>
    <xf numFmtId="14" fontId="15" fillId="4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wrapText="1"/>
    </xf>
    <xf numFmtId="0" fontId="17" fillId="3" borderId="1" xfId="0" applyFont="1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/>
    <xf numFmtId="0" fontId="23" fillId="5" borderId="1" xfId="0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10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0" fontId="5" fillId="0" borderId="0" xfId="0" applyFont="1"/>
    <xf numFmtId="4" fontId="25" fillId="0" borderId="0" xfId="0" applyNumberFormat="1" applyFont="1"/>
    <xf numFmtId="14" fontId="15" fillId="0" borderId="1" xfId="0" applyNumberFormat="1" applyFont="1" applyBorder="1" applyAlignment="1">
      <alignment vertical="center" wrapText="1"/>
    </xf>
    <xf numFmtId="4" fontId="15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/>
    <xf numFmtId="0" fontId="15" fillId="0" borderId="1" xfId="0" applyFont="1" applyBorder="1"/>
    <xf numFmtId="2" fontId="1" fillId="0" borderId="1" xfId="0" applyNumberFormat="1" applyFont="1" applyBorder="1"/>
    <xf numFmtId="0" fontId="1" fillId="0" borderId="0" xfId="0" applyFont="1"/>
    <xf numFmtId="4" fontId="21" fillId="0" borderId="1" xfId="0" applyNumberFormat="1" applyFont="1" applyBorder="1"/>
    <xf numFmtId="14" fontId="1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right" wrapText="1"/>
    </xf>
    <xf numFmtId="2" fontId="17" fillId="0" borderId="1" xfId="1" applyNumberFormat="1" applyFont="1" applyBorder="1" applyAlignment="1">
      <alignment horizontal="right"/>
    </xf>
    <xf numFmtId="0" fontId="10" fillId="0" borderId="1" xfId="0" applyFont="1" applyBorder="1" applyAlignment="1">
      <alignment horizontal="right" wrapText="1"/>
    </xf>
    <xf numFmtId="14" fontId="6" fillId="3" borderId="1" xfId="0" applyNumberFormat="1" applyFont="1" applyFill="1" applyBorder="1" applyAlignment="1">
      <alignment vertical="center" wrapText="1"/>
    </xf>
    <xf numFmtId="0" fontId="0" fillId="3" borderId="1" xfId="0" applyFill="1" applyBorder="1"/>
    <xf numFmtId="44" fontId="7" fillId="3" borderId="1" xfId="0" applyNumberFormat="1" applyFont="1" applyFill="1" applyBorder="1" applyAlignment="1">
      <alignment horizontal="right"/>
    </xf>
    <xf numFmtId="44" fontId="7" fillId="3" borderId="1" xfId="0" applyNumberFormat="1" applyFont="1" applyFill="1" applyBorder="1"/>
    <xf numFmtId="4" fontId="0" fillId="3" borderId="1" xfId="0" applyNumberFormat="1" applyFill="1" applyBorder="1"/>
    <xf numFmtId="2" fontId="1" fillId="0" borderId="1" xfId="0" applyNumberFormat="1" applyFont="1" applyBorder="1" applyAlignment="1">
      <alignment horizontal="center" vertical="top"/>
    </xf>
    <xf numFmtId="2" fontId="16" fillId="5" borderId="1" xfId="0" applyNumberFormat="1" applyFont="1" applyFill="1" applyBorder="1" applyAlignment="1">
      <alignment horizontal="center" vertical="center"/>
    </xf>
    <xf numFmtId="2" fontId="23" fillId="5" borderId="1" xfId="0" applyNumberFormat="1" applyFont="1" applyFill="1" applyBorder="1" applyAlignment="1">
      <alignment horizontal="center" vertical="center"/>
    </xf>
    <xf numFmtId="2" fontId="10" fillId="3" borderId="1" xfId="1" applyNumberFormat="1" applyFont="1" applyFill="1" applyBorder="1" applyAlignment="1">
      <alignment horizontal="right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top"/>
    </xf>
    <xf numFmtId="2" fontId="10" fillId="0" borderId="1" xfId="1" applyNumberFormat="1" applyFont="1" applyBorder="1" applyAlignment="1">
      <alignment horizontal="right" wrapText="1"/>
    </xf>
    <xf numFmtId="2" fontId="10" fillId="3" borderId="1" xfId="0" applyNumberFormat="1" applyFont="1" applyFill="1" applyBorder="1" applyAlignment="1">
      <alignment horizontal="right" wrapText="1"/>
    </xf>
    <xf numFmtId="2" fontId="1" fillId="3" borderId="1" xfId="1" applyNumberFormat="1" applyFont="1" applyFill="1" applyBorder="1"/>
    <xf numFmtId="2" fontId="10" fillId="0" borderId="1" xfId="0" applyNumberFormat="1" applyFont="1" applyBorder="1" applyAlignment="1">
      <alignment horizontal="center" wrapText="1"/>
    </xf>
    <xf numFmtId="2" fontId="10" fillId="4" borderId="1" xfId="1" applyNumberFormat="1" applyFont="1" applyFill="1" applyBorder="1" applyAlignment="1">
      <alignment horizontal="right" wrapText="1"/>
    </xf>
    <xf numFmtId="2" fontId="1" fillId="4" borderId="1" xfId="0" applyNumberFormat="1" applyFont="1" applyFill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right" wrapText="1"/>
    </xf>
    <xf numFmtId="2" fontId="1" fillId="0" borderId="1" xfId="1" applyNumberFormat="1" applyFont="1" applyFill="1" applyBorder="1"/>
    <xf numFmtId="2" fontId="10" fillId="2" borderId="1" xfId="0" applyNumberFormat="1" applyFont="1" applyFill="1" applyBorder="1" applyAlignment="1">
      <alignment horizontal="right" wrapText="1"/>
    </xf>
    <xf numFmtId="2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right" wrapText="1"/>
    </xf>
    <xf numFmtId="2" fontId="1" fillId="0" borderId="1" xfId="1" applyNumberFormat="1" applyFont="1" applyFill="1" applyBorder="1" applyAlignment="1">
      <alignment horizontal="center"/>
    </xf>
    <xf numFmtId="2" fontId="1" fillId="2" borderId="1" xfId="1" applyNumberFormat="1" applyFont="1" applyFill="1" applyBorder="1"/>
    <xf numFmtId="2" fontId="1" fillId="5" borderId="1" xfId="0" applyNumberFormat="1" applyFont="1" applyFill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right" wrapText="1"/>
    </xf>
    <xf numFmtId="166" fontId="10" fillId="0" borderId="1" xfId="0" applyNumberFormat="1" applyFont="1" applyBorder="1" applyAlignment="1">
      <alignment wrapText="1"/>
    </xf>
    <xf numFmtId="14" fontId="0" fillId="0" borderId="1" xfId="0" applyNumberFormat="1" applyBorder="1" applyAlignment="1">
      <alignment horizontal="left" vertical="top"/>
    </xf>
    <xf numFmtId="0" fontId="18" fillId="0" borderId="1" xfId="0" applyFont="1" applyBorder="1" applyAlignment="1">
      <alignment horizontal="center" vertical="center"/>
    </xf>
    <xf numFmtId="164" fontId="18" fillId="0" borderId="1" xfId="2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2" fontId="10" fillId="0" borderId="1" xfId="0" applyNumberFormat="1" applyFont="1" applyBorder="1" applyAlignment="1">
      <alignment wrapText="1"/>
    </xf>
    <xf numFmtId="0" fontId="26" fillId="0" borderId="1" xfId="0" applyFont="1" applyBorder="1" applyAlignment="1">
      <alignment wrapText="1"/>
    </xf>
    <xf numFmtId="14" fontId="19" fillId="0" borderId="1" xfId="0" applyNumberFormat="1" applyFont="1" applyBorder="1" applyAlignment="1">
      <alignment horizontal="center" vertical="center"/>
    </xf>
    <xf numFmtId="2" fontId="26" fillId="0" borderId="1" xfId="0" applyNumberFormat="1" applyFont="1" applyBorder="1" applyAlignment="1">
      <alignment horizontal="right" wrapText="1"/>
    </xf>
    <xf numFmtId="14" fontId="26" fillId="0" borderId="1" xfId="0" applyNumberFormat="1" applyFont="1" applyBorder="1" applyAlignment="1">
      <alignment horizontal="center" wrapText="1"/>
    </xf>
    <xf numFmtId="0" fontId="21" fillId="0" borderId="1" xfId="0" applyFont="1" applyBorder="1" applyAlignment="1">
      <alignment wrapText="1"/>
    </xf>
    <xf numFmtId="14" fontId="26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right" vertical="center"/>
    </xf>
    <xf numFmtId="14" fontId="19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17" fillId="0" borderId="1" xfId="0" applyFont="1" applyBorder="1" applyAlignment="1">
      <alignment horizontal="left" vertical="center"/>
    </xf>
    <xf numFmtId="2" fontId="1" fillId="0" borderId="1" xfId="1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4" fontId="0" fillId="0" borderId="0" xfId="0" applyNumberFormat="1" applyAlignment="1">
      <alignment horizontal="left" vertical="top"/>
    </xf>
    <xf numFmtId="49" fontId="5" fillId="0" borderId="1" xfId="0" applyNumberFormat="1" applyFont="1" applyBorder="1" applyAlignment="1">
      <alignment horizontal="center" wrapText="1"/>
    </xf>
    <xf numFmtId="14" fontId="0" fillId="0" borderId="0" xfId="0" applyNumberFormat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0" fontId="1" fillId="3" borderId="1" xfId="0" applyFont="1" applyFill="1" applyBorder="1"/>
    <xf numFmtId="2" fontId="0" fillId="0" borderId="0" xfId="0" applyNumberFormat="1" applyAlignment="1">
      <alignment horizontal="left" vertical="top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4" fontId="17" fillId="4" borderId="1" xfId="2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2" fontId="1" fillId="0" borderId="0" xfId="0" applyNumberFormat="1" applyFont="1" applyAlignment="1">
      <alignment vertical="center"/>
    </xf>
    <xf numFmtId="14" fontId="14" fillId="0" borderId="1" xfId="0" applyNumberFormat="1" applyFont="1" applyBorder="1" applyAlignment="1">
      <alignment vertical="center" wrapText="1"/>
    </xf>
    <xf numFmtId="0" fontId="27" fillId="0" borderId="1" xfId="0" applyFont="1" applyBorder="1"/>
    <xf numFmtId="44" fontId="14" fillId="0" borderId="1" xfId="1" applyNumberFormat="1" applyFont="1" applyFill="1" applyBorder="1" applyAlignment="1">
      <alignment horizontal="right" wrapText="1"/>
    </xf>
    <xf numFmtId="4" fontId="27" fillId="0" borderId="1" xfId="0" applyNumberFormat="1" applyFont="1" applyBorder="1"/>
    <xf numFmtId="44" fontId="14" fillId="0" borderId="1" xfId="0" applyNumberFormat="1" applyFont="1" applyBorder="1" applyAlignment="1">
      <alignment horizontal="right"/>
    </xf>
    <xf numFmtId="14" fontId="27" fillId="0" borderId="1" xfId="0" applyNumberFormat="1" applyFont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44" fontId="14" fillId="0" borderId="1" xfId="0" applyNumberFormat="1" applyFont="1" applyBorder="1" applyAlignment="1">
      <alignment horizontal="center" wrapText="1"/>
    </xf>
    <xf numFmtId="14" fontId="3" fillId="0" borderId="3" xfId="0" applyNumberFormat="1" applyFont="1" applyBorder="1" applyAlignment="1">
      <alignment wrapText="1"/>
    </xf>
    <xf numFmtId="0" fontId="3" fillId="0" borderId="3" xfId="0" applyFont="1" applyBorder="1" applyAlignment="1">
      <alignment wrapText="1"/>
    </xf>
    <xf numFmtId="43" fontId="0" fillId="0" borderId="0" xfId="0" applyNumberFormat="1" applyAlignment="1">
      <alignment horizontal="left" vertical="top"/>
    </xf>
    <xf numFmtId="43" fontId="3" fillId="3" borderId="1" xfId="1" applyFont="1" applyFill="1" applyBorder="1" applyAlignment="1">
      <alignment horizontal="center" wrapText="1"/>
    </xf>
    <xf numFmtId="44" fontId="27" fillId="3" borderId="1" xfId="0" applyNumberFormat="1" applyFont="1" applyFill="1" applyBorder="1" applyAlignment="1">
      <alignment horizontal="center" vertical="top"/>
    </xf>
    <xf numFmtId="44" fontId="14" fillId="3" borderId="1" xfId="1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44" fontId="14" fillId="3" borderId="1" xfId="0" applyNumberFormat="1" applyFont="1" applyFill="1" applyBorder="1" applyAlignment="1">
      <alignment horizontal="center"/>
    </xf>
    <xf numFmtId="44" fontId="14" fillId="3" borderId="1" xfId="0" applyNumberFormat="1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3" fontId="3" fillId="3" borderId="1" xfId="0" applyNumberFormat="1" applyFont="1" applyFill="1" applyBorder="1" applyAlignment="1">
      <alignment wrapText="1"/>
    </xf>
    <xf numFmtId="14" fontId="6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/>
    <xf numFmtId="44" fontId="8" fillId="4" borderId="1" xfId="0" applyNumberFormat="1" applyFont="1" applyFill="1" applyBorder="1" applyAlignment="1">
      <alignment horizontal="right"/>
    </xf>
    <xf numFmtId="44" fontId="6" fillId="4" borderId="1" xfId="0" applyNumberFormat="1" applyFont="1" applyFill="1" applyBorder="1" applyAlignment="1">
      <alignment horizontal="right" wrapText="1"/>
    </xf>
    <xf numFmtId="4" fontId="0" fillId="4" borderId="1" xfId="0" applyNumberFormat="1" applyFill="1" applyBorder="1"/>
    <xf numFmtId="0" fontId="0" fillId="4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7" fillId="0" borderId="0" xfId="0" applyFont="1" applyAlignment="1">
      <alignment horizontal="center"/>
    </xf>
    <xf numFmtId="0" fontId="0" fillId="0" borderId="4" xfId="0" applyBorder="1" applyAlignment="1">
      <alignment horizontal="left" vertical="top"/>
    </xf>
    <xf numFmtId="14" fontId="17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 wrapText="1"/>
    </xf>
    <xf numFmtId="0" fontId="20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3" fontId="17" fillId="0" borderId="0" xfId="0" applyNumberFormat="1" applyFont="1" applyAlignment="1">
      <alignment horizontal="left" wrapText="1"/>
    </xf>
    <xf numFmtId="2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2" fontId="15" fillId="0" borderId="0" xfId="0" applyNumberFormat="1" applyFont="1" applyAlignment="1">
      <alignment horizontal="right" wrapText="1"/>
    </xf>
    <xf numFmtId="2" fontId="17" fillId="0" borderId="0" xfId="1" applyNumberFormat="1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43" fontId="15" fillId="0" borderId="0" xfId="1" applyFont="1" applyFill="1" applyBorder="1" applyAlignment="1">
      <alignment horizontal="right" wrapText="1"/>
    </xf>
    <xf numFmtId="167" fontId="15" fillId="0" borderId="0" xfId="1" applyNumberFormat="1" applyFont="1" applyFill="1" applyBorder="1" applyAlignment="1">
      <alignment horizontal="right" wrapText="1"/>
    </xf>
    <xf numFmtId="0" fontId="15" fillId="0" borderId="0" xfId="0" applyFont="1" applyAlignment="1">
      <alignment horizontal="right" wrapText="1"/>
    </xf>
    <xf numFmtId="3" fontId="15" fillId="0" borderId="0" xfId="0" applyNumberFormat="1" applyFont="1" applyAlignment="1">
      <alignment horizontal="right" wrapText="1"/>
    </xf>
    <xf numFmtId="167" fontId="17" fillId="0" borderId="0" xfId="1" applyNumberFormat="1" applyFont="1" applyBorder="1" applyAlignment="1">
      <alignment horizontal="center"/>
    </xf>
    <xf numFmtId="167" fontId="17" fillId="0" borderId="4" xfId="1" applyNumberFormat="1" applyFont="1" applyBorder="1" applyAlignment="1">
      <alignment horizontal="center"/>
    </xf>
    <xf numFmtId="14" fontId="17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right" vertical="center"/>
    </xf>
    <xf numFmtId="0" fontId="15" fillId="0" borderId="0" xfId="0" applyFont="1" applyAlignment="1">
      <alignment wrapText="1"/>
    </xf>
    <xf numFmtId="14" fontId="15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21" fillId="0" borderId="0" xfId="0" applyFont="1" applyAlignment="1">
      <alignment wrapText="1"/>
    </xf>
    <xf numFmtId="0" fontId="15" fillId="0" borderId="0" xfId="0" applyFont="1"/>
    <xf numFmtId="2" fontId="15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7" fontId="17" fillId="0" borderId="0" xfId="1" applyNumberFormat="1" applyFont="1" applyFill="1" applyBorder="1" applyAlignment="1">
      <alignment horizontal="center"/>
    </xf>
    <xf numFmtId="166" fontId="10" fillId="0" borderId="0" xfId="0" applyNumberFormat="1" applyFont="1" applyAlignment="1">
      <alignment wrapText="1"/>
    </xf>
    <xf numFmtId="167" fontId="10" fillId="0" borderId="1" xfId="1" applyNumberFormat="1" applyFont="1" applyFill="1" applyBorder="1" applyAlignment="1">
      <alignment horizontal="right" wrapText="1"/>
    </xf>
    <xf numFmtId="167" fontId="1" fillId="0" borderId="1" xfId="1" applyNumberFormat="1" applyFont="1" applyFill="1" applyBorder="1" applyAlignment="1">
      <alignment horizontal="right"/>
    </xf>
    <xf numFmtId="2" fontId="0" fillId="0" borderId="4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17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0" fillId="0" borderId="0" xfId="0" applyAlignment="1">
      <alignment horizontal="right" vertical="top"/>
    </xf>
    <xf numFmtId="0" fontId="24" fillId="0" borderId="0" xfId="0" applyFont="1" applyAlignment="1">
      <alignment horizontal="right" vertical="top"/>
    </xf>
    <xf numFmtId="2" fontId="0" fillId="0" borderId="1" xfId="2" applyNumberFormat="1" applyFont="1" applyFill="1" applyBorder="1" applyAlignment="1">
      <alignment horizontal="right" vertical="center"/>
    </xf>
    <xf numFmtId="0" fontId="30" fillId="0" borderId="1" xfId="0" applyFont="1" applyBorder="1" applyAlignment="1">
      <alignment horizontal="left" vertical="top"/>
    </xf>
    <xf numFmtId="2" fontId="10" fillId="0" borderId="1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top"/>
    </xf>
    <xf numFmtId="2" fontId="12" fillId="0" borderId="0" xfId="0" applyNumberFormat="1" applyFont="1" applyAlignment="1">
      <alignment horizontal="center" vertical="center"/>
    </xf>
    <xf numFmtId="0" fontId="24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left" wrapText="1"/>
    </xf>
    <xf numFmtId="0" fontId="19" fillId="0" borderId="1" xfId="0" applyFont="1" applyBorder="1"/>
    <xf numFmtId="2" fontId="19" fillId="0" borderId="1" xfId="0" applyNumberFormat="1" applyFont="1" applyBorder="1" applyAlignment="1">
      <alignment horizontal="right"/>
    </xf>
    <xf numFmtId="14" fontId="15" fillId="0" borderId="1" xfId="0" applyNumberFormat="1" applyFont="1" applyBorder="1" applyAlignment="1">
      <alignment horizontal="center" wrapText="1"/>
    </xf>
    <xf numFmtId="43" fontId="15" fillId="0" borderId="1" xfId="1" applyFont="1" applyFill="1" applyBorder="1" applyAlignment="1">
      <alignment horizontal="right" wrapText="1"/>
    </xf>
    <xf numFmtId="14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wrapText="1"/>
    </xf>
    <xf numFmtId="2" fontId="33" fillId="0" borderId="1" xfId="0" applyNumberFormat="1" applyFont="1" applyBorder="1" applyAlignment="1">
      <alignment horizontal="right" wrapText="1"/>
    </xf>
    <xf numFmtId="2" fontId="34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wrapText="1"/>
    </xf>
    <xf numFmtId="164" fontId="11" fillId="0" borderId="0" xfId="0" applyNumberFormat="1" applyFont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23" fillId="0" borderId="0" xfId="0" applyFont="1" applyAlignment="1">
      <alignment horizontal="center" vertical="top"/>
    </xf>
    <xf numFmtId="4" fontId="23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11" fillId="0" borderId="0" xfId="0" applyFont="1" applyAlignment="1">
      <alignment horizontal="left" vertical="top"/>
    </xf>
    <xf numFmtId="0" fontId="9" fillId="0" borderId="1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top"/>
    </xf>
    <xf numFmtId="2" fontId="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top"/>
    </xf>
    <xf numFmtId="14" fontId="15" fillId="0" borderId="1" xfId="0" applyNumberFormat="1" applyFont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top"/>
    </xf>
    <xf numFmtId="0" fontId="12" fillId="6" borderId="1" xfId="0" applyFont="1" applyFill="1" applyBorder="1" applyAlignment="1">
      <alignment horizontal="left" vertical="top"/>
    </xf>
    <xf numFmtId="0" fontId="2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4" fontId="24" fillId="0" borderId="0" xfId="0" applyNumberFormat="1" applyFont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165" fontId="11" fillId="0" borderId="0" xfId="0" applyNumberFormat="1" applyFont="1" applyAlignment="1">
      <alignment horizontal="center" vertical="top"/>
    </xf>
    <xf numFmtId="14" fontId="15" fillId="0" borderId="0" xfId="0" applyNumberFormat="1" applyFont="1" applyAlignment="1">
      <alignment horizontal="left" vertical="center" wrapText="1"/>
    </xf>
    <xf numFmtId="2" fontId="1" fillId="0" borderId="0" xfId="1" applyNumberFormat="1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44" fontId="8" fillId="0" borderId="3" xfId="0" applyNumberFormat="1" applyFont="1" applyBorder="1" applyAlignment="1">
      <alignment horizontal="right"/>
    </xf>
    <xf numFmtId="44" fontId="6" fillId="0" borderId="3" xfId="0" applyNumberFormat="1" applyFont="1" applyBorder="1" applyAlignment="1">
      <alignment horizontal="right" wrapText="1"/>
    </xf>
    <xf numFmtId="0" fontId="36" fillId="0" borderId="1" xfId="0" applyFont="1" applyBorder="1" applyAlignment="1">
      <alignment horizontal="center" vertical="center" wrapText="1"/>
    </xf>
    <xf numFmtId="44" fontId="37" fillId="0" borderId="1" xfId="0" applyNumberFormat="1" applyFont="1" applyBorder="1" applyAlignment="1">
      <alignment horizontal="center" vertical="center"/>
    </xf>
    <xf numFmtId="44" fontId="36" fillId="0" borderId="1" xfId="0" applyNumberFormat="1" applyFont="1" applyBorder="1" applyAlignment="1">
      <alignment horizontal="center" vertical="center" wrapText="1"/>
    </xf>
    <xf numFmtId="4" fontId="3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wrapText="1"/>
    </xf>
    <xf numFmtId="2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23" fillId="0" borderId="0" xfId="0" applyFont="1" applyAlignment="1">
      <alignment horizontal="left" vertical="top"/>
    </xf>
    <xf numFmtId="2" fontId="19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24" fillId="4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14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6" fontId="0" fillId="0" borderId="7" xfId="0" applyNumberForma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4" fontId="11" fillId="0" borderId="4" xfId="0" applyNumberFormat="1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/>
    </xf>
    <xf numFmtId="4" fontId="11" fillId="0" borderId="14" xfId="0" applyNumberFormat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14" fontId="11" fillId="0" borderId="0" xfId="0" applyNumberFormat="1" applyFont="1" applyAlignment="1">
      <alignment horizontal="center" vertical="center"/>
    </xf>
    <xf numFmtId="2" fontId="1" fillId="2" borderId="1" xfId="0" applyNumberFormat="1" applyFont="1" applyFill="1" applyBorder="1" applyAlignment="1">
      <alignment horizontal="right" vertical="center"/>
    </xf>
    <xf numFmtId="14" fontId="17" fillId="2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top"/>
    </xf>
    <xf numFmtId="14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wrapText="1"/>
    </xf>
    <xf numFmtId="2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4" fontId="0" fillId="0" borderId="0" xfId="0" applyNumberFormat="1" applyAlignment="1">
      <alignment horizontal="right" vertical="top"/>
    </xf>
    <xf numFmtId="0" fontId="39" fillId="0" borderId="0" xfId="0" applyFont="1" applyAlignment="1">
      <alignment horizontal="center" vertical="top"/>
    </xf>
    <xf numFmtId="0" fontId="31" fillId="0" borderId="1" xfId="0" applyFont="1" applyBorder="1" applyAlignment="1">
      <alignment horizontal="left" vertical="top"/>
    </xf>
    <xf numFmtId="44" fontId="0" fillId="0" borderId="0" xfId="0" applyNumberFormat="1" applyAlignment="1">
      <alignment horizontal="left" vertical="top"/>
    </xf>
    <xf numFmtId="2" fontId="8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>
      <alignment wrapText="1"/>
    </xf>
    <xf numFmtId="3" fontId="9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wrapText="1"/>
    </xf>
    <xf numFmtId="2" fontId="29" fillId="0" borderId="1" xfId="0" applyNumberFormat="1" applyFont="1" applyBorder="1" applyAlignment="1">
      <alignment horizontal="center" vertical="center"/>
    </xf>
    <xf numFmtId="4" fontId="29" fillId="0" borderId="0" xfId="0" applyNumberFormat="1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4" fontId="11" fillId="0" borderId="0" xfId="0" applyNumberFormat="1" applyFont="1" applyAlignment="1">
      <alignment horizontal="center" vertical="top"/>
    </xf>
    <xf numFmtId="4" fontId="33" fillId="0" borderId="15" xfId="0" applyNumberFormat="1" applyFont="1" applyBorder="1" applyAlignment="1">
      <alignment horizontal="center" vertical="top"/>
    </xf>
    <xf numFmtId="43" fontId="19" fillId="0" borderId="0" xfId="1" applyFont="1" applyAlignment="1">
      <alignment horizontal="left" vertical="top"/>
    </xf>
    <xf numFmtId="164" fontId="0" fillId="0" borderId="0" xfId="0" applyNumberFormat="1" applyAlignment="1">
      <alignment horizontal="center" vertical="top"/>
    </xf>
    <xf numFmtId="164" fontId="29" fillId="0" borderId="0" xfId="0" applyNumberFormat="1" applyFont="1" applyAlignment="1">
      <alignment horizontal="center" vertical="top"/>
    </xf>
    <xf numFmtId="164" fontId="17" fillId="0" borderId="1" xfId="2" applyNumberFormat="1" applyFon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164" fontId="17" fillId="3" borderId="1" xfId="2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14" fontId="1" fillId="0" borderId="1" xfId="0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center"/>
    </xf>
    <xf numFmtId="167" fontId="34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top"/>
    </xf>
    <xf numFmtId="14" fontId="17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10" fillId="2" borderId="1" xfId="0" applyNumberFormat="1" applyFont="1" applyFill="1" applyBorder="1" applyAlignment="1">
      <alignment wrapText="1"/>
    </xf>
    <xf numFmtId="14" fontId="30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43" fontId="6" fillId="0" borderId="1" xfId="1" applyFont="1" applyBorder="1" applyAlignment="1">
      <alignment horizontal="center" wrapText="1"/>
    </xf>
    <xf numFmtId="14" fontId="41" fillId="0" borderId="1" xfId="0" applyNumberFormat="1" applyFont="1" applyBorder="1" applyAlignment="1">
      <alignment wrapText="1"/>
    </xf>
    <xf numFmtId="0" fontId="41" fillId="0" borderId="1" xfId="0" applyFont="1" applyBorder="1" applyAlignment="1">
      <alignment wrapText="1"/>
    </xf>
    <xf numFmtId="14" fontId="30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/>
    </xf>
    <xf numFmtId="0" fontId="29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center" vertical="top"/>
    </xf>
    <xf numFmtId="4" fontId="19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/>
    <xf numFmtId="1" fontId="15" fillId="0" borderId="1" xfId="0" applyNumberFormat="1" applyFont="1" applyBorder="1" applyAlignment="1">
      <alignment horizontal="center" wrapText="1"/>
    </xf>
    <xf numFmtId="2" fontId="34" fillId="2" borderId="1" xfId="0" applyNumberFormat="1" applyFont="1" applyFill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wrapText="1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center" vertical="top"/>
    </xf>
    <xf numFmtId="0" fontId="4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167" fontId="11" fillId="0" borderId="0" xfId="1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0" fontId="41" fillId="0" borderId="1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0" fillId="0" borderId="1" xfId="0" applyNumberFormat="1" applyBorder="1"/>
    <xf numFmtId="3" fontId="0" fillId="0" borderId="0" xfId="0" applyNumberFormat="1" applyAlignment="1">
      <alignment horizontal="left" vertical="top"/>
    </xf>
    <xf numFmtId="0" fontId="19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4" fontId="0" fillId="0" borderId="16" xfId="0" applyNumberFormat="1" applyBorder="1" applyAlignment="1">
      <alignment horizontal="center" vertical="top"/>
    </xf>
    <xf numFmtId="0" fontId="25" fillId="0" borderId="1" xfId="0" applyFont="1" applyBorder="1" applyAlignment="1">
      <alignment horizontal="center"/>
    </xf>
    <xf numFmtId="0" fontId="44" fillId="0" borderId="0" xfId="0" applyFont="1" applyAlignment="1">
      <alignment horizontal="center" vertical="top"/>
    </xf>
    <xf numFmtId="0" fontId="44" fillId="0" borderId="0" xfId="0" applyFont="1" applyAlignment="1">
      <alignment horizontal="left" vertical="top"/>
    </xf>
    <xf numFmtId="4" fontId="44" fillId="0" borderId="0" xfId="0" applyNumberFormat="1" applyFont="1" applyAlignment="1">
      <alignment horizontal="center" vertical="top"/>
    </xf>
    <xf numFmtId="4" fontId="10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center" vertical="top"/>
    </xf>
    <xf numFmtId="4" fontId="0" fillId="0" borderId="19" xfId="0" applyNumberForma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43" fontId="11" fillId="0" borderId="1" xfId="1" applyFont="1" applyBorder="1" applyAlignment="1">
      <alignment horizontal="center" vertical="top"/>
    </xf>
    <xf numFmtId="0" fontId="40" fillId="0" borderId="1" xfId="0" applyFont="1" applyBorder="1" applyAlignment="1">
      <alignment horizontal="center" wrapText="1"/>
    </xf>
    <xf numFmtId="3" fontId="1" fillId="0" borderId="0" xfId="0" applyNumberFormat="1" applyFont="1" applyAlignment="1">
      <alignment horizontal="left" vertical="top"/>
    </xf>
    <xf numFmtId="0" fontId="28" fillId="0" borderId="1" xfId="0" applyFont="1" applyBorder="1" applyAlignment="1">
      <alignment horizontal="center" wrapText="1"/>
    </xf>
    <xf numFmtId="14" fontId="19" fillId="0" borderId="1" xfId="0" applyNumberFormat="1" applyFont="1" applyBorder="1" applyAlignment="1">
      <alignment horizontal="left" vertical="top"/>
    </xf>
    <xf numFmtId="0" fontId="19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4" fontId="3" fillId="0" borderId="1" xfId="0" applyNumberFormat="1" applyFont="1" applyBorder="1" applyAlignment="1">
      <alignment wrapText="1"/>
    </xf>
    <xf numFmtId="0" fontId="46" fillId="0" borderId="1" xfId="0" applyFont="1" applyBorder="1" applyAlignment="1">
      <alignment wrapText="1"/>
    </xf>
    <xf numFmtId="1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/>
    <xf numFmtId="2" fontId="34" fillId="3" borderId="1" xfId="0" applyNumberFormat="1" applyFont="1" applyFill="1" applyBorder="1" applyAlignment="1">
      <alignment horizontal="center" vertical="center"/>
    </xf>
    <xf numFmtId="0" fontId="47" fillId="0" borderId="1" xfId="0" applyFont="1" applyBorder="1" applyAlignment="1">
      <alignment horizontal="left" vertical="top"/>
    </xf>
    <xf numFmtId="0" fontId="47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wrapText="1"/>
    </xf>
    <xf numFmtId="0" fontId="34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/>
    </xf>
    <xf numFmtId="166" fontId="3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9" fillId="0" borderId="0" xfId="0" applyFont="1" applyAlignment="1">
      <alignment horizontal="center" vertical="top"/>
    </xf>
    <xf numFmtId="0" fontId="43" fillId="0" borderId="17" xfId="0" applyFont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I93"/>
  <sheetViews>
    <sheetView topLeftCell="A69" workbookViewId="0">
      <selection activeCell="M81" sqref="M81"/>
    </sheetView>
  </sheetViews>
  <sheetFormatPr defaultRowHeight="13" x14ac:dyDescent="0.3"/>
  <cols>
    <col min="4" max="4" width="13.69921875" customWidth="1"/>
    <col min="5" max="5" width="35.3984375" bestFit="1" customWidth="1"/>
    <col min="6" max="6" width="14.59765625" customWidth="1"/>
    <col min="7" max="7" width="20" customWidth="1"/>
    <col min="8" max="8" width="15.19921875" bestFit="1" customWidth="1"/>
  </cols>
  <sheetData>
    <row r="9" spans="4:9" x14ac:dyDescent="0.3">
      <c r="D9" s="18" t="s">
        <v>1332</v>
      </c>
      <c r="F9" s="18" t="s">
        <v>527</v>
      </c>
      <c r="G9" s="18" t="s">
        <v>287</v>
      </c>
    </row>
    <row r="10" spans="4:9" x14ac:dyDescent="0.3">
      <c r="D10" s="18"/>
      <c r="E10" s="1" t="s">
        <v>1329</v>
      </c>
      <c r="F10" s="29">
        <v>130001.91</v>
      </c>
      <c r="G10" s="29">
        <f>F10*2.55</f>
        <v>331504.87049999996</v>
      </c>
    </row>
    <row r="11" spans="4:9" x14ac:dyDescent="0.3">
      <c r="D11" s="18"/>
      <c r="E11" s="1" t="s">
        <v>1330</v>
      </c>
      <c r="F11" s="29">
        <f>G11/2.55</f>
        <v>40064</v>
      </c>
      <c r="G11" s="29">
        <v>102163.2</v>
      </c>
    </row>
    <row r="12" spans="4:9" x14ac:dyDescent="0.3">
      <c r="D12" s="18"/>
      <c r="E12" t="s">
        <v>1373</v>
      </c>
      <c r="F12" s="29">
        <v>-15460</v>
      </c>
      <c r="G12" s="29">
        <f>F12*2.55</f>
        <v>-39423</v>
      </c>
    </row>
    <row r="13" spans="4:9" x14ac:dyDescent="0.3">
      <c r="D13" s="18"/>
      <c r="E13" t="s">
        <v>1374</v>
      </c>
      <c r="F13" s="29"/>
      <c r="G13" s="441">
        <f>SUM(G10:G12)</f>
        <v>394245.07049999997</v>
      </c>
    </row>
    <row r="14" spans="4:9" x14ac:dyDescent="0.3">
      <c r="D14" s="18"/>
      <c r="E14" t="s">
        <v>1375</v>
      </c>
      <c r="F14" s="29"/>
      <c r="G14" s="440">
        <v>127865</v>
      </c>
      <c r="I14" s="428">
        <v>372911</v>
      </c>
    </row>
    <row r="15" spans="4:9" x14ac:dyDescent="0.3">
      <c r="D15" s="18" t="s">
        <v>515</v>
      </c>
      <c r="F15" s="29"/>
      <c r="G15" s="29"/>
    </row>
    <row r="16" spans="4:9" x14ac:dyDescent="0.3">
      <c r="D16" s="18"/>
      <c r="E16" s="1" t="s">
        <v>1331</v>
      </c>
      <c r="F16" s="29"/>
      <c r="G16" s="29">
        <v>530815</v>
      </c>
    </row>
    <row r="17" spans="4:8" x14ac:dyDescent="0.3">
      <c r="D17" s="18"/>
      <c r="F17" s="29"/>
      <c r="G17" s="29"/>
    </row>
    <row r="18" spans="4:8" x14ac:dyDescent="0.3">
      <c r="D18" s="18" t="s">
        <v>1333</v>
      </c>
      <c r="E18" s="1" t="s">
        <v>1335</v>
      </c>
      <c r="F18" s="29"/>
      <c r="G18" s="29">
        <v>67567.839999999997</v>
      </c>
    </row>
    <row r="19" spans="4:8" x14ac:dyDescent="0.3">
      <c r="D19" s="18"/>
      <c r="E19" s="1" t="s">
        <v>1336</v>
      </c>
      <c r="F19" s="29"/>
      <c r="G19" s="29">
        <v>35995.79</v>
      </c>
    </row>
    <row r="20" spans="4:8" x14ac:dyDescent="0.3">
      <c r="D20" s="18"/>
      <c r="E20" s="1" t="s">
        <v>1346</v>
      </c>
      <c r="F20" s="29">
        <v>90397.72</v>
      </c>
      <c r="G20" s="278">
        <f>F20*2.55</f>
        <v>230514.18599999999</v>
      </c>
    </row>
    <row r="21" spans="4:8" ht="26" x14ac:dyDescent="0.3">
      <c r="D21" s="18"/>
      <c r="E21" s="328" t="s">
        <v>1345</v>
      </c>
      <c r="F21" s="278">
        <v>3501</v>
      </c>
      <c r="G21" s="278">
        <f>F21*2.55</f>
        <v>8927.5499999999993</v>
      </c>
    </row>
    <row r="22" spans="4:8" ht="13.5" thickBot="1" x14ac:dyDescent="0.35">
      <c r="D22" s="18"/>
      <c r="E22" s="1"/>
      <c r="F22" s="29"/>
      <c r="G22" s="434">
        <f>SUM(G13:G21)</f>
        <v>1395930.4365000001</v>
      </c>
    </row>
    <row r="23" spans="4:8" x14ac:dyDescent="0.3">
      <c r="D23" s="18"/>
      <c r="E23" s="1"/>
      <c r="F23" s="29"/>
      <c r="G23" s="29"/>
    </row>
    <row r="24" spans="4:8" x14ac:dyDescent="0.3">
      <c r="D24" s="18"/>
      <c r="E24" s="1"/>
      <c r="F24" s="29"/>
      <c r="G24" s="29"/>
    </row>
    <row r="25" spans="4:8" x14ac:dyDescent="0.3">
      <c r="D25" s="18" t="s">
        <v>1334</v>
      </c>
      <c r="E25" s="1" t="s">
        <v>1352</v>
      </c>
      <c r="F25" s="29"/>
      <c r="G25" s="29">
        <f>36016.19*3.674</f>
        <v>132323.48206000001</v>
      </c>
      <c r="H25" s="1"/>
    </row>
    <row r="26" spans="4:8" x14ac:dyDescent="0.3">
      <c r="D26" s="18"/>
      <c r="E26" s="1" t="s">
        <v>1353</v>
      </c>
      <c r="F26" s="29"/>
      <c r="G26" s="29">
        <v>12213.3</v>
      </c>
      <c r="H26" s="1"/>
    </row>
    <row r="27" spans="4:8" x14ac:dyDescent="0.3">
      <c r="E27" s="1" t="s">
        <v>1337</v>
      </c>
      <c r="F27" s="29"/>
      <c r="G27" s="29">
        <v>6118.27</v>
      </c>
    </row>
    <row r="28" spans="4:8" x14ac:dyDescent="0.3">
      <c r="E28" s="1" t="s">
        <v>509</v>
      </c>
      <c r="F28" s="29"/>
      <c r="G28" s="29">
        <v>175000</v>
      </c>
    </row>
    <row r="29" spans="4:8" x14ac:dyDescent="0.3">
      <c r="E29" s="1" t="s">
        <v>1354</v>
      </c>
      <c r="F29" s="29"/>
      <c r="G29" s="29">
        <f>13754.7*2.67</f>
        <v>36725.048999999999</v>
      </c>
    </row>
    <row r="30" spans="4:8" x14ac:dyDescent="0.3">
      <c r="E30" s="1" t="s">
        <v>1338</v>
      </c>
      <c r="F30" s="29">
        <v>84000</v>
      </c>
      <c r="G30" s="29">
        <f>F30*2.55</f>
        <v>214199.99999999997</v>
      </c>
    </row>
    <row r="31" spans="4:8" ht="13.5" thickBot="1" x14ac:dyDescent="0.35">
      <c r="G31" s="434">
        <f>SUM(G25:G30)</f>
        <v>576580.10106000002</v>
      </c>
    </row>
    <row r="33" spans="4:7" ht="14" x14ac:dyDescent="0.3">
      <c r="E33" s="436" t="s">
        <v>1347</v>
      </c>
      <c r="F33" s="437"/>
      <c r="G33" s="438">
        <f>G22-G31</f>
        <v>819350.33544000005</v>
      </c>
    </row>
    <row r="37" spans="4:7" x14ac:dyDescent="0.3">
      <c r="E37" t="s">
        <v>1448</v>
      </c>
      <c r="G37" s="29">
        <v>899001</v>
      </c>
    </row>
    <row r="38" spans="4:7" x14ac:dyDescent="0.3">
      <c r="D38" s="18"/>
      <c r="E38" t="s">
        <v>1449</v>
      </c>
      <c r="F38" s="29"/>
      <c r="G38" s="29">
        <v>-291967</v>
      </c>
    </row>
    <row r="39" spans="4:7" x14ac:dyDescent="0.3">
      <c r="D39" s="18"/>
      <c r="F39" s="29"/>
      <c r="G39" s="29"/>
    </row>
    <row r="40" spans="4:7" x14ac:dyDescent="0.3">
      <c r="D40" s="18"/>
      <c r="E40" s="1" t="s">
        <v>1331</v>
      </c>
      <c r="F40" s="29"/>
      <c r="G40" s="29">
        <v>530815</v>
      </c>
    </row>
    <row r="41" spans="4:7" x14ac:dyDescent="0.3">
      <c r="D41" s="18"/>
      <c r="F41" s="29"/>
      <c r="G41" s="29"/>
    </row>
    <row r="42" spans="4:7" x14ac:dyDescent="0.3">
      <c r="D42" s="18" t="s">
        <v>1333</v>
      </c>
      <c r="E42" s="1" t="s">
        <v>1335</v>
      </c>
      <c r="F42" s="29"/>
      <c r="G42" s="29">
        <v>65225.34</v>
      </c>
    </row>
    <row r="43" spans="4:7" x14ac:dyDescent="0.3">
      <c r="D43" s="18"/>
      <c r="E43" s="1" t="s">
        <v>1336</v>
      </c>
      <c r="F43" s="29"/>
      <c r="G43" s="29">
        <v>35995.79</v>
      </c>
    </row>
    <row r="44" spans="4:7" x14ac:dyDescent="0.3">
      <c r="D44" s="18"/>
      <c r="E44" s="1" t="s">
        <v>1346</v>
      </c>
      <c r="F44" s="29">
        <v>85522.81</v>
      </c>
      <c r="G44" s="278">
        <f>F44*2.5</f>
        <v>213807.02499999999</v>
      </c>
    </row>
    <row r="45" spans="4:7" ht="26" x14ac:dyDescent="0.3">
      <c r="D45" s="18"/>
      <c r="E45" s="328" t="s">
        <v>1345</v>
      </c>
      <c r="F45" s="278">
        <v>3501</v>
      </c>
      <c r="G45" s="278">
        <f>F45*2.55</f>
        <v>8927.5499999999993</v>
      </c>
    </row>
    <row r="46" spans="4:7" ht="13.5" thickBot="1" x14ac:dyDescent="0.35">
      <c r="D46" s="18"/>
      <c r="E46" s="1"/>
      <c r="F46" s="29"/>
      <c r="G46" s="434">
        <f>SUM(G37:G45)</f>
        <v>1461804.7050000001</v>
      </c>
    </row>
    <row r="47" spans="4:7" x14ac:dyDescent="0.3">
      <c r="D47" s="18"/>
      <c r="E47" s="1"/>
      <c r="F47" s="29"/>
      <c r="G47" s="29"/>
    </row>
    <row r="48" spans="4:7" x14ac:dyDescent="0.3">
      <c r="D48" s="18"/>
      <c r="E48" s="1"/>
      <c r="F48" s="29"/>
      <c r="G48" s="29"/>
    </row>
    <row r="49" spans="4:7" x14ac:dyDescent="0.3">
      <c r="D49" s="18" t="s">
        <v>1334</v>
      </c>
      <c r="E49" s="1" t="s">
        <v>1352</v>
      </c>
      <c r="F49" s="29"/>
      <c r="G49" s="29">
        <v>132947</v>
      </c>
    </row>
    <row r="50" spans="4:7" x14ac:dyDescent="0.3">
      <c r="D50" s="18"/>
      <c r="E50" s="1" t="s">
        <v>1353</v>
      </c>
      <c r="F50" s="29"/>
      <c r="G50" s="29">
        <v>12213.3</v>
      </c>
    </row>
    <row r="51" spans="4:7" x14ac:dyDescent="0.3">
      <c r="E51" s="1" t="s">
        <v>1337</v>
      </c>
      <c r="F51" s="29"/>
      <c r="G51" s="29">
        <v>6118.27</v>
      </c>
    </row>
    <row r="52" spans="4:7" x14ac:dyDescent="0.3">
      <c r="E52" s="1" t="s">
        <v>509</v>
      </c>
      <c r="F52" s="29"/>
      <c r="G52" s="29">
        <v>175000</v>
      </c>
    </row>
    <row r="53" spans="4:7" x14ac:dyDescent="0.3">
      <c r="E53" s="1" t="s">
        <v>1446</v>
      </c>
      <c r="F53" s="29"/>
      <c r="G53" s="29">
        <v>41625.050000000003</v>
      </c>
    </row>
    <row r="54" spans="4:7" x14ac:dyDescent="0.3">
      <c r="E54" s="1" t="s">
        <v>1338</v>
      </c>
      <c r="F54" s="29">
        <v>84000</v>
      </c>
      <c r="G54" s="29">
        <f>F54*2.45</f>
        <v>205800.00000000003</v>
      </c>
    </row>
    <row r="55" spans="4:7" x14ac:dyDescent="0.3">
      <c r="E55" s="1" t="s">
        <v>1447</v>
      </c>
      <c r="F55" s="29"/>
      <c r="G55" s="29">
        <v>60000</v>
      </c>
    </row>
    <row r="56" spans="4:7" ht="13.5" thickBot="1" x14ac:dyDescent="0.35">
      <c r="G56" s="434">
        <f>SUM(G49:G55)</f>
        <v>633703.62</v>
      </c>
    </row>
    <row r="58" spans="4:7" ht="14" x14ac:dyDescent="0.3">
      <c r="E58" s="436" t="s">
        <v>1347</v>
      </c>
      <c r="F58" s="437"/>
      <c r="G58" s="438">
        <f>G46-G56</f>
        <v>828101.08500000008</v>
      </c>
    </row>
    <row r="60" spans="4:7" x14ac:dyDescent="0.3">
      <c r="E60" t="s">
        <v>1450</v>
      </c>
      <c r="G60" s="452">
        <f>G58/2</f>
        <v>414050.54250000004</v>
      </c>
    </row>
    <row r="61" spans="4:7" x14ac:dyDescent="0.3">
      <c r="E61" t="s">
        <v>1451</v>
      </c>
      <c r="G61" s="452">
        <f>G58/2</f>
        <v>414050.54250000004</v>
      </c>
    </row>
    <row r="62" spans="4:7" s="214" customFormat="1" x14ac:dyDescent="0.3"/>
    <row r="64" spans="4:7" x14ac:dyDescent="0.3">
      <c r="E64" s="353" t="s">
        <v>1686</v>
      </c>
    </row>
    <row r="65" spans="4:7" x14ac:dyDescent="0.3">
      <c r="E65" t="s">
        <v>1665</v>
      </c>
      <c r="G65" s="440">
        <v>974562</v>
      </c>
    </row>
    <row r="66" spans="4:7" x14ac:dyDescent="0.3">
      <c r="E66" s="429" t="s">
        <v>1701</v>
      </c>
      <c r="G66" s="17">
        <v>-206740.98</v>
      </c>
    </row>
    <row r="67" spans="4:7" x14ac:dyDescent="0.3">
      <c r="E67" t="s">
        <v>1664</v>
      </c>
      <c r="G67" s="29">
        <v>184535</v>
      </c>
    </row>
    <row r="68" spans="4:7" x14ac:dyDescent="0.3">
      <c r="G68" s="17"/>
    </row>
    <row r="69" spans="4:7" x14ac:dyDescent="0.3">
      <c r="D69" s="18" t="s">
        <v>1333</v>
      </c>
      <c r="G69" s="17"/>
    </row>
    <row r="70" spans="4:7" x14ac:dyDescent="0.3">
      <c r="D70" s="18"/>
      <c r="E70" t="s">
        <v>1683</v>
      </c>
      <c r="G70" s="17">
        <v>2000</v>
      </c>
    </row>
    <row r="71" spans="4:7" x14ac:dyDescent="0.3">
      <c r="E71" t="s">
        <v>1666</v>
      </c>
      <c r="G71" s="17">
        <v>450</v>
      </c>
    </row>
    <row r="72" spans="4:7" x14ac:dyDescent="0.3">
      <c r="E72" t="s">
        <v>1673</v>
      </c>
      <c r="G72" s="29">
        <v>14158.11</v>
      </c>
    </row>
    <row r="73" spans="4:7" x14ac:dyDescent="0.3">
      <c r="E73" t="s">
        <v>1667</v>
      </c>
      <c r="G73" s="440">
        <v>9730</v>
      </c>
    </row>
    <row r="74" spans="4:7" x14ac:dyDescent="0.3">
      <c r="E74" t="s">
        <v>1668</v>
      </c>
      <c r="G74" s="440">
        <v>12800</v>
      </c>
    </row>
    <row r="75" spans="4:7" x14ac:dyDescent="0.3">
      <c r="E75" t="s">
        <v>1675</v>
      </c>
      <c r="G75" s="440">
        <v>35982</v>
      </c>
    </row>
    <row r="76" spans="4:7" x14ac:dyDescent="0.3">
      <c r="E76" t="s">
        <v>1676</v>
      </c>
      <c r="G76" s="440">
        <v>3205</v>
      </c>
    </row>
    <row r="77" spans="4:7" x14ac:dyDescent="0.3">
      <c r="E77" t="s">
        <v>1684</v>
      </c>
      <c r="F77" s="178">
        <v>69626.87</v>
      </c>
      <c r="G77" s="440">
        <f>F77*2.33</f>
        <v>162230.60709999999</v>
      </c>
    </row>
    <row r="78" spans="4:7" x14ac:dyDescent="0.3">
      <c r="E78" t="s">
        <v>1685</v>
      </c>
      <c r="F78" s="178">
        <v>79794.11</v>
      </c>
      <c r="G78" s="440">
        <f>F78*2.19</f>
        <v>174749.10089999999</v>
      </c>
    </row>
    <row r="79" spans="4:7" x14ac:dyDescent="0.3">
      <c r="G79" s="17"/>
    </row>
    <row r="80" spans="4:7" x14ac:dyDescent="0.3">
      <c r="G80" s="440">
        <f>SUM(G65:G79)</f>
        <v>1367660.838</v>
      </c>
    </row>
    <row r="81" spans="4:8" x14ac:dyDescent="0.3">
      <c r="G81" s="17"/>
    </row>
    <row r="82" spans="4:8" x14ac:dyDescent="0.3">
      <c r="D82" s="18" t="s">
        <v>1334</v>
      </c>
      <c r="G82" s="17"/>
    </row>
    <row r="83" spans="4:8" x14ac:dyDescent="0.3">
      <c r="E83" t="s">
        <v>1443</v>
      </c>
      <c r="G83" s="440">
        <v>36725</v>
      </c>
    </row>
    <row r="84" spans="4:8" x14ac:dyDescent="0.3">
      <c r="E84" t="s">
        <v>1670</v>
      </c>
      <c r="G84" s="29">
        <v>525951.87</v>
      </c>
    </row>
    <row r="85" spans="4:8" x14ac:dyDescent="0.3">
      <c r="E85" t="s">
        <v>1671</v>
      </c>
      <c r="G85" s="29">
        <v>12213.3</v>
      </c>
    </row>
    <row r="86" spans="4:8" x14ac:dyDescent="0.3">
      <c r="E86" t="s">
        <v>1672</v>
      </c>
      <c r="G86" s="29">
        <v>73928.28</v>
      </c>
    </row>
    <row r="87" spans="4:8" x14ac:dyDescent="0.3">
      <c r="E87" t="s">
        <v>1674</v>
      </c>
      <c r="F87" s="17">
        <v>288</v>
      </c>
      <c r="G87" s="17">
        <f>F87*2.33</f>
        <v>671.04</v>
      </c>
    </row>
    <row r="88" spans="4:8" x14ac:dyDescent="0.3">
      <c r="E88" t="s">
        <v>1677</v>
      </c>
      <c r="F88" s="17"/>
      <c r="G88" s="440">
        <f>453332-206740.98</f>
        <v>246591.02</v>
      </c>
    </row>
    <row r="89" spans="4:8" x14ac:dyDescent="0.3">
      <c r="E89" t="s">
        <v>1669</v>
      </c>
      <c r="F89" s="17"/>
      <c r="G89" s="17">
        <v>59949</v>
      </c>
    </row>
    <row r="90" spans="4:8" x14ac:dyDescent="0.3">
      <c r="E90" t="s">
        <v>20</v>
      </c>
      <c r="F90" s="17">
        <v>12868</v>
      </c>
      <c r="G90" s="17">
        <f>F90*2.33</f>
        <v>29982.440000000002</v>
      </c>
    </row>
    <row r="91" spans="4:8" x14ac:dyDescent="0.3">
      <c r="F91" s="17"/>
      <c r="G91" s="440">
        <f>SUM(G83:G90)</f>
        <v>986011.95000000019</v>
      </c>
    </row>
    <row r="93" spans="4:8" ht="14" x14ac:dyDescent="0.3">
      <c r="E93" s="436" t="s">
        <v>1347</v>
      </c>
      <c r="F93" s="437"/>
      <c r="G93" s="438">
        <f>G80-G91</f>
        <v>381648.8879999998</v>
      </c>
      <c r="H93">
        <v>381648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M195"/>
  <sheetViews>
    <sheetView topLeftCell="A82" zoomScale="90" zoomScaleNormal="90" workbookViewId="0">
      <selection activeCell="D97" sqref="D97"/>
    </sheetView>
  </sheetViews>
  <sheetFormatPr defaultRowHeight="13" x14ac:dyDescent="0.3"/>
  <cols>
    <col min="2" max="2" width="9.8984375" bestFit="1" customWidth="1"/>
    <col min="3" max="3" width="12.796875" bestFit="1" customWidth="1"/>
    <col min="4" max="4" width="100.3984375" bestFit="1" customWidth="1"/>
    <col min="5" max="5" width="18" bestFit="1" customWidth="1"/>
    <col min="6" max="6" width="16.69921875" bestFit="1" customWidth="1"/>
    <col min="7" max="7" width="12.796875" bestFit="1" customWidth="1"/>
    <col min="9" max="9" width="9.8984375" bestFit="1" customWidth="1"/>
    <col min="10" max="10" width="10.8984375" bestFit="1" customWidth="1"/>
    <col min="11" max="11" width="68.69921875" customWidth="1"/>
    <col min="13" max="13" width="11.8984375" bestFit="1" customWidth="1"/>
  </cols>
  <sheetData>
    <row r="3" spans="2:7" x14ac:dyDescent="0.3">
      <c r="C3" s="2"/>
      <c r="D3" s="2"/>
      <c r="E3" s="2"/>
      <c r="F3" s="3"/>
      <c r="G3" s="2"/>
    </row>
    <row r="5" spans="2:7" ht="13.5" thickBot="1" x14ac:dyDescent="0.35"/>
    <row r="6" spans="2:7" ht="17.5" thickBot="1" x14ac:dyDescent="0.45">
      <c r="C6" s="4"/>
      <c r="D6" s="5" t="s">
        <v>124</v>
      </c>
      <c r="E6" s="4"/>
      <c r="F6" s="6"/>
      <c r="G6" s="4"/>
    </row>
    <row r="7" spans="2:7" ht="18.5" x14ac:dyDescent="0.3">
      <c r="C7" s="7" t="s">
        <v>0</v>
      </c>
      <c r="D7" s="7" t="s">
        <v>1</v>
      </c>
      <c r="E7" s="7" t="s">
        <v>2</v>
      </c>
      <c r="F7" s="7" t="s">
        <v>3</v>
      </c>
      <c r="G7" s="7" t="s">
        <v>4</v>
      </c>
    </row>
    <row r="8" spans="2:7" x14ac:dyDescent="0.3">
      <c r="C8" s="8"/>
      <c r="D8" s="8"/>
      <c r="E8" s="8"/>
      <c r="F8" s="8"/>
      <c r="G8" s="8"/>
    </row>
    <row r="9" spans="2:7" ht="14.5" x14ac:dyDescent="0.35">
      <c r="C9" s="12">
        <v>45488</v>
      </c>
      <c r="D9" s="13" t="s">
        <v>125</v>
      </c>
      <c r="E9" s="30">
        <v>32682.5</v>
      </c>
      <c r="F9" s="31"/>
      <c r="G9" s="10">
        <f>G8+E9-F9</f>
        <v>32682.5</v>
      </c>
    </row>
    <row r="10" spans="2:7" ht="14.5" x14ac:dyDescent="0.35">
      <c r="C10" s="12">
        <v>45491</v>
      </c>
      <c r="D10" s="8" t="s">
        <v>13</v>
      </c>
      <c r="E10" s="30">
        <v>9141.2199999999993</v>
      </c>
      <c r="F10" s="31"/>
      <c r="G10" s="10">
        <f t="shared" ref="G10:G15" si="0">G9+E10-F10</f>
        <v>41823.72</v>
      </c>
    </row>
    <row r="11" spans="2:7" ht="14.5" x14ac:dyDescent="0.35">
      <c r="C11" s="12">
        <v>45491</v>
      </c>
      <c r="D11" s="8" t="s">
        <v>13</v>
      </c>
      <c r="E11" s="30">
        <v>10969.47</v>
      </c>
      <c r="F11" s="30"/>
      <c r="G11" s="10">
        <f t="shared" si="0"/>
        <v>52793.19</v>
      </c>
    </row>
    <row r="12" spans="2:7" ht="14.5" x14ac:dyDescent="0.35">
      <c r="C12" s="12">
        <v>45492</v>
      </c>
      <c r="D12" s="8" t="s">
        <v>13</v>
      </c>
      <c r="E12" s="30">
        <v>2737.9</v>
      </c>
      <c r="F12" s="30"/>
      <c r="G12" s="10">
        <f t="shared" si="0"/>
        <v>55531.090000000004</v>
      </c>
    </row>
    <row r="13" spans="2:7" ht="14.5" x14ac:dyDescent="0.35">
      <c r="C13" s="12">
        <v>45492</v>
      </c>
      <c r="D13" s="8" t="s">
        <v>13</v>
      </c>
      <c r="E13" s="30">
        <v>7301.07</v>
      </c>
      <c r="F13" s="31"/>
      <c r="G13" s="10">
        <f t="shared" si="0"/>
        <v>62832.160000000003</v>
      </c>
    </row>
    <row r="14" spans="2:7" ht="14.5" x14ac:dyDescent="0.35">
      <c r="C14" s="12">
        <v>45492</v>
      </c>
      <c r="D14" s="11" t="s">
        <v>126</v>
      </c>
      <c r="E14" s="30"/>
      <c r="F14" s="30">
        <v>20000</v>
      </c>
      <c r="G14" s="10">
        <f t="shared" si="0"/>
        <v>42832.160000000003</v>
      </c>
    </row>
    <row r="15" spans="2:7" ht="14.5" x14ac:dyDescent="0.35">
      <c r="B15" s="1"/>
      <c r="C15" s="127">
        <v>45492</v>
      </c>
      <c r="D15" s="128" t="s">
        <v>13</v>
      </c>
      <c r="E15" s="129">
        <v>5475.81</v>
      </c>
      <c r="F15" s="130"/>
      <c r="G15" s="131">
        <f t="shared" si="0"/>
        <v>48307.97</v>
      </c>
    </row>
    <row r="16" spans="2:7" ht="14.5" x14ac:dyDescent="0.35">
      <c r="B16" s="1"/>
      <c r="C16" s="127">
        <v>45492</v>
      </c>
      <c r="D16" s="182" t="s">
        <v>320</v>
      </c>
      <c r="E16" s="129"/>
      <c r="F16" s="130">
        <v>5101.7299999999996</v>
      </c>
      <c r="G16" s="131">
        <f>G15+E16-F16</f>
        <v>43206.240000000005</v>
      </c>
    </row>
    <row r="17" spans="3:9" ht="14.5" x14ac:dyDescent="0.35">
      <c r="C17" s="12">
        <v>45492</v>
      </c>
      <c r="D17" s="8" t="s">
        <v>13</v>
      </c>
      <c r="E17" s="32">
        <v>10951.6</v>
      </c>
      <c r="F17" s="33"/>
      <c r="G17" s="10">
        <f>G16+E17-F17</f>
        <v>54157.840000000004</v>
      </c>
    </row>
    <row r="18" spans="3:9" ht="14.5" x14ac:dyDescent="0.35">
      <c r="C18" s="12">
        <v>45492</v>
      </c>
      <c r="D18" s="8" t="s">
        <v>13</v>
      </c>
      <c r="E18" s="32">
        <v>3650.54</v>
      </c>
      <c r="F18" s="33"/>
      <c r="G18" s="10">
        <f t="shared" ref="G18:G105" si="1">G17+E18-F18</f>
        <v>57808.380000000005</v>
      </c>
    </row>
    <row r="19" spans="3:9" s="213" customFormat="1" ht="15.5" x14ac:dyDescent="0.35">
      <c r="C19" s="208">
        <v>45497</v>
      </c>
      <c r="D19" s="209" t="s">
        <v>322</v>
      </c>
      <c r="E19" s="210">
        <v>5407.27</v>
      </c>
      <c r="F19" s="211"/>
      <c r="G19" s="212">
        <f t="shared" si="1"/>
        <v>63215.650000000009</v>
      </c>
    </row>
    <row r="20" spans="3:9" ht="15.5" x14ac:dyDescent="0.35">
      <c r="C20" s="12">
        <v>45497</v>
      </c>
      <c r="D20" s="13" t="s">
        <v>321</v>
      </c>
      <c r="E20" s="34">
        <v>10814.54</v>
      </c>
      <c r="F20" s="33"/>
      <c r="G20" s="10">
        <f t="shared" si="1"/>
        <v>74030.19</v>
      </c>
    </row>
    <row r="21" spans="3:9" ht="15.5" x14ac:dyDescent="0.35">
      <c r="C21" s="12">
        <v>45497</v>
      </c>
      <c r="D21" s="13" t="s">
        <v>323</v>
      </c>
      <c r="E21" s="34">
        <v>3604.85</v>
      </c>
      <c r="F21" s="33"/>
      <c r="G21" s="10">
        <f t="shared" si="1"/>
        <v>77635.040000000008</v>
      </c>
    </row>
    <row r="22" spans="3:9" ht="15.5" x14ac:dyDescent="0.35">
      <c r="C22" s="12">
        <v>45497</v>
      </c>
      <c r="D22" s="13" t="s">
        <v>324</v>
      </c>
      <c r="E22" s="34">
        <v>18024.23</v>
      </c>
      <c r="F22" s="33"/>
      <c r="G22" s="10">
        <f t="shared" si="1"/>
        <v>95659.27</v>
      </c>
    </row>
    <row r="23" spans="3:9" ht="15.5" x14ac:dyDescent="0.35">
      <c r="C23" s="12">
        <v>45497</v>
      </c>
      <c r="D23" s="13" t="s">
        <v>325</v>
      </c>
      <c r="E23" s="34">
        <v>21629.08</v>
      </c>
      <c r="F23" s="33"/>
      <c r="G23" s="10">
        <f t="shared" si="1"/>
        <v>117288.35</v>
      </c>
    </row>
    <row r="24" spans="3:9" ht="15.5" x14ac:dyDescent="0.35">
      <c r="C24" s="12">
        <v>45497</v>
      </c>
      <c r="D24" s="13" t="s">
        <v>326</v>
      </c>
      <c r="E24" s="34">
        <v>7209.7</v>
      </c>
      <c r="F24" s="33"/>
      <c r="G24" s="10">
        <f t="shared" si="1"/>
        <v>124498.05</v>
      </c>
    </row>
    <row r="25" spans="3:9" ht="15.5" x14ac:dyDescent="0.35">
      <c r="C25" s="12">
        <v>45502</v>
      </c>
      <c r="D25" s="9" t="s">
        <v>359</v>
      </c>
      <c r="E25" s="34">
        <v>5348.06</v>
      </c>
      <c r="F25" s="33"/>
      <c r="G25" s="10">
        <f t="shared" si="1"/>
        <v>129846.11</v>
      </c>
    </row>
    <row r="26" spans="3:9" ht="15.5" x14ac:dyDescent="0.35">
      <c r="C26" s="12">
        <v>45504</v>
      </c>
      <c r="D26" s="9" t="s">
        <v>475</v>
      </c>
      <c r="E26" s="34"/>
      <c r="F26" s="33">
        <v>129000</v>
      </c>
      <c r="G26" s="10">
        <f t="shared" si="1"/>
        <v>846.11000000000058</v>
      </c>
    </row>
    <row r="27" spans="3:9" ht="15.5" x14ac:dyDescent="0.35">
      <c r="C27" s="12">
        <v>45516</v>
      </c>
      <c r="D27" s="9" t="s">
        <v>475</v>
      </c>
      <c r="E27" s="34"/>
      <c r="F27" s="33">
        <v>54801.43</v>
      </c>
      <c r="G27" s="10">
        <f t="shared" si="1"/>
        <v>-53955.32</v>
      </c>
    </row>
    <row r="28" spans="3:9" ht="15.5" x14ac:dyDescent="0.35">
      <c r="C28" s="12">
        <v>45517</v>
      </c>
      <c r="D28" s="9" t="s">
        <v>320</v>
      </c>
      <c r="E28" s="34"/>
      <c r="F28" s="32">
        <v>5613.73</v>
      </c>
      <c r="G28" s="10">
        <f t="shared" si="1"/>
        <v>-59569.05</v>
      </c>
    </row>
    <row r="29" spans="3:9" ht="15.5" x14ac:dyDescent="0.35">
      <c r="C29" s="12">
        <v>45517</v>
      </c>
      <c r="D29" s="9" t="s">
        <v>476</v>
      </c>
      <c r="E29" s="34">
        <v>75260</v>
      </c>
      <c r="F29" s="33"/>
      <c r="G29" s="10">
        <f t="shared" si="1"/>
        <v>15690.949999999997</v>
      </c>
      <c r="I29">
        <f>75260/30000</f>
        <v>2.5086666666666666</v>
      </c>
    </row>
    <row r="30" spans="3:9" ht="15.5" x14ac:dyDescent="0.35">
      <c r="C30" s="12">
        <v>45517</v>
      </c>
      <c r="D30" s="9" t="s">
        <v>320</v>
      </c>
      <c r="E30" s="34"/>
      <c r="F30" s="33">
        <v>5613.73</v>
      </c>
      <c r="G30" s="10">
        <f t="shared" si="1"/>
        <v>10077.219999999998</v>
      </c>
    </row>
    <row r="31" spans="3:9" ht="15.5" x14ac:dyDescent="0.35">
      <c r="C31" s="12">
        <v>45517</v>
      </c>
      <c r="D31" s="9" t="s">
        <v>320</v>
      </c>
      <c r="E31" s="34"/>
      <c r="F31" s="33">
        <v>4210.3</v>
      </c>
      <c r="G31" s="10">
        <f t="shared" si="1"/>
        <v>5866.9199999999973</v>
      </c>
    </row>
    <row r="32" spans="3:9" ht="15.5" x14ac:dyDescent="0.35">
      <c r="C32" s="12">
        <v>45517</v>
      </c>
      <c r="D32" s="9" t="s">
        <v>320</v>
      </c>
      <c r="E32" s="34"/>
      <c r="F32" s="33">
        <v>7017.17</v>
      </c>
      <c r="G32" s="10">
        <f t="shared" si="1"/>
        <v>-1150.2500000000027</v>
      </c>
    </row>
    <row r="33" spans="3:7" ht="15.5" x14ac:dyDescent="0.35">
      <c r="C33" s="12">
        <v>45517</v>
      </c>
      <c r="D33" s="9" t="s">
        <v>320</v>
      </c>
      <c r="E33" s="34"/>
      <c r="F33" s="33">
        <v>11227.46</v>
      </c>
      <c r="G33" s="10">
        <f t="shared" si="1"/>
        <v>-12377.710000000003</v>
      </c>
    </row>
    <row r="34" spans="3:7" ht="15.5" x14ac:dyDescent="0.35">
      <c r="C34" s="12">
        <v>45517</v>
      </c>
      <c r="D34" s="9" t="s">
        <v>320</v>
      </c>
      <c r="E34" s="34"/>
      <c r="F34" s="33">
        <v>4897.37</v>
      </c>
      <c r="G34" s="10">
        <f t="shared" si="1"/>
        <v>-17275.080000000002</v>
      </c>
    </row>
    <row r="35" spans="3:7" ht="15.5" x14ac:dyDescent="0.35">
      <c r="C35" s="12">
        <v>45517</v>
      </c>
      <c r="D35" s="9" t="s">
        <v>320</v>
      </c>
      <c r="E35" s="34"/>
      <c r="F35" s="33">
        <v>8401.52</v>
      </c>
      <c r="G35" s="10">
        <f t="shared" si="1"/>
        <v>-25676.600000000002</v>
      </c>
    </row>
    <row r="36" spans="3:7" ht="15.5" x14ac:dyDescent="0.35">
      <c r="C36" s="12">
        <v>45517</v>
      </c>
      <c r="D36" s="9" t="s">
        <v>320</v>
      </c>
      <c r="E36" s="34"/>
      <c r="F36" s="33">
        <v>4200.76</v>
      </c>
      <c r="G36" s="10">
        <f t="shared" si="1"/>
        <v>-29877.360000000001</v>
      </c>
    </row>
    <row r="37" spans="3:7" ht="15.5" x14ac:dyDescent="0.35">
      <c r="C37" s="12">
        <v>45517</v>
      </c>
      <c r="D37" s="9" t="s">
        <v>320</v>
      </c>
      <c r="E37" s="34"/>
      <c r="F37" s="33">
        <v>4200.76</v>
      </c>
      <c r="G37" s="10">
        <f t="shared" si="1"/>
        <v>-34078.120000000003</v>
      </c>
    </row>
    <row r="38" spans="3:7" ht="15.5" x14ac:dyDescent="0.35">
      <c r="C38" s="12">
        <v>45517</v>
      </c>
      <c r="D38" s="9" t="s">
        <v>320</v>
      </c>
      <c r="E38" s="34"/>
      <c r="F38" s="33">
        <v>5601.01</v>
      </c>
      <c r="G38" s="10">
        <f t="shared" si="1"/>
        <v>-39679.130000000005</v>
      </c>
    </row>
    <row r="39" spans="3:7" ht="15.5" x14ac:dyDescent="0.35">
      <c r="C39" s="12">
        <v>45517</v>
      </c>
      <c r="D39" s="9" t="s">
        <v>320</v>
      </c>
      <c r="E39" s="34"/>
      <c r="F39" s="33">
        <v>5601.01</v>
      </c>
      <c r="G39" s="10">
        <f t="shared" si="1"/>
        <v>-45280.140000000007</v>
      </c>
    </row>
    <row r="40" spans="3:7" ht="15.5" x14ac:dyDescent="0.35">
      <c r="C40" s="12">
        <v>45517</v>
      </c>
      <c r="D40" s="9" t="s">
        <v>320</v>
      </c>
      <c r="E40" s="34"/>
      <c r="F40" s="33">
        <v>9801.77</v>
      </c>
      <c r="G40" s="10">
        <f t="shared" si="1"/>
        <v>-55081.91</v>
      </c>
    </row>
    <row r="41" spans="3:7" ht="15.5" x14ac:dyDescent="0.35">
      <c r="C41" s="12">
        <v>45517</v>
      </c>
      <c r="D41" s="9" t="s">
        <v>320</v>
      </c>
      <c r="E41" s="34"/>
      <c r="F41" s="33">
        <v>9801.77</v>
      </c>
      <c r="G41" s="10">
        <f t="shared" si="1"/>
        <v>-64883.680000000008</v>
      </c>
    </row>
    <row r="42" spans="3:7" ht="15.5" x14ac:dyDescent="0.35">
      <c r="C42" s="12">
        <v>45517</v>
      </c>
      <c r="D42" s="9" t="s">
        <v>320</v>
      </c>
      <c r="E42" s="34"/>
      <c r="F42" s="33">
        <v>2800.5</v>
      </c>
      <c r="G42" s="10">
        <f t="shared" si="1"/>
        <v>-67684.180000000008</v>
      </c>
    </row>
    <row r="43" spans="3:7" ht="15.5" x14ac:dyDescent="0.35">
      <c r="C43" s="12">
        <v>45517</v>
      </c>
      <c r="D43" s="9" t="s">
        <v>320</v>
      </c>
      <c r="E43" s="34"/>
      <c r="F43" s="33">
        <v>8571.2099999999991</v>
      </c>
      <c r="G43" s="10">
        <f t="shared" si="1"/>
        <v>-76255.390000000014</v>
      </c>
    </row>
    <row r="44" spans="3:7" ht="15.5" x14ac:dyDescent="0.35">
      <c r="C44" s="12">
        <v>45517</v>
      </c>
      <c r="D44" s="9" t="s">
        <v>320</v>
      </c>
      <c r="E44" s="34"/>
      <c r="F44" s="33">
        <v>9795.67</v>
      </c>
      <c r="G44" s="10">
        <f t="shared" si="1"/>
        <v>-86051.060000000012</v>
      </c>
    </row>
    <row r="45" spans="3:7" ht="14.5" x14ac:dyDescent="0.35">
      <c r="C45" s="12">
        <v>45517</v>
      </c>
      <c r="D45" s="9" t="s">
        <v>320</v>
      </c>
      <c r="E45" s="113"/>
      <c r="F45" s="33">
        <v>11202.02</v>
      </c>
      <c r="G45" s="10">
        <f t="shared" si="1"/>
        <v>-97253.080000000016</v>
      </c>
    </row>
    <row r="46" spans="3:7" ht="15.5" x14ac:dyDescent="0.35">
      <c r="C46" s="12">
        <v>45517</v>
      </c>
      <c r="D46" s="9" t="s">
        <v>320</v>
      </c>
      <c r="E46" s="34"/>
      <c r="F46" s="33">
        <v>11202.02</v>
      </c>
      <c r="G46" s="10">
        <f t="shared" si="1"/>
        <v>-108455.10000000002</v>
      </c>
    </row>
    <row r="47" spans="3:7" ht="15.5" x14ac:dyDescent="0.35">
      <c r="C47" s="12">
        <v>45517</v>
      </c>
      <c r="D47" s="9" t="s">
        <v>320</v>
      </c>
      <c r="E47" s="34"/>
      <c r="F47" s="33">
        <v>16803.03</v>
      </c>
      <c r="G47" s="10">
        <f t="shared" si="1"/>
        <v>-125258.13000000002</v>
      </c>
    </row>
    <row r="48" spans="3:7" ht="15.5" x14ac:dyDescent="0.35">
      <c r="C48" s="12">
        <v>45517</v>
      </c>
      <c r="D48" s="9" t="s">
        <v>320</v>
      </c>
      <c r="E48" s="34"/>
      <c r="F48" s="33">
        <v>16104.08</v>
      </c>
      <c r="G48" s="10">
        <f t="shared" si="1"/>
        <v>-141362.21000000002</v>
      </c>
    </row>
    <row r="49" spans="3:10" ht="15.5" x14ac:dyDescent="0.35">
      <c r="C49" s="12">
        <v>45517</v>
      </c>
      <c r="D49" s="9" t="s">
        <v>320</v>
      </c>
      <c r="E49" s="34"/>
      <c r="F49" s="33">
        <v>12602.27</v>
      </c>
      <c r="G49" s="10">
        <f t="shared" si="1"/>
        <v>-153964.48000000001</v>
      </c>
    </row>
    <row r="50" spans="3:10" ht="15.5" x14ac:dyDescent="0.35">
      <c r="C50" s="12">
        <v>45517</v>
      </c>
      <c r="D50" s="9" t="s">
        <v>320</v>
      </c>
      <c r="E50" s="34"/>
      <c r="F50" s="33">
        <v>26604.799999999999</v>
      </c>
      <c r="G50" s="10">
        <f t="shared" si="1"/>
        <v>-180569.28</v>
      </c>
    </row>
    <row r="51" spans="3:10" ht="15.5" x14ac:dyDescent="0.35">
      <c r="C51" s="12">
        <v>45523</v>
      </c>
      <c r="D51" s="9" t="s">
        <v>482</v>
      </c>
      <c r="E51" s="356">
        <v>35350.33</v>
      </c>
      <c r="F51" s="33"/>
      <c r="G51" s="10">
        <f t="shared" si="1"/>
        <v>-145218.95000000001</v>
      </c>
    </row>
    <row r="52" spans="3:10" ht="15.5" x14ac:dyDescent="0.35">
      <c r="C52" s="12">
        <v>45546</v>
      </c>
      <c r="D52" s="9" t="s">
        <v>652</v>
      </c>
      <c r="E52" s="356">
        <v>2021.67</v>
      </c>
      <c r="F52" s="33"/>
      <c r="G52" s="10">
        <f t="shared" si="1"/>
        <v>-143197.28</v>
      </c>
      <c r="H52">
        <f>J52*I52</f>
        <v>151083.93409999998</v>
      </c>
      <c r="I52">
        <v>2.5299999999999998</v>
      </c>
      <c r="J52">
        <f>1629.99+2397+1000+298+298+298+690+298+598+598+3500+894+3500+894+894+299+299+299+7491+8541+297+8541+5694+594+594+596+596+2384+299+299+598+1529.98+598+297+297+299+299+298+297+297+297</f>
        <v>59716.97</v>
      </c>
    </row>
    <row r="53" spans="3:10" ht="15.5" x14ac:dyDescent="0.35">
      <c r="C53" s="12">
        <v>45546</v>
      </c>
      <c r="D53" s="9" t="s">
        <v>653</v>
      </c>
      <c r="E53" s="356">
        <v>6065.01</v>
      </c>
      <c r="F53" s="33"/>
      <c r="G53" s="10">
        <f t="shared" si="1"/>
        <v>-137132.26999999999</v>
      </c>
      <c r="I53" s="355"/>
    </row>
    <row r="54" spans="3:10" ht="15.5" x14ac:dyDescent="0.35">
      <c r="C54" s="12">
        <v>45546</v>
      </c>
      <c r="D54" s="9" t="s">
        <v>654</v>
      </c>
      <c r="E54" s="356"/>
      <c r="F54" s="33">
        <v>1229.17</v>
      </c>
      <c r="G54" s="10">
        <f t="shared" si="1"/>
        <v>-138361.44</v>
      </c>
    </row>
    <row r="55" spans="3:10" ht="15.5" x14ac:dyDescent="0.35">
      <c r="C55" s="12">
        <v>45549</v>
      </c>
      <c r="D55" s="9" t="s">
        <v>482</v>
      </c>
      <c r="E55" s="356">
        <v>1524.19</v>
      </c>
      <c r="F55" s="33"/>
      <c r="G55" s="10">
        <f t="shared" si="1"/>
        <v>-136837.25</v>
      </c>
    </row>
    <row r="56" spans="3:10" ht="15.5" x14ac:dyDescent="0.35">
      <c r="C56" s="12">
        <v>45548</v>
      </c>
      <c r="D56" s="9" t="s">
        <v>749</v>
      </c>
      <c r="E56" s="356">
        <v>1761.04</v>
      </c>
      <c r="F56" s="33"/>
      <c r="G56" s="10">
        <f t="shared" si="1"/>
        <v>-135076.21</v>
      </c>
    </row>
    <row r="57" spans="3:10" ht="15.5" x14ac:dyDescent="0.35">
      <c r="C57" s="12">
        <v>45548</v>
      </c>
      <c r="D57" s="9" t="s">
        <v>482</v>
      </c>
      <c r="E57" s="356">
        <v>760.56</v>
      </c>
      <c r="F57" s="33"/>
      <c r="G57" s="10">
        <f t="shared" si="1"/>
        <v>-134315.65</v>
      </c>
    </row>
    <row r="58" spans="3:10" ht="15.5" x14ac:dyDescent="0.35">
      <c r="C58" s="12">
        <v>45548</v>
      </c>
      <c r="D58" s="9" t="s">
        <v>482</v>
      </c>
      <c r="E58" s="356">
        <v>760.56</v>
      </c>
      <c r="F58" s="33"/>
      <c r="G58" s="10">
        <f t="shared" si="1"/>
        <v>-133555.09</v>
      </c>
    </row>
    <row r="59" spans="3:10" ht="15.5" x14ac:dyDescent="0.35">
      <c r="C59" s="12">
        <v>45548</v>
      </c>
      <c r="D59" s="9" t="s">
        <v>750</v>
      </c>
      <c r="E59" s="356">
        <v>2552.23</v>
      </c>
      <c r="F59" s="33"/>
      <c r="G59" s="10">
        <f t="shared" si="1"/>
        <v>-131002.86</v>
      </c>
    </row>
    <row r="60" spans="3:10" ht="15.5" x14ac:dyDescent="0.35">
      <c r="C60" s="12">
        <v>45549</v>
      </c>
      <c r="D60" s="9" t="s">
        <v>749</v>
      </c>
      <c r="E60" s="356">
        <v>21798.59</v>
      </c>
      <c r="F60" s="33"/>
      <c r="G60" s="10">
        <f t="shared" si="1"/>
        <v>-109204.27</v>
      </c>
    </row>
    <row r="61" spans="3:10" ht="15.5" x14ac:dyDescent="0.35">
      <c r="C61" s="12">
        <v>45549</v>
      </c>
      <c r="D61" s="9" t="s">
        <v>749</v>
      </c>
      <c r="E61" s="356">
        <v>19118.75</v>
      </c>
      <c r="F61" s="33"/>
      <c r="G61" s="10">
        <f t="shared" si="1"/>
        <v>-90085.52</v>
      </c>
    </row>
    <row r="62" spans="3:10" ht="15.5" x14ac:dyDescent="0.35">
      <c r="C62" s="12">
        <v>45549</v>
      </c>
      <c r="D62" s="9" t="s">
        <v>749</v>
      </c>
      <c r="E62" s="356">
        <v>763.11</v>
      </c>
      <c r="F62" s="33"/>
      <c r="G62" s="10">
        <f t="shared" si="1"/>
        <v>-89322.41</v>
      </c>
    </row>
    <row r="63" spans="3:10" ht="15.5" x14ac:dyDescent="0.35">
      <c r="C63" s="12">
        <v>45549</v>
      </c>
      <c r="D63" s="9" t="s">
        <v>749</v>
      </c>
      <c r="E63" s="356">
        <v>763.11</v>
      </c>
      <c r="F63" s="33"/>
      <c r="G63" s="10">
        <f t="shared" si="1"/>
        <v>-88559.3</v>
      </c>
    </row>
    <row r="64" spans="3:10" ht="15.5" x14ac:dyDescent="0.35">
      <c r="C64" s="12">
        <v>45549</v>
      </c>
      <c r="D64" s="9" t="s">
        <v>749</v>
      </c>
      <c r="E64" s="356">
        <v>763.11</v>
      </c>
      <c r="F64" s="33"/>
      <c r="G64" s="10">
        <f t="shared" si="1"/>
        <v>-87796.19</v>
      </c>
    </row>
    <row r="65" spans="3:7" ht="15.5" x14ac:dyDescent="0.35">
      <c r="C65" s="12">
        <v>45549</v>
      </c>
      <c r="D65" s="9" t="s">
        <v>750</v>
      </c>
      <c r="E65" s="356">
        <v>2281.69</v>
      </c>
      <c r="F65" s="33"/>
      <c r="G65" s="10">
        <f t="shared" si="1"/>
        <v>-85514.5</v>
      </c>
    </row>
    <row r="66" spans="3:7" ht="15.5" x14ac:dyDescent="0.35">
      <c r="C66" s="12">
        <v>45549</v>
      </c>
      <c r="D66" s="9" t="s">
        <v>750</v>
      </c>
      <c r="E66" s="356">
        <v>2281.69</v>
      </c>
      <c r="F66" s="33"/>
      <c r="G66" s="10">
        <f t="shared" si="1"/>
        <v>-83232.81</v>
      </c>
    </row>
    <row r="67" spans="3:7" ht="15.5" x14ac:dyDescent="0.35">
      <c r="C67" s="12">
        <v>45549</v>
      </c>
      <c r="D67" s="9" t="s">
        <v>750</v>
      </c>
      <c r="E67" s="356">
        <v>8932.7999999999993</v>
      </c>
      <c r="F67" s="33"/>
      <c r="G67" s="10">
        <f t="shared" si="1"/>
        <v>-74300.009999999995</v>
      </c>
    </row>
    <row r="68" spans="3:7" ht="15.5" x14ac:dyDescent="0.35">
      <c r="C68" s="12">
        <v>45549</v>
      </c>
      <c r="D68" s="9" t="s">
        <v>750</v>
      </c>
      <c r="E68" s="356">
        <v>2281.69</v>
      </c>
      <c r="F68" s="33"/>
      <c r="G68" s="10">
        <f t="shared" si="1"/>
        <v>-72018.319999999992</v>
      </c>
    </row>
    <row r="69" spans="3:7" ht="15.5" x14ac:dyDescent="0.35">
      <c r="C69" s="12">
        <v>45549</v>
      </c>
      <c r="D69" s="9" t="s">
        <v>750</v>
      </c>
      <c r="E69" s="356">
        <v>8932.7999999999993</v>
      </c>
      <c r="F69" s="33"/>
      <c r="G69" s="10">
        <f t="shared" si="1"/>
        <v>-63085.51999999999</v>
      </c>
    </row>
    <row r="70" spans="3:7" ht="15.5" x14ac:dyDescent="0.35">
      <c r="C70" s="12">
        <v>45549</v>
      </c>
      <c r="D70" s="9" t="s">
        <v>749</v>
      </c>
      <c r="E70" s="356">
        <v>1526.23</v>
      </c>
      <c r="F70" s="33"/>
      <c r="G70" s="10">
        <f t="shared" si="1"/>
        <v>-61559.289999999986</v>
      </c>
    </row>
    <row r="71" spans="3:7" ht="15.5" x14ac:dyDescent="0.35">
      <c r="C71" s="12">
        <v>45549</v>
      </c>
      <c r="D71" s="9" t="s">
        <v>749</v>
      </c>
      <c r="E71" s="356">
        <v>1526.23</v>
      </c>
      <c r="F71" s="33"/>
      <c r="G71" s="10">
        <f t="shared" si="1"/>
        <v>-60033.059999999983</v>
      </c>
    </row>
    <row r="72" spans="3:7" ht="15.5" x14ac:dyDescent="0.35">
      <c r="C72" s="12">
        <v>45549</v>
      </c>
      <c r="D72" s="9" t="s">
        <v>482</v>
      </c>
      <c r="E72" s="356">
        <v>760.56</v>
      </c>
      <c r="F72" s="33"/>
      <c r="G72" s="10">
        <f t="shared" si="1"/>
        <v>-59272.499999999985</v>
      </c>
    </row>
    <row r="73" spans="3:7" ht="15.5" x14ac:dyDescent="0.35">
      <c r="C73" s="12">
        <v>45550</v>
      </c>
      <c r="D73" s="9" t="s">
        <v>749</v>
      </c>
      <c r="E73" s="356">
        <v>1526.23</v>
      </c>
      <c r="F73" s="33"/>
      <c r="G73" s="10">
        <f t="shared" si="1"/>
        <v>-57746.269999999982</v>
      </c>
    </row>
    <row r="74" spans="3:7" ht="15.5" x14ac:dyDescent="0.35">
      <c r="C74" s="12">
        <v>45550</v>
      </c>
      <c r="D74" s="9" t="s">
        <v>749</v>
      </c>
      <c r="E74" s="356">
        <v>3904.86</v>
      </c>
      <c r="F74" s="33"/>
      <c r="G74" s="10">
        <f t="shared" si="1"/>
        <v>-53841.409999999982</v>
      </c>
    </row>
    <row r="75" spans="3:7" ht="15.5" x14ac:dyDescent="0.35">
      <c r="C75" s="12">
        <v>45550</v>
      </c>
      <c r="D75" s="9" t="s">
        <v>749</v>
      </c>
      <c r="E75" s="356">
        <v>1526.23</v>
      </c>
      <c r="F75" s="33"/>
      <c r="G75" s="10">
        <f t="shared" si="1"/>
        <v>-52315.179999999978</v>
      </c>
    </row>
    <row r="76" spans="3:7" ht="15.5" x14ac:dyDescent="0.35">
      <c r="C76" s="12">
        <v>45550</v>
      </c>
      <c r="D76" s="9" t="s">
        <v>749</v>
      </c>
      <c r="E76" s="356">
        <v>763.11</v>
      </c>
      <c r="F76" s="33"/>
      <c r="G76" s="10">
        <f t="shared" si="1"/>
        <v>-51552.069999999978</v>
      </c>
    </row>
    <row r="77" spans="3:7" ht="15.5" x14ac:dyDescent="0.35">
      <c r="C77" s="12">
        <v>45550</v>
      </c>
      <c r="D77" s="9" t="s">
        <v>749</v>
      </c>
      <c r="E77" s="356">
        <v>763.11</v>
      </c>
      <c r="F77" s="33"/>
      <c r="G77" s="10">
        <f t="shared" si="1"/>
        <v>-50788.959999999977</v>
      </c>
    </row>
    <row r="78" spans="3:7" ht="15.5" x14ac:dyDescent="0.35">
      <c r="C78" s="12">
        <v>45550</v>
      </c>
      <c r="D78" s="9" t="s">
        <v>750</v>
      </c>
      <c r="E78" s="356">
        <v>6084.52</v>
      </c>
      <c r="F78" s="33"/>
      <c r="G78" s="10">
        <f t="shared" si="1"/>
        <v>-44704.439999999973</v>
      </c>
    </row>
    <row r="79" spans="3:7" ht="15.5" x14ac:dyDescent="0.35">
      <c r="C79" s="12">
        <v>45550</v>
      </c>
      <c r="D79" s="9" t="s">
        <v>750</v>
      </c>
      <c r="E79" s="356">
        <v>1521.13</v>
      </c>
      <c r="F79" s="33"/>
      <c r="G79" s="10">
        <f t="shared" si="1"/>
        <v>-43183.309999999976</v>
      </c>
    </row>
    <row r="80" spans="3:7" ht="15.5" x14ac:dyDescent="0.35">
      <c r="C80" s="12">
        <v>45550</v>
      </c>
      <c r="D80" s="9" t="s">
        <v>750</v>
      </c>
      <c r="E80" s="356">
        <v>1521.13</v>
      </c>
      <c r="F80" s="33"/>
      <c r="G80" s="10">
        <f t="shared" si="1"/>
        <v>-41662.179999999978</v>
      </c>
    </row>
    <row r="81" spans="3:7" ht="15.5" x14ac:dyDescent="0.35">
      <c r="C81" s="12">
        <v>45550</v>
      </c>
      <c r="D81" s="9" t="s">
        <v>482</v>
      </c>
      <c r="E81" s="356">
        <v>1516.02</v>
      </c>
      <c r="F81" s="33"/>
      <c r="G81" s="10">
        <f t="shared" si="1"/>
        <v>-40146.159999999982</v>
      </c>
    </row>
    <row r="82" spans="3:7" ht="15.5" x14ac:dyDescent="0.35">
      <c r="C82" s="12">
        <v>45550</v>
      </c>
      <c r="D82" s="9" t="s">
        <v>482</v>
      </c>
      <c r="E82" s="356">
        <v>1516.02</v>
      </c>
      <c r="F82" s="33"/>
      <c r="G82" s="10">
        <f t="shared" si="1"/>
        <v>-38630.139999999985</v>
      </c>
    </row>
    <row r="83" spans="3:7" ht="15.5" x14ac:dyDescent="0.35">
      <c r="C83" s="12">
        <v>45550</v>
      </c>
      <c r="D83" s="9" t="s">
        <v>749</v>
      </c>
      <c r="E83" s="356">
        <v>14532.4</v>
      </c>
      <c r="F83" s="33"/>
      <c r="G83" s="10">
        <f t="shared" si="1"/>
        <v>-24097.739999999983</v>
      </c>
    </row>
    <row r="84" spans="3:7" ht="15.5" x14ac:dyDescent="0.35">
      <c r="C84" s="12">
        <v>45550</v>
      </c>
      <c r="D84" s="9" t="s">
        <v>749</v>
      </c>
      <c r="E84" s="356">
        <v>21798.59</v>
      </c>
      <c r="F84" s="33"/>
      <c r="G84" s="10">
        <f t="shared" si="1"/>
        <v>-2299.1499999999833</v>
      </c>
    </row>
    <row r="85" spans="3:7" ht="15.5" x14ac:dyDescent="0.35">
      <c r="C85" s="12">
        <v>45550</v>
      </c>
      <c r="D85" s="9" t="s">
        <v>482</v>
      </c>
      <c r="E85" s="356">
        <v>758.02</v>
      </c>
      <c r="F85" s="33"/>
      <c r="G85" s="10">
        <f t="shared" si="1"/>
        <v>-1541.1299999999833</v>
      </c>
    </row>
    <row r="86" spans="3:7" ht="15.5" x14ac:dyDescent="0.35">
      <c r="C86" s="12">
        <v>45551</v>
      </c>
      <c r="D86" s="9" t="s">
        <v>482</v>
      </c>
      <c r="E86" s="356">
        <v>758.02</v>
      </c>
      <c r="F86" s="33"/>
      <c r="G86" s="10">
        <f t="shared" si="1"/>
        <v>-783.1099999999833</v>
      </c>
    </row>
    <row r="87" spans="3:7" ht="15.5" x14ac:dyDescent="0.35">
      <c r="C87" s="12">
        <v>45551</v>
      </c>
      <c r="D87" s="9" t="s">
        <v>482</v>
      </c>
      <c r="E87" s="356">
        <v>760.31</v>
      </c>
      <c r="F87" s="33"/>
      <c r="G87" s="10">
        <f t="shared" si="1"/>
        <v>-22.799999999983356</v>
      </c>
    </row>
    <row r="88" spans="3:7" ht="15.5" x14ac:dyDescent="0.35">
      <c r="C88" s="12">
        <v>45551</v>
      </c>
      <c r="D88" s="9" t="s">
        <v>749</v>
      </c>
      <c r="E88" s="356">
        <v>765.42</v>
      </c>
      <c r="F88" s="33"/>
      <c r="G88" s="10">
        <f t="shared" si="1"/>
        <v>742.6200000000166</v>
      </c>
    </row>
    <row r="89" spans="3:7" ht="15.5" x14ac:dyDescent="0.35">
      <c r="C89" s="12">
        <v>45551</v>
      </c>
      <c r="D89" s="9" t="s">
        <v>749</v>
      </c>
      <c r="E89" s="356">
        <v>765.42</v>
      </c>
      <c r="F89" s="33"/>
      <c r="G89" s="10">
        <f t="shared" si="1"/>
        <v>1508.0400000000166</v>
      </c>
    </row>
    <row r="90" spans="3:7" ht="15.5" x14ac:dyDescent="0.35">
      <c r="C90" s="12">
        <v>45551</v>
      </c>
      <c r="D90" s="9" t="s">
        <v>750</v>
      </c>
      <c r="E90" s="356">
        <v>762.86</v>
      </c>
      <c r="F90" s="33"/>
      <c r="G90" s="10">
        <f t="shared" si="1"/>
        <v>2270.9000000000165</v>
      </c>
    </row>
    <row r="91" spans="3:7" ht="15.5" x14ac:dyDescent="0.35">
      <c r="C91" s="12">
        <v>45552</v>
      </c>
      <c r="D91" s="9" t="s">
        <v>482</v>
      </c>
      <c r="E91" s="356">
        <v>760.31</v>
      </c>
      <c r="F91" s="33"/>
      <c r="G91" s="10">
        <f t="shared" si="1"/>
        <v>3031.2100000000164</v>
      </c>
    </row>
    <row r="92" spans="3:7" ht="15.5" x14ac:dyDescent="0.35">
      <c r="C92" s="12">
        <v>45552</v>
      </c>
      <c r="D92" s="9" t="s">
        <v>482</v>
      </c>
      <c r="E92" s="356">
        <v>760.31</v>
      </c>
      <c r="F92" s="33"/>
      <c r="G92" s="10">
        <f t="shared" si="1"/>
        <v>3791.5200000000164</v>
      </c>
    </row>
    <row r="93" spans="3:7" ht="15.5" x14ac:dyDescent="0.35">
      <c r="C93" s="12">
        <v>45552</v>
      </c>
      <c r="D93" s="9" t="s">
        <v>482</v>
      </c>
      <c r="E93" s="356">
        <v>760.31</v>
      </c>
      <c r="F93" s="33"/>
      <c r="G93" s="10">
        <f t="shared" si="1"/>
        <v>4551.8300000000163</v>
      </c>
    </row>
    <row r="94" spans="3:7" ht="15.5" x14ac:dyDescent="0.35">
      <c r="C94" s="12">
        <v>45552</v>
      </c>
      <c r="D94" s="9" t="s">
        <v>1455</v>
      </c>
      <c r="E94" s="356">
        <v>764.63</v>
      </c>
      <c r="F94" s="33"/>
      <c r="G94" s="10">
        <f t="shared" si="1"/>
        <v>5316.4600000000164</v>
      </c>
    </row>
    <row r="95" spans="3:7" ht="15.5" x14ac:dyDescent="0.35">
      <c r="C95" s="12">
        <v>45552</v>
      </c>
      <c r="D95" s="9" t="s">
        <v>1455</v>
      </c>
      <c r="E95" s="356">
        <v>764.63</v>
      </c>
      <c r="F95" s="33"/>
      <c r="G95" s="10">
        <f t="shared" si="1"/>
        <v>6081.0900000000165</v>
      </c>
    </row>
    <row r="96" spans="3:7" ht="15.5" x14ac:dyDescent="0.35">
      <c r="C96" s="12">
        <v>45552</v>
      </c>
      <c r="D96" s="9" t="s">
        <v>1455</v>
      </c>
      <c r="E96" s="356">
        <v>764.63</v>
      </c>
      <c r="F96" s="33"/>
      <c r="G96" s="10">
        <f t="shared" si="1"/>
        <v>6845.7200000000166</v>
      </c>
    </row>
    <row r="97" spans="3:7" ht="15.5" x14ac:dyDescent="0.35">
      <c r="C97" s="12">
        <v>45552</v>
      </c>
      <c r="D97" s="9" t="s">
        <v>1455</v>
      </c>
      <c r="E97" s="356">
        <v>764.63</v>
      </c>
      <c r="F97" s="33"/>
      <c r="G97" s="10">
        <f t="shared" si="1"/>
        <v>7610.3500000000167</v>
      </c>
    </row>
    <row r="98" spans="3:7" ht="15.5" x14ac:dyDescent="0.35">
      <c r="C98" s="12">
        <v>45552</v>
      </c>
      <c r="D98" s="9" t="s">
        <v>1455</v>
      </c>
      <c r="E98" s="356">
        <v>764.63</v>
      </c>
      <c r="F98" s="33"/>
      <c r="G98" s="10">
        <f t="shared" si="1"/>
        <v>8374.9800000000159</v>
      </c>
    </row>
    <row r="99" spans="3:7" ht="15.5" x14ac:dyDescent="0.35">
      <c r="C99" s="12">
        <v>45552</v>
      </c>
      <c r="D99" s="9" t="s">
        <v>1455</v>
      </c>
      <c r="E99" s="356">
        <v>764.63</v>
      </c>
      <c r="F99" s="33"/>
      <c r="G99" s="10">
        <f t="shared" si="1"/>
        <v>9139.6100000000151</v>
      </c>
    </row>
    <row r="100" spans="3:7" ht="15.5" x14ac:dyDescent="0.35">
      <c r="C100" s="12">
        <v>45552</v>
      </c>
      <c r="D100" s="9" t="s">
        <v>1455</v>
      </c>
      <c r="E100" s="356">
        <v>764.63</v>
      </c>
      <c r="F100" s="33"/>
      <c r="G100" s="10">
        <f t="shared" si="1"/>
        <v>9904.2400000000143</v>
      </c>
    </row>
    <row r="101" spans="3:7" ht="15.5" x14ac:dyDescent="0.35">
      <c r="C101" s="12">
        <v>45552</v>
      </c>
      <c r="D101" s="9" t="s">
        <v>1455</v>
      </c>
      <c r="E101" s="356">
        <v>764.63</v>
      </c>
      <c r="F101" s="33"/>
      <c r="G101" s="10">
        <f t="shared" si="1"/>
        <v>10668.870000000014</v>
      </c>
    </row>
    <row r="102" spans="3:7" ht="15.5" x14ac:dyDescent="0.35">
      <c r="C102" s="12">
        <v>45552</v>
      </c>
      <c r="D102" s="9" t="s">
        <v>1455</v>
      </c>
      <c r="E102" s="356">
        <v>764.63</v>
      </c>
      <c r="F102" s="33"/>
      <c r="G102" s="10">
        <f t="shared" si="1"/>
        <v>11433.500000000013</v>
      </c>
    </row>
    <row r="103" spans="3:7" ht="15.5" x14ac:dyDescent="0.35">
      <c r="C103" s="12">
        <v>45562</v>
      </c>
      <c r="D103" s="9" t="s">
        <v>482</v>
      </c>
      <c r="E103" s="356">
        <v>778.84</v>
      </c>
      <c r="F103" s="33"/>
      <c r="G103" s="10">
        <f t="shared" si="1"/>
        <v>12212.340000000013</v>
      </c>
    </row>
    <row r="104" spans="3:7" ht="15.5" x14ac:dyDescent="0.35">
      <c r="C104" s="12"/>
      <c r="D104" s="9"/>
      <c r="E104" s="34"/>
      <c r="F104" s="33"/>
      <c r="G104" s="10">
        <f t="shared" si="1"/>
        <v>12212.340000000013</v>
      </c>
    </row>
    <row r="105" spans="3:7" ht="16" thickBot="1" x14ac:dyDescent="0.4">
      <c r="C105" s="305"/>
      <c r="D105" s="306"/>
      <c r="E105" s="307"/>
      <c r="F105" s="308"/>
      <c r="G105" s="10">
        <f t="shared" si="1"/>
        <v>12212.340000000013</v>
      </c>
    </row>
    <row r="106" spans="3:7" ht="17.5" thickBot="1" x14ac:dyDescent="0.45">
      <c r="C106" s="4"/>
      <c r="D106" s="5" t="s">
        <v>574</v>
      </c>
      <c r="E106" s="4"/>
      <c r="F106" s="6"/>
      <c r="G106" s="4"/>
    </row>
    <row r="107" spans="3:7" ht="18.5" x14ac:dyDescent="0.3">
      <c r="C107" s="7" t="s">
        <v>0</v>
      </c>
      <c r="D107" s="7" t="s">
        <v>1</v>
      </c>
      <c r="E107" s="7" t="s">
        <v>2</v>
      </c>
      <c r="F107" s="7" t="s">
        <v>3</v>
      </c>
      <c r="G107" s="7" t="s">
        <v>4</v>
      </c>
    </row>
    <row r="108" spans="3:7" ht="18.5" x14ac:dyDescent="0.3">
      <c r="C108" s="7"/>
      <c r="D108" s="7"/>
      <c r="E108" s="7"/>
      <c r="F108" s="7"/>
      <c r="G108" s="7"/>
    </row>
    <row r="109" spans="3:7" ht="15.5" x14ac:dyDescent="0.35">
      <c r="C109" s="25">
        <v>45540</v>
      </c>
      <c r="D109" s="9" t="s">
        <v>572</v>
      </c>
      <c r="E109" s="34">
        <f>13525.98*3.674</f>
        <v>49694.450519999999</v>
      </c>
      <c r="F109" s="33"/>
      <c r="G109" s="10">
        <f>G108+E109-F109</f>
        <v>49694.450519999999</v>
      </c>
    </row>
    <row r="110" spans="3:7" ht="15.5" x14ac:dyDescent="0.35">
      <c r="C110" s="25">
        <v>45540</v>
      </c>
      <c r="D110" s="9" t="s">
        <v>573</v>
      </c>
      <c r="E110" s="34">
        <f>35708.59*3.674</f>
        <v>131193.35965999999</v>
      </c>
      <c r="F110" s="33"/>
      <c r="G110" s="10">
        <f t="shared" ref="G110:G123" si="2">G109+E110-F110</f>
        <v>180887.81017999997</v>
      </c>
    </row>
    <row r="111" spans="3:7" ht="15.5" x14ac:dyDescent="0.35">
      <c r="C111" s="25">
        <v>45540</v>
      </c>
      <c r="D111" s="90" t="s">
        <v>1247</v>
      </c>
      <c r="E111" s="34">
        <f>30.29*3.674</f>
        <v>111.28546</v>
      </c>
      <c r="F111" s="33"/>
      <c r="G111" s="10">
        <f t="shared" si="2"/>
        <v>180999.09563999998</v>
      </c>
    </row>
    <row r="112" spans="3:7" ht="15.5" x14ac:dyDescent="0.35">
      <c r="C112" s="25">
        <v>45540</v>
      </c>
      <c r="D112" s="90" t="s">
        <v>1248</v>
      </c>
      <c r="E112" s="34">
        <f>4.32*3.674</f>
        <v>15.871680000000001</v>
      </c>
      <c r="F112" s="33"/>
      <c r="G112" s="10">
        <f t="shared" si="2"/>
        <v>181014.96732</v>
      </c>
    </row>
    <row r="113" spans="3:7" ht="15.5" x14ac:dyDescent="0.35">
      <c r="C113" s="25">
        <v>45540</v>
      </c>
      <c r="D113" s="90" t="s">
        <v>1249</v>
      </c>
      <c r="E113" s="34">
        <f>5.49*3.674</f>
        <v>20.170259999999999</v>
      </c>
      <c r="F113" s="33"/>
      <c r="G113" s="10">
        <f t="shared" si="2"/>
        <v>181035.13758000001</v>
      </c>
    </row>
    <row r="114" spans="3:7" ht="15.5" x14ac:dyDescent="0.35">
      <c r="C114" s="25">
        <v>45540</v>
      </c>
      <c r="D114" s="90" t="s">
        <v>1250</v>
      </c>
      <c r="E114" s="34">
        <f>13.08*3.674</f>
        <v>48.05592</v>
      </c>
      <c r="F114" s="33"/>
      <c r="G114" s="10">
        <f t="shared" si="2"/>
        <v>181083.19350000002</v>
      </c>
    </row>
    <row r="115" spans="3:7" ht="15.5" x14ac:dyDescent="0.35">
      <c r="C115" s="25">
        <v>45540</v>
      </c>
      <c r="D115" s="90" t="s">
        <v>1251</v>
      </c>
      <c r="E115" s="34">
        <f>39.22*3.674</f>
        <v>144.09428</v>
      </c>
      <c r="F115" s="33"/>
      <c r="G115" s="10">
        <f t="shared" si="2"/>
        <v>181227.28778000001</v>
      </c>
    </row>
    <row r="116" spans="3:7" ht="15.5" x14ac:dyDescent="0.35">
      <c r="C116" s="25">
        <v>45540</v>
      </c>
      <c r="D116" s="90" t="s">
        <v>1252</v>
      </c>
      <c r="E116" s="34">
        <f>108.61*3.674</f>
        <v>399.03314</v>
      </c>
      <c r="F116" s="33"/>
      <c r="G116" s="10">
        <f t="shared" si="2"/>
        <v>181626.32092000003</v>
      </c>
    </row>
    <row r="117" spans="3:7" ht="15.5" x14ac:dyDescent="0.35">
      <c r="C117" s="25">
        <v>45540</v>
      </c>
      <c r="D117" s="90" t="s">
        <v>1253</v>
      </c>
      <c r="E117" s="34">
        <f>20*3.674</f>
        <v>73.48</v>
      </c>
      <c r="F117" s="33"/>
      <c r="G117" s="10">
        <f t="shared" si="2"/>
        <v>181699.80092000004</v>
      </c>
    </row>
    <row r="118" spans="3:7" ht="15.5" x14ac:dyDescent="0.35">
      <c r="C118" s="25">
        <v>45540</v>
      </c>
      <c r="D118" s="90" t="s">
        <v>1254</v>
      </c>
      <c r="E118" s="34">
        <f>21.73*3.674</f>
        <v>79.836020000000005</v>
      </c>
      <c r="F118" s="33"/>
      <c r="G118" s="10">
        <f t="shared" si="2"/>
        <v>181779.63694000003</v>
      </c>
    </row>
    <row r="119" spans="3:7" ht="15.5" x14ac:dyDescent="0.35">
      <c r="C119" s="25">
        <v>45549</v>
      </c>
      <c r="D119" s="90" t="s">
        <v>1246</v>
      </c>
      <c r="E119" s="34"/>
      <c r="F119" s="33">
        <v>131192.59</v>
      </c>
      <c r="G119" s="10">
        <f t="shared" si="2"/>
        <v>50587.046940000029</v>
      </c>
    </row>
    <row r="120" spans="3:7" ht="15.5" x14ac:dyDescent="0.35">
      <c r="C120" s="25">
        <v>45553</v>
      </c>
      <c r="D120" s="90" t="s">
        <v>1245</v>
      </c>
      <c r="E120" s="34"/>
      <c r="F120" s="33">
        <v>47762</v>
      </c>
      <c r="G120" s="10">
        <f t="shared" si="2"/>
        <v>2825.0469400000293</v>
      </c>
    </row>
    <row r="121" spans="3:7" ht="15.5" x14ac:dyDescent="0.35">
      <c r="C121" s="25">
        <v>45576</v>
      </c>
      <c r="D121" s="90" t="s">
        <v>1244</v>
      </c>
      <c r="E121" s="34"/>
      <c r="F121" s="33">
        <f>768.72*3.675</f>
        <v>2825.0459999999998</v>
      </c>
      <c r="G121" s="10">
        <f t="shared" si="2"/>
        <v>9.4000002945904271E-4</v>
      </c>
    </row>
    <row r="122" spans="3:7" ht="15.5" x14ac:dyDescent="0.35">
      <c r="C122" s="25"/>
      <c r="D122" s="90"/>
      <c r="E122" s="34"/>
      <c r="F122" s="33"/>
      <c r="G122" s="10">
        <f t="shared" si="2"/>
        <v>9.4000002945904271E-4</v>
      </c>
    </row>
    <row r="123" spans="3:7" ht="15.5" x14ac:dyDescent="0.35">
      <c r="C123" s="25"/>
      <c r="D123" s="90"/>
      <c r="E123" s="34"/>
      <c r="F123" s="33"/>
      <c r="G123" s="10">
        <f t="shared" si="2"/>
        <v>9.4000002945904271E-4</v>
      </c>
    </row>
    <row r="124" spans="3:7" ht="15.5" x14ac:dyDescent="0.35">
      <c r="C124" s="25"/>
      <c r="D124" s="90"/>
      <c r="E124" s="34"/>
      <c r="F124" s="33"/>
      <c r="G124" s="10">
        <f>G123+E124-F124</f>
        <v>9.4000002945904271E-4</v>
      </c>
    </row>
    <row r="125" spans="3:7" ht="15.5" x14ac:dyDescent="0.3">
      <c r="C125" s="12"/>
      <c r="D125" s="309" t="s">
        <v>230</v>
      </c>
      <c r="E125" s="310"/>
      <c r="F125" s="311"/>
      <c r="G125" s="312">
        <f>G124+E125-F125</f>
        <v>9.4000002945904271E-4</v>
      </c>
    </row>
    <row r="126" spans="3:7" ht="13.5" thickBot="1" x14ac:dyDescent="0.35"/>
    <row r="127" spans="3:7" ht="17.5" thickBot="1" x14ac:dyDescent="0.45">
      <c r="C127" s="4"/>
      <c r="D127" s="5" t="s">
        <v>124</v>
      </c>
      <c r="E127" s="4"/>
      <c r="F127" s="6"/>
      <c r="G127" s="4"/>
    </row>
    <row r="128" spans="3:7" ht="18.5" x14ac:dyDescent="0.3">
      <c r="C128" s="7" t="s">
        <v>0</v>
      </c>
      <c r="D128" s="7" t="s">
        <v>1</v>
      </c>
      <c r="E128" s="7" t="s">
        <v>2</v>
      </c>
      <c r="F128" s="7" t="s">
        <v>3</v>
      </c>
      <c r="G128" s="7" t="s">
        <v>4</v>
      </c>
    </row>
    <row r="129" spans="3:13" x14ac:dyDescent="0.3">
      <c r="C129" s="8"/>
      <c r="D129" s="8"/>
      <c r="E129" s="8"/>
      <c r="F129" s="8"/>
      <c r="G129" s="8"/>
    </row>
    <row r="130" spans="3:13" ht="15.5" x14ac:dyDescent="0.35">
      <c r="C130" s="189">
        <v>45449</v>
      </c>
      <c r="D130" s="190" t="s">
        <v>360</v>
      </c>
      <c r="E130" s="191"/>
      <c r="F130" s="201">
        <v>30100</v>
      </c>
      <c r="G130" s="192">
        <f>G129+E130-F130</f>
        <v>-30100</v>
      </c>
      <c r="J130" s="110">
        <v>45448</v>
      </c>
      <c r="K130" s="9" t="s">
        <v>361</v>
      </c>
      <c r="L130" s="111"/>
      <c r="M130" s="200">
        <v>31900</v>
      </c>
    </row>
    <row r="131" spans="3:13" ht="15.5" x14ac:dyDescent="0.35">
      <c r="C131" s="189">
        <v>45451</v>
      </c>
      <c r="D131" s="190" t="s">
        <v>360</v>
      </c>
      <c r="E131" s="191"/>
      <c r="F131" s="201">
        <v>42200</v>
      </c>
      <c r="G131" s="192">
        <f t="shared" ref="G131:G136" si="3">G130+E131-F131</f>
        <v>-72300</v>
      </c>
      <c r="J131" s="110">
        <v>45451</v>
      </c>
      <c r="K131" s="9" t="s">
        <v>362</v>
      </c>
      <c r="L131" s="111"/>
      <c r="M131" s="200">
        <v>40400</v>
      </c>
    </row>
    <row r="132" spans="3:13" ht="15.5" x14ac:dyDescent="0.35">
      <c r="C132" s="189">
        <v>45455</v>
      </c>
      <c r="D132" s="190" t="s">
        <v>360</v>
      </c>
      <c r="E132" s="191"/>
      <c r="F132" s="202">
        <v>60640</v>
      </c>
      <c r="G132" s="192">
        <f t="shared" si="3"/>
        <v>-132940</v>
      </c>
      <c r="J132" s="110">
        <v>45455</v>
      </c>
      <c r="K132" s="9" t="s">
        <v>363</v>
      </c>
      <c r="L132" s="111"/>
      <c r="M132" s="200">
        <v>60640</v>
      </c>
    </row>
    <row r="133" spans="3:13" ht="15.5" x14ac:dyDescent="0.35">
      <c r="C133" s="189">
        <v>45458</v>
      </c>
      <c r="D133" s="190" t="s">
        <v>360</v>
      </c>
      <c r="E133" s="191"/>
      <c r="F133" s="202">
        <v>21320</v>
      </c>
      <c r="G133" s="192">
        <f t="shared" si="3"/>
        <v>-154260</v>
      </c>
      <c r="J133" s="110">
        <v>45457</v>
      </c>
      <c r="K133" s="9" t="s">
        <v>363</v>
      </c>
      <c r="L133" s="111"/>
      <c r="M133" s="200">
        <v>21320</v>
      </c>
    </row>
    <row r="134" spans="3:13" ht="15.5" x14ac:dyDescent="0.35">
      <c r="C134" s="189">
        <v>45459</v>
      </c>
      <c r="D134" s="190" t="s">
        <v>360</v>
      </c>
      <c r="E134" s="191"/>
      <c r="F134" s="201">
        <v>8350</v>
      </c>
      <c r="G134" s="192">
        <f t="shared" si="3"/>
        <v>-162610</v>
      </c>
      <c r="J134" s="110">
        <v>45462</v>
      </c>
      <c r="K134" s="9" t="s">
        <v>363</v>
      </c>
      <c r="L134" s="111"/>
      <c r="M134" s="200">
        <v>6000</v>
      </c>
    </row>
    <row r="135" spans="3:13" ht="15.5" x14ac:dyDescent="0.35">
      <c r="C135" s="189">
        <v>45463</v>
      </c>
      <c r="D135" s="190" t="s">
        <v>360</v>
      </c>
      <c r="E135" s="191"/>
      <c r="F135" s="202">
        <v>6000</v>
      </c>
      <c r="G135" s="192">
        <f t="shared" si="3"/>
        <v>-168610</v>
      </c>
      <c r="J135" s="110">
        <v>45463</v>
      </c>
      <c r="K135" s="9" t="s">
        <v>363</v>
      </c>
      <c r="L135" s="111"/>
      <c r="M135" s="203">
        <v>8350</v>
      </c>
    </row>
    <row r="136" spans="3:13" ht="15.5" x14ac:dyDescent="0.35">
      <c r="C136" s="189">
        <v>45470</v>
      </c>
      <c r="D136" s="190" t="s">
        <v>360</v>
      </c>
      <c r="E136" s="193"/>
      <c r="F136" s="204">
        <v>21000</v>
      </c>
      <c r="G136" s="192">
        <f t="shared" si="3"/>
        <v>-189610</v>
      </c>
      <c r="J136" s="110">
        <v>45469</v>
      </c>
      <c r="K136" s="9" t="s">
        <v>363</v>
      </c>
      <c r="L136" s="111"/>
      <c r="M136" s="203">
        <v>21000</v>
      </c>
    </row>
    <row r="137" spans="3:13" ht="15.5" x14ac:dyDescent="0.35">
      <c r="C137" s="189">
        <v>45471</v>
      </c>
      <c r="D137" s="190" t="s">
        <v>360</v>
      </c>
      <c r="E137" s="193"/>
      <c r="F137" s="204">
        <v>31250</v>
      </c>
      <c r="G137" s="192">
        <f>G136+E137-F137</f>
        <v>-220860</v>
      </c>
      <c r="J137" s="110">
        <v>45471</v>
      </c>
      <c r="K137" s="9" t="s">
        <v>363</v>
      </c>
      <c r="M137" s="203">
        <v>31250</v>
      </c>
    </row>
    <row r="138" spans="3:13" ht="15.5" x14ac:dyDescent="0.35">
      <c r="C138" s="189">
        <v>45473</v>
      </c>
      <c r="D138" s="190" t="s">
        <v>360</v>
      </c>
      <c r="E138" s="193"/>
      <c r="F138" s="196">
        <v>10000</v>
      </c>
      <c r="G138" s="192">
        <f>G137+E138-F138</f>
        <v>-230860</v>
      </c>
      <c r="J138" s="197">
        <v>45474</v>
      </c>
      <c r="K138" s="9" t="s">
        <v>363</v>
      </c>
      <c r="L138" s="198"/>
      <c r="M138" s="206">
        <v>73200</v>
      </c>
    </row>
    <row r="139" spans="3:13" ht="15.5" x14ac:dyDescent="0.35">
      <c r="C139" s="194">
        <v>45474</v>
      </c>
      <c r="D139" s="190" t="s">
        <v>360</v>
      </c>
      <c r="E139" s="195"/>
      <c r="F139" s="196">
        <v>10000</v>
      </c>
      <c r="G139" s="192">
        <f t="shared" ref="G139:G143" si="4">G138+E139-F139</f>
        <v>-240860</v>
      </c>
      <c r="J139" s="110">
        <v>45479</v>
      </c>
      <c r="K139" s="9" t="s">
        <v>364</v>
      </c>
      <c r="L139" s="111"/>
      <c r="M139" s="207">
        <v>50000</v>
      </c>
    </row>
    <row r="140" spans="3:13" ht="15.5" x14ac:dyDescent="0.35">
      <c r="C140" s="194">
        <v>45474</v>
      </c>
      <c r="D140" s="190" t="s">
        <v>360</v>
      </c>
      <c r="E140" s="195"/>
      <c r="F140" s="205">
        <v>63000</v>
      </c>
      <c r="G140" s="192">
        <f t="shared" si="4"/>
        <v>-303860</v>
      </c>
      <c r="J140" s="110">
        <v>45491</v>
      </c>
      <c r="K140" s="9" t="s">
        <v>215</v>
      </c>
      <c r="L140" s="111"/>
      <c r="M140" s="203">
        <v>20000</v>
      </c>
    </row>
    <row r="141" spans="3:13" ht="15.5" x14ac:dyDescent="0.35">
      <c r="C141" s="194">
        <v>45474</v>
      </c>
      <c r="D141" s="190" t="s">
        <v>360</v>
      </c>
      <c r="E141" s="195"/>
      <c r="F141" s="205">
        <v>10200</v>
      </c>
      <c r="G141" s="192">
        <f t="shared" si="4"/>
        <v>-314060</v>
      </c>
      <c r="M141" s="199">
        <f>SUM(M130:M140)</f>
        <v>364060</v>
      </c>
    </row>
    <row r="142" spans="3:13" ht="15.5" x14ac:dyDescent="0.35">
      <c r="C142" s="194">
        <v>45480</v>
      </c>
      <c r="D142" s="190" t="s">
        <v>360</v>
      </c>
      <c r="E142" s="195"/>
      <c r="F142" s="205">
        <v>50000</v>
      </c>
      <c r="G142" s="192">
        <f t="shared" si="4"/>
        <v>-364060</v>
      </c>
    </row>
    <row r="143" spans="3:13" ht="15.5" x14ac:dyDescent="0.35">
      <c r="C143" s="194">
        <v>45492</v>
      </c>
      <c r="D143" s="190" t="s">
        <v>360</v>
      </c>
      <c r="E143" s="195"/>
      <c r="F143" s="205">
        <v>20000</v>
      </c>
      <c r="G143" s="192">
        <f t="shared" si="4"/>
        <v>-384060</v>
      </c>
    </row>
    <row r="150" spans="3:7" ht="13.5" thickBot="1" x14ac:dyDescent="0.35"/>
    <row r="151" spans="3:7" ht="17.5" thickBot="1" x14ac:dyDescent="0.45">
      <c r="C151" s="4"/>
      <c r="D151" s="5" t="s">
        <v>275</v>
      </c>
      <c r="E151" s="4"/>
      <c r="F151" s="6"/>
      <c r="G151" s="4"/>
    </row>
    <row r="152" spans="3:7" ht="18.5" x14ac:dyDescent="0.3">
      <c r="C152" s="7" t="s">
        <v>0</v>
      </c>
      <c r="D152" s="7" t="s">
        <v>1</v>
      </c>
      <c r="E152" s="7" t="s">
        <v>2</v>
      </c>
      <c r="F152" s="7" t="s">
        <v>3</v>
      </c>
      <c r="G152" s="7" t="s">
        <v>4</v>
      </c>
    </row>
    <row r="153" spans="3:7" x14ac:dyDescent="0.3">
      <c r="C153" s="8"/>
      <c r="D153" s="8"/>
      <c r="E153" s="8"/>
      <c r="F153" s="8"/>
      <c r="G153" s="8">
        <v>2</v>
      </c>
    </row>
    <row r="154" spans="3:7" ht="14.5" x14ac:dyDescent="0.35">
      <c r="C154" s="12">
        <v>45352</v>
      </c>
      <c r="D154" s="13" t="s">
        <v>284</v>
      </c>
      <c r="E154" s="30">
        <v>5000</v>
      </c>
      <c r="F154" s="31"/>
      <c r="G154" s="10">
        <f>G153+E154-F154</f>
        <v>5002</v>
      </c>
    </row>
    <row r="155" spans="3:7" ht="14.5" x14ac:dyDescent="0.35">
      <c r="C155" s="12">
        <v>45354</v>
      </c>
      <c r="D155" s="13" t="s">
        <v>284</v>
      </c>
      <c r="E155" s="30">
        <v>3990</v>
      </c>
      <c r="F155" s="31"/>
      <c r="G155" s="10">
        <f t="shared" ref="G155:G186" si="5">G154+E155-F155</f>
        <v>8992</v>
      </c>
    </row>
    <row r="156" spans="3:7" ht="14.5" x14ac:dyDescent="0.35">
      <c r="C156" s="12">
        <v>45355</v>
      </c>
      <c r="D156" s="8" t="s">
        <v>285</v>
      </c>
      <c r="E156" s="30"/>
      <c r="F156" s="30">
        <v>8900</v>
      </c>
      <c r="G156" s="10">
        <f t="shared" si="5"/>
        <v>92</v>
      </c>
    </row>
    <row r="157" spans="3:7" ht="14.5" x14ac:dyDescent="0.35">
      <c r="C157" s="12">
        <v>45357</v>
      </c>
      <c r="D157" t="s">
        <v>297</v>
      </c>
      <c r="E157" s="30">
        <v>500</v>
      </c>
      <c r="F157" s="30"/>
      <c r="G157" s="10">
        <f t="shared" si="5"/>
        <v>592</v>
      </c>
    </row>
    <row r="158" spans="3:7" ht="14.5" x14ac:dyDescent="0.35">
      <c r="C158" s="12">
        <v>45369</v>
      </c>
      <c r="D158" t="s">
        <v>297</v>
      </c>
      <c r="E158" s="30">
        <v>11840</v>
      </c>
      <c r="F158" s="31"/>
      <c r="G158" s="10">
        <f t="shared" si="5"/>
        <v>12432</v>
      </c>
    </row>
    <row r="159" spans="3:7" ht="14.5" x14ac:dyDescent="0.35">
      <c r="C159" s="12">
        <v>45371</v>
      </c>
      <c r="D159" s="13" t="s">
        <v>308</v>
      </c>
      <c r="E159" s="30"/>
      <c r="F159" s="30">
        <v>12400</v>
      </c>
      <c r="G159" s="10">
        <f t="shared" si="5"/>
        <v>32</v>
      </c>
    </row>
    <row r="160" spans="3:7" ht="14.5" x14ac:dyDescent="0.35">
      <c r="C160" s="12">
        <v>45389</v>
      </c>
      <c r="D160" t="s">
        <v>306</v>
      </c>
      <c r="E160" s="30">
        <v>1000</v>
      </c>
      <c r="F160" s="30"/>
      <c r="G160" s="10">
        <f t="shared" si="5"/>
        <v>1032</v>
      </c>
    </row>
    <row r="161" spans="2:8" ht="14.5" x14ac:dyDescent="0.35">
      <c r="C161" s="12"/>
      <c r="D161" s="11"/>
      <c r="E161" s="30"/>
      <c r="F161" s="30"/>
      <c r="G161" s="10">
        <f t="shared" si="5"/>
        <v>1032</v>
      </c>
    </row>
    <row r="162" spans="2:8" ht="18.5" x14ac:dyDescent="0.45">
      <c r="C162" s="12"/>
      <c r="D162" s="179" t="s">
        <v>309</v>
      </c>
      <c r="E162" s="30"/>
      <c r="F162" s="30"/>
      <c r="G162" s="10">
        <f>G161+E162-F162</f>
        <v>1032</v>
      </c>
    </row>
    <row r="163" spans="2:8" ht="14.5" x14ac:dyDescent="0.35">
      <c r="C163" s="12">
        <v>45482</v>
      </c>
      <c r="D163" s="113" t="s">
        <v>303</v>
      </c>
      <c r="E163" s="30"/>
      <c r="F163" s="30">
        <v>59.38</v>
      </c>
      <c r="G163" s="10">
        <f t="shared" si="5"/>
        <v>972.62</v>
      </c>
      <c r="H163">
        <v>972.62</v>
      </c>
    </row>
    <row r="164" spans="2:8" ht="14.5" x14ac:dyDescent="0.35">
      <c r="C164" s="12">
        <v>45482</v>
      </c>
      <c r="D164" s="113" t="s">
        <v>304</v>
      </c>
      <c r="E164" s="30"/>
      <c r="F164" s="30">
        <v>10.62</v>
      </c>
      <c r="G164" s="10">
        <f t="shared" si="5"/>
        <v>962</v>
      </c>
    </row>
    <row r="165" spans="2:8" ht="14.5" x14ac:dyDescent="0.35">
      <c r="C165" s="12">
        <v>45483</v>
      </c>
      <c r="D165" s="113" t="s">
        <v>297</v>
      </c>
      <c r="E165" s="30">
        <v>20000</v>
      </c>
      <c r="F165" s="30"/>
      <c r="G165" s="10">
        <f t="shared" si="5"/>
        <v>20962</v>
      </c>
    </row>
    <row r="166" spans="2:8" ht="14.5" x14ac:dyDescent="0.35">
      <c r="C166" s="12">
        <v>45487</v>
      </c>
      <c r="D166" s="113" t="s">
        <v>305</v>
      </c>
      <c r="E166" s="30"/>
      <c r="F166" s="30">
        <v>919.45</v>
      </c>
      <c r="G166" s="10">
        <f t="shared" si="5"/>
        <v>20042.55</v>
      </c>
    </row>
    <row r="167" spans="2:8" ht="14.5" x14ac:dyDescent="0.35">
      <c r="B167" s="1" t="s">
        <v>310</v>
      </c>
      <c r="C167" s="12">
        <v>45488</v>
      </c>
      <c r="D167" s="113" t="s">
        <v>301</v>
      </c>
      <c r="E167" s="30"/>
      <c r="F167" s="30">
        <v>1849.2</v>
      </c>
      <c r="G167" s="10">
        <f t="shared" si="5"/>
        <v>18193.349999999999</v>
      </c>
    </row>
    <row r="168" spans="2:8" ht="14.5" x14ac:dyDescent="0.35">
      <c r="B168" s="1" t="s">
        <v>310</v>
      </c>
      <c r="C168" s="12">
        <v>45488</v>
      </c>
      <c r="D168" s="113" t="s">
        <v>302</v>
      </c>
      <c r="E168" s="30"/>
      <c r="F168" s="30">
        <v>3698.39</v>
      </c>
      <c r="G168" s="10">
        <f t="shared" si="5"/>
        <v>14494.96</v>
      </c>
    </row>
    <row r="169" spans="2:8" ht="14.5" x14ac:dyDescent="0.35">
      <c r="C169" s="12">
        <v>45492</v>
      </c>
      <c r="D169" s="113" t="s">
        <v>297</v>
      </c>
      <c r="E169" s="30">
        <v>30000</v>
      </c>
      <c r="F169" s="30"/>
      <c r="G169" s="10">
        <f t="shared" si="5"/>
        <v>44494.96</v>
      </c>
    </row>
    <row r="170" spans="2:8" ht="14.5" x14ac:dyDescent="0.35">
      <c r="C170" s="12">
        <v>45493</v>
      </c>
      <c r="D170" s="113" t="s">
        <v>297</v>
      </c>
      <c r="E170" s="30">
        <v>29800</v>
      </c>
      <c r="F170" s="30"/>
      <c r="G170" s="10">
        <f t="shared" si="5"/>
        <v>74294.959999999992</v>
      </c>
    </row>
    <row r="171" spans="2:8" ht="14.5" x14ac:dyDescent="0.35">
      <c r="C171" s="12">
        <v>45493</v>
      </c>
      <c r="D171" s="113" t="s">
        <v>297</v>
      </c>
      <c r="E171" s="30">
        <v>200</v>
      </c>
      <c r="F171" s="30"/>
      <c r="G171" s="10">
        <f t="shared" si="5"/>
        <v>74494.959999999992</v>
      </c>
    </row>
    <row r="172" spans="2:8" ht="14.5" x14ac:dyDescent="0.35">
      <c r="C172" s="12">
        <v>45494</v>
      </c>
      <c r="D172" s="11" t="s">
        <v>300</v>
      </c>
      <c r="E172" s="30"/>
      <c r="F172" s="30">
        <v>7.68</v>
      </c>
      <c r="G172" s="10">
        <f t="shared" si="5"/>
        <v>74487.28</v>
      </c>
    </row>
    <row r="173" spans="2:8" ht="14.5" x14ac:dyDescent="0.35">
      <c r="B173" s="1" t="s">
        <v>310</v>
      </c>
      <c r="C173" s="12">
        <v>45494</v>
      </c>
      <c r="D173" s="113" t="s">
        <v>298</v>
      </c>
      <c r="E173" s="30"/>
      <c r="F173" s="30">
        <v>7312.98</v>
      </c>
      <c r="G173" s="10">
        <f t="shared" si="5"/>
        <v>67174.3</v>
      </c>
    </row>
    <row r="174" spans="2:8" ht="14.5" x14ac:dyDescent="0.35">
      <c r="B174" s="1" t="s">
        <v>310</v>
      </c>
      <c r="C174" s="12">
        <v>45494</v>
      </c>
      <c r="D174" s="113" t="s">
        <v>299</v>
      </c>
      <c r="E174" s="113"/>
      <c r="F174" s="30">
        <v>3656.49</v>
      </c>
      <c r="G174" s="10">
        <f t="shared" si="5"/>
        <v>63517.810000000005</v>
      </c>
    </row>
    <row r="175" spans="2:8" ht="14.5" x14ac:dyDescent="0.35">
      <c r="C175" s="12">
        <v>45494</v>
      </c>
      <c r="D175" s="113" t="s">
        <v>297</v>
      </c>
      <c r="E175" s="30">
        <v>20000</v>
      </c>
      <c r="F175" s="113"/>
      <c r="G175" s="10">
        <f t="shared" si="5"/>
        <v>83517.81</v>
      </c>
    </row>
    <row r="176" spans="2:8" ht="14.5" x14ac:dyDescent="0.35">
      <c r="B176" s="1" t="s">
        <v>310</v>
      </c>
      <c r="C176" s="12">
        <v>45495</v>
      </c>
      <c r="D176" s="113" t="s">
        <v>296</v>
      </c>
      <c r="E176" s="113"/>
      <c r="F176" s="30">
        <v>7301.07</v>
      </c>
      <c r="G176" s="10">
        <f t="shared" si="5"/>
        <v>76216.739999999991</v>
      </c>
    </row>
    <row r="177" spans="2:7" ht="14.5" x14ac:dyDescent="0.35">
      <c r="B177" s="1" t="s">
        <v>310</v>
      </c>
      <c r="C177" s="12">
        <v>45495</v>
      </c>
      <c r="D177" s="113" t="s">
        <v>295</v>
      </c>
      <c r="E177" s="113"/>
      <c r="F177" s="30">
        <v>3650.54</v>
      </c>
      <c r="G177" s="10">
        <f t="shared" si="5"/>
        <v>72566.2</v>
      </c>
    </row>
    <row r="178" spans="2:7" ht="14.5" x14ac:dyDescent="0.35">
      <c r="B178" s="1" t="s">
        <v>310</v>
      </c>
      <c r="C178" s="12">
        <v>45495</v>
      </c>
      <c r="D178" s="113" t="s">
        <v>294</v>
      </c>
      <c r="E178" s="113"/>
      <c r="F178" s="30">
        <v>6388.44</v>
      </c>
      <c r="G178" s="10">
        <f t="shared" si="5"/>
        <v>66177.759999999995</v>
      </c>
    </row>
    <row r="179" spans="2:7" ht="14.5" x14ac:dyDescent="0.35">
      <c r="B179" s="1" t="s">
        <v>310</v>
      </c>
      <c r="C179" s="12">
        <v>45496</v>
      </c>
      <c r="D179" s="113" t="s">
        <v>293</v>
      </c>
      <c r="E179" s="113"/>
      <c r="F179" s="30">
        <v>9078.99</v>
      </c>
      <c r="G179" s="10">
        <f t="shared" si="5"/>
        <v>57098.77</v>
      </c>
    </row>
    <row r="180" spans="2:7" ht="14.5" x14ac:dyDescent="0.35">
      <c r="B180" s="1" t="s">
        <v>310</v>
      </c>
      <c r="C180" s="12">
        <v>45496</v>
      </c>
      <c r="D180" s="113" t="s">
        <v>292</v>
      </c>
      <c r="E180" s="113"/>
      <c r="F180" s="30">
        <v>5447.4</v>
      </c>
      <c r="G180" s="10">
        <f t="shared" si="5"/>
        <v>51651.369999999995</v>
      </c>
    </row>
    <row r="181" spans="2:7" ht="14.5" x14ac:dyDescent="0.35">
      <c r="B181" s="1" t="s">
        <v>310</v>
      </c>
      <c r="C181" s="12">
        <v>45497</v>
      </c>
      <c r="D181" s="113" t="s">
        <v>291</v>
      </c>
      <c r="E181" s="113"/>
      <c r="F181" s="30">
        <v>5447.4</v>
      </c>
      <c r="G181" s="10">
        <f t="shared" si="5"/>
        <v>46203.969999999994</v>
      </c>
    </row>
    <row r="182" spans="2:7" ht="14.5" x14ac:dyDescent="0.35">
      <c r="B182" s="1" t="s">
        <v>310</v>
      </c>
      <c r="C182" s="12">
        <v>45497</v>
      </c>
      <c r="D182" s="113" t="s">
        <v>290</v>
      </c>
      <c r="E182" s="113"/>
      <c r="F182" s="30">
        <v>3631.6</v>
      </c>
      <c r="G182" s="10">
        <f t="shared" si="5"/>
        <v>42572.369999999995</v>
      </c>
    </row>
    <row r="183" spans="2:7" ht="14.5" x14ac:dyDescent="0.35">
      <c r="B183" s="1" t="s">
        <v>310</v>
      </c>
      <c r="C183" s="12">
        <v>45497</v>
      </c>
      <c r="D183" s="113" t="s">
        <v>289</v>
      </c>
      <c r="E183" s="113"/>
      <c r="F183" s="30">
        <v>4539.5</v>
      </c>
      <c r="G183" s="10">
        <f t="shared" si="5"/>
        <v>38032.869999999995</v>
      </c>
    </row>
    <row r="184" spans="2:7" ht="14.5" x14ac:dyDescent="0.35">
      <c r="B184" s="1" t="s">
        <v>310</v>
      </c>
      <c r="C184" s="12">
        <v>45497</v>
      </c>
      <c r="D184" s="113" t="s">
        <v>288</v>
      </c>
      <c r="E184" s="113"/>
      <c r="F184" s="30">
        <v>3631.6</v>
      </c>
      <c r="G184" s="10">
        <f t="shared" si="5"/>
        <v>34401.269999999997</v>
      </c>
    </row>
    <row r="185" spans="2:7" ht="14.5" x14ac:dyDescent="0.35">
      <c r="B185" s="1" t="s">
        <v>310</v>
      </c>
      <c r="C185" s="12">
        <v>45497</v>
      </c>
      <c r="D185" s="113" t="s">
        <v>286</v>
      </c>
      <c r="E185" s="113"/>
      <c r="F185" s="30">
        <v>10894.79</v>
      </c>
      <c r="G185" s="10">
        <f t="shared" si="5"/>
        <v>23506.479999999996</v>
      </c>
    </row>
    <row r="186" spans="2:7" x14ac:dyDescent="0.3">
      <c r="C186" s="113"/>
      <c r="D186" s="113"/>
      <c r="E186" s="113"/>
      <c r="F186" s="113"/>
      <c r="G186" s="10">
        <f t="shared" si="5"/>
        <v>23506.479999999996</v>
      </c>
    </row>
    <row r="190" spans="2:7" ht="13.5" thickBot="1" x14ac:dyDescent="0.35"/>
    <row r="191" spans="2:7" ht="17.5" thickBot="1" x14ac:dyDescent="0.45">
      <c r="C191" s="4"/>
      <c r="D191" s="5" t="s">
        <v>311</v>
      </c>
      <c r="E191" s="4"/>
      <c r="F191" s="6"/>
      <c r="G191" s="4"/>
    </row>
    <row r="192" spans="2:7" ht="18.5" x14ac:dyDescent="0.3">
      <c r="C192" s="7" t="s">
        <v>0</v>
      </c>
      <c r="D192" s="7" t="s">
        <v>1</v>
      </c>
      <c r="E192" s="7" t="s">
        <v>2</v>
      </c>
      <c r="F192" s="7" t="s">
        <v>3</v>
      </c>
      <c r="G192" s="7" t="s">
        <v>4</v>
      </c>
    </row>
    <row r="193" spans="3:7" x14ac:dyDescent="0.3">
      <c r="C193" s="8"/>
      <c r="D193" s="8"/>
      <c r="E193" s="8"/>
      <c r="F193" s="8"/>
      <c r="G193" s="8"/>
    </row>
    <row r="194" spans="3:7" x14ac:dyDescent="0.3">
      <c r="C194" s="180">
        <v>45409</v>
      </c>
      <c r="D194" s="1" t="s">
        <v>312</v>
      </c>
      <c r="E194" s="178">
        <v>18850.36</v>
      </c>
    </row>
    <row r="195" spans="3:7" x14ac:dyDescent="0.3">
      <c r="D195" s="1" t="s">
        <v>313</v>
      </c>
      <c r="E195" s="181">
        <v>1264.58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J102"/>
  <sheetViews>
    <sheetView workbookViewId="0">
      <selection activeCell="C69" sqref="C69"/>
    </sheetView>
  </sheetViews>
  <sheetFormatPr defaultRowHeight="13" x14ac:dyDescent="0.3"/>
  <cols>
    <col min="2" max="2" width="10.09765625" bestFit="1" customWidth="1"/>
    <col min="3" max="3" width="70.8984375" bestFit="1" customWidth="1"/>
    <col min="4" max="4" width="15.59765625" customWidth="1"/>
    <col min="5" max="5" width="13.796875" bestFit="1" customWidth="1"/>
    <col min="6" max="6" width="10.3984375" bestFit="1" customWidth="1"/>
    <col min="7" max="7" width="31.296875" customWidth="1"/>
  </cols>
  <sheetData>
    <row r="3" spans="2:4" x14ac:dyDescent="0.3">
      <c r="B3" s="180">
        <v>45542</v>
      </c>
      <c r="C3" t="s">
        <v>415</v>
      </c>
      <c r="D3" t="s">
        <v>613</v>
      </c>
    </row>
    <row r="5" spans="2:4" x14ac:dyDescent="0.3">
      <c r="B5" s="180">
        <v>45542</v>
      </c>
      <c r="C5" t="s">
        <v>614</v>
      </c>
    </row>
    <row r="6" spans="2:4" x14ac:dyDescent="0.3">
      <c r="B6" s="180">
        <v>45546</v>
      </c>
      <c r="C6" t="s">
        <v>615</v>
      </c>
    </row>
    <row r="7" spans="2:4" x14ac:dyDescent="0.3">
      <c r="C7" t="s">
        <v>616</v>
      </c>
    </row>
    <row r="8" spans="2:4" x14ac:dyDescent="0.3">
      <c r="C8" t="s">
        <v>617</v>
      </c>
    </row>
    <row r="10" spans="2:4" x14ac:dyDescent="0.3">
      <c r="C10" s="1" t="s">
        <v>620</v>
      </c>
    </row>
    <row r="18" spans="7:9" x14ac:dyDescent="0.3">
      <c r="G18" s="18" t="s">
        <v>633</v>
      </c>
    </row>
    <row r="20" spans="7:9" x14ac:dyDescent="0.3">
      <c r="G20" t="s">
        <v>621</v>
      </c>
      <c r="I20" s="17">
        <v>56619.68</v>
      </c>
    </row>
    <row r="21" spans="7:9" x14ac:dyDescent="0.3">
      <c r="G21" t="s">
        <v>622</v>
      </c>
      <c r="I21" s="17">
        <v>357286.16</v>
      </c>
    </row>
    <row r="22" spans="7:9" x14ac:dyDescent="0.3">
      <c r="G22" s="322" t="s">
        <v>623</v>
      </c>
      <c r="H22" s="322"/>
      <c r="I22" s="324">
        <f>SUM(I20:I21)</f>
        <v>413905.83999999997</v>
      </c>
    </row>
    <row r="23" spans="7:9" x14ac:dyDescent="0.3">
      <c r="I23" s="17"/>
    </row>
    <row r="24" spans="7:9" x14ac:dyDescent="0.3">
      <c r="I24" s="17"/>
    </row>
    <row r="25" spans="7:9" x14ac:dyDescent="0.3">
      <c r="G25" t="s">
        <v>624</v>
      </c>
      <c r="I25" s="17">
        <v>77862.789999999994</v>
      </c>
    </row>
    <row r="26" spans="7:9" x14ac:dyDescent="0.3">
      <c r="G26" t="s">
        <v>625</v>
      </c>
      <c r="I26" s="17">
        <v>31312</v>
      </c>
    </row>
    <row r="27" spans="7:9" x14ac:dyDescent="0.3">
      <c r="G27" t="s">
        <v>626</v>
      </c>
      <c r="I27" s="17">
        <v>161424</v>
      </c>
    </row>
    <row r="28" spans="7:9" x14ac:dyDescent="0.3">
      <c r="G28" t="s">
        <v>627</v>
      </c>
      <c r="I28" s="17">
        <v>100802</v>
      </c>
    </row>
    <row r="29" spans="7:9" x14ac:dyDescent="0.3">
      <c r="I29" s="17"/>
    </row>
    <row r="30" spans="7:9" ht="13.5" thickBot="1" x14ac:dyDescent="0.35">
      <c r="G30" s="323" t="s">
        <v>628</v>
      </c>
      <c r="H30" s="323"/>
      <c r="I30" s="325">
        <f>SUM(I25:I29)</f>
        <v>371400.79</v>
      </c>
    </row>
    <row r="31" spans="7:9" ht="13.5" thickTop="1" x14ac:dyDescent="0.3">
      <c r="I31" s="17"/>
    </row>
    <row r="32" spans="7:9" x14ac:dyDescent="0.3">
      <c r="G32" t="s">
        <v>632</v>
      </c>
      <c r="I32" s="17">
        <f>I22+I30</f>
        <v>785306.62999999989</v>
      </c>
    </row>
    <row r="33" spans="2:9" x14ac:dyDescent="0.3">
      <c r="I33" s="17"/>
    </row>
    <row r="34" spans="2:9" x14ac:dyDescent="0.3">
      <c r="G34" t="s">
        <v>629</v>
      </c>
      <c r="I34" s="17">
        <v>-204120</v>
      </c>
    </row>
    <row r="35" spans="2:9" x14ac:dyDescent="0.3">
      <c r="G35" t="s">
        <v>509</v>
      </c>
      <c r="I35" s="17">
        <v>-103870</v>
      </c>
    </row>
    <row r="36" spans="2:9" x14ac:dyDescent="0.3">
      <c r="G36" t="s">
        <v>630</v>
      </c>
      <c r="I36" s="17"/>
    </row>
    <row r="37" spans="2:9" x14ac:dyDescent="0.3">
      <c r="G37" t="s">
        <v>631</v>
      </c>
      <c r="I37" s="17">
        <v>-57181</v>
      </c>
    </row>
    <row r="39" spans="2:9" ht="14" x14ac:dyDescent="0.3">
      <c r="B39" s="266" t="s">
        <v>0</v>
      </c>
      <c r="C39" s="266" t="s">
        <v>487</v>
      </c>
      <c r="D39" s="266" t="s">
        <v>448</v>
      </c>
      <c r="E39" s="266" t="s">
        <v>488</v>
      </c>
    </row>
    <row r="40" spans="2:9" ht="14" x14ac:dyDescent="0.3">
      <c r="B40" s="258"/>
      <c r="C40" s="326" t="s">
        <v>552</v>
      </c>
      <c r="D40" s="258"/>
      <c r="E40" s="258"/>
    </row>
    <row r="41" spans="2:9" x14ac:dyDescent="0.3">
      <c r="B41" s="327">
        <v>45457</v>
      </c>
      <c r="C41" s="26">
        <v>6866</v>
      </c>
      <c r="D41" s="26" t="s">
        <v>490</v>
      </c>
      <c r="E41" s="26">
        <v>1791</v>
      </c>
      <c r="F41">
        <f>1791/3</f>
        <v>597</v>
      </c>
    </row>
    <row r="42" spans="2:9" x14ac:dyDescent="0.3">
      <c r="B42" s="327">
        <v>45457</v>
      </c>
      <c r="C42" s="26">
        <v>6866</v>
      </c>
      <c r="D42" s="26" t="s">
        <v>490</v>
      </c>
      <c r="E42" s="26">
        <v>1791</v>
      </c>
      <c r="F42">
        <f>1791/3</f>
        <v>597</v>
      </c>
    </row>
    <row r="43" spans="2:9" x14ac:dyDescent="0.3">
      <c r="B43" s="327">
        <v>45459</v>
      </c>
      <c r="C43" s="26">
        <v>6866</v>
      </c>
      <c r="D43" s="26" t="s">
        <v>491</v>
      </c>
      <c r="E43" s="26">
        <v>2388</v>
      </c>
      <c r="F43">
        <f>2388/4</f>
        <v>597</v>
      </c>
    </row>
    <row r="44" spans="2:9" x14ac:dyDescent="0.3">
      <c r="B44" s="327">
        <v>45457</v>
      </c>
      <c r="C44" s="26">
        <v>6866</v>
      </c>
      <c r="D44" s="26" t="s">
        <v>491</v>
      </c>
      <c r="E44" s="26">
        <v>2388</v>
      </c>
      <c r="F44">
        <f>2388/4</f>
        <v>597</v>
      </c>
    </row>
    <row r="45" spans="2:9" x14ac:dyDescent="0.3">
      <c r="B45" s="327">
        <v>45457</v>
      </c>
      <c r="C45" s="26">
        <v>6866</v>
      </c>
      <c r="D45" s="26" t="s">
        <v>492</v>
      </c>
      <c r="E45" s="26">
        <v>1194</v>
      </c>
      <c r="F45">
        <f>1194/2</f>
        <v>597</v>
      </c>
    </row>
    <row r="46" spans="2:9" x14ac:dyDescent="0.3">
      <c r="B46" s="327">
        <v>45448</v>
      </c>
      <c r="C46" s="26">
        <v>6866</v>
      </c>
      <c r="D46" s="26" t="s">
        <v>491</v>
      </c>
      <c r="E46" s="26">
        <v>2088</v>
      </c>
      <c r="F46">
        <f>2088/4</f>
        <v>522</v>
      </c>
    </row>
    <row r="47" spans="2:9" x14ac:dyDescent="0.3">
      <c r="B47" s="327">
        <v>45458</v>
      </c>
      <c r="C47" s="26">
        <v>6866</v>
      </c>
      <c r="D47" s="26" t="s">
        <v>493</v>
      </c>
      <c r="E47" s="26">
        <v>11343</v>
      </c>
      <c r="F47">
        <f>11343/19</f>
        <v>597</v>
      </c>
    </row>
    <row r="48" spans="2:9" x14ac:dyDescent="0.3">
      <c r="B48" s="327">
        <v>45458</v>
      </c>
      <c r="C48" s="26">
        <v>6866</v>
      </c>
      <c r="D48" s="26" t="s">
        <v>494</v>
      </c>
      <c r="E48" s="26">
        <v>3582</v>
      </c>
      <c r="F48">
        <f>3582/6</f>
        <v>597</v>
      </c>
    </row>
    <row r="50" spans="2:10" ht="14" x14ac:dyDescent="0.3">
      <c r="B50" s="266" t="s">
        <v>0</v>
      </c>
      <c r="C50" s="266" t="s">
        <v>487</v>
      </c>
      <c r="D50" s="266" t="s">
        <v>448</v>
      </c>
      <c r="E50" s="266" t="s">
        <v>488</v>
      </c>
    </row>
    <row r="51" spans="2:10" ht="14" x14ac:dyDescent="0.3">
      <c r="B51" s="258"/>
      <c r="C51" s="326" t="s">
        <v>553</v>
      </c>
      <c r="D51" s="258"/>
      <c r="E51" s="258"/>
    </row>
    <row r="52" spans="2:10" x14ac:dyDescent="0.3">
      <c r="B52" s="327">
        <v>45459</v>
      </c>
      <c r="C52" s="26">
        <v>6866</v>
      </c>
      <c r="D52" s="160" t="s">
        <v>495</v>
      </c>
      <c r="E52" s="26">
        <v>4179</v>
      </c>
      <c r="F52">
        <f>4179/7</f>
        <v>597</v>
      </c>
    </row>
    <row r="53" spans="2:10" x14ac:dyDescent="0.3">
      <c r="B53" s="327">
        <v>45459</v>
      </c>
      <c r="C53" s="26">
        <v>6866</v>
      </c>
      <c r="D53" s="160" t="s">
        <v>496</v>
      </c>
      <c r="E53" s="26">
        <v>4776</v>
      </c>
      <c r="F53">
        <f>4776/8</f>
        <v>597</v>
      </c>
    </row>
    <row r="54" spans="2:10" x14ac:dyDescent="0.3">
      <c r="B54" s="327">
        <v>45459</v>
      </c>
      <c r="C54" s="26">
        <v>6866</v>
      </c>
      <c r="D54" s="160" t="s">
        <v>495</v>
      </c>
      <c r="E54" s="26">
        <v>4179</v>
      </c>
      <c r="F54">
        <f>4179/7</f>
        <v>597</v>
      </c>
    </row>
    <row r="55" spans="2:10" x14ac:dyDescent="0.3">
      <c r="B55" s="327">
        <v>45460</v>
      </c>
      <c r="C55" s="26">
        <v>6866</v>
      </c>
      <c r="D55" s="160" t="s">
        <v>496</v>
      </c>
      <c r="E55" s="26">
        <v>4776</v>
      </c>
      <c r="F55">
        <f>4776/8</f>
        <v>597</v>
      </c>
    </row>
    <row r="56" spans="2:10" x14ac:dyDescent="0.3">
      <c r="B56" s="327">
        <v>45458</v>
      </c>
      <c r="C56" s="26">
        <v>6866</v>
      </c>
      <c r="D56" s="160" t="s">
        <v>497</v>
      </c>
      <c r="E56" s="26">
        <v>5373</v>
      </c>
      <c r="F56">
        <f>5373/9</f>
        <v>597</v>
      </c>
    </row>
    <row r="57" spans="2:10" x14ac:dyDescent="0.3">
      <c r="B57" s="327">
        <v>45459</v>
      </c>
      <c r="C57" s="26">
        <v>6866</v>
      </c>
      <c r="D57" s="160" t="s">
        <v>498</v>
      </c>
      <c r="E57" s="26">
        <v>7164</v>
      </c>
      <c r="F57">
        <f>7164/12</f>
        <v>597</v>
      </c>
      <c r="J57" s="178">
        <v>14709.5</v>
      </c>
    </row>
    <row r="59" spans="2:10" ht="14" x14ac:dyDescent="0.3">
      <c r="B59" s="266" t="s">
        <v>0</v>
      </c>
      <c r="C59" s="266" t="s">
        <v>487</v>
      </c>
      <c r="D59" s="266" t="s">
        <v>448</v>
      </c>
      <c r="E59" s="266" t="s">
        <v>488</v>
      </c>
    </row>
    <row r="60" spans="2:10" ht="14" x14ac:dyDescent="0.3">
      <c r="B60" s="258"/>
      <c r="C60" s="326" t="s">
        <v>554</v>
      </c>
      <c r="D60" s="258"/>
      <c r="E60" s="258"/>
    </row>
    <row r="61" spans="2:10" x14ac:dyDescent="0.3">
      <c r="B61" s="327">
        <v>45460</v>
      </c>
      <c r="C61" s="26">
        <v>6012</v>
      </c>
      <c r="D61" s="160" t="s">
        <v>491</v>
      </c>
      <c r="E61" s="26">
        <v>2388</v>
      </c>
      <c r="G61" s="17">
        <v>5613.73</v>
      </c>
    </row>
    <row r="62" spans="2:10" x14ac:dyDescent="0.3">
      <c r="B62" s="327">
        <v>45459</v>
      </c>
      <c r="C62" s="26">
        <v>6012</v>
      </c>
      <c r="D62" s="160" t="s">
        <v>491</v>
      </c>
      <c r="E62" s="26">
        <v>2388</v>
      </c>
      <c r="G62" s="17">
        <v>5613.73</v>
      </c>
    </row>
    <row r="63" spans="2:10" x14ac:dyDescent="0.3">
      <c r="B63" s="327">
        <v>45460</v>
      </c>
      <c r="C63" s="26">
        <v>6012</v>
      </c>
      <c r="D63" s="160" t="s">
        <v>491</v>
      </c>
      <c r="E63" s="26">
        <v>2388</v>
      </c>
      <c r="G63" s="17">
        <v>4210.3</v>
      </c>
    </row>
    <row r="64" spans="2:10" x14ac:dyDescent="0.3">
      <c r="B64" s="327">
        <v>45459</v>
      </c>
      <c r="C64" s="26">
        <v>6012</v>
      </c>
      <c r="D64" s="160" t="s">
        <v>499</v>
      </c>
      <c r="E64" s="26">
        <v>2985</v>
      </c>
      <c r="G64" s="17">
        <v>7017.17</v>
      </c>
    </row>
    <row r="65" spans="2:10" x14ac:dyDescent="0.3">
      <c r="B65" s="327">
        <v>45459</v>
      </c>
      <c r="C65" s="26">
        <v>6012</v>
      </c>
      <c r="D65" s="160" t="s">
        <v>496</v>
      </c>
      <c r="E65" s="26">
        <v>4776</v>
      </c>
      <c r="G65" s="17">
        <v>11227.46</v>
      </c>
    </row>
    <row r="66" spans="2:10" x14ac:dyDescent="0.3">
      <c r="B66" s="327">
        <v>45449</v>
      </c>
      <c r="C66" s="26">
        <v>6866</v>
      </c>
      <c r="D66" s="160" t="s">
        <v>496</v>
      </c>
      <c r="E66" s="26">
        <v>4176.24</v>
      </c>
      <c r="G66" s="284">
        <f>SUM(G61:G65)</f>
        <v>33682.39</v>
      </c>
      <c r="H66" s="1" t="s">
        <v>1440</v>
      </c>
      <c r="I66" s="1" t="s">
        <v>7</v>
      </c>
      <c r="J66" s="1" t="s">
        <v>1441</v>
      </c>
    </row>
    <row r="67" spans="2:10" x14ac:dyDescent="0.3">
      <c r="B67" s="157">
        <v>45460</v>
      </c>
      <c r="C67" s="26">
        <v>6866</v>
      </c>
      <c r="D67" s="160" t="s">
        <v>634</v>
      </c>
      <c r="E67" s="26">
        <v>6866</v>
      </c>
      <c r="H67" s="29">
        <v>86633.45</v>
      </c>
      <c r="I67">
        <v>2.5</v>
      </c>
      <c r="J67">
        <f>H67*I67</f>
        <v>216583.625</v>
      </c>
    </row>
    <row r="68" spans="2:10" x14ac:dyDescent="0.3">
      <c r="B68" s="157">
        <v>45449</v>
      </c>
      <c r="C68" s="26">
        <v>6866</v>
      </c>
      <c r="D68" s="160" t="s">
        <v>495</v>
      </c>
      <c r="E68" s="26">
        <v>3654.21</v>
      </c>
      <c r="H68" s="29">
        <v>86633.45</v>
      </c>
      <c r="I68">
        <v>2.33</v>
      </c>
      <c r="J68">
        <f>H68*I68</f>
        <v>201855.93849999999</v>
      </c>
    </row>
    <row r="70" spans="2:10" x14ac:dyDescent="0.3">
      <c r="E70" s="29">
        <v>86633.45</v>
      </c>
      <c r="F70">
        <v>2.3450000000000002</v>
      </c>
      <c r="G70">
        <f>E70*F70</f>
        <v>203155.44025000001</v>
      </c>
    </row>
    <row r="71" spans="2:10" ht="13.5" thickBot="1" x14ac:dyDescent="0.35"/>
    <row r="72" spans="2:10" ht="13.5" thickBot="1" x14ac:dyDescent="0.35">
      <c r="C72" s="338" t="s">
        <v>487</v>
      </c>
      <c r="D72" s="339" t="s">
        <v>527</v>
      </c>
      <c r="E72" s="340" t="s">
        <v>287</v>
      </c>
      <c r="F72" s="250"/>
    </row>
    <row r="73" spans="2:10" x14ac:dyDescent="0.3">
      <c r="C73" s="251"/>
      <c r="F73" s="252"/>
    </row>
    <row r="74" spans="2:10" x14ac:dyDescent="0.3">
      <c r="C74" s="331" t="s">
        <v>656</v>
      </c>
      <c r="D74" s="14">
        <f>SUM(D83:D103)</f>
        <v>71708.75</v>
      </c>
      <c r="E74" s="330">
        <f>SUM(E83:E103)</f>
        <v>168191.56999999998</v>
      </c>
      <c r="F74" s="332">
        <f>E74/D74</f>
        <v>2.3454818275315072</v>
      </c>
    </row>
    <row r="75" spans="2:10" x14ac:dyDescent="0.3">
      <c r="C75" s="333"/>
      <c r="D75" s="1"/>
      <c r="E75" s="1"/>
      <c r="F75" s="252"/>
    </row>
    <row r="76" spans="2:10" x14ac:dyDescent="0.3">
      <c r="C76" s="331" t="s">
        <v>655</v>
      </c>
      <c r="D76" s="334">
        <v>14925</v>
      </c>
      <c r="E76" s="330">
        <v>33682.39</v>
      </c>
      <c r="F76" s="332">
        <f>E76/D76</f>
        <v>2.2567765494137353</v>
      </c>
    </row>
    <row r="77" spans="2:10" x14ac:dyDescent="0.3">
      <c r="C77" s="251"/>
      <c r="F77" s="252"/>
    </row>
    <row r="78" spans="2:10" ht="13.5" thickBot="1" x14ac:dyDescent="0.35">
      <c r="C78" s="335" t="s">
        <v>657</v>
      </c>
      <c r="D78" s="336">
        <f>SUM(D74:D77)</f>
        <v>86633.75</v>
      </c>
      <c r="E78" s="337">
        <f>SUM(E74:E77)</f>
        <v>201873.95999999996</v>
      </c>
      <c r="F78" s="253"/>
    </row>
    <row r="80" spans="2:10" x14ac:dyDescent="0.3">
      <c r="D80" s="279">
        <v>2686</v>
      </c>
    </row>
    <row r="82" spans="2:5" x14ac:dyDescent="0.3">
      <c r="B82" s="18" t="s">
        <v>0</v>
      </c>
      <c r="C82" s="18" t="s">
        <v>5</v>
      </c>
      <c r="D82" s="18" t="s">
        <v>527</v>
      </c>
      <c r="E82" s="18" t="s">
        <v>287</v>
      </c>
    </row>
    <row r="83" spans="2:5" ht="26" x14ac:dyDescent="0.3">
      <c r="B83" s="180">
        <v>45520</v>
      </c>
      <c r="C83" s="328" t="s">
        <v>635</v>
      </c>
      <c r="D83" s="17">
        <v>1791</v>
      </c>
      <c r="E83" s="29">
        <v>4200.76</v>
      </c>
    </row>
    <row r="84" spans="2:5" ht="26" x14ac:dyDescent="0.3">
      <c r="B84" s="180">
        <v>45520</v>
      </c>
      <c r="C84" s="328" t="s">
        <v>636</v>
      </c>
      <c r="D84" s="17">
        <v>3582</v>
      </c>
      <c r="E84" s="29">
        <v>8401.52</v>
      </c>
    </row>
    <row r="85" spans="2:5" x14ac:dyDescent="0.3">
      <c r="B85" s="180">
        <v>45520</v>
      </c>
      <c r="C85" s="1" t="s">
        <v>637</v>
      </c>
      <c r="D85" s="17">
        <v>4176.3999999999996</v>
      </c>
      <c r="E85" s="29">
        <v>9795.67</v>
      </c>
    </row>
    <row r="86" spans="2:5" x14ac:dyDescent="0.3">
      <c r="B86" s="180">
        <v>45520</v>
      </c>
      <c r="C86" s="1" t="s">
        <v>638</v>
      </c>
      <c r="D86" s="17">
        <v>2388</v>
      </c>
      <c r="E86" s="330">
        <v>5601.01</v>
      </c>
    </row>
    <row r="87" spans="2:5" x14ac:dyDescent="0.3">
      <c r="B87" s="180">
        <v>45520</v>
      </c>
      <c r="C87" s="1" t="s">
        <v>639</v>
      </c>
      <c r="D87" s="17">
        <v>1194</v>
      </c>
      <c r="E87" s="29">
        <v>2800.5</v>
      </c>
    </row>
    <row r="88" spans="2:5" ht="26" x14ac:dyDescent="0.3">
      <c r="B88" s="180">
        <v>45520</v>
      </c>
      <c r="C88" s="328" t="s">
        <v>640</v>
      </c>
      <c r="D88" s="17">
        <v>2088</v>
      </c>
      <c r="E88" s="330">
        <v>4897.37</v>
      </c>
    </row>
    <row r="89" spans="2:5" x14ac:dyDescent="0.3">
      <c r="B89" s="180">
        <v>45520</v>
      </c>
      <c r="C89" s="1" t="s">
        <v>641</v>
      </c>
      <c r="D89" s="17">
        <v>3654.35</v>
      </c>
      <c r="E89" s="330">
        <v>8571.2099999999991</v>
      </c>
    </row>
    <row r="90" spans="2:5" ht="26" x14ac:dyDescent="0.3">
      <c r="B90" s="180">
        <v>45520</v>
      </c>
      <c r="C90" s="328" t="s">
        <v>642</v>
      </c>
      <c r="D90" s="17">
        <v>1791</v>
      </c>
      <c r="E90" s="29">
        <v>4200.76</v>
      </c>
    </row>
    <row r="91" spans="2:5" ht="26" x14ac:dyDescent="0.3">
      <c r="B91" s="180">
        <v>45520</v>
      </c>
      <c r="C91" s="328" t="s">
        <v>643</v>
      </c>
      <c r="D91" s="17">
        <v>4179</v>
      </c>
      <c r="E91" s="330">
        <v>9801.77</v>
      </c>
    </row>
    <row r="92" spans="2:5" x14ac:dyDescent="0.3">
      <c r="B92" s="180">
        <v>45520</v>
      </c>
      <c r="C92" s="1" t="s">
        <v>644</v>
      </c>
      <c r="D92" s="17">
        <v>2388</v>
      </c>
      <c r="E92" s="29">
        <v>5601.01</v>
      </c>
    </row>
    <row r="93" spans="2:5" ht="26" x14ac:dyDescent="0.3">
      <c r="B93" s="180">
        <v>45520</v>
      </c>
      <c r="C93" s="328" t="s">
        <v>645</v>
      </c>
      <c r="D93" s="17">
        <v>4179</v>
      </c>
      <c r="E93" s="29">
        <v>9801.77</v>
      </c>
    </row>
    <row r="94" spans="2:5" x14ac:dyDescent="0.3">
      <c r="D94" s="17"/>
      <c r="E94" s="17"/>
    </row>
    <row r="95" spans="2:5" ht="26" x14ac:dyDescent="0.3">
      <c r="B95" s="329">
        <v>45523</v>
      </c>
      <c r="C95" s="328" t="s">
        <v>646</v>
      </c>
      <c r="D95" s="17">
        <v>4776</v>
      </c>
      <c r="E95" s="29">
        <v>11202.02</v>
      </c>
    </row>
    <row r="96" spans="2:5" ht="26" x14ac:dyDescent="0.3">
      <c r="B96" s="329">
        <v>45523</v>
      </c>
      <c r="C96" s="328" t="s">
        <v>647</v>
      </c>
      <c r="D96" s="17">
        <v>5373</v>
      </c>
      <c r="E96" s="29">
        <v>12602.27</v>
      </c>
    </row>
    <row r="97" spans="2:5" ht="26" x14ac:dyDescent="0.3">
      <c r="B97" s="329">
        <v>45523</v>
      </c>
      <c r="C97" s="328" t="s">
        <v>648</v>
      </c>
      <c r="D97" s="17">
        <v>7164</v>
      </c>
      <c r="E97" s="29">
        <v>16803.03</v>
      </c>
    </row>
    <row r="98" spans="2:5" ht="26" x14ac:dyDescent="0.3">
      <c r="B98" s="329">
        <v>45523</v>
      </c>
      <c r="C98" s="328" t="s">
        <v>649</v>
      </c>
      <c r="D98" s="17">
        <v>11343</v>
      </c>
      <c r="E98" s="29">
        <v>26604.799999999999</v>
      </c>
    </row>
    <row r="99" spans="2:5" x14ac:dyDescent="0.3">
      <c r="B99" s="329">
        <v>45523</v>
      </c>
      <c r="C99" s="1" t="s">
        <v>650</v>
      </c>
      <c r="D99" s="17">
        <v>4776</v>
      </c>
      <c r="E99" s="29">
        <v>11202.02</v>
      </c>
    </row>
    <row r="100" spans="2:5" ht="26" x14ac:dyDescent="0.3">
      <c r="B100" s="329">
        <v>45523</v>
      </c>
      <c r="C100" s="328" t="s">
        <v>651</v>
      </c>
      <c r="D100" s="17">
        <v>6866</v>
      </c>
      <c r="E100" s="29">
        <v>16104.08</v>
      </c>
    </row>
    <row r="101" spans="2:5" x14ac:dyDescent="0.3">
      <c r="B101" s="329"/>
      <c r="C101" s="328"/>
      <c r="D101" s="17"/>
      <c r="E101" s="29"/>
    </row>
    <row r="102" spans="2:5" x14ac:dyDescent="0.3">
      <c r="B102" s="32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1212"/>
  <sheetViews>
    <sheetView tabSelected="1" topLeftCell="B1039" zoomScale="85" zoomScaleNormal="85" workbookViewId="0">
      <selection activeCell="B1046" sqref="B1046"/>
    </sheetView>
  </sheetViews>
  <sheetFormatPr defaultColWidth="8.796875" defaultRowHeight="13" x14ac:dyDescent="0.3"/>
  <cols>
    <col min="1" max="1" width="20.8984375" style="1" bestFit="1" customWidth="1"/>
    <col min="2" max="2" width="41.8984375" style="1" bestFit="1" customWidth="1"/>
    <col min="3" max="3" width="12.19921875" style="23" customWidth="1"/>
    <col min="4" max="4" width="13.3984375" style="23" bestFit="1" customWidth="1"/>
    <col min="5" max="5" width="10.8984375" style="23" bestFit="1" customWidth="1"/>
    <col min="6" max="6" width="57.09765625" style="1" bestFit="1" customWidth="1"/>
    <col min="7" max="7" width="12.3984375" style="23" customWidth="1"/>
    <col min="8" max="8" width="10.296875" style="23" customWidth="1"/>
    <col min="9" max="9" width="12.3984375" style="23" bestFit="1" customWidth="1"/>
    <col min="10" max="10" width="11.19921875" style="14" customWidth="1"/>
    <col min="11" max="11" width="11.8984375" style="23" bestFit="1" customWidth="1"/>
    <col min="12" max="12" width="13.3984375" style="1" customWidth="1"/>
    <col min="13" max="13" width="42.19921875" style="14" customWidth="1"/>
    <col min="14" max="16384" width="8.796875" style="1"/>
  </cols>
  <sheetData>
    <row r="3" spans="1:13" ht="15" x14ac:dyDescent="0.3">
      <c r="A3" s="24" t="s">
        <v>73</v>
      </c>
      <c r="C3" s="24" t="s">
        <v>0</v>
      </c>
      <c r="D3" s="24" t="s">
        <v>49</v>
      </c>
      <c r="E3" s="24" t="s">
        <v>53</v>
      </c>
      <c r="F3" s="19" t="s">
        <v>5</v>
      </c>
      <c r="G3" s="20" t="s">
        <v>6</v>
      </c>
      <c r="H3" s="20" t="s">
        <v>7</v>
      </c>
      <c r="I3" s="24" t="s">
        <v>13</v>
      </c>
      <c r="J3" s="24" t="s">
        <v>69</v>
      </c>
      <c r="K3" s="24" t="s">
        <v>57</v>
      </c>
      <c r="M3" s="24" t="s">
        <v>67</v>
      </c>
    </row>
    <row r="5" spans="1:13" ht="28" x14ac:dyDescent="0.3">
      <c r="A5" s="78" t="s">
        <v>72</v>
      </c>
      <c r="B5" s="79"/>
      <c r="C5" s="88">
        <v>45397</v>
      </c>
      <c r="D5" s="89" t="s">
        <v>218</v>
      </c>
      <c r="E5" s="89" t="s">
        <v>13</v>
      </c>
      <c r="F5" s="56" t="s">
        <v>56</v>
      </c>
      <c r="G5" s="54">
        <v>5774.55</v>
      </c>
      <c r="H5" s="54">
        <v>2.42</v>
      </c>
      <c r="I5" s="54">
        <f>G5*H5</f>
        <v>13974.411</v>
      </c>
      <c r="J5" s="132"/>
      <c r="K5" s="54">
        <f>K4+I5-J5</f>
        <v>13974.411</v>
      </c>
    </row>
    <row r="6" spans="1:13" ht="28" x14ac:dyDescent="0.3">
      <c r="A6" s="78" t="s">
        <v>72</v>
      </c>
      <c r="B6" s="79"/>
      <c r="C6" s="88">
        <v>45397</v>
      </c>
      <c r="D6" s="89" t="s">
        <v>219</v>
      </c>
      <c r="E6" s="89" t="s">
        <v>13</v>
      </c>
      <c r="F6" s="56" t="s">
        <v>61</v>
      </c>
      <c r="G6" s="54">
        <f>11*360.91</f>
        <v>3970.01</v>
      </c>
      <c r="H6" s="54">
        <v>2.42</v>
      </c>
      <c r="I6" s="54">
        <f t="shared" ref="I6:I25" si="0">G6*H6</f>
        <v>9607.4241999999995</v>
      </c>
      <c r="J6" s="132"/>
      <c r="K6" s="54">
        <f t="shared" ref="K6:K65" si="1">K5+I6-J6</f>
        <v>23581.835200000001</v>
      </c>
    </row>
    <row r="7" spans="1:13" ht="14" x14ac:dyDescent="0.3">
      <c r="A7" s="78" t="s">
        <v>72</v>
      </c>
      <c r="B7" s="79"/>
      <c r="C7" s="88">
        <v>45397</v>
      </c>
      <c r="D7" s="89" t="s">
        <v>218</v>
      </c>
      <c r="E7" s="89" t="s">
        <v>66</v>
      </c>
      <c r="F7" s="56" t="s">
        <v>62</v>
      </c>
      <c r="G7" s="54">
        <v>1516.06</v>
      </c>
      <c r="H7" s="54">
        <v>2.42</v>
      </c>
      <c r="I7" s="54">
        <f t="shared" si="0"/>
        <v>3668.8651999999997</v>
      </c>
      <c r="J7" s="132"/>
      <c r="K7" s="54">
        <f t="shared" si="1"/>
        <v>27250.700400000002</v>
      </c>
    </row>
    <row r="8" spans="1:13" ht="14" x14ac:dyDescent="0.3">
      <c r="A8" s="78" t="s">
        <v>72</v>
      </c>
      <c r="B8" s="79"/>
      <c r="C8" s="88">
        <v>45397</v>
      </c>
      <c r="D8" s="89" t="s">
        <v>219</v>
      </c>
      <c r="E8" s="89" t="s">
        <v>66</v>
      </c>
      <c r="F8" s="56" t="s">
        <v>8</v>
      </c>
      <c r="G8" s="54"/>
      <c r="H8" s="54"/>
      <c r="I8" s="54">
        <v>660</v>
      </c>
      <c r="J8" s="132"/>
      <c r="K8" s="54">
        <f t="shared" si="1"/>
        <v>27910.700400000002</v>
      </c>
    </row>
    <row r="9" spans="1:13" ht="14" x14ac:dyDescent="0.3">
      <c r="A9" s="78" t="s">
        <v>72</v>
      </c>
      <c r="B9" s="79"/>
      <c r="C9" s="89"/>
      <c r="D9" s="89" t="s">
        <v>219</v>
      </c>
      <c r="E9" s="89" t="s">
        <v>66</v>
      </c>
      <c r="F9" s="56" t="s">
        <v>9</v>
      </c>
      <c r="G9" s="54"/>
      <c r="H9" s="54"/>
      <c r="I9" s="54">
        <v>650</v>
      </c>
      <c r="J9" s="132"/>
      <c r="K9" s="54">
        <f t="shared" si="1"/>
        <v>28560.700400000002</v>
      </c>
    </row>
    <row r="10" spans="1:13" ht="14" x14ac:dyDescent="0.3">
      <c r="A10" s="79" t="s">
        <v>50</v>
      </c>
      <c r="B10" s="79"/>
      <c r="C10" s="84">
        <v>45420</v>
      </c>
      <c r="D10" s="89" t="s">
        <v>218</v>
      </c>
      <c r="E10" s="89" t="s">
        <v>69</v>
      </c>
      <c r="F10" s="80" t="s">
        <v>10</v>
      </c>
      <c r="G10" s="54"/>
      <c r="H10" s="54"/>
      <c r="I10" s="54"/>
      <c r="J10" s="132">
        <f>20*1450</f>
        <v>29000</v>
      </c>
      <c r="K10" s="54">
        <f t="shared" si="1"/>
        <v>-439.29959999999846</v>
      </c>
    </row>
    <row r="11" spans="1:13" ht="14" x14ac:dyDescent="0.3">
      <c r="A11" s="79" t="s">
        <v>50</v>
      </c>
      <c r="B11" s="79"/>
      <c r="C11" s="84">
        <v>45427</v>
      </c>
      <c r="D11" s="89" t="s">
        <v>219</v>
      </c>
      <c r="E11" s="89" t="s">
        <v>69</v>
      </c>
      <c r="F11" s="80" t="s">
        <v>11</v>
      </c>
      <c r="G11" s="54"/>
      <c r="H11" s="54"/>
      <c r="I11" s="54"/>
      <c r="J11" s="132">
        <f>5*1190</f>
        <v>5950</v>
      </c>
      <c r="K11" s="54">
        <f t="shared" si="1"/>
        <v>-6389.2995999999985</v>
      </c>
    </row>
    <row r="12" spans="1:13" ht="14" x14ac:dyDescent="0.3">
      <c r="A12" s="79" t="s">
        <v>50</v>
      </c>
      <c r="B12" s="79"/>
      <c r="C12" s="84">
        <v>45428</v>
      </c>
      <c r="D12" s="89" t="s">
        <v>219</v>
      </c>
      <c r="E12" s="89" t="s">
        <v>69</v>
      </c>
      <c r="F12" s="80" t="s">
        <v>12</v>
      </c>
      <c r="G12" s="54"/>
      <c r="H12" s="54"/>
      <c r="I12" s="54"/>
      <c r="J12" s="132">
        <f>2*1000</f>
        <v>2000</v>
      </c>
      <c r="K12" s="54">
        <f t="shared" si="1"/>
        <v>-8389.2995999999985</v>
      </c>
    </row>
    <row r="13" spans="1:13" ht="14" x14ac:dyDescent="0.3">
      <c r="A13" s="79" t="s">
        <v>91</v>
      </c>
      <c r="B13" s="79"/>
      <c r="C13" s="89"/>
      <c r="D13" s="89"/>
      <c r="E13" s="89"/>
      <c r="F13" s="90"/>
      <c r="G13" s="54"/>
      <c r="H13" s="54"/>
      <c r="I13" s="54"/>
      <c r="J13" s="132"/>
      <c r="K13" s="54">
        <f t="shared" si="1"/>
        <v>-8389.2995999999985</v>
      </c>
    </row>
    <row r="14" spans="1:13" ht="14" x14ac:dyDescent="0.3">
      <c r="A14" s="79" t="s">
        <v>50</v>
      </c>
      <c r="B14" s="79"/>
      <c r="C14" s="88">
        <v>45419</v>
      </c>
      <c r="D14" s="89" t="s">
        <v>220</v>
      </c>
      <c r="E14" s="89" t="s">
        <v>66</v>
      </c>
      <c r="F14" s="56" t="s">
        <v>14</v>
      </c>
      <c r="G14" s="54"/>
      <c r="H14" s="54"/>
      <c r="I14" s="54">
        <v>4230</v>
      </c>
      <c r="J14" s="132"/>
      <c r="K14" s="54">
        <f t="shared" si="1"/>
        <v>-4159.2995999999985</v>
      </c>
    </row>
    <row r="15" spans="1:13" ht="14" x14ac:dyDescent="0.3">
      <c r="A15" s="79" t="s">
        <v>50</v>
      </c>
      <c r="B15" s="79"/>
      <c r="C15" s="40">
        <v>45420</v>
      </c>
      <c r="D15" s="89" t="s">
        <v>220</v>
      </c>
      <c r="E15" s="89" t="s">
        <v>66</v>
      </c>
      <c r="F15" s="56" t="s">
        <v>15</v>
      </c>
      <c r="G15" s="54"/>
      <c r="H15" s="54"/>
      <c r="I15" s="54">
        <v>10</v>
      </c>
      <c r="J15" s="132"/>
      <c r="K15" s="54">
        <f t="shared" si="1"/>
        <v>-4149.2995999999985</v>
      </c>
    </row>
    <row r="16" spans="1:13" ht="14" x14ac:dyDescent="0.3">
      <c r="A16" s="79" t="s">
        <v>72</v>
      </c>
      <c r="B16" s="79"/>
      <c r="C16" s="40">
        <v>45423</v>
      </c>
      <c r="D16" s="89" t="s">
        <v>220</v>
      </c>
      <c r="E16" s="89" t="s">
        <v>66</v>
      </c>
      <c r="F16" s="80" t="s">
        <v>16</v>
      </c>
      <c r="G16" s="54">
        <v>58</v>
      </c>
      <c r="H16" s="54">
        <v>2.42</v>
      </c>
      <c r="I16" s="54">
        <f t="shared" si="0"/>
        <v>140.35999999999999</v>
      </c>
      <c r="J16" s="132"/>
      <c r="K16" s="54">
        <f t="shared" si="1"/>
        <v>-4008.9395999999983</v>
      </c>
    </row>
    <row r="17" spans="1:11" ht="14" x14ac:dyDescent="0.3">
      <c r="A17" s="79" t="s">
        <v>72</v>
      </c>
      <c r="B17" s="79"/>
      <c r="C17" s="40">
        <v>45423</v>
      </c>
      <c r="D17" s="89" t="s">
        <v>220</v>
      </c>
      <c r="E17" s="89" t="s">
        <v>66</v>
      </c>
      <c r="F17" s="80" t="s">
        <v>17</v>
      </c>
      <c r="G17" s="54">
        <v>28</v>
      </c>
      <c r="H17" s="54">
        <v>2.42</v>
      </c>
      <c r="I17" s="54">
        <f t="shared" si="0"/>
        <v>67.759999999999991</v>
      </c>
      <c r="J17" s="132"/>
      <c r="K17" s="54">
        <f t="shared" si="1"/>
        <v>-3941.1795999999986</v>
      </c>
    </row>
    <row r="18" spans="1:11" ht="14" x14ac:dyDescent="0.3">
      <c r="A18" s="79" t="s">
        <v>72</v>
      </c>
      <c r="B18" s="79"/>
      <c r="C18" s="40">
        <v>45423</v>
      </c>
      <c r="D18" s="89" t="s">
        <v>220</v>
      </c>
      <c r="E18" s="89" t="s">
        <v>66</v>
      </c>
      <c r="F18" s="80" t="s">
        <v>18</v>
      </c>
      <c r="G18" s="54">
        <v>101</v>
      </c>
      <c r="H18" s="54">
        <v>2.42</v>
      </c>
      <c r="I18" s="54">
        <f t="shared" si="0"/>
        <v>244.42</v>
      </c>
      <c r="J18" s="132"/>
      <c r="K18" s="54">
        <f t="shared" si="1"/>
        <v>-3696.7595999999985</v>
      </c>
    </row>
    <row r="19" spans="1:11" ht="14" x14ac:dyDescent="0.3">
      <c r="A19" s="79" t="s">
        <v>72</v>
      </c>
      <c r="B19" s="79"/>
      <c r="C19" s="40">
        <v>45423</v>
      </c>
      <c r="D19" s="89" t="s">
        <v>220</v>
      </c>
      <c r="E19" s="89" t="s">
        <v>13</v>
      </c>
      <c r="F19" s="80" t="s">
        <v>19</v>
      </c>
      <c r="G19" s="54">
        <v>522.04</v>
      </c>
      <c r="H19" s="54">
        <v>2.42</v>
      </c>
      <c r="I19" s="54">
        <f t="shared" si="0"/>
        <v>1263.3367999999998</v>
      </c>
      <c r="J19" s="132"/>
      <c r="K19" s="54">
        <f t="shared" si="1"/>
        <v>-2433.4227999999985</v>
      </c>
    </row>
    <row r="20" spans="1:11" ht="14" x14ac:dyDescent="0.3">
      <c r="A20" s="79" t="s">
        <v>72</v>
      </c>
      <c r="B20" s="79"/>
      <c r="C20" s="40">
        <v>45423</v>
      </c>
      <c r="D20" s="89" t="s">
        <v>220</v>
      </c>
      <c r="E20" s="89" t="s">
        <v>66</v>
      </c>
      <c r="F20" s="80" t="s">
        <v>20</v>
      </c>
      <c r="G20" s="54">
        <v>4327.63</v>
      </c>
      <c r="H20" s="54">
        <v>2.42</v>
      </c>
      <c r="I20" s="54">
        <f t="shared" si="0"/>
        <v>10472.864600000001</v>
      </c>
      <c r="J20" s="132"/>
      <c r="K20" s="54">
        <f t="shared" si="1"/>
        <v>8039.4418000000023</v>
      </c>
    </row>
    <row r="21" spans="1:11" ht="14" x14ac:dyDescent="0.3">
      <c r="A21" s="79" t="s">
        <v>50</v>
      </c>
      <c r="B21" s="79"/>
      <c r="C21" s="40">
        <v>45423</v>
      </c>
      <c r="D21" s="89" t="s">
        <v>220</v>
      </c>
      <c r="E21" s="89" t="s">
        <v>13</v>
      </c>
      <c r="F21" s="80" t="s">
        <v>21</v>
      </c>
      <c r="G21" s="54">
        <v>3654.28</v>
      </c>
      <c r="H21" s="54">
        <v>2.42</v>
      </c>
      <c r="I21" s="54">
        <f t="shared" si="0"/>
        <v>8843.3575999999994</v>
      </c>
      <c r="J21" s="132"/>
      <c r="K21" s="54">
        <f t="shared" si="1"/>
        <v>16882.799400000004</v>
      </c>
    </row>
    <row r="22" spans="1:11" ht="14" x14ac:dyDescent="0.3">
      <c r="A22" s="79" t="s">
        <v>71</v>
      </c>
      <c r="B22" s="79"/>
      <c r="C22" s="40">
        <v>45423</v>
      </c>
      <c r="D22" s="89" t="s">
        <v>220</v>
      </c>
      <c r="E22" s="89" t="s">
        <v>13</v>
      </c>
      <c r="F22" s="80" t="s">
        <v>22</v>
      </c>
      <c r="G22" s="54">
        <v>24013.84</v>
      </c>
      <c r="H22" s="54">
        <v>2.42</v>
      </c>
      <c r="I22" s="54">
        <f t="shared" si="0"/>
        <v>58113.4928</v>
      </c>
      <c r="J22" s="132"/>
      <c r="K22" s="54">
        <f t="shared" si="1"/>
        <v>74996.292199999996</v>
      </c>
    </row>
    <row r="23" spans="1:11" ht="14" x14ac:dyDescent="0.3">
      <c r="A23" s="79" t="s">
        <v>71</v>
      </c>
      <c r="B23" s="79"/>
      <c r="C23" s="40">
        <v>45423</v>
      </c>
      <c r="D23" s="89" t="s">
        <v>220</v>
      </c>
      <c r="E23" s="89" t="s">
        <v>13</v>
      </c>
      <c r="F23" s="80" t="s">
        <v>23</v>
      </c>
      <c r="G23" s="54">
        <v>18944</v>
      </c>
      <c r="H23" s="54">
        <v>2.42</v>
      </c>
      <c r="I23" s="54">
        <f t="shared" si="0"/>
        <v>45844.479999999996</v>
      </c>
      <c r="J23" s="132"/>
      <c r="K23" s="54">
        <f t="shared" si="1"/>
        <v>120840.77219999999</v>
      </c>
    </row>
    <row r="24" spans="1:11" ht="14" x14ac:dyDescent="0.3">
      <c r="A24" s="79" t="s">
        <v>50</v>
      </c>
      <c r="B24" s="79"/>
      <c r="C24" s="40">
        <v>45423</v>
      </c>
      <c r="D24" s="89" t="s">
        <v>220</v>
      </c>
      <c r="E24" s="89" t="s">
        <v>13</v>
      </c>
      <c r="F24" s="80" t="s">
        <v>24</v>
      </c>
      <c r="G24" s="54">
        <v>7696</v>
      </c>
      <c r="H24" s="54">
        <v>2.42</v>
      </c>
      <c r="I24" s="54">
        <f t="shared" si="0"/>
        <v>18624.32</v>
      </c>
      <c r="J24" s="132"/>
      <c r="K24" s="54">
        <f t="shared" si="1"/>
        <v>139465.09219999998</v>
      </c>
    </row>
    <row r="25" spans="1:11" ht="14" x14ac:dyDescent="0.3">
      <c r="A25" s="79" t="s">
        <v>72</v>
      </c>
      <c r="B25" s="79"/>
      <c r="C25" s="40">
        <v>45423</v>
      </c>
      <c r="D25" s="89" t="s">
        <v>220</v>
      </c>
      <c r="E25" s="89" t="s">
        <v>13</v>
      </c>
      <c r="F25" s="80" t="s">
        <v>25</v>
      </c>
      <c r="G25" s="54">
        <v>524.79999999999995</v>
      </c>
      <c r="H25" s="54">
        <v>2.42</v>
      </c>
      <c r="I25" s="54">
        <f t="shared" si="0"/>
        <v>1270.0159999999998</v>
      </c>
      <c r="J25" s="132"/>
      <c r="K25" s="54">
        <f t="shared" si="1"/>
        <v>140735.10819999999</v>
      </c>
    </row>
    <row r="26" spans="1:11" ht="14" x14ac:dyDescent="0.3">
      <c r="A26" s="79" t="s">
        <v>72</v>
      </c>
      <c r="B26" s="79"/>
      <c r="C26" s="89"/>
      <c r="D26" s="89" t="s">
        <v>220</v>
      </c>
      <c r="E26" s="89" t="s">
        <v>66</v>
      </c>
      <c r="F26" s="56" t="s">
        <v>26</v>
      </c>
      <c r="G26" s="54">
        <f>-47.49*106</f>
        <v>-5033.9400000000005</v>
      </c>
      <c r="H26" s="54">
        <v>2.42</v>
      </c>
      <c r="I26" s="54"/>
      <c r="J26" s="132">
        <f>5033.94*2.42</f>
        <v>12182.134799999998</v>
      </c>
      <c r="K26" s="54">
        <f t="shared" si="1"/>
        <v>128552.97339999999</v>
      </c>
    </row>
    <row r="27" spans="1:11" ht="14" x14ac:dyDescent="0.3">
      <c r="A27" s="79" t="s">
        <v>50</v>
      </c>
      <c r="B27" s="79"/>
      <c r="C27" s="84">
        <v>45419</v>
      </c>
      <c r="D27" s="89" t="s">
        <v>220</v>
      </c>
      <c r="E27" s="89" t="s">
        <v>69</v>
      </c>
      <c r="F27" s="56" t="s">
        <v>27</v>
      </c>
      <c r="G27" s="54"/>
      <c r="H27" s="54"/>
      <c r="I27" s="54"/>
      <c r="J27" s="132">
        <f>1790*20</f>
        <v>35800</v>
      </c>
      <c r="K27" s="54">
        <f t="shared" si="1"/>
        <v>92752.973399999988</v>
      </c>
    </row>
    <row r="28" spans="1:11" ht="14" x14ac:dyDescent="0.3">
      <c r="A28" s="79" t="s">
        <v>50</v>
      </c>
      <c r="B28" s="79"/>
      <c r="C28" s="84">
        <v>45420</v>
      </c>
      <c r="D28" s="89" t="s">
        <v>220</v>
      </c>
      <c r="E28" s="89" t="s">
        <v>69</v>
      </c>
      <c r="F28" s="80" t="s">
        <v>28</v>
      </c>
      <c r="G28" s="54"/>
      <c r="H28" s="54"/>
      <c r="I28" s="54"/>
      <c r="J28" s="132">
        <f>9*1800</f>
        <v>16200</v>
      </c>
      <c r="K28" s="54">
        <f t="shared" si="1"/>
        <v>76552.973399999988</v>
      </c>
    </row>
    <row r="29" spans="1:11" ht="14" x14ac:dyDescent="0.3">
      <c r="A29" s="79" t="s">
        <v>50</v>
      </c>
      <c r="B29" s="79"/>
      <c r="C29" s="84">
        <v>45420</v>
      </c>
      <c r="D29" s="89" t="s">
        <v>220</v>
      </c>
      <c r="E29" s="89" t="s">
        <v>69</v>
      </c>
      <c r="F29" s="56" t="s">
        <v>29</v>
      </c>
      <c r="G29" s="54"/>
      <c r="H29" s="54"/>
      <c r="I29" s="54"/>
      <c r="J29" s="132">
        <f>10*1800</f>
        <v>18000</v>
      </c>
      <c r="K29" s="54">
        <f t="shared" si="1"/>
        <v>58552.973399999988</v>
      </c>
    </row>
    <row r="30" spans="1:11" ht="14" x14ac:dyDescent="0.3">
      <c r="A30" s="79" t="s">
        <v>50</v>
      </c>
      <c r="B30" s="79"/>
      <c r="C30" s="84">
        <v>45427</v>
      </c>
      <c r="D30" s="89" t="s">
        <v>220</v>
      </c>
      <c r="E30" s="89" t="s">
        <v>69</v>
      </c>
      <c r="F30" s="56" t="s">
        <v>30</v>
      </c>
      <c r="G30" s="54"/>
      <c r="H30" s="54"/>
      <c r="I30" s="54"/>
      <c r="J30" s="132">
        <f>2*1800</f>
        <v>3600</v>
      </c>
      <c r="K30" s="54">
        <f t="shared" si="1"/>
        <v>54952.973399999988</v>
      </c>
    </row>
    <row r="31" spans="1:11" ht="14" x14ac:dyDescent="0.3">
      <c r="A31" s="79" t="s">
        <v>50</v>
      </c>
      <c r="B31" s="79"/>
      <c r="C31" s="84">
        <v>45427</v>
      </c>
      <c r="D31" s="89" t="s">
        <v>220</v>
      </c>
      <c r="E31" s="89" t="s">
        <v>69</v>
      </c>
      <c r="F31" s="56" t="s">
        <v>31</v>
      </c>
      <c r="G31" s="54"/>
      <c r="H31" s="54"/>
      <c r="I31" s="54"/>
      <c r="J31" s="132">
        <f>2*1750</f>
        <v>3500</v>
      </c>
      <c r="K31" s="54">
        <f t="shared" si="1"/>
        <v>51452.973399999988</v>
      </c>
    </row>
    <row r="32" spans="1:11" ht="14" x14ac:dyDescent="0.3">
      <c r="A32" s="79" t="s">
        <v>50</v>
      </c>
      <c r="B32" s="79"/>
      <c r="C32" s="84">
        <v>45427</v>
      </c>
      <c r="D32" s="89" t="s">
        <v>220</v>
      </c>
      <c r="E32" s="89" t="s">
        <v>69</v>
      </c>
      <c r="F32" s="56" t="s">
        <v>32</v>
      </c>
      <c r="G32" s="54"/>
      <c r="H32" s="54"/>
      <c r="I32" s="54"/>
      <c r="J32" s="132">
        <f>5*1740</f>
        <v>8700</v>
      </c>
      <c r="K32" s="54">
        <f t="shared" si="1"/>
        <v>42752.973399999988</v>
      </c>
    </row>
    <row r="33" spans="1:12" ht="14" x14ac:dyDescent="0.3">
      <c r="A33" s="79" t="s">
        <v>50</v>
      </c>
      <c r="B33" s="79"/>
      <c r="C33" s="84">
        <v>45427</v>
      </c>
      <c r="D33" s="89" t="s">
        <v>220</v>
      </c>
      <c r="E33" s="89" t="s">
        <v>69</v>
      </c>
      <c r="F33" s="56" t="s">
        <v>33</v>
      </c>
      <c r="G33" s="54"/>
      <c r="H33" s="54"/>
      <c r="I33" s="54"/>
      <c r="J33" s="132">
        <f>16*1650</f>
        <v>26400</v>
      </c>
      <c r="K33" s="54">
        <f t="shared" si="1"/>
        <v>16352.973399999988</v>
      </c>
    </row>
    <row r="34" spans="1:12" ht="14" x14ac:dyDescent="0.3">
      <c r="A34" s="79" t="s">
        <v>50</v>
      </c>
      <c r="B34" s="79"/>
      <c r="C34" s="84">
        <v>45427</v>
      </c>
      <c r="D34" s="89" t="s">
        <v>220</v>
      </c>
      <c r="E34" s="89" t="s">
        <v>69</v>
      </c>
      <c r="F34" s="56" t="s">
        <v>34</v>
      </c>
      <c r="G34" s="54"/>
      <c r="H34" s="54"/>
      <c r="I34" s="54"/>
      <c r="J34" s="132">
        <f>26*1750</f>
        <v>45500</v>
      </c>
      <c r="K34" s="54">
        <f t="shared" si="1"/>
        <v>-29147.026600000012</v>
      </c>
    </row>
    <row r="35" spans="1:12" ht="14" x14ac:dyDescent="0.3">
      <c r="A35" s="79" t="s">
        <v>50</v>
      </c>
      <c r="B35" s="79"/>
      <c r="C35" s="84">
        <v>45427</v>
      </c>
      <c r="D35" s="89" t="s">
        <v>220</v>
      </c>
      <c r="E35" s="89" t="s">
        <v>69</v>
      </c>
      <c r="F35" s="56" t="s">
        <v>35</v>
      </c>
      <c r="G35" s="54"/>
      <c r="H35" s="54"/>
      <c r="I35" s="54"/>
      <c r="J35" s="132">
        <f>5*1700</f>
        <v>8500</v>
      </c>
      <c r="K35" s="54">
        <f t="shared" si="1"/>
        <v>-37647.026600000012</v>
      </c>
    </row>
    <row r="36" spans="1:12" ht="14" x14ac:dyDescent="0.3">
      <c r="A36" s="79" t="s">
        <v>50</v>
      </c>
      <c r="B36" s="79"/>
      <c r="C36" s="84">
        <v>45427</v>
      </c>
      <c r="D36" s="89" t="s">
        <v>220</v>
      </c>
      <c r="E36" s="89" t="s">
        <v>69</v>
      </c>
      <c r="F36" s="56" t="s">
        <v>36</v>
      </c>
      <c r="G36" s="54"/>
      <c r="H36" s="54"/>
      <c r="I36" s="54"/>
      <c r="J36" s="132">
        <f>1*1700</f>
        <v>1700</v>
      </c>
      <c r="K36" s="54">
        <f t="shared" si="1"/>
        <v>-39347.026600000012</v>
      </c>
    </row>
    <row r="37" spans="1:12" ht="14" x14ac:dyDescent="0.3">
      <c r="A37" s="79" t="s">
        <v>50</v>
      </c>
      <c r="B37" s="79"/>
      <c r="C37" s="84">
        <v>45427</v>
      </c>
      <c r="D37" s="89" t="s">
        <v>220</v>
      </c>
      <c r="E37" s="89" t="s">
        <v>69</v>
      </c>
      <c r="F37" s="56" t="s">
        <v>37</v>
      </c>
      <c r="G37" s="54"/>
      <c r="H37" s="54"/>
      <c r="I37" s="54"/>
      <c r="J37" s="132">
        <f>10*1695</f>
        <v>16950</v>
      </c>
      <c r="K37" s="54">
        <f t="shared" si="1"/>
        <v>-56297.026600000012</v>
      </c>
    </row>
    <row r="38" spans="1:12" ht="15.5" x14ac:dyDescent="0.3">
      <c r="A38" s="79" t="s">
        <v>92</v>
      </c>
      <c r="B38" s="79"/>
      <c r="C38" s="89"/>
      <c r="D38" s="89"/>
      <c r="E38" s="89"/>
      <c r="F38" s="109" t="s">
        <v>221</v>
      </c>
      <c r="G38" s="133"/>
      <c r="H38" s="133"/>
      <c r="I38" s="134">
        <v>56297.03</v>
      </c>
      <c r="J38" s="132"/>
      <c r="K38" s="54">
        <f t="shared" si="1"/>
        <v>3.3999999868683517E-3</v>
      </c>
    </row>
    <row r="39" spans="1:12" ht="14" x14ac:dyDescent="0.3">
      <c r="A39" s="79" t="s">
        <v>50</v>
      </c>
      <c r="B39" s="79"/>
      <c r="C39" s="84">
        <v>45440</v>
      </c>
      <c r="D39" s="89" t="s">
        <v>82</v>
      </c>
      <c r="E39" s="89" t="s">
        <v>66</v>
      </c>
      <c r="F39" s="56" t="s">
        <v>81</v>
      </c>
      <c r="G39" s="54"/>
      <c r="H39" s="54"/>
      <c r="I39" s="54">
        <v>1230</v>
      </c>
      <c r="J39" s="132"/>
      <c r="K39" s="54">
        <f t="shared" si="1"/>
        <v>1230.0033999999869</v>
      </c>
    </row>
    <row r="40" spans="1:12" ht="14" x14ac:dyDescent="0.3">
      <c r="A40" s="78" t="s">
        <v>65</v>
      </c>
      <c r="B40" s="78"/>
      <c r="C40" s="107">
        <v>45440</v>
      </c>
      <c r="D40" s="106" t="s">
        <v>82</v>
      </c>
      <c r="E40" s="106" t="s">
        <v>13</v>
      </c>
      <c r="F40" s="77" t="s">
        <v>83</v>
      </c>
      <c r="G40" s="135">
        <f>474.58*35</f>
        <v>16610.3</v>
      </c>
      <c r="H40" s="97">
        <v>2.44</v>
      </c>
      <c r="I40" s="136">
        <f t="shared" ref="I40:I45" si="2">G40*H40</f>
        <v>40529.131999999998</v>
      </c>
      <c r="J40" s="137"/>
      <c r="K40" s="136">
        <f t="shared" si="1"/>
        <v>41759.135399999985</v>
      </c>
      <c r="L40" s="1" t="s">
        <v>72</v>
      </c>
    </row>
    <row r="41" spans="1:12" ht="14" x14ac:dyDescent="0.3">
      <c r="A41" s="79" t="s">
        <v>72</v>
      </c>
      <c r="B41" s="79"/>
      <c r="C41" s="40">
        <v>45440</v>
      </c>
      <c r="D41" s="89" t="s">
        <v>82</v>
      </c>
      <c r="E41" s="89" t="s">
        <v>66</v>
      </c>
      <c r="F41" s="56" t="s">
        <v>84</v>
      </c>
      <c r="G41" s="138">
        <v>126</v>
      </c>
      <c r="H41" s="94">
        <v>2.44</v>
      </c>
      <c r="I41" s="54">
        <f t="shared" si="2"/>
        <v>307.44</v>
      </c>
      <c r="J41" s="132"/>
      <c r="K41" s="54">
        <f t="shared" si="1"/>
        <v>42066.575399999987</v>
      </c>
    </row>
    <row r="42" spans="1:12" ht="14" x14ac:dyDescent="0.3">
      <c r="A42" s="79" t="s">
        <v>50</v>
      </c>
      <c r="B42" s="79"/>
      <c r="C42" s="40">
        <v>45440</v>
      </c>
      <c r="D42" s="89" t="s">
        <v>82</v>
      </c>
      <c r="E42" s="89" t="s">
        <v>66</v>
      </c>
      <c r="F42" s="56" t="s">
        <v>85</v>
      </c>
      <c r="G42" s="138"/>
      <c r="H42" s="94"/>
      <c r="I42" s="54">
        <v>30</v>
      </c>
      <c r="J42" s="132"/>
      <c r="K42" s="54">
        <f t="shared" si="1"/>
        <v>42096.575399999987</v>
      </c>
    </row>
    <row r="43" spans="1:12" ht="14" x14ac:dyDescent="0.3">
      <c r="A43" s="78" t="s">
        <v>65</v>
      </c>
      <c r="B43" s="78"/>
      <c r="C43" s="107">
        <v>45443</v>
      </c>
      <c r="D43" s="106" t="s">
        <v>82</v>
      </c>
      <c r="E43" s="106" t="s">
        <v>66</v>
      </c>
      <c r="F43" s="77" t="s">
        <v>86</v>
      </c>
      <c r="G43" s="139">
        <v>1638.29</v>
      </c>
      <c r="H43" s="97">
        <v>2.44</v>
      </c>
      <c r="I43" s="136">
        <f t="shared" si="2"/>
        <v>3997.4276</v>
      </c>
      <c r="J43" s="137"/>
      <c r="K43" s="136">
        <f t="shared" si="1"/>
        <v>46094.00299999999</v>
      </c>
      <c r="L43" s="1" t="s">
        <v>71</v>
      </c>
    </row>
    <row r="44" spans="1:12" ht="14" x14ac:dyDescent="0.3">
      <c r="A44" s="79" t="s">
        <v>50</v>
      </c>
      <c r="B44" s="79"/>
      <c r="C44" s="40">
        <v>45447</v>
      </c>
      <c r="D44" s="89" t="s">
        <v>82</v>
      </c>
      <c r="E44" s="89" t="s">
        <v>66</v>
      </c>
      <c r="F44" s="56" t="s">
        <v>87</v>
      </c>
      <c r="G44" s="59"/>
      <c r="H44" s="94"/>
      <c r="I44" s="54">
        <v>194.81</v>
      </c>
      <c r="J44" s="132"/>
      <c r="K44" s="54">
        <f t="shared" si="1"/>
        <v>46288.812999999987</v>
      </c>
    </row>
    <row r="45" spans="1:12" ht="14" x14ac:dyDescent="0.3">
      <c r="A45" s="78" t="s">
        <v>65</v>
      </c>
      <c r="B45" s="78"/>
      <c r="C45" s="107">
        <v>45471</v>
      </c>
      <c r="D45" s="106" t="s">
        <v>82</v>
      </c>
      <c r="E45" s="106" t="s">
        <v>66</v>
      </c>
      <c r="F45" s="108" t="s">
        <v>88</v>
      </c>
      <c r="G45" s="140">
        <v>23.01</v>
      </c>
      <c r="H45" s="97">
        <v>2.44</v>
      </c>
      <c r="I45" s="136">
        <f t="shared" si="2"/>
        <v>56.144400000000005</v>
      </c>
      <c r="J45" s="137"/>
      <c r="K45" s="136">
        <f t="shared" si="1"/>
        <v>46344.957399999985</v>
      </c>
      <c r="L45" s="1" t="s">
        <v>71</v>
      </c>
    </row>
    <row r="46" spans="1:12" ht="14" x14ac:dyDescent="0.3">
      <c r="A46" s="79" t="s">
        <v>50</v>
      </c>
      <c r="B46" s="79"/>
      <c r="C46" s="40">
        <v>45442</v>
      </c>
      <c r="D46" s="89" t="s">
        <v>82</v>
      </c>
      <c r="E46" s="89" t="s">
        <v>69</v>
      </c>
      <c r="F46" s="56" t="s">
        <v>94</v>
      </c>
      <c r="G46" s="54"/>
      <c r="H46" s="54"/>
      <c r="I46" s="54"/>
      <c r="J46" s="59">
        <v>3240</v>
      </c>
      <c r="K46" s="54">
        <f t="shared" si="1"/>
        <v>43104.957399999985</v>
      </c>
    </row>
    <row r="47" spans="1:12" ht="14" x14ac:dyDescent="0.3">
      <c r="A47" s="79" t="s">
        <v>50</v>
      </c>
      <c r="B47" s="79"/>
      <c r="C47" s="40">
        <v>45442</v>
      </c>
      <c r="D47" s="89" t="s">
        <v>82</v>
      </c>
      <c r="E47" s="89" t="s">
        <v>69</v>
      </c>
      <c r="F47" s="80" t="s">
        <v>95</v>
      </c>
      <c r="G47" s="54"/>
      <c r="H47" s="54"/>
      <c r="I47" s="54"/>
      <c r="J47" s="59">
        <v>29520</v>
      </c>
      <c r="K47" s="54">
        <f t="shared" si="1"/>
        <v>13584.957399999985</v>
      </c>
    </row>
    <row r="48" spans="1:12" ht="14" x14ac:dyDescent="0.3">
      <c r="A48" s="79" t="s">
        <v>50</v>
      </c>
      <c r="B48" s="79"/>
      <c r="C48" s="40">
        <v>45442</v>
      </c>
      <c r="D48" s="89" t="s">
        <v>82</v>
      </c>
      <c r="E48" s="89" t="s">
        <v>69</v>
      </c>
      <c r="F48" s="80" t="s">
        <v>96</v>
      </c>
      <c r="G48" s="54"/>
      <c r="H48" s="54"/>
      <c r="I48" s="54"/>
      <c r="J48" s="59">
        <v>24300</v>
      </c>
      <c r="K48" s="54">
        <f t="shared" si="1"/>
        <v>-10715.042600000015</v>
      </c>
    </row>
    <row r="49" spans="1:12" ht="14" x14ac:dyDescent="0.3">
      <c r="A49" s="79"/>
      <c r="B49" s="79"/>
      <c r="C49" s="40"/>
      <c r="D49" s="89"/>
      <c r="E49" s="89"/>
      <c r="F49" s="90"/>
      <c r="G49" s="54"/>
      <c r="H49" s="54"/>
      <c r="I49" s="54"/>
      <c r="J49" s="132"/>
      <c r="K49" s="54">
        <f t="shared" si="1"/>
        <v>-10715.042600000015</v>
      </c>
    </row>
    <row r="50" spans="1:12" ht="15.5" x14ac:dyDescent="0.3">
      <c r="A50" s="79"/>
      <c r="B50" s="79"/>
      <c r="C50" s="89"/>
      <c r="D50" s="89"/>
      <c r="E50" s="89"/>
      <c r="F50" s="109" t="s">
        <v>222</v>
      </c>
      <c r="G50" s="133"/>
      <c r="H50" s="133"/>
      <c r="I50" s="134">
        <v>10715.04</v>
      </c>
      <c r="J50" s="132"/>
      <c r="K50" s="54">
        <f t="shared" si="1"/>
        <v>-2.6000000143540092E-3</v>
      </c>
    </row>
    <row r="51" spans="1:12" ht="14" x14ac:dyDescent="0.3">
      <c r="A51" s="79" t="s">
        <v>50</v>
      </c>
      <c r="B51" s="79"/>
      <c r="C51" s="84">
        <v>45448</v>
      </c>
      <c r="D51" s="89" t="s">
        <v>107</v>
      </c>
      <c r="E51" s="89" t="s">
        <v>66</v>
      </c>
      <c r="F51" s="56" t="s">
        <v>97</v>
      </c>
      <c r="G51" s="141" t="s">
        <v>68</v>
      </c>
      <c r="H51" s="94" t="s">
        <v>68</v>
      </c>
      <c r="I51" s="66">
        <v>1660</v>
      </c>
      <c r="J51" s="132"/>
      <c r="K51" s="54">
        <f t="shared" si="1"/>
        <v>1659.9973999999856</v>
      </c>
    </row>
    <row r="52" spans="1:12" ht="14" x14ac:dyDescent="0.3">
      <c r="A52" s="98" t="s">
        <v>65</v>
      </c>
      <c r="B52" s="98"/>
      <c r="C52" s="99">
        <v>45448</v>
      </c>
      <c r="D52" s="100" t="s">
        <v>107</v>
      </c>
      <c r="E52" s="100" t="s">
        <v>13</v>
      </c>
      <c r="F52" s="101" t="s">
        <v>98</v>
      </c>
      <c r="G52" s="142">
        <f>474.58*60</f>
        <v>28474.799999999999</v>
      </c>
      <c r="H52" s="102">
        <v>2.44</v>
      </c>
      <c r="I52" s="103">
        <f>G52*H52</f>
        <v>69478.512000000002</v>
      </c>
      <c r="J52" s="143"/>
      <c r="K52" s="144">
        <f t="shared" si="1"/>
        <v>71138.509399999981</v>
      </c>
    </row>
    <row r="53" spans="1:12" ht="14" x14ac:dyDescent="0.3">
      <c r="A53" s="79" t="s">
        <v>50</v>
      </c>
      <c r="B53" s="79"/>
      <c r="C53" s="84">
        <v>45448</v>
      </c>
      <c r="D53" s="89" t="s">
        <v>107</v>
      </c>
      <c r="E53" s="89" t="s">
        <v>66</v>
      </c>
      <c r="F53" s="56" t="s">
        <v>99</v>
      </c>
      <c r="G53" s="94" t="s">
        <v>68</v>
      </c>
      <c r="H53" s="94" t="s">
        <v>68</v>
      </c>
      <c r="I53" s="66">
        <v>40</v>
      </c>
      <c r="J53" s="132"/>
      <c r="K53" s="54">
        <f t="shared" si="1"/>
        <v>71178.509399999981</v>
      </c>
    </row>
    <row r="54" spans="1:12" ht="14" x14ac:dyDescent="0.3">
      <c r="A54" s="79" t="s">
        <v>72</v>
      </c>
      <c r="B54" s="79"/>
      <c r="C54" s="84">
        <v>45448</v>
      </c>
      <c r="D54" s="89" t="s">
        <v>107</v>
      </c>
      <c r="E54" s="89" t="s">
        <v>66</v>
      </c>
      <c r="F54" s="56" t="s">
        <v>100</v>
      </c>
      <c r="G54" s="59">
        <v>360</v>
      </c>
      <c r="H54" s="94">
        <v>2.44</v>
      </c>
      <c r="I54" s="66">
        <f t="shared" ref="I54:I56" si="3">G54*H54</f>
        <v>878.4</v>
      </c>
      <c r="J54" s="132"/>
      <c r="K54" s="54">
        <f t="shared" si="1"/>
        <v>72056.909399999975</v>
      </c>
    </row>
    <row r="55" spans="1:12" ht="14" x14ac:dyDescent="0.3">
      <c r="A55" s="98" t="s">
        <v>65</v>
      </c>
      <c r="B55" s="98"/>
      <c r="C55" s="104">
        <v>45456</v>
      </c>
      <c r="D55" s="100" t="s">
        <v>107</v>
      </c>
      <c r="E55" s="100" t="s">
        <v>66</v>
      </c>
      <c r="F55" s="105" t="s">
        <v>101</v>
      </c>
      <c r="G55" s="145">
        <v>2651.54</v>
      </c>
      <c r="H55" s="102">
        <v>2.44</v>
      </c>
      <c r="I55" s="103">
        <f t="shared" si="3"/>
        <v>6469.7575999999999</v>
      </c>
      <c r="J55" s="143"/>
      <c r="K55" s="144">
        <f t="shared" si="1"/>
        <v>78526.666999999972</v>
      </c>
      <c r="L55" s="1" t="s">
        <v>71</v>
      </c>
    </row>
    <row r="56" spans="1:12" ht="14" x14ac:dyDescent="0.3">
      <c r="A56" s="79" t="s">
        <v>71</v>
      </c>
      <c r="B56" s="79"/>
      <c r="C56" s="40">
        <v>45471</v>
      </c>
      <c r="D56" s="89" t="s">
        <v>107</v>
      </c>
      <c r="E56" s="89" t="s">
        <v>66</v>
      </c>
      <c r="F56" s="80" t="s">
        <v>88</v>
      </c>
      <c r="G56" s="146">
        <v>23.01</v>
      </c>
      <c r="H56" s="94">
        <v>2.44</v>
      </c>
      <c r="I56" s="67">
        <f t="shared" si="3"/>
        <v>56.144400000000005</v>
      </c>
      <c r="J56" s="132"/>
      <c r="K56" s="54">
        <f t="shared" si="1"/>
        <v>78582.811399999977</v>
      </c>
    </row>
    <row r="57" spans="1:12" ht="14" x14ac:dyDescent="0.3">
      <c r="A57" s="79" t="s">
        <v>50</v>
      </c>
      <c r="B57" s="79"/>
      <c r="C57" s="84">
        <v>45448</v>
      </c>
      <c r="D57" s="89" t="s">
        <v>107</v>
      </c>
      <c r="E57" s="89" t="s">
        <v>69</v>
      </c>
      <c r="F57" s="56" t="s">
        <v>103</v>
      </c>
      <c r="G57" s="54"/>
      <c r="H57" s="54"/>
      <c r="I57" s="54"/>
      <c r="J57" s="59">
        <f>1680*20</f>
        <v>33600</v>
      </c>
      <c r="K57" s="54">
        <f t="shared" si="1"/>
        <v>44982.811399999977</v>
      </c>
    </row>
    <row r="58" spans="1:12" ht="14" x14ac:dyDescent="0.3">
      <c r="A58" s="79" t="s">
        <v>50</v>
      </c>
      <c r="B58" s="79"/>
      <c r="C58" s="84">
        <v>45449</v>
      </c>
      <c r="D58" s="89" t="s">
        <v>107</v>
      </c>
      <c r="E58" s="89" t="s">
        <v>69</v>
      </c>
      <c r="F58" s="56" t="s">
        <v>104</v>
      </c>
      <c r="G58" s="54"/>
      <c r="H58" s="54"/>
      <c r="I58" s="54"/>
      <c r="J58" s="59">
        <f>1680*30</f>
        <v>50400</v>
      </c>
      <c r="K58" s="54">
        <f t="shared" si="1"/>
        <v>-5417.1886000000231</v>
      </c>
    </row>
    <row r="59" spans="1:12" ht="14" x14ac:dyDescent="0.3">
      <c r="A59" s="79" t="s">
        <v>50</v>
      </c>
      <c r="B59" s="79"/>
      <c r="C59" s="84">
        <v>45453</v>
      </c>
      <c r="D59" s="89" t="s">
        <v>107</v>
      </c>
      <c r="E59" s="89" t="s">
        <v>69</v>
      </c>
      <c r="F59" s="56" t="s">
        <v>105</v>
      </c>
      <c r="G59" s="54"/>
      <c r="H59" s="54"/>
      <c r="I59" s="54"/>
      <c r="J59" s="59">
        <v>3400</v>
      </c>
      <c r="K59" s="54">
        <f t="shared" si="1"/>
        <v>-8817.1886000000231</v>
      </c>
    </row>
    <row r="60" spans="1:12" ht="14" x14ac:dyDescent="0.3">
      <c r="A60" s="79" t="s">
        <v>50</v>
      </c>
      <c r="B60" s="79"/>
      <c r="C60" s="84">
        <v>45455</v>
      </c>
      <c r="D60" s="89" t="s">
        <v>107</v>
      </c>
      <c r="E60" s="89" t="s">
        <v>69</v>
      </c>
      <c r="F60" s="56" t="s">
        <v>94</v>
      </c>
      <c r="G60" s="54"/>
      <c r="H60" s="54"/>
      <c r="I60" s="54"/>
      <c r="J60" s="59">
        <f>1670*2</f>
        <v>3340</v>
      </c>
      <c r="K60" s="54">
        <f t="shared" si="1"/>
        <v>-12157.188600000023</v>
      </c>
    </row>
    <row r="61" spans="1:12" ht="14" x14ac:dyDescent="0.3">
      <c r="A61" s="79" t="s">
        <v>50</v>
      </c>
      <c r="B61" s="79"/>
      <c r="C61" s="84">
        <v>45456</v>
      </c>
      <c r="D61" s="89" t="s">
        <v>107</v>
      </c>
      <c r="E61" s="89" t="s">
        <v>69</v>
      </c>
      <c r="F61" s="56" t="s">
        <v>106</v>
      </c>
      <c r="G61" s="54"/>
      <c r="H61" s="54"/>
      <c r="I61" s="54"/>
      <c r="J61" s="59">
        <v>9990</v>
      </c>
      <c r="K61" s="54">
        <f t="shared" si="1"/>
        <v>-22147.188600000023</v>
      </c>
    </row>
    <row r="62" spans="1:12" ht="15.5" x14ac:dyDescent="0.3">
      <c r="A62" s="79"/>
      <c r="B62" s="79"/>
      <c r="C62" s="89"/>
      <c r="D62" s="89"/>
      <c r="E62" s="89"/>
      <c r="F62" s="109" t="s">
        <v>223</v>
      </c>
      <c r="G62" s="133"/>
      <c r="H62" s="133"/>
      <c r="I62" s="134">
        <v>22147.19</v>
      </c>
      <c r="J62" s="132"/>
      <c r="K62" s="54">
        <f t="shared" si="1"/>
        <v>1.3999999755469617E-3</v>
      </c>
    </row>
    <row r="63" spans="1:12" ht="14" x14ac:dyDescent="0.3">
      <c r="A63" s="81" t="s">
        <v>65</v>
      </c>
      <c r="B63" s="81"/>
      <c r="C63" s="86">
        <v>45449</v>
      </c>
      <c r="D63" s="91" t="s">
        <v>110</v>
      </c>
      <c r="E63" s="91" t="s">
        <v>13</v>
      </c>
      <c r="F63" s="75" t="s">
        <v>111</v>
      </c>
      <c r="G63" s="147">
        <f>40*474.58</f>
        <v>18983.2</v>
      </c>
      <c r="H63" s="95">
        <v>2.44</v>
      </c>
      <c r="I63" s="92">
        <f>G63*H63</f>
        <v>46319.008000000002</v>
      </c>
      <c r="J63" s="148"/>
      <c r="K63" s="149">
        <f t="shared" si="1"/>
        <v>46319.009399999981</v>
      </c>
    </row>
    <row r="64" spans="1:12" ht="14" x14ac:dyDescent="0.3">
      <c r="A64" s="81" t="s">
        <v>65</v>
      </c>
      <c r="B64" s="81"/>
      <c r="C64" s="86">
        <v>45449</v>
      </c>
      <c r="D64" s="91" t="s">
        <v>110</v>
      </c>
      <c r="E64" s="91" t="s">
        <v>13</v>
      </c>
      <c r="F64" s="75" t="s">
        <v>112</v>
      </c>
      <c r="G64" s="150">
        <f>5*481.81</f>
        <v>2409.0500000000002</v>
      </c>
      <c r="H64" s="95">
        <v>2.44</v>
      </c>
      <c r="I64" s="92">
        <f t="shared" ref="I64:I67" si="4">G64*H64</f>
        <v>5878.0820000000003</v>
      </c>
      <c r="J64" s="148"/>
      <c r="K64" s="149">
        <f t="shared" si="1"/>
        <v>52197.091399999983</v>
      </c>
    </row>
    <row r="65" spans="1:12" ht="14" x14ac:dyDescent="0.3">
      <c r="A65" s="79" t="s">
        <v>50</v>
      </c>
      <c r="B65" s="79"/>
      <c r="C65" s="84">
        <v>45449</v>
      </c>
      <c r="D65" s="89" t="s">
        <v>110</v>
      </c>
      <c r="E65" s="89" t="s">
        <v>13</v>
      </c>
      <c r="F65" s="56" t="s">
        <v>113</v>
      </c>
      <c r="G65" s="138">
        <f>2*474.58</f>
        <v>949.16</v>
      </c>
      <c r="H65" s="94">
        <v>2.44</v>
      </c>
      <c r="I65" s="66">
        <f t="shared" si="4"/>
        <v>2315.9503999999997</v>
      </c>
      <c r="J65" s="132"/>
      <c r="K65" s="54">
        <f t="shared" si="1"/>
        <v>54513.041799999985</v>
      </c>
    </row>
    <row r="66" spans="1:12" ht="14" x14ac:dyDescent="0.3">
      <c r="A66" s="79" t="s">
        <v>72</v>
      </c>
      <c r="B66" s="79"/>
      <c r="C66" s="84">
        <v>45449</v>
      </c>
      <c r="D66" s="89" t="s">
        <v>110</v>
      </c>
      <c r="E66" s="89" t="s">
        <v>66</v>
      </c>
      <c r="F66" s="56" t="s">
        <v>114</v>
      </c>
      <c r="G66" s="59">
        <v>40</v>
      </c>
      <c r="H66" s="94">
        <v>2.44</v>
      </c>
      <c r="I66" s="66">
        <f t="shared" si="4"/>
        <v>97.6</v>
      </c>
      <c r="J66" s="132"/>
      <c r="K66" s="54">
        <f t="shared" ref="K66:K138" si="5">K65+I66-J66</f>
        <v>54610.641799999983</v>
      </c>
    </row>
    <row r="67" spans="1:12" ht="14" x14ac:dyDescent="0.3">
      <c r="A67" s="79" t="s">
        <v>72</v>
      </c>
      <c r="B67" s="79"/>
      <c r="C67" s="40">
        <v>45453</v>
      </c>
      <c r="D67" s="89" t="s">
        <v>110</v>
      </c>
      <c r="E67" s="89" t="s">
        <v>66</v>
      </c>
      <c r="F67" s="56" t="s">
        <v>115</v>
      </c>
      <c r="G67" s="59">
        <v>50</v>
      </c>
      <c r="H67" s="94">
        <v>2.44</v>
      </c>
      <c r="I67" s="66">
        <f t="shared" si="4"/>
        <v>122</v>
      </c>
      <c r="J67" s="132"/>
      <c r="K67" s="54">
        <f t="shared" si="5"/>
        <v>54732.641799999983</v>
      </c>
    </row>
    <row r="68" spans="1:12" ht="14" x14ac:dyDescent="0.3">
      <c r="A68" s="79" t="s">
        <v>50</v>
      </c>
      <c r="B68" s="79"/>
      <c r="C68" s="40">
        <v>45453</v>
      </c>
      <c r="D68" s="89" t="s">
        <v>110</v>
      </c>
      <c r="E68" s="89" t="s">
        <v>66</v>
      </c>
      <c r="F68" s="80" t="s">
        <v>116</v>
      </c>
      <c r="G68" s="151" t="s">
        <v>68</v>
      </c>
      <c r="H68" s="94" t="s">
        <v>68</v>
      </c>
      <c r="I68" s="66">
        <v>1465</v>
      </c>
      <c r="J68" s="132"/>
      <c r="K68" s="54">
        <f t="shared" si="5"/>
        <v>56197.641799999983</v>
      </c>
    </row>
    <row r="69" spans="1:12" ht="14" x14ac:dyDescent="0.3">
      <c r="A69" s="79" t="s">
        <v>50</v>
      </c>
      <c r="B69" s="79"/>
      <c r="C69" s="40">
        <v>45453</v>
      </c>
      <c r="D69" s="89" t="s">
        <v>110</v>
      </c>
      <c r="E69" s="89" t="s">
        <v>66</v>
      </c>
      <c r="F69" s="80" t="s">
        <v>117</v>
      </c>
      <c r="G69" s="151" t="s">
        <v>68</v>
      </c>
      <c r="H69" s="94" t="s">
        <v>68</v>
      </c>
      <c r="I69" s="66">
        <v>35</v>
      </c>
      <c r="J69" s="132"/>
      <c r="K69" s="54">
        <f t="shared" si="5"/>
        <v>56232.641799999983</v>
      </c>
    </row>
    <row r="70" spans="1:12" ht="14" x14ac:dyDescent="0.3">
      <c r="A70" s="81" t="s">
        <v>65</v>
      </c>
      <c r="B70" s="81"/>
      <c r="C70" s="85">
        <v>45456</v>
      </c>
      <c r="D70" s="91" t="s">
        <v>110</v>
      </c>
      <c r="E70" s="91" t="s">
        <v>66</v>
      </c>
      <c r="F70" s="76" t="s">
        <v>101</v>
      </c>
      <c r="G70" s="152">
        <v>2153.6</v>
      </c>
      <c r="H70" s="95">
        <v>2.44</v>
      </c>
      <c r="I70" s="92">
        <f t="shared" ref="I70:I72" si="6">G70*H70</f>
        <v>5254.7839999999997</v>
      </c>
      <c r="J70" s="148"/>
      <c r="K70" s="149">
        <f t="shared" si="5"/>
        <v>61487.425799999983</v>
      </c>
      <c r="L70" s="1" t="s">
        <v>71</v>
      </c>
    </row>
    <row r="71" spans="1:12" ht="14" x14ac:dyDescent="0.3">
      <c r="A71" s="79" t="s">
        <v>40</v>
      </c>
      <c r="B71" s="79"/>
      <c r="C71" s="40">
        <v>45456</v>
      </c>
      <c r="D71" s="89" t="s">
        <v>110</v>
      </c>
      <c r="E71" s="89" t="s">
        <v>66</v>
      </c>
      <c r="F71" s="80" t="s">
        <v>102</v>
      </c>
      <c r="G71" s="146">
        <v>24.36</v>
      </c>
      <c r="H71" s="94">
        <v>2.44</v>
      </c>
      <c r="I71" s="66">
        <f t="shared" si="6"/>
        <v>59.438399999999994</v>
      </c>
      <c r="J71" s="132"/>
      <c r="K71" s="54">
        <f t="shared" si="5"/>
        <v>61546.864199999982</v>
      </c>
    </row>
    <row r="72" spans="1:12" ht="14" x14ac:dyDescent="0.3">
      <c r="A72" s="81" t="s">
        <v>65</v>
      </c>
      <c r="B72" s="81"/>
      <c r="C72" s="85">
        <v>45471</v>
      </c>
      <c r="D72" s="91" t="s">
        <v>110</v>
      </c>
      <c r="E72" s="91" t="s">
        <v>66</v>
      </c>
      <c r="F72" s="82" t="s">
        <v>88</v>
      </c>
      <c r="G72" s="152">
        <v>23.01</v>
      </c>
      <c r="H72" s="95">
        <v>2.44</v>
      </c>
      <c r="I72" s="92">
        <f t="shared" si="6"/>
        <v>56.144400000000005</v>
      </c>
      <c r="J72" s="148"/>
      <c r="K72" s="149">
        <f t="shared" si="5"/>
        <v>61603.008599999979</v>
      </c>
      <c r="L72" s="1" t="s">
        <v>71</v>
      </c>
    </row>
    <row r="73" spans="1:12" ht="14" x14ac:dyDescent="0.3">
      <c r="A73" s="79" t="s">
        <v>50</v>
      </c>
      <c r="B73" s="79"/>
      <c r="C73" s="84">
        <v>45453</v>
      </c>
      <c r="D73" s="89" t="s">
        <v>110</v>
      </c>
      <c r="E73" s="89" t="s">
        <v>69</v>
      </c>
      <c r="F73" s="56" t="s">
        <v>118</v>
      </c>
      <c r="G73" s="54"/>
      <c r="H73" s="54"/>
      <c r="I73" s="54"/>
      <c r="J73" s="59">
        <v>58800</v>
      </c>
      <c r="K73" s="54">
        <f t="shared" si="5"/>
        <v>2803.0085999999792</v>
      </c>
    </row>
    <row r="74" spans="1:12" ht="14" x14ac:dyDescent="0.3">
      <c r="A74" s="79" t="s">
        <v>50</v>
      </c>
      <c r="B74" s="79"/>
      <c r="C74" s="84">
        <v>45456</v>
      </c>
      <c r="D74" s="89" t="s">
        <v>110</v>
      </c>
      <c r="E74" s="89" t="s">
        <v>69</v>
      </c>
      <c r="F74" s="56" t="s">
        <v>119</v>
      </c>
      <c r="G74" s="54"/>
      <c r="H74" s="54"/>
      <c r="I74" s="54"/>
      <c r="J74" s="59">
        <v>11655</v>
      </c>
      <c r="K74" s="54">
        <f t="shared" si="5"/>
        <v>-8851.9914000000208</v>
      </c>
    </row>
    <row r="75" spans="1:12" ht="14" x14ac:dyDescent="0.3">
      <c r="A75" s="79" t="s">
        <v>50</v>
      </c>
      <c r="B75" s="79"/>
      <c r="C75" s="84">
        <v>45456</v>
      </c>
      <c r="D75" s="89" t="s">
        <v>110</v>
      </c>
      <c r="E75" s="89" t="s">
        <v>69</v>
      </c>
      <c r="F75" s="56" t="s">
        <v>120</v>
      </c>
      <c r="G75" s="54"/>
      <c r="H75" s="54"/>
      <c r="I75" s="54"/>
      <c r="J75" s="59">
        <v>8350</v>
      </c>
      <c r="K75" s="54">
        <f t="shared" si="5"/>
        <v>-17201.991400000021</v>
      </c>
    </row>
    <row r="76" spans="1:12" ht="15" x14ac:dyDescent="0.3">
      <c r="A76" s="79"/>
      <c r="B76" s="79"/>
      <c r="C76" s="89"/>
      <c r="D76" s="89"/>
      <c r="E76" s="89"/>
      <c r="F76" s="109" t="s">
        <v>224</v>
      </c>
      <c r="G76" s="153"/>
      <c r="H76" s="153"/>
      <c r="I76" s="134">
        <v>17202</v>
      </c>
      <c r="J76" s="132"/>
      <c r="K76" s="54">
        <f t="shared" si="5"/>
        <v>8.599999979196582E-3</v>
      </c>
    </row>
    <row r="77" spans="1:12" ht="14" x14ac:dyDescent="0.3">
      <c r="A77" s="79" t="s">
        <v>71</v>
      </c>
      <c r="B77" s="79"/>
      <c r="C77" s="84">
        <v>45468</v>
      </c>
      <c r="D77" s="89" t="s">
        <v>127</v>
      </c>
      <c r="E77" s="89" t="s">
        <v>13</v>
      </c>
      <c r="F77" s="56" t="s">
        <v>128</v>
      </c>
      <c r="G77" s="59">
        <f>57.5*474</f>
        <v>27255</v>
      </c>
      <c r="H77" s="96">
        <v>2.44</v>
      </c>
      <c r="I77" s="67">
        <f>G77*H77</f>
        <v>66502.2</v>
      </c>
      <c r="J77" s="132"/>
      <c r="K77" s="54">
        <f t="shared" si="5"/>
        <v>66502.208599999984</v>
      </c>
    </row>
    <row r="78" spans="1:12" ht="14" x14ac:dyDescent="0.3">
      <c r="A78" s="79" t="s">
        <v>71</v>
      </c>
      <c r="B78" s="79"/>
      <c r="C78" s="84">
        <v>45468</v>
      </c>
      <c r="D78" s="89" t="s">
        <v>127</v>
      </c>
      <c r="E78" s="89" t="s">
        <v>13</v>
      </c>
      <c r="F78" s="56" t="s">
        <v>129</v>
      </c>
      <c r="G78" s="138">
        <f>24*474</f>
        <v>11376</v>
      </c>
      <c r="H78" s="94">
        <v>2.44</v>
      </c>
      <c r="I78" s="66">
        <f t="shared" ref="I78:I85" si="7">G78*H78</f>
        <v>27757.439999999999</v>
      </c>
      <c r="J78" s="132"/>
      <c r="K78" s="54">
        <f t="shared" si="5"/>
        <v>94259.648599999986</v>
      </c>
    </row>
    <row r="79" spans="1:12" ht="14" x14ac:dyDescent="0.3">
      <c r="A79" s="79" t="s">
        <v>72</v>
      </c>
      <c r="B79" s="79"/>
      <c r="C79" s="84">
        <v>45468</v>
      </c>
      <c r="D79" s="89" t="s">
        <v>127</v>
      </c>
      <c r="E79" s="89" t="s">
        <v>13</v>
      </c>
      <c r="F79" s="56" t="s">
        <v>130</v>
      </c>
      <c r="G79" s="138">
        <f>12.5*474</f>
        <v>5925</v>
      </c>
      <c r="H79" s="94">
        <v>2.44</v>
      </c>
      <c r="I79" s="66">
        <f t="shared" si="7"/>
        <v>14457</v>
      </c>
      <c r="J79" s="132"/>
      <c r="K79" s="54">
        <f t="shared" si="5"/>
        <v>108716.64859999999</v>
      </c>
    </row>
    <row r="80" spans="1:12" ht="14" x14ac:dyDescent="0.3">
      <c r="A80" s="79" t="s">
        <v>40</v>
      </c>
      <c r="B80" s="79"/>
      <c r="C80" s="84"/>
      <c r="D80" s="89" t="s">
        <v>127</v>
      </c>
      <c r="E80" s="89" t="s">
        <v>13</v>
      </c>
      <c r="F80" s="56" t="s">
        <v>131</v>
      </c>
      <c r="G80" s="138">
        <v>4512</v>
      </c>
      <c r="H80" s="94">
        <v>2.44</v>
      </c>
      <c r="I80" s="66">
        <f t="shared" si="7"/>
        <v>11009.28</v>
      </c>
      <c r="J80" s="132"/>
      <c r="K80" s="54">
        <f t="shared" si="5"/>
        <v>119725.92859999998</v>
      </c>
    </row>
    <row r="81" spans="1:11" ht="28" x14ac:dyDescent="0.3">
      <c r="A81" s="79" t="s">
        <v>40</v>
      </c>
      <c r="B81" s="79"/>
      <c r="C81" s="84"/>
      <c r="D81" s="89" t="s">
        <v>127</v>
      </c>
      <c r="E81" s="89" t="s">
        <v>13</v>
      </c>
      <c r="F81" s="56" t="s">
        <v>132</v>
      </c>
      <c r="G81" s="138">
        <v>-4512</v>
      </c>
      <c r="H81" s="94">
        <v>2.44</v>
      </c>
      <c r="I81" s="66">
        <f t="shared" si="7"/>
        <v>-11009.28</v>
      </c>
      <c r="J81" s="132"/>
      <c r="K81" s="54">
        <f t="shared" si="5"/>
        <v>108716.64859999999</v>
      </c>
    </row>
    <row r="82" spans="1:11" ht="14" x14ac:dyDescent="0.3">
      <c r="A82" s="79" t="s">
        <v>143</v>
      </c>
      <c r="B82" s="79"/>
      <c r="C82" s="84">
        <v>45468</v>
      </c>
      <c r="D82" s="89" t="s">
        <v>127</v>
      </c>
      <c r="E82" s="89" t="s">
        <v>13</v>
      </c>
      <c r="F82" s="77" t="s">
        <v>133</v>
      </c>
      <c r="G82" s="135">
        <f>94*74.96</f>
        <v>7046.24</v>
      </c>
      <c r="H82" s="97">
        <v>2.44</v>
      </c>
      <c r="I82" s="93">
        <f>G82*H82</f>
        <v>17192.8256</v>
      </c>
      <c r="J82" s="132"/>
      <c r="K82" s="54">
        <f t="shared" si="5"/>
        <v>125909.47419999998</v>
      </c>
    </row>
    <row r="83" spans="1:11" ht="28" x14ac:dyDescent="0.3">
      <c r="A83" s="79" t="s">
        <v>143</v>
      </c>
      <c r="B83" s="79"/>
      <c r="C83" s="87"/>
      <c r="D83" s="89" t="s">
        <v>127</v>
      </c>
      <c r="E83" s="89" t="s">
        <v>13</v>
      </c>
      <c r="F83" s="56" t="s">
        <v>134</v>
      </c>
      <c r="G83" s="155">
        <f>94*74.96</f>
        <v>7046.24</v>
      </c>
      <c r="H83" s="96">
        <v>2.44</v>
      </c>
      <c r="I83" s="67">
        <f>G83*H83</f>
        <v>17192.8256</v>
      </c>
      <c r="J83" s="132"/>
      <c r="K83" s="54">
        <f t="shared" si="5"/>
        <v>143102.29979999998</v>
      </c>
    </row>
    <row r="84" spans="1:11" ht="28" x14ac:dyDescent="0.3">
      <c r="A84" s="79" t="s">
        <v>72</v>
      </c>
      <c r="B84" s="79"/>
      <c r="C84" s="84">
        <v>45468</v>
      </c>
      <c r="D84" s="89" t="s">
        <v>127</v>
      </c>
      <c r="E84" s="89" t="s">
        <v>66</v>
      </c>
      <c r="F84" s="56" t="s">
        <v>135</v>
      </c>
      <c r="G84" s="59">
        <v>750</v>
      </c>
      <c r="H84" s="94">
        <v>2.44</v>
      </c>
      <c r="I84" s="66">
        <f t="shared" si="7"/>
        <v>1830</v>
      </c>
      <c r="J84" s="132"/>
      <c r="K84" s="54">
        <f t="shared" si="5"/>
        <v>144932.29979999998</v>
      </c>
    </row>
    <row r="85" spans="1:11" ht="14" x14ac:dyDescent="0.3">
      <c r="A85" s="79" t="s">
        <v>72</v>
      </c>
      <c r="B85" s="79"/>
      <c r="C85" s="84">
        <v>45468</v>
      </c>
      <c r="D85" s="89" t="s">
        <v>127</v>
      </c>
      <c r="E85" s="89" t="s">
        <v>66</v>
      </c>
      <c r="F85" s="56" t="s">
        <v>136</v>
      </c>
      <c r="G85" s="59">
        <v>3687.51</v>
      </c>
      <c r="H85" s="94">
        <v>2.44</v>
      </c>
      <c r="I85" s="66">
        <f t="shared" si="7"/>
        <v>8997.5244000000002</v>
      </c>
      <c r="J85" s="132"/>
      <c r="K85" s="54">
        <f t="shared" si="5"/>
        <v>153929.82419999997</v>
      </c>
    </row>
    <row r="86" spans="1:11" ht="14" x14ac:dyDescent="0.3">
      <c r="A86" s="79" t="s">
        <v>50</v>
      </c>
      <c r="B86" s="79"/>
      <c r="C86" s="40">
        <v>45469</v>
      </c>
      <c r="D86" s="89" t="s">
        <v>127</v>
      </c>
      <c r="E86" s="89" t="s">
        <v>66</v>
      </c>
      <c r="F86" s="80" t="s">
        <v>117</v>
      </c>
      <c r="G86" s="151"/>
      <c r="H86" s="94" t="s">
        <v>68</v>
      </c>
      <c r="I86" s="66">
        <v>25</v>
      </c>
      <c r="J86" s="132"/>
      <c r="K86" s="54">
        <f t="shared" si="5"/>
        <v>153954.82419999997</v>
      </c>
    </row>
    <row r="87" spans="1:11" ht="14" x14ac:dyDescent="0.3">
      <c r="A87" s="79" t="s">
        <v>50</v>
      </c>
      <c r="B87" s="79"/>
      <c r="C87" s="40">
        <v>45471</v>
      </c>
      <c r="D87" s="89" t="s">
        <v>127</v>
      </c>
      <c r="E87" s="89" t="s">
        <v>66</v>
      </c>
      <c r="F87" s="80" t="s">
        <v>117</v>
      </c>
      <c r="G87" s="151"/>
      <c r="H87" s="94" t="s">
        <v>68</v>
      </c>
      <c r="I87" s="66">
        <v>50</v>
      </c>
      <c r="J87" s="132"/>
      <c r="K87" s="54">
        <f t="shared" si="5"/>
        <v>154004.82419999997</v>
      </c>
    </row>
    <row r="88" spans="1:11" ht="14" x14ac:dyDescent="0.3">
      <c r="A88" s="79" t="s">
        <v>50</v>
      </c>
      <c r="B88" s="79"/>
      <c r="C88" s="40">
        <v>45471</v>
      </c>
      <c r="D88" s="89" t="s">
        <v>127</v>
      </c>
      <c r="E88" s="89" t="s">
        <v>66</v>
      </c>
      <c r="F88" s="56" t="s">
        <v>137</v>
      </c>
      <c r="G88" s="146"/>
      <c r="H88" s="94" t="s">
        <v>68</v>
      </c>
      <c r="I88" s="66">
        <v>100</v>
      </c>
      <c r="J88" s="132"/>
      <c r="K88" s="54">
        <f t="shared" si="5"/>
        <v>154104.82419999997</v>
      </c>
    </row>
    <row r="89" spans="1:11" ht="14" x14ac:dyDescent="0.3">
      <c r="A89" s="79" t="s">
        <v>50</v>
      </c>
      <c r="B89" s="79"/>
      <c r="C89" s="40">
        <v>45472</v>
      </c>
      <c r="D89" s="89" t="s">
        <v>127</v>
      </c>
      <c r="E89" s="89" t="s">
        <v>66</v>
      </c>
      <c r="F89" s="56" t="s">
        <v>138</v>
      </c>
      <c r="G89" s="146"/>
      <c r="H89" s="94"/>
      <c r="I89" s="66">
        <v>60</v>
      </c>
      <c r="J89" s="132"/>
      <c r="K89" s="54">
        <f t="shared" si="5"/>
        <v>154164.82419999997</v>
      </c>
    </row>
    <row r="90" spans="1:11" ht="14" x14ac:dyDescent="0.3">
      <c r="A90" s="79" t="s">
        <v>50</v>
      </c>
      <c r="B90" s="79"/>
      <c r="C90" s="40">
        <v>45472</v>
      </c>
      <c r="D90" s="89" t="s">
        <v>127</v>
      </c>
      <c r="E90" s="89" t="s">
        <v>66</v>
      </c>
      <c r="F90" s="56" t="s">
        <v>139</v>
      </c>
      <c r="G90" s="146"/>
      <c r="H90" s="94"/>
      <c r="I90" s="66">
        <v>1350</v>
      </c>
      <c r="J90" s="132"/>
      <c r="K90" s="54">
        <f t="shared" si="5"/>
        <v>155514.82419999997</v>
      </c>
    </row>
    <row r="91" spans="1:11" ht="14" x14ac:dyDescent="0.3">
      <c r="A91" s="79" t="s">
        <v>50</v>
      </c>
      <c r="B91" s="79"/>
      <c r="C91" s="84">
        <v>45469</v>
      </c>
      <c r="D91" s="89" t="s">
        <v>127</v>
      </c>
      <c r="E91" s="89" t="s">
        <v>69</v>
      </c>
      <c r="F91" s="56" t="s">
        <v>140</v>
      </c>
      <c r="G91" s="54"/>
      <c r="H91" s="54"/>
      <c r="I91" s="54"/>
      <c r="J91" s="59">
        <f>26*1580</f>
        <v>41080</v>
      </c>
      <c r="K91" s="54">
        <f t="shared" si="5"/>
        <v>114434.82419999997</v>
      </c>
    </row>
    <row r="92" spans="1:11" ht="14" x14ac:dyDescent="0.3">
      <c r="A92" s="79" t="s">
        <v>50</v>
      </c>
      <c r="B92" s="79"/>
      <c r="C92" s="84">
        <v>45471</v>
      </c>
      <c r="D92" s="89" t="s">
        <v>127</v>
      </c>
      <c r="E92" s="89" t="s">
        <v>69</v>
      </c>
      <c r="F92" s="56" t="s">
        <v>141</v>
      </c>
      <c r="G92" s="54"/>
      <c r="H92" s="54"/>
      <c r="I92" s="54"/>
      <c r="J92" s="59">
        <v>31500</v>
      </c>
      <c r="K92" s="54">
        <f t="shared" si="5"/>
        <v>82934.824199999974</v>
      </c>
    </row>
    <row r="93" spans="1:11" ht="14" x14ac:dyDescent="0.3">
      <c r="A93" s="79" t="s">
        <v>50</v>
      </c>
      <c r="B93" s="79"/>
      <c r="C93" s="84">
        <v>45474</v>
      </c>
      <c r="D93" s="89" t="s">
        <v>127</v>
      </c>
      <c r="E93" s="89" t="s">
        <v>69</v>
      </c>
      <c r="F93" s="56" t="s">
        <v>142</v>
      </c>
      <c r="G93" s="54"/>
      <c r="H93" s="54"/>
      <c r="I93" s="54"/>
      <c r="J93" s="59">
        <f>1530*48</f>
        <v>73440</v>
      </c>
      <c r="K93" s="54">
        <f t="shared" si="5"/>
        <v>9494.8241999999736</v>
      </c>
    </row>
    <row r="94" spans="1:11" ht="15" x14ac:dyDescent="0.3">
      <c r="A94" s="79"/>
      <c r="B94" s="79"/>
      <c r="C94" s="89"/>
      <c r="D94" s="89"/>
      <c r="E94" s="89"/>
      <c r="F94" s="109" t="s">
        <v>225</v>
      </c>
      <c r="G94" s="54"/>
      <c r="H94" s="54"/>
      <c r="I94" s="154"/>
      <c r="J94" s="132"/>
      <c r="K94" s="54"/>
    </row>
    <row r="95" spans="1:11" ht="15" x14ac:dyDescent="0.3">
      <c r="A95" s="79"/>
      <c r="B95" s="79"/>
      <c r="C95" s="286"/>
      <c r="D95" s="286"/>
      <c r="E95" s="286"/>
      <c r="F95" s="319"/>
      <c r="G95" s="287"/>
      <c r="H95" s="287"/>
      <c r="I95" s="320"/>
      <c r="J95" s="321"/>
      <c r="K95" s="287"/>
    </row>
    <row r="96" spans="1:11" ht="15" x14ac:dyDescent="0.3">
      <c r="A96" s="79"/>
      <c r="B96" s="79"/>
      <c r="C96" s="286"/>
      <c r="D96" s="286"/>
      <c r="E96" s="286"/>
      <c r="F96" s="319"/>
      <c r="G96" s="287"/>
      <c r="H96" s="287"/>
      <c r="I96" s="320"/>
      <c r="J96" s="321"/>
      <c r="K96" s="287"/>
    </row>
    <row r="97" spans="1:12" ht="15" x14ac:dyDescent="0.3">
      <c r="A97" s="79"/>
      <c r="B97" s="79"/>
      <c r="C97" s="24" t="s">
        <v>0</v>
      </c>
      <c r="D97" s="24" t="s">
        <v>49</v>
      </c>
      <c r="E97" s="24" t="s">
        <v>53</v>
      </c>
      <c r="F97" s="19" t="s">
        <v>5</v>
      </c>
      <c r="G97" s="20" t="s">
        <v>6</v>
      </c>
      <c r="H97" s="20" t="s">
        <v>7</v>
      </c>
      <c r="I97" s="24" t="s">
        <v>13</v>
      </c>
      <c r="J97" s="24" t="s">
        <v>69</v>
      </c>
      <c r="K97" s="24" t="s">
        <v>57</v>
      </c>
    </row>
    <row r="98" spans="1:12" ht="14" x14ac:dyDescent="0.3">
      <c r="A98" s="79" t="s">
        <v>50</v>
      </c>
      <c r="B98" s="79"/>
      <c r="C98" s="40">
        <v>45474</v>
      </c>
      <c r="D98" s="89" t="s">
        <v>167</v>
      </c>
      <c r="E98" s="89" t="s">
        <v>66</v>
      </c>
      <c r="F98" s="56" t="s">
        <v>157</v>
      </c>
      <c r="G98" s="146"/>
      <c r="H98" s="94"/>
      <c r="I98" s="66">
        <v>60</v>
      </c>
      <c r="J98" s="132"/>
      <c r="K98" s="54">
        <f>K94+I98-J98</f>
        <v>60</v>
      </c>
    </row>
    <row r="99" spans="1:12" ht="14" x14ac:dyDescent="0.3">
      <c r="A99" s="79" t="s">
        <v>50</v>
      </c>
      <c r="B99" s="79"/>
      <c r="C99" s="40">
        <v>45474</v>
      </c>
      <c r="D99" s="89" t="s">
        <v>167</v>
      </c>
      <c r="E99" s="89" t="s">
        <v>66</v>
      </c>
      <c r="F99" s="56" t="s">
        <v>158</v>
      </c>
      <c r="G99" s="146"/>
      <c r="H99" s="94"/>
      <c r="I99" s="66">
        <v>1050</v>
      </c>
      <c r="J99" s="132"/>
      <c r="K99" s="54">
        <f t="shared" si="5"/>
        <v>1110</v>
      </c>
    </row>
    <row r="100" spans="1:12" ht="14" x14ac:dyDescent="0.3">
      <c r="A100" s="79" t="s">
        <v>168</v>
      </c>
      <c r="B100" s="79"/>
      <c r="C100" s="84">
        <v>45473</v>
      </c>
      <c r="D100" s="89" t="s">
        <v>167</v>
      </c>
      <c r="E100" s="89" t="s">
        <v>66</v>
      </c>
      <c r="F100" s="56" t="s">
        <v>159</v>
      </c>
      <c r="G100" s="138">
        <v>165</v>
      </c>
      <c r="H100" s="94">
        <v>2.44</v>
      </c>
      <c r="I100" s="66">
        <f t="shared" ref="I100:I102" si="8">G100*H100</f>
        <v>402.59999999999997</v>
      </c>
      <c r="J100" s="132"/>
      <c r="K100" s="54">
        <f t="shared" si="5"/>
        <v>1512.6</v>
      </c>
    </row>
    <row r="101" spans="1:12" ht="14" x14ac:dyDescent="0.3">
      <c r="A101" s="79" t="s">
        <v>71</v>
      </c>
      <c r="B101" s="79"/>
      <c r="C101" s="84">
        <v>45473</v>
      </c>
      <c r="D101" s="89" t="s">
        <v>167</v>
      </c>
      <c r="E101" s="89" t="s">
        <v>13</v>
      </c>
      <c r="F101" s="56" t="s">
        <v>160</v>
      </c>
      <c r="G101" s="138">
        <f>4*500</f>
        <v>2000</v>
      </c>
      <c r="H101" s="94">
        <v>2.44</v>
      </c>
      <c r="I101" s="66">
        <f t="shared" si="8"/>
        <v>4880</v>
      </c>
      <c r="J101" s="132"/>
      <c r="K101" s="54">
        <f t="shared" si="5"/>
        <v>6392.6</v>
      </c>
    </row>
    <row r="102" spans="1:12" ht="14" x14ac:dyDescent="0.3">
      <c r="A102" s="79" t="s">
        <v>71</v>
      </c>
      <c r="B102" s="79"/>
      <c r="C102" s="84">
        <v>45473</v>
      </c>
      <c r="D102" s="89" t="s">
        <v>167</v>
      </c>
      <c r="E102" s="89" t="s">
        <v>13</v>
      </c>
      <c r="F102" s="56" t="s">
        <v>161</v>
      </c>
      <c r="G102" s="138">
        <f>3*500</f>
        <v>1500</v>
      </c>
      <c r="H102" s="94">
        <v>2.44</v>
      </c>
      <c r="I102" s="66">
        <f t="shared" si="8"/>
        <v>3660</v>
      </c>
      <c r="J102" s="132"/>
      <c r="K102" s="54">
        <f t="shared" si="5"/>
        <v>10052.6</v>
      </c>
    </row>
    <row r="103" spans="1:12" ht="14" x14ac:dyDescent="0.3">
      <c r="A103" s="79" t="s">
        <v>72</v>
      </c>
      <c r="B103" s="79"/>
      <c r="C103" s="84">
        <v>45473</v>
      </c>
      <c r="D103" s="89" t="s">
        <v>167</v>
      </c>
      <c r="E103" s="89" t="s">
        <v>13</v>
      </c>
      <c r="F103" s="56" t="s">
        <v>162</v>
      </c>
      <c r="G103" s="138">
        <f>2*500</f>
        <v>1000</v>
      </c>
      <c r="H103" s="96">
        <v>2.44</v>
      </c>
      <c r="I103" s="67">
        <f>G103*H103</f>
        <v>2440</v>
      </c>
      <c r="J103" s="132"/>
      <c r="K103" s="54">
        <f t="shared" si="5"/>
        <v>12492.6</v>
      </c>
    </row>
    <row r="104" spans="1:12" ht="14" x14ac:dyDescent="0.3">
      <c r="A104" s="79" t="s">
        <v>71</v>
      </c>
      <c r="B104" s="79"/>
      <c r="C104" s="84">
        <v>45473</v>
      </c>
      <c r="D104" s="89" t="s">
        <v>167</v>
      </c>
      <c r="E104" s="89" t="s">
        <v>13</v>
      </c>
      <c r="F104" s="56" t="s">
        <v>163</v>
      </c>
      <c r="G104" s="120">
        <f>3*522</f>
        <v>1566</v>
      </c>
      <c r="H104" s="96">
        <v>2.44</v>
      </c>
      <c r="I104" s="67">
        <f>G104*H104</f>
        <v>3821.04</v>
      </c>
      <c r="J104" s="132"/>
      <c r="K104" s="54">
        <f t="shared" si="5"/>
        <v>16313.64</v>
      </c>
    </row>
    <row r="105" spans="1:12" ht="14" x14ac:dyDescent="0.3">
      <c r="A105" s="79" t="s">
        <v>71</v>
      </c>
      <c r="B105" s="79"/>
      <c r="C105" s="84">
        <v>45473</v>
      </c>
      <c r="D105" s="89" t="s">
        <v>167</v>
      </c>
      <c r="E105" s="89" t="s">
        <v>13</v>
      </c>
      <c r="F105" s="56" t="s">
        <v>678</v>
      </c>
      <c r="G105" s="59">
        <v>522</v>
      </c>
      <c r="H105" s="94">
        <v>2.44</v>
      </c>
      <c r="I105" s="66">
        <f t="shared" ref="I105:I108" si="9">G105*H105</f>
        <v>1273.68</v>
      </c>
      <c r="J105" s="132"/>
      <c r="K105" s="54">
        <f t="shared" si="5"/>
        <v>17587.32</v>
      </c>
    </row>
    <row r="106" spans="1:12" ht="14" x14ac:dyDescent="0.3">
      <c r="A106" s="79" t="s">
        <v>71</v>
      </c>
      <c r="B106" s="79"/>
      <c r="C106" s="84">
        <v>45473</v>
      </c>
      <c r="D106" s="89" t="s">
        <v>167</v>
      </c>
      <c r="E106" s="89" t="s">
        <v>13</v>
      </c>
      <c r="F106" s="56" t="s">
        <v>164</v>
      </c>
      <c r="G106" s="59">
        <f>46*522</f>
        <v>24012</v>
      </c>
      <c r="H106" s="94">
        <v>2.44</v>
      </c>
      <c r="I106" s="66">
        <f t="shared" si="9"/>
        <v>58589.279999999999</v>
      </c>
      <c r="J106" s="132"/>
      <c r="K106" s="54">
        <f t="shared" si="5"/>
        <v>76176.600000000006</v>
      </c>
    </row>
    <row r="107" spans="1:12" ht="14" x14ac:dyDescent="0.3">
      <c r="A107" s="79"/>
      <c r="B107" s="79"/>
      <c r="C107" s="84">
        <v>45509</v>
      </c>
      <c r="D107" s="89" t="s">
        <v>167</v>
      </c>
      <c r="E107" s="89" t="s">
        <v>40</v>
      </c>
      <c r="F107" s="80" t="s">
        <v>588</v>
      </c>
      <c r="G107" s="67">
        <v>-3210</v>
      </c>
      <c r="H107" s="94">
        <v>2.44</v>
      </c>
      <c r="I107" s="66">
        <f t="shared" si="9"/>
        <v>-7832.4</v>
      </c>
      <c r="J107" s="132"/>
      <c r="K107" s="54">
        <f t="shared" si="5"/>
        <v>68344.200000000012</v>
      </c>
    </row>
    <row r="108" spans="1:12" ht="14" x14ac:dyDescent="0.3">
      <c r="A108" s="79" t="s">
        <v>50</v>
      </c>
      <c r="B108" s="79"/>
      <c r="C108" s="40">
        <v>45471</v>
      </c>
      <c r="D108" s="89" t="s">
        <v>167</v>
      </c>
      <c r="E108" s="89" t="s">
        <v>66</v>
      </c>
      <c r="F108" s="56" t="s">
        <v>166</v>
      </c>
      <c r="G108" s="146">
        <v>2723.08</v>
      </c>
      <c r="H108" s="94">
        <v>2.44</v>
      </c>
      <c r="I108" s="66">
        <f t="shared" si="9"/>
        <v>6644.3152</v>
      </c>
      <c r="J108" s="132"/>
      <c r="K108" s="54">
        <f t="shared" si="5"/>
        <v>74988.515200000009</v>
      </c>
      <c r="L108" s="314">
        <f>K108/59</f>
        <v>1270.9917830508475</v>
      </c>
    </row>
    <row r="109" spans="1:12" ht="14" x14ac:dyDescent="0.3">
      <c r="A109" s="79" t="s">
        <v>50</v>
      </c>
      <c r="B109" s="79"/>
      <c r="C109" s="84">
        <v>45474</v>
      </c>
      <c r="D109" s="89" t="s">
        <v>167</v>
      </c>
      <c r="E109" s="89" t="s">
        <v>69</v>
      </c>
      <c r="F109" s="56" t="s">
        <v>174</v>
      </c>
      <c r="G109" s="54"/>
      <c r="H109" s="54"/>
      <c r="I109" s="54"/>
      <c r="J109" s="59">
        <f>1530*24</f>
        <v>36720</v>
      </c>
      <c r="K109" s="54">
        <f>K108+I109-J109</f>
        <v>38268.515200000009</v>
      </c>
    </row>
    <row r="110" spans="1:12" ht="14" x14ac:dyDescent="0.3">
      <c r="A110" s="79" t="s">
        <v>50</v>
      </c>
      <c r="B110" s="79"/>
      <c r="C110" s="84">
        <v>45478</v>
      </c>
      <c r="D110" s="89" t="s">
        <v>167</v>
      </c>
      <c r="E110" s="89" t="s">
        <v>69</v>
      </c>
      <c r="F110" s="56" t="s">
        <v>175</v>
      </c>
      <c r="G110" s="54"/>
      <c r="H110" s="54"/>
      <c r="I110" s="54"/>
      <c r="J110" s="59">
        <f>31*1500</f>
        <v>46500</v>
      </c>
      <c r="K110" s="54">
        <f t="shared" si="5"/>
        <v>-8231.4847999999911</v>
      </c>
    </row>
    <row r="111" spans="1:12" ht="14" x14ac:dyDescent="0.3">
      <c r="A111" s="79" t="s">
        <v>50</v>
      </c>
      <c r="B111" s="79"/>
      <c r="C111" s="84">
        <v>45482</v>
      </c>
      <c r="D111" s="89" t="s">
        <v>167</v>
      </c>
      <c r="E111" s="89" t="s">
        <v>69</v>
      </c>
      <c r="F111" s="56" t="s">
        <v>176</v>
      </c>
      <c r="G111" s="54"/>
      <c r="H111" s="54"/>
      <c r="I111" s="54"/>
      <c r="J111" s="59">
        <f>3*1425</f>
        <v>4275</v>
      </c>
      <c r="K111" s="54">
        <f t="shared" si="5"/>
        <v>-12506.484799999991</v>
      </c>
    </row>
    <row r="112" spans="1:12" ht="14" x14ac:dyDescent="0.3">
      <c r="A112" s="79"/>
      <c r="B112" s="79"/>
      <c r="C112" s="84">
        <v>45547</v>
      </c>
      <c r="D112" s="89" t="s">
        <v>167</v>
      </c>
      <c r="E112" s="89" t="s">
        <v>173</v>
      </c>
      <c r="F112" s="83" t="s">
        <v>677</v>
      </c>
      <c r="G112" s="54">
        <v>-522</v>
      </c>
      <c r="H112" s="94">
        <v>2.44</v>
      </c>
      <c r="I112" s="66">
        <f t="shared" ref="I112" si="10">G112*H112</f>
        <v>-1273.68</v>
      </c>
      <c r="J112" s="59"/>
      <c r="K112" s="54">
        <f t="shared" si="5"/>
        <v>-13780.164799999991</v>
      </c>
    </row>
    <row r="113" spans="1:12" ht="15" x14ac:dyDescent="0.3">
      <c r="A113" s="79"/>
      <c r="B113" s="79"/>
      <c r="C113" s="89"/>
      <c r="D113" s="89"/>
      <c r="E113" s="89"/>
      <c r="F113" s="109" t="s">
        <v>226</v>
      </c>
      <c r="G113" s="54"/>
      <c r="H113" s="54"/>
      <c r="I113" s="154"/>
      <c r="J113" s="132"/>
      <c r="K113" s="54"/>
    </row>
    <row r="114" spans="1:12" ht="15" x14ac:dyDescent="0.3">
      <c r="A114" s="79"/>
      <c r="B114" s="79"/>
      <c r="C114" s="286"/>
      <c r="D114" s="286"/>
      <c r="E114" s="286"/>
      <c r="F114" s="319"/>
      <c r="G114" s="287"/>
      <c r="H114" s="287"/>
      <c r="I114" s="320"/>
      <c r="J114" s="321"/>
      <c r="K114" s="287"/>
    </row>
    <row r="115" spans="1:12" ht="15" x14ac:dyDescent="0.3">
      <c r="A115" s="79"/>
      <c r="B115" s="79"/>
      <c r="C115" s="286"/>
      <c r="D115" s="286"/>
      <c r="E115" s="286"/>
      <c r="F115" s="319"/>
      <c r="G115" s="287"/>
      <c r="H115" s="287"/>
      <c r="I115" s="320"/>
      <c r="J115" s="321"/>
      <c r="K115" s="287"/>
    </row>
    <row r="116" spans="1:12" ht="15" x14ac:dyDescent="0.3">
      <c r="A116" s="79"/>
      <c r="B116" s="79"/>
      <c r="C116" s="24" t="s">
        <v>0</v>
      </c>
      <c r="D116" s="24" t="s">
        <v>49</v>
      </c>
      <c r="E116" s="24" t="s">
        <v>53</v>
      </c>
      <c r="F116" s="19" t="s">
        <v>5</v>
      </c>
      <c r="G116" s="20" t="s">
        <v>6</v>
      </c>
      <c r="H116" s="20" t="s">
        <v>7</v>
      </c>
      <c r="I116" s="24" t="s">
        <v>13</v>
      </c>
      <c r="J116" s="24" t="s">
        <v>69</v>
      </c>
      <c r="K116" s="24" t="s">
        <v>57</v>
      </c>
    </row>
    <row r="117" spans="1:12" ht="14" x14ac:dyDescent="0.3">
      <c r="A117" s="79" t="s">
        <v>183</v>
      </c>
      <c r="B117" s="79"/>
      <c r="C117" s="40">
        <v>45472</v>
      </c>
      <c r="D117" s="89" t="s">
        <v>177</v>
      </c>
      <c r="E117" s="89" t="s">
        <v>13</v>
      </c>
      <c r="F117" s="56" t="s">
        <v>178</v>
      </c>
      <c r="G117" s="146">
        <f>28*350</f>
        <v>9800</v>
      </c>
      <c r="H117" s="94">
        <v>2.44</v>
      </c>
      <c r="I117" s="66">
        <f t="shared" ref="I117:I120" si="11">G117*H117</f>
        <v>23912</v>
      </c>
      <c r="J117" s="132"/>
      <c r="K117" s="54">
        <f>K113+I117-J117</f>
        <v>23912</v>
      </c>
    </row>
    <row r="118" spans="1:12" ht="14" x14ac:dyDescent="0.3">
      <c r="A118" s="79" t="s">
        <v>50</v>
      </c>
      <c r="B118" s="79"/>
      <c r="C118" s="40">
        <v>45472</v>
      </c>
      <c r="D118" s="89" t="s">
        <v>177</v>
      </c>
      <c r="E118" s="89" t="s">
        <v>13</v>
      </c>
      <c r="F118" s="56" t="s">
        <v>179</v>
      </c>
      <c r="G118" s="146">
        <f>3*359</f>
        <v>1077</v>
      </c>
      <c r="H118" s="94">
        <v>2.44</v>
      </c>
      <c r="I118" s="66">
        <f t="shared" si="11"/>
        <v>2627.88</v>
      </c>
      <c r="J118" s="132"/>
      <c r="K118" s="54">
        <f t="shared" si="5"/>
        <v>26539.88</v>
      </c>
    </row>
    <row r="119" spans="1:12" ht="14" x14ac:dyDescent="0.3">
      <c r="A119" s="79" t="s">
        <v>72</v>
      </c>
      <c r="B119" s="79"/>
      <c r="C119" s="40">
        <v>45472</v>
      </c>
      <c r="D119" s="89" t="s">
        <v>177</v>
      </c>
      <c r="E119" s="89" t="s">
        <v>66</v>
      </c>
      <c r="F119" s="56" t="s">
        <v>180</v>
      </c>
      <c r="G119" s="146">
        <f>80</f>
        <v>80</v>
      </c>
      <c r="H119" s="94">
        <v>2.44</v>
      </c>
      <c r="I119" s="66">
        <f t="shared" si="11"/>
        <v>195.2</v>
      </c>
      <c r="J119" s="132"/>
      <c r="K119" s="54">
        <f t="shared" si="5"/>
        <v>26735.08</v>
      </c>
    </row>
    <row r="120" spans="1:12" ht="14" x14ac:dyDescent="0.3">
      <c r="A120" s="79" t="s">
        <v>72</v>
      </c>
      <c r="B120" s="79"/>
      <c r="C120" s="84">
        <v>45488</v>
      </c>
      <c r="D120" s="89" t="s">
        <v>177</v>
      </c>
      <c r="E120" s="89" t="s">
        <v>66</v>
      </c>
      <c r="F120" s="56" t="s">
        <v>184</v>
      </c>
      <c r="G120" s="146">
        <v>2082</v>
      </c>
      <c r="H120" s="94">
        <v>2.44</v>
      </c>
      <c r="I120" s="66">
        <f t="shared" si="11"/>
        <v>5080.08</v>
      </c>
      <c r="J120" s="132"/>
      <c r="K120" s="54">
        <f t="shared" si="5"/>
        <v>31815.160000000003</v>
      </c>
    </row>
    <row r="121" spans="1:12" ht="14" x14ac:dyDescent="0.3">
      <c r="A121" s="79" t="s">
        <v>71</v>
      </c>
      <c r="B121" s="79"/>
      <c r="C121" s="84">
        <v>45488</v>
      </c>
      <c r="D121" s="89" t="s">
        <v>177</v>
      </c>
      <c r="E121" s="89" t="s">
        <v>13</v>
      </c>
      <c r="F121" s="56" t="s">
        <v>181</v>
      </c>
      <c r="G121" s="138">
        <f>I121/H121</f>
        <v>3747.2581967213123</v>
      </c>
      <c r="H121" s="94">
        <v>2.44</v>
      </c>
      <c r="I121" s="66">
        <f>831.21*11</f>
        <v>9143.3100000000013</v>
      </c>
      <c r="J121" s="132"/>
      <c r="K121" s="54">
        <f t="shared" si="5"/>
        <v>40958.47</v>
      </c>
      <c r="L121" s="1">
        <f>9143.31/2.44</f>
        <v>3747.2581967213114</v>
      </c>
    </row>
    <row r="122" spans="1:12" ht="14" x14ac:dyDescent="0.3">
      <c r="A122" s="79"/>
      <c r="B122" s="79"/>
      <c r="C122" s="25">
        <v>45491</v>
      </c>
      <c r="D122" s="89" t="s">
        <v>177</v>
      </c>
      <c r="E122" s="89" t="s">
        <v>40</v>
      </c>
      <c r="F122" s="80" t="s">
        <v>589</v>
      </c>
      <c r="G122" s="138">
        <v>-1370</v>
      </c>
      <c r="H122" s="94">
        <v>2.44</v>
      </c>
      <c r="I122" s="66">
        <f t="shared" ref="I122" si="12">G122*H122</f>
        <v>-3342.7999999999997</v>
      </c>
      <c r="J122" s="132"/>
      <c r="K122" s="54">
        <f t="shared" si="5"/>
        <v>37615.67</v>
      </c>
      <c r="L122" s="315">
        <f>K122/42</f>
        <v>895.61119047619047</v>
      </c>
    </row>
    <row r="123" spans="1:12" ht="14" x14ac:dyDescent="0.3">
      <c r="A123" s="79" t="s">
        <v>50</v>
      </c>
      <c r="B123" s="79"/>
      <c r="C123" s="84">
        <v>45491</v>
      </c>
      <c r="D123" s="89" t="s">
        <v>177</v>
      </c>
      <c r="E123" s="89" t="s">
        <v>69</v>
      </c>
      <c r="F123" s="56" t="s">
        <v>182</v>
      </c>
      <c r="G123" s="54"/>
      <c r="H123" s="54"/>
      <c r="I123" s="54"/>
      <c r="J123" s="132">
        <f>42*1220</f>
        <v>51240</v>
      </c>
      <c r="K123" s="54">
        <f t="shared" si="5"/>
        <v>-13624.330000000002</v>
      </c>
    </row>
    <row r="124" spans="1:12" ht="15" x14ac:dyDescent="0.3">
      <c r="A124" s="79"/>
      <c r="B124" s="79"/>
      <c r="C124" s="89"/>
      <c r="D124" s="89"/>
      <c r="E124" s="89"/>
      <c r="F124" s="109" t="s">
        <v>227</v>
      </c>
      <c r="G124" s="54"/>
      <c r="H124" s="54"/>
      <c r="I124" s="154"/>
      <c r="J124" s="132"/>
      <c r="K124" s="54"/>
    </row>
    <row r="125" spans="1:12" ht="15" x14ac:dyDescent="0.3">
      <c r="A125" s="79"/>
      <c r="B125" s="79"/>
      <c r="C125" s="286"/>
      <c r="D125" s="286"/>
      <c r="E125" s="286"/>
      <c r="F125" s="319"/>
      <c r="G125" s="287"/>
      <c r="H125" s="287"/>
      <c r="I125" s="320"/>
      <c r="J125" s="321"/>
      <c r="K125" s="287"/>
    </row>
    <row r="126" spans="1:12" ht="15" x14ac:dyDescent="0.3">
      <c r="A126" s="79"/>
      <c r="B126" s="79"/>
      <c r="C126" s="286"/>
      <c r="D126" s="286"/>
      <c r="E126" s="286"/>
      <c r="F126" s="319"/>
      <c r="G126" s="287"/>
      <c r="H126" s="287"/>
      <c r="I126" s="320"/>
      <c r="J126" s="321"/>
      <c r="K126" s="287"/>
    </row>
    <row r="127" spans="1:12" ht="15" x14ac:dyDescent="0.3">
      <c r="A127" s="79"/>
      <c r="B127" s="79"/>
      <c r="C127" s="24" t="s">
        <v>0</v>
      </c>
      <c r="D127" s="24" t="s">
        <v>49</v>
      </c>
      <c r="E127" s="24" t="s">
        <v>53</v>
      </c>
      <c r="F127" s="19" t="s">
        <v>5</v>
      </c>
      <c r="G127" s="20" t="s">
        <v>6</v>
      </c>
      <c r="H127" s="20" t="s">
        <v>7</v>
      </c>
      <c r="I127" s="24" t="s">
        <v>13</v>
      </c>
      <c r="J127" s="24" t="s">
        <v>69</v>
      </c>
      <c r="K127" s="24" t="s">
        <v>57</v>
      </c>
    </row>
    <row r="128" spans="1:12" ht="14" x14ac:dyDescent="0.3">
      <c r="A128" s="79" t="s">
        <v>72</v>
      </c>
      <c r="B128" s="79"/>
      <c r="C128" s="40">
        <v>45477</v>
      </c>
      <c r="D128" s="89" t="s">
        <v>185</v>
      </c>
      <c r="E128" s="89" t="s">
        <v>66</v>
      </c>
      <c r="F128" s="56" t="s">
        <v>186</v>
      </c>
      <c r="G128" s="146">
        <v>89</v>
      </c>
      <c r="H128" s="94">
        <v>2.44</v>
      </c>
      <c r="I128" s="66">
        <f t="shared" ref="I128:I132" si="13">G128*H128</f>
        <v>217.16</v>
      </c>
      <c r="J128" s="132"/>
      <c r="K128" s="54">
        <f>K124+I128-J128</f>
        <v>217.16</v>
      </c>
    </row>
    <row r="129" spans="1:12" ht="14" x14ac:dyDescent="0.3">
      <c r="A129" s="79" t="s">
        <v>71</v>
      </c>
      <c r="B129" s="79"/>
      <c r="C129" s="40">
        <v>45477</v>
      </c>
      <c r="D129" s="89" t="s">
        <v>185</v>
      </c>
      <c r="E129" s="89" t="s">
        <v>66</v>
      </c>
      <c r="F129" s="56" t="s">
        <v>187</v>
      </c>
      <c r="G129" s="146">
        <v>773</v>
      </c>
      <c r="H129" s="94">
        <v>2.44</v>
      </c>
      <c r="I129" s="66">
        <f t="shared" si="13"/>
        <v>1886.12</v>
      </c>
      <c r="J129" s="132"/>
      <c r="K129" s="54">
        <f t="shared" si="5"/>
        <v>2103.2799999999997</v>
      </c>
    </row>
    <row r="130" spans="1:12" ht="14" x14ac:dyDescent="0.3">
      <c r="A130" s="79" t="s">
        <v>72</v>
      </c>
      <c r="B130" s="79"/>
      <c r="C130" s="40">
        <v>45477</v>
      </c>
      <c r="D130" s="89" t="s">
        <v>185</v>
      </c>
      <c r="E130" s="89" t="s">
        <v>66</v>
      </c>
      <c r="F130" s="56" t="s">
        <v>188</v>
      </c>
      <c r="G130" s="146">
        <v>86</v>
      </c>
      <c r="H130" s="94">
        <v>2.44</v>
      </c>
      <c r="I130" s="66">
        <f t="shared" si="13"/>
        <v>209.84</v>
      </c>
      <c r="J130" s="132"/>
      <c r="K130" s="54">
        <f t="shared" si="5"/>
        <v>2313.12</v>
      </c>
    </row>
    <row r="131" spans="1:12" ht="14" x14ac:dyDescent="0.3">
      <c r="A131" s="79" t="s">
        <v>72</v>
      </c>
      <c r="B131" s="79"/>
      <c r="C131" s="40">
        <v>45477</v>
      </c>
      <c r="D131" s="89" t="s">
        <v>185</v>
      </c>
      <c r="E131" s="89" t="s">
        <v>66</v>
      </c>
      <c r="F131" s="56" t="s">
        <v>189</v>
      </c>
      <c r="G131" s="138">
        <v>209</v>
      </c>
      <c r="H131" s="94">
        <v>2.44</v>
      </c>
      <c r="I131" s="66">
        <f t="shared" si="13"/>
        <v>509.96</v>
      </c>
      <c r="J131" s="132"/>
      <c r="K131" s="54">
        <f t="shared" si="5"/>
        <v>2823.08</v>
      </c>
    </row>
    <row r="132" spans="1:12" ht="14" x14ac:dyDescent="0.3">
      <c r="A132" s="79" t="s">
        <v>72</v>
      </c>
      <c r="B132" s="79"/>
      <c r="C132" s="40">
        <v>45477</v>
      </c>
      <c r="D132" s="89" t="s">
        <v>185</v>
      </c>
      <c r="E132" s="89" t="s">
        <v>66</v>
      </c>
      <c r="F132" s="56" t="s">
        <v>190</v>
      </c>
      <c r="G132" s="138">
        <v>76</v>
      </c>
      <c r="H132" s="94">
        <v>2.44</v>
      </c>
      <c r="I132" s="66">
        <f t="shared" si="13"/>
        <v>185.44</v>
      </c>
      <c r="J132" s="132"/>
      <c r="K132" s="54">
        <f t="shared" si="5"/>
        <v>3008.52</v>
      </c>
    </row>
    <row r="133" spans="1:12" ht="14" x14ac:dyDescent="0.3">
      <c r="A133" s="79" t="s">
        <v>71</v>
      </c>
      <c r="B133" s="79"/>
      <c r="C133" s="40">
        <v>45477</v>
      </c>
      <c r="D133" s="89" t="s">
        <v>185</v>
      </c>
      <c r="E133" s="89" t="s">
        <v>66</v>
      </c>
      <c r="F133" s="56" t="s">
        <v>191</v>
      </c>
      <c r="G133" s="155">
        <v>5100</v>
      </c>
      <c r="H133" s="96">
        <v>2.44</v>
      </c>
      <c r="I133" s="67">
        <f>G133*H133</f>
        <v>12444</v>
      </c>
      <c r="J133" s="132"/>
      <c r="K133" s="54">
        <f t="shared" si="5"/>
        <v>15452.52</v>
      </c>
    </row>
    <row r="134" spans="1:12" ht="28" x14ac:dyDescent="0.3">
      <c r="A134" s="79" t="s">
        <v>183</v>
      </c>
      <c r="B134" s="79"/>
      <c r="C134" s="40">
        <v>45477</v>
      </c>
      <c r="D134" s="89" t="s">
        <v>185</v>
      </c>
      <c r="E134" s="89" t="s">
        <v>13</v>
      </c>
      <c r="F134" s="56" t="s">
        <v>192</v>
      </c>
      <c r="G134" s="120">
        <f>359*92</f>
        <v>33028</v>
      </c>
      <c r="H134" s="94">
        <v>2.44</v>
      </c>
      <c r="I134" s="67">
        <f>G134*H134</f>
        <v>80588.319999999992</v>
      </c>
      <c r="J134" s="132"/>
      <c r="K134" s="54">
        <f t="shared" si="5"/>
        <v>96040.84</v>
      </c>
    </row>
    <row r="135" spans="1:12" ht="14" x14ac:dyDescent="0.3">
      <c r="A135" s="79" t="s">
        <v>50</v>
      </c>
      <c r="B135" s="79"/>
      <c r="C135" s="84">
        <v>45481</v>
      </c>
      <c r="D135" s="89" t="s">
        <v>185</v>
      </c>
      <c r="E135" s="89" t="s">
        <v>66</v>
      </c>
      <c r="F135" s="56" t="s">
        <v>193</v>
      </c>
      <c r="G135" s="146"/>
      <c r="H135" s="94"/>
      <c r="I135" s="66">
        <v>1860</v>
      </c>
      <c r="J135" s="132"/>
      <c r="K135" s="54">
        <f t="shared" si="5"/>
        <v>97900.84</v>
      </c>
    </row>
    <row r="136" spans="1:12" ht="14" x14ac:dyDescent="0.3">
      <c r="A136" s="79" t="s">
        <v>50</v>
      </c>
      <c r="B136" s="79"/>
      <c r="C136" s="40">
        <v>45482</v>
      </c>
      <c r="D136" s="89" t="s">
        <v>185</v>
      </c>
      <c r="E136" s="89" t="s">
        <v>66</v>
      </c>
      <c r="F136" s="56" t="s">
        <v>194</v>
      </c>
      <c r="G136" s="146"/>
      <c r="H136" s="94"/>
      <c r="I136" s="66">
        <v>50</v>
      </c>
      <c r="J136" s="132"/>
      <c r="K136" s="54">
        <f t="shared" si="5"/>
        <v>97950.84</v>
      </c>
    </row>
    <row r="137" spans="1:12" ht="14" x14ac:dyDescent="0.3">
      <c r="A137" s="79" t="s">
        <v>50</v>
      </c>
      <c r="B137" s="79"/>
      <c r="C137" s="40">
        <v>45482</v>
      </c>
      <c r="D137" s="89" t="s">
        <v>185</v>
      </c>
      <c r="E137" s="89" t="s">
        <v>66</v>
      </c>
      <c r="F137" s="80" t="s">
        <v>195</v>
      </c>
      <c r="G137" s="146"/>
      <c r="H137" s="94"/>
      <c r="I137" s="66">
        <v>1333</v>
      </c>
      <c r="J137" s="132"/>
      <c r="K137" s="54">
        <f t="shared" si="5"/>
        <v>99283.839999999997</v>
      </c>
    </row>
    <row r="138" spans="1:12" ht="14" x14ac:dyDescent="0.3">
      <c r="A138" s="79" t="s">
        <v>50</v>
      </c>
      <c r="B138" s="79"/>
      <c r="C138" s="40">
        <v>45484</v>
      </c>
      <c r="D138" s="89" t="s">
        <v>185</v>
      </c>
      <c r="E138" s="89" t="s">
        <v>66</v>
      </c>
      <c r="F138" s="56" t="s">
        <v>197</v>
      </c>
      <c r="G138" s="146"/>
      <c r="H138" s="94"/>
      <c r="I138" s="66">
        <v>100</v>
      </c>
      <c r="J138" s="132"/>
      <c r="K138" s="54">
        <f t="shared" si="5"/>
        <v>99383.84</v>
      </c>
    </row>
    <row r="139" spans="1:12" ht="14" x14ac:dyDescent="0.3">
      <c r="A139" s="79" t="s">
        <v>50</v>
      </c>
      <c r="B139" s="79"/>
      <c r="C139" s="84">
        <v>45487</v>
      </c>
      <c r="D139" s="89" t="s">
        <v>185</v>
      </c>
      <c r="E139" s="89" t="s">
        <v>66</v>
      </c>
      <c r="F139" s="56" t="s">
        <v>194</v>
      </c>
      <c r="G139" s="146"/>
      <c r="H139" s="94"/>
      <c r="I139" s="66">
        <v>20</v>
      </c>
      <c r="J139" s="132"/>
      <c r="K139" s="54">
        <f t="shared" ref="K139:K261" si="14">K138+I139-J139</f>
        <v>99403.839999999997</v>
      </c>
    </row>
    <row r="140" spans="1:12" ht="14" x14ac:dyDescent="0.3">
      <c r="A140" s="79" t="s">
        <v>50</v>
      </c>
      <c r="B140" s="79"/>
      <c r="C140" s="84">
        <v>45487</v>
      </c>
      <c r="D140" s="89" t="s">
        <v>185</v>
      </c>
      <c r="E140" s="89" t="s">
        <v>66</v>
      </c>
      <c r="F140" s="56" t="s">
        <v>198</v>
      </c>
      <c r="G140" s="146"/>
      <c r="H140" s="94"/>
      <c r="I140" s="67">
        <v>1150</v>
      </c>
      <c r="J140" s="132"/>
      <c r="K140" s="54">
        <f t="shared" si="14"/>
        <v>100553.84</v>
      </c>
    </row>
    <row r="141" spans="1:12" ht="14" x14ac:dyDescent="0.3">
      <c r="A141" s="79"/>
      <c r="B141" s="79"/>
      <c r="C141" s="40">
        <v>45484</v>
      </c>
      <c r="D141" s="89" t="s">
        <v>185</v>
      </c>
      <c r="E141" s="89" t="s">
        <v>40</v>
      </c>
      <c r="F141" s="56" t="s">
        <v>590</v>
      </c>
      <c r="G141" s="146">
        <v>-3002.65</v>
      </c>
      <c r="H141" s="94">
        <v>2.44</v>
      </c>
      <c r="I141" s="67">
        <f>G141*H141</f>
        <v>-7326.4660000000003</v>
      </c>
      <c r="J141" s="132"/>
      <c r="K141" s="54">
        <f t="shared" si="14"/>
        <v>93227.373999999996</v>
      </c>
      <c r="L141" s="315">
        <f>K141/92</f>
        <v>1013.3410217391304</v>
      </c>
    </row>
    <row r="142" spans="1:12" ht="14" x14ac:dyDescent="0.3">
      <c r="A142" s="79" t="s">
        <v>50</v>
      </c>
      <c r="B142" s="79"/>
      <c r="C142" s="84">
        <v>45482</v>
      </c>
      <c r="D142" s="89" t="s">
        <v>185</v>
      </c>
      <c r="E142" s="89" t="s">
        <v>69</v>
      </c>
      <c r="F142" s="56" t="s">
        <v>200</v>
      </c>
      <c r="G142" s="54"/>
      <c r="H142" s="54"/>
      <c r="I142" s="54"/>
      <c r="J142" s="59">
        <f>1425*20</f>
        <v>28500</v>
      </c>
      <c r="K142" s="54">
        <f t="shared" si="14"/>
        <v>64727.373999999996</v>
      </c>
    </row>
    <row r="143" spans="1:12" ht="14" x14ac:dyDescent="0.3">
      <c r="A143" s="79" t="s">
        <v>50</v>
      </c>
      <c r="B143" s="79"/>
      <c r="C143" s="84">
        <v>45482</v>
      </c>
      <c r="D143" s="89" t="s">
        <v>185</v>
      </c>
      <c r="E143" s="89" t="s">
        <v>69</v>
      </c>
      <c r="F143" s="56" t="s">
        <v>201</v>
      </c>
      <c r="G143" s="54"/>
      <c r="H143" s="54"/>
      <c r="I143" s="54"/>
      <c r="J143" s="59">
        <f>5*1470</f>
        <v>7350</v>
      </c>
      <c r="K143" s="54">
        <f t="shared" si="14"/>
        <v>57377.373999999996</v>
      </c>
    </row>
    <row r="144" spans="1:12" ht="14" x14ac:dyDescent="0.3">
      <c r="A144" s="79" t="s">
        <v>50</v>
      </c>
      <c r="B144" s="79"/>
      <c r="C144" s="84">
        <v>45484</v>
      </c>
      <c r="D144" s="89" t="s">
        <v>185</v>
      </c>
      <c r="E144" s="89" t="s">
        <v>69</v>
      </c>
      <c r="F144" s="56" t="s">
        <v>202</v>
      </c>
      <c r="G144" s="54"/>
      <c r="H144" s="54"/>
      <c r="I144" s="54"/>
      <c r="J144" s="59">
        <f>10*1425</f>
        <v>14250</v>
      </c>
      <c r="K144" s="54">
        <f t="shared" si="14"/>
        <v>43127.373999999996</v>
      </c>
    </row>
    <row r="145" spans="1:11" ht="14" x14ac:dyDescent="0.3">
      <c r="A145" s="79" t="s">
        <v>50</v>
      </c>
      <c r="B145" s="79"/>
      <c r="C145" s="84">
        <v>45484</v>
      </c>
      <c r="D145" s="89" t="s">
        <v>185</v>
      </c>
      <c r="E145" s="89" t="s">
        <v>69</v>
      </c>
      <c r="F145" s="56" t="s">
        <v>203</v>
      </c>
      <c r="G145" s="54"/>
      <c r="H145" s="54"/>
      <c r="I145" s="54"/>
      <c r="J145" s="59">
        <f>1370*20</f>
        <v>27400</v>
      </c>
      <c r="K145" s="54">
        <f t="shared" si="14"/>
        <v>15727.373999999996</v>
      </c>
    </row>
    <row r="146" spans="1:11" ht="14" x14ac:dyDescent="0.3">
      <c r="A146" s="79" t="s">
        <v>50</v>
      </c>
      <c r="B146" s="79"/>
      <c r="C146" s="84">
        <v>45484</v>
      </c>
      <c r="D146" s="89" t="s">
        <v>185</v>
      </c>
      <c r="E146" s="89" t="s">
        <v>69</v>
      </c>
      <c r="F146" s="56" t="s">
        <v>204</v>
      </c>
      <c r="G146" s="54"/>
      <c r="H146" s="54"/>
      <c r="I146" s="54"/>
      <c r="J146" s="59">
        <f>37*1390</f>
        <v>51430</v>
      </c>
      <c r="K146" s="54">
        <f t="shared" si="14"/>
        <v>-35702.626000000004</v>
      </c>
    </row>
    <row r="147" spans="1:11" ht="15" x14ac:dyDescent="0.3">
      <c r="A147" s="79"/>
      <c r="B147" s="79"/>
      <c r="C147" s="89"/>
      <c r="D147" s="89"/>
      <c r="E147" s="89"/>
      <c r="F147" s="109" t="s">
        <v>228</v>
      </c>
      <c r="G147" s="54"/>
      <c r="H147" s="54"/>
      <c r="I147" s="154"/>
      <c r="J147" s="132"/>
      <c r="K147" s="54"/>
    </row>
    <row r="148" spans="1:11" ht="15" x14ac:dyDescent="0.3">
      <c r="A148" s="79"/>
      <c r="B148" s="79"/>
      <c r="C148" s="286"/>
      <c r="D148" s="286"/>
      <c r="E148" s="286"/>
      <c r="F148" s="319"/>
      <c r="G148" s="287"/>
      <c r="H148" s="287"/>
      <c r="I148" s="320"/>
      <c r="J148" s="321"/>
      <c r="K148" s="287"/>
    </row>
    <row r="149" spans="1:11" ht="15" x14ac:dyDescent="0.3">
      <c r="A149" s="79"/>
      <c r="B149" s="79"/>
      <c r="C149" s="286"/>
      <c r="D149" s="286"/>
      <c r="E149" s="286"/>
      <c r="F149" s="319"/>
      <c r="G149" s="287"/>
      <c r="H149" s="287"/>
      <c r="I149" s="320"/>
      <c r="J149" s="321"/>
      <c r="K149" s="287"/>
    </row>
    <row r="150" spans="1:11" ht="15" x14ac:dyDescent="0.3">
      <c r="A150" s="79"/>
      <c r="B150" s="79"/>
      <c r="C150" s="24" t="s">
        <v>0</v>
      </c>
      <c r="D150" s="24" t="s">
        <v>49</v>
      </c>
      <c r="E150" s="24" t="s">
        <v>53</v>
      </c>
      <c r="F150" s="19" t="s">
        <v>5</v>
      </c>
      <c r="G150" s="20" t="s">
        <v>6</v>
      </c>
      <c r="H150" s="20" t="s">
        <v>7</v>
      </c>
      <c r="I150" s="24" t="s">
        <v>13</v>
      </c>
      <c r="J150" s="24" t="s">
        <v>69</v>
      </c>
      <c r="K150" s="24" t="s">
        <v>57</v>
      </c>
    </row>
    <row r="151" spans="1:11" ht="14" x14ac:dyDescent="0.3">
      <c r="A151" s="79" t="s">
        <v>50</v>
      </c>
      <c r="B151" s="79"/>
      <c r="C151" s="40">
        <v>45488</v>
      </c>
      <c r="D151" s="89" t="s">
        <v>205</v>
      </c>
      <c r="E151" s="89" t="s">
        <v>13</v>
      </c>
      <c r="F151" s="56" t="s">
        <v>206</v>
      </c>
      <c r="G151" s="67">
        <f>2511</f>
        <v>2511</v>
      </c>
      <c r="H151" s="94">
        <v>2.44</v>
      </c>
      <c r="I151" s="66">
        <f t="shared" ref="I151:I154" si="15">G151*H151</f>
        <v>6126.84</v>
      </c>
      <c r="J151" s="132"/>
      <c r="K151" s="54">
        <f>K147+I151-J151</f>
        <v>6126.84</v>
      </c>
    </row>
    <row r="152" spans="1:11" ht="14" x14ac:dyDescent="0.3">
      <c r="A152" s="79" t="s">
        <v>72</v>
      </c>
      <c r="B152" s="79"/>
      <c r="C152" s="40">
        <v>45488</v>
      </c>
      <c r="D152" s="89" t="s">
        <v>205</v>
      </c>
      <c r="E152" s="89" t="s">
        <v>13</v>
      </c>
      <c r="F152" s="56" t="s">
        <v>207</v>
      </c>
      <c r="G152" s="67">
        <f>16873</f>
        <v>16873</v>
      </c>
      <c r="H152" s="94">
        <v>2.44</v>
      </c>
      <c r="I152" s="66">
        <f t="shared" si="15"/>
        <v>41170.120000000003</v>
      </c>
      <c r="J152" s="132"/>
      <c r="K152" s="54">
        <f t="shared" si="14"/>
        <v>47296.960000000006</v>
      </c>
    </row>
    <row r="153" spans="1:11" ht="14" x14ac:dyDescent="0.3">
      <c r="A153" s="79" t="s">
        <v>72</v>
      </c>
      <c r="B153" s="81" t="s">
        <v>592</v>
      </c>
      <c r="C153" s="40">
        <v>45488</v>
      </c>
      <c r="D153" s="89" t="s">
        <v>205</v>
      </c>
      <c r="E153" s="89" t="s">
        <v>66</v>
      </c>
      <c r="F153" s="56" t="s">
        <v>208</v>
      </c>
      <c r="G153" s="67">
        <v>590</v>
      </c>
      <c r="H153" s="94">
        <v>2.44</v>
      </c>
      <c r="I153" s="66">
        <f t="shared" si="15"/>
        <v>1439.6</v>
      </c>
      <c r="J153" s="132"/>
      <c r="K153" s="54">
        <f t="shared" si="14"/>
        <v>48736.560000000005</v>
      </c>
    </row>
    <row r="154" spans="1:11" ht="14" x14ac:dyDescent="0.3">
      <c r="A154" s="79" t="s">
        <v>72</v>
      </c>
      <c r="B154" s="79"/>
      <c r="C154" s="40">
        <v>45488</v>
      </c>
      <c r="D154" s="89" t="s">
        <v>205</v>
      </c>
      <c r="E154" s="89" t="s">
        <v>66</v>
      </c>
      <c r="F154" s="56" t="s">
        <v>209</v>
      </c>
      <c r="G154" s="138">
        <v>90</v>
      </c>
      <c r="H154" s="94">
        <v>2.44</v>
      </c>
      <c r="I154" s="66">
        <f t="shared" si="15"/>
        <v>219.6</v>
      </c>
      <c r="J154" s="132"/>
      <c r="K154" s="54">
        <f t="shared" si="14"/>
        <v>48956.160000000003</v>
      </c>
    </row>
    <row r="155" spans="1:11" ht="14" x14ac:dyDescent="0.3">
      <c r="A155" s="79" t="s">
        <v>50</v>
      </c>
      <c r="B155" s="79"/>
      <c r="C155" s="40">
        <v>45491</v>
      </c>
      <c r="D155" s="89" t="s">
        <v>205</v>
      </c>
      <c r="E155" s="89" t="s">
        <v>66</v>
      </c>
      <c r="F155" s="56" t="s">
        <v>198</v>
      </c>
      <c r="G155" s="138"/>
      <c r="H155" s="94"/>
      <c r="I155" s="66">
        <v>950</v>
      </c>
      <c r="J155" s="132"/>
      <c r="K155" s="54">
        <f t="shared" si="14"/>
        <v>49906.16</v>
      </c>
    </row>
    <row r="156" spans="1:11" ht="14" x14ac:dyDescent="0.3">
      <c r="A156" s="79"/>
      <c r="B156" s="79"/>
      <c r="C156" s="40">
        <v>45488</v>
      </c>
      <c r="D156" s="89" t="s">
        <v>205</v>
      </c>
      <c r="E156" s="89" t="s">
        <v>40</v>
      </c>
      <c r="F156" s="56" t="s">
        <v>591</v>
      </c>
      <c r="G156" s="138">
        <v>-1763</v>
      </c>
      <c r="H156" s="94">
        <v>2.44</v>
      </c>
      <c r="I156" s="66">
        <f t="shared" ref="I156" si="16">G156*H156</f>
        <v>-4301.72</v>
      </c>
      <c r="J156" s="132"/>
      <c r="K156" s="54">
        <f t="shared" si="14"/>
        <v>45604.44</v>
      </c>
    </row>
    <row r="157" spans="1:11" ht="14" x14ac:dyDescent="0.3">
      <c r="A157" s="79" t="s">
        <v>50</v>
      </c>
      <c r="B157" s="79"/>
      <c r="C157" s="84">
        <v>45491</v>
      </c>
      <c r="D157" s="89" t="s">
        <v>205</v>
      </c>
      <c r="E157" s="89" t="s">
        <v>69</v>
      </c>
      <c r="F157" s="56" t="s">
        <v>210</v>
      </c>
      <c r="G157" s="54"/>
      <c r="H157" s="54"/>
      <c r="I157" s="54"/>
      <c r="J157" s="59">
        <f>1*1220</f>
        <v>1220</v>
      </c>
      <c r="K157" s="54">
        <f t="shared" si="14"/>
        <v>44384.44</v>
      </c>
    </row>
    <row r="158" spans="1:11" ht="14" x14ac:dyDescent="0.3">
      <c r="A158" s="79" t="s">
        <v>50</v>
      </c>
      <c r="B158" s="79"/>
      <c r="C158" s="84">
        <v>45491</v>
      </c>
      <c r="D158" s="89" t="s">
        <v>205</v>
      </c>
      <c r="E158" s="89" t="s">
        <v>69</v>
      </c>
      <c r="F158" s="56" t="s">
        <v>211</v>
      </c>
      <c r="G158" s="54"/>
      <c r="H158" s="54"/>
      <c r="I158" s="54"/>
      <c r="J158" s="59">
        <f>30*1240</f>
        <v>37200</v>
      </c>
      <c r="K158" s="54">
        <f t="shared" si="14"/>
        <v>7184.4400000000023</v>
      </c>
    </row>
    <row r="159" spans="1:11" ht="14" x14ac:dyDescent="0.3">
      <c r="A159" s="79" t="s">
        <v>50</v>
      </c>
      <c r="B159" s="79"/>
      <c r="C159" s="84">
        <v>45491</v>
      </c>
      <c r="D159" s="89" t="s">
        <v>205</v>
      </c>
      <c r="E159" s="89" t="s">
        <v>69</v>
      </c>
      <c r="F159" s="56" t="s">
        <v>212</v>
      </c>
      <c r="G159" s="54"/>
      <c r="H159" s="54"/>
      <c r="I159" s="54"/>
      <c r="J159" s="59">
        <f>22*1230</f>
        <v>27060</v>
      </c>
      <c r="K159" s="54">
        <f t="shared" si="14"/>
        <v>-19875.559999999998</v>
      </c>
    </row>
    <row r="160" spans="1:11" ht="14" x14ac:dyDescent="0.3">
      <c r="A160" s="79" t="s">
        <v>50</v>
      </c>
      <c r="B160" s="79"/>
      <c r="C160" s="88">
        <v>45497</v>
      </c>
      <c r="D160" s="89" t="s">
        <v>205</v>
      </c>
      <c r="E160" s="89" t="s">
        <v>69</v>
      </c>
      <c r="F160" s="56" t="s">
        <v>276</v>
      </c>
      <c r="G160" s="54"/>
      <c r="H160" s="54"/>
      <c r="I160" s="54"/>
      <c r="J160" s="59">
        <f>1*1180</f>
        <v>1180</v>
      </c>
      <c r="K160" s="54">
        <f t="shared" si="14"/>
        <v>-21055.559999999998</v>
      </c>
    </row>
    <row r="161" spans="1:13" ht="15" x14ac:dyDescent="0.3">
      <c r="C161" s="41"/>
      <c r="D161" s="41"/>
      <c r="E161" s="41"/>
      <c r="F161" s="109" t="s">
        <v>229</v>
      </c>
      <c r="G161" s="54"/>
      <c r="H161" s="54"/>
      <c r="I161" s="154"/>
      <c r="J161" s="132"/>
      <c r="K161" s="54"/>
    </row>
    <row r="162" spans="1:13" ht="15" x14ac:dyDescent="0.3">
      <c r="F162" s="319"/>
      <c r="G162" s="287"/>
      <c r="H162" s="287"/>
      <c r="I162" s="320"/>
      <c r="J162" s="321"/>
      <c r="K162" s="287"/>
    </row>
    <row r="163" spans="1:13" ht="15" x14ac:dyDescent="0.3">
      <c r="F163" s="319"/>
      <c r="G163" s="287"/>
      <c r="H163" s="287"/>
      <c r="I163" s="320"/>
      <c r="J163" s="321"/>
      <c r="K163" s="287"/>
    </row>
    <row r="164" spans="1:13" ht="15" x14ac:dyDescent="0.3">
      <c r="C164" s="24" t="s">
        <v>0</v>
      </c>
      <c r="D164" s="24" t="s">
        <v>49</v>
      </c>
      <c r="E164" s="24" t="s">
        <v>53</v>
      </c>
      <c r="F164" s="19" t="s">
        <v>5</v>
      </c>
      <c r="G164" s="20" t="s">
        <v>6</v>
      </c>
      <c r="H164" s="20" t="s">
        <v>7</v>
      </c>
      <c r="I164" s="24" t="s">
        <v>13</v>
      </c>
      <c r="J164" s="24" t="s">
        <v>69</v>
      </c>
      <c r="K164" s="24" t="s">
        <v>57</v>
      </c>
    </row>
    <row r="165" spans="1:13" ht="26" x14ac:dyDescent="0.3">
      <c r="A165" s="1" t="s">
        <v>72</v>
      </c>
      <c r="C165" s="88">
        <v>45491</v>
      </c>
      <c r="D165" s="89" t="s">
        <v>237</v>
      </c>
      <c r="E165" s="89" t="s">
        <v>13</v>
      </c>
      <c r="F165" s="173" t="s">
        <v>450</v>
      </c>
      <c r="G165" s="54">
        <f>357*7</f>
        <v>2499</v>
      </c>
      <c r="H165" s="175">
        <v>2.5249999999999999</v>
      </c>
      <c r="I165" s="174">
        <f t="shared" ref="I165:I168" si="17">G165*H165</f>
        <v>6309.9749999999995</v>
      </c>
      <c r="J165" s="132"/>
      <c r="K165" s="54">
        <f>K161+I165-J165</f>
        <v>6309.9749999999995</v>
      </c>
      <c r="M165" s="172" t="s">
        <v>269</v>
      </c>
    </row>
    <row r="166" spans="1:13" ht="14" x14ac:dyDescent="0.3">
      <c r="C166" s="84">
        <v>45491</v>
      </c>
      <c r="D166" s="89" t="s">
        <v>237</v>
      </c>
      <c r="E166" s="89" t="s">
        <v>13</v>
      </c>
      <c r="F166" s="90" t="s">
        <v>238</v>
      </c>
      <c r="G166" s="54">
        <f>357*49</f>
        <v>17493</v>
      </c>
      <c r="H166" s="175">
        <v>2.5249999999999999</v>
      </c>
      <c r="I166" s="66">
        <f t="shared" si="17"/>
        <v>44169.824999999997</v>
      </c>
      <c r="J166" s="132"/>
      <c r="K166" s="54">
        <f t="shared" si="14"/>
        <v>50479.799999999996</v>
      </c>
    </row>
    <row r="167" spans="1:13" ht="14" x14ac:dyDescent="0.3">
      <c r="A167" s="1" t="s">
        <v>72</v>
      </c>
      <c r="C167" s="84">
        <v>45491</v>
      </c>
      <c r="D167" s="89" t="s">
        <v>237</v>
      </c>
      <c r="E167" s="89" t="s">
        <v>66</v>
      </c>
      <c r="F167" s="90" t="s">
        <v>243</v>
      </c>
      <c r="G167" s="54">
        <v>2555.88</v>
      </c>
      <c r="H167" s="175">
        <v>2.5249999999999999</v>
      </c>
      <c r="I167" s="66">
        <f t="shared" si="17"/>
        <v>6453.5969999999998</v>
      </c>
      <c r="J167" s="132"/>
      <c r="K167" s="54">
        <f t="shared" si="14"/>
        <v>56933.396999999997</v>
      </c>
    </row>
    <row r="168" spans="1:13" ht="14" x14ac:dyDescent="0.3">
      <c r="C168" s="84">
        <v>45491</v>
      </c>
      <c r="D168" s="89" t="s">
        <v>237</v>
      </c>
      <c r="E168" s="89" t="s">
        <v>40</v>
      </c>
      <c r="F168" s="56" t="s">
        <v>1159</v>
      </c>
      <c r="G168" s="54">
        <v>-1818</v>
      </c>
      <c r="H168" s="175">
        <v>2.5249999999999999</v>
      </c>
      <c r="I168" s="66">
        <f t="shared" si="17"/>
        <v>-4590.45</v>
      </c>
      <c r="J168" s="132"/>
      <c r="K168" s="54">
        <f t="shared" si="14"/>
        <v>52342.947</v>
      </c>
    </row>
    <row r="169" spans="1:13" ht="14" x14ac:dyDescent="0.3">
      <c r="A169" s="1" t="s">
        <v>50</v>
      </c>
      <c r="C169" s="88">
        <v>45497</v>
      </c>
      <c r="D169" s="89" t="s">
        <v>237</v>
      </c>
      <c r="E169" s="89" t="s">
        <v>66</v>
      </c>
      <c r="F169" s="90" t="s">
        <v>198</v>
      </c>
      <c r="G169" s="54"/>
      <c r="H169" s="175"/>
      <c r="I169" s="66">
        <v>1050</v>
      </c>
      <c r="J169" s="132"/>
      <c r="K169" s="54">
        <f t="shared" si="14"/>
        <v>53392.947</v>
      </c>
    </row>
    <row r="170" spans="1:13" ht="14" x14ac:dyDescent="0.3">
      <c r="A170" s="1" t="s">
        <v>50</v>
      </c>
      <c r="C170" s="88">
        <v>45497</v>
      </c>
      <c r="D170" s="89" t="s">
        <v>237</v>
      </c>
      <c r="E170" s="89" t="s">
        <v>66</v>
      </c>
      <c r="F170" s="90" t="s">
        <v>280</v>
      </c>
      <c r="G170" s="54"/>
      <c r="H170" s="175"/>
      <c r="I170" s="66">
        <v>20</v>
      </c>
      <c r="J170" s="132"/>
      <c r="K170" s="54">
        <f t="shared" si="14"/>
        <v>53412.947</v>
      </c>
      <c r="L170" s="317">
        <f>K170/56</f>
        <v>953.80262500000003</v>
      </c>
    </row>
    <row r="171" spans="1:13" ht="14" x14ac:dyDescent="0.3">
      <c r="A171" s="1" t="s">
        <v>50</v>
      </c>
      <c r="C171" s="88">
        <v>45497</v>
      </c>
      <c r="D171" s="89" t="s">
        <v>237</v>
      </c>
      <c r="E171" s="41" t="s">
        <v>69</v>
      </c>
      <c r="F171" s="56" t="s">
        <v>277</v>
      </c>
      <c r="G171" s="54"/>
      <c r="H171" s="54"/>
      <c r="I171" s="154"/>
      <c r="J171" s="132">
        <f>7*1180</f>
        <v>8260</v>
      </c>
      <c r="K171" s="54">
        <f>K170+I171-J171</f>
        <v>45152.947</v>
      </c>
    </row>
    <row r="172" spans="1:13" ht="14" x14ac:dyDescent="0.3">
      <c r="A172" s="1" t="s">
        <v>50</v>
      </c>
      <c r="C172" s="88">
        <v>45497</v>
      </c>
      <c r="D172" s="89" t="s">
        <v>237</v>
      </c>
      <c r="E172" s="41" t="s">
        <v>69</v>
      </c>
      <c r="F172" s="56" t="s">
        <v>278</v>
      </c>
      <c r="G172" s="54"/>
      <c r="H172" s="54"/>
      <c r="I172" s="154"/>
      <c r="J172" s="132">
        <f>20*1180</f>
        <v>23600</v>
      </c>
      <c r="K172" s="54">
        <f t="shared" si="14"/>
        <v>21552.947</v>
      </c>
    </row>
    <row r="173" spans="1:13" ht="14" x14ac:dyDescent="0.3">
      <c r="A173" s="1" t="s">
        <v>50</v>
      </c>
      <c r="C173" s="88">
        <v>45497</v>
      </c>
      <c r="D173" s="89" t="s">
        <v>237</v>
      </c>
      <c r="E173" s="41" t="s">
        <v>69</v>
      </c>
      <c r="F173" s="56" t="s">
        <v>279</v>
      </c>
      <c r="G173" s="54"/>
      <c r="H173" s="54"/>
      <c r="I173" s="154"/>
      <c r="J173" s="132">
        <f>28*1175</f>
        <v>32900</v>
      </c>
      <c r="K173" s="54">
        <f>K172+I173-J173</f>
        <v>-11347.053</v>
      </c>
    </row>
    <row r="174" spans="1:13" ht="14" x14ac:dyDescent="0.3">
      <c r="C174" s="41"/>
      <c r="D174" s="41"/>
      <c r="E174" s="41"/>
      <c r="F174" s="90"/>
      <c r="G174" s="54"/>
      <c r="H174" s="54"/>
      <c r="I174" s="154"/>
      <c r="J174" s="132"/>
      <c r="K174" s="54">
        <f t="shared" si="14"/>
        <v>-11347.053</v>
      </c>
    </row>
    <row r="175" spans="1:13" ht="14" x14ac:dyDescent="0.3">
      <c r="C175" s="41"/>
      <c r="D175" s="41"/>
      <c r="E175" s="41"/>
      <c r="F175" s="90"/>
      <c r="G175" s="54"/>
      <c r="H175" s="54"/>
      <c r="I175" s="154"/>
      <c r="J175" s="132"/>
      <c r="K175" s="54">
        <f t="shared" si="14"/>
        <v>-11347.053</v>
      </c>
    </row>
    <row r="176" spans="1:13" ht="15" x14ac:dyDescent="0.3">
      <c r="C176" s="41"/>
      <c r="D176" s="41"/>
      <c r="E176" s="41"/>
      <c r="F176" s="109" t="s">
        <v>251</v>
      </c>
      <c r="G176" s="54"/>
      <c r="H176" s="54"/>
      <c r="I176" s="154"/>
      <c r="J176" s="132"/>
      <c r="K176" s="54"/>
    </row>
    <row r="177" spans="1:12" ht="15" x14ac:dyDescent="0.3">
      <c r="F177" s="319"/>
      <c r="G177" s="287"/>
      <c r="H177" s="287"/>
      <c r="I177" s="320"/>
      <c r="J177" s="321"/>
      <c r="K177" s="287"/>
    </row>
    <row r="178" spans="1:12" ht="15" x14ac:dyDescent="0.3">
      <c r="F178" s="319"/>
      <c r="G178" s="287"/>
      <c r="H178" s="287"/>
      <c r="I178" s="320"/>
      <c r="J178" s="321"/>
      <c r="K178" s="287"/>
    </row>
    <row r="179" spans="1:12" ht="15" x14ac:dyDescent="0.3">
      <c r="C179" s="24" t="s">
        <v>0</v>
      </c>
      <c r="D179" s="24" t="s">
        <v>49</v>
      </c>
      <c r="E179" s="24" t="s">
        <v>53</v>
      </c>
      <c r="F179" s="19" t="s">
        <v>5</v>
      </c>
      <c r="G179" s="20" t="s">
        <v>6</v>
      </c>
      <c r="H179" s="20" t="s">
        <v>7</v>
      </c>
      <c r="I179" s="24" t="s">
        <v>13</v>
      </c>
      <c r="J179" s="24" t="s">
        <v>69</v>
      </c>
      <c r="K179" s="24" t="s">
        <v>57</v>
      </c>
    </row>
    <row r="180" spans="1:12" ht="14" x14ac:dyDescent="0.3">
      <c r="C180" s="41"/>
      <c r="D180" s="41"/>
      <c r="E180" s="41"/>
      <c r="F180" s="90"/>
      <c r="G180" s="54"/>
      <c r="H180" s="54"/>
      <c r="I180" s="154"/>
      <c r="J180" s="132"/>
      <c r="K180" s="54"/>
    </row>
    <row r="181" spans="1:12" ht="14" x14ac:dyDescent="0.3">
      <c r="A181" s="1" t="s">
        <v>72</v>
      </c>
      <c r="C181" s="84">
        <v>45491</v>
      </c>
      <c r="D181" s="89" t="s">
        <v>239</v>
      </c>
      <c r="E181" s="89" t="s">
        <v>13</v>
      </c>
      <c r="F181" s="90" t="s">
        <v>240</v>
      </c>
      <c r="G181" s="54">
        <f>357*250</f>
        <v>89250</v>
      </c>
      <c r="H181" s="54">
        <v>2.52</v>
      </c>
      <c r="I181" s="66">
        <f t="shared" ref="I181" si="18">G181*H181</f>
        <v>224910</v>
      </c>
      <c r="J181" s="132"/>
      <c r="K181" s="54">
        <f t="shared" si="14"/>
        <v>224910</v>
      </c>
    </row>
    <row r="182" spans="1:12" ht="14" x14ac:dyDescent="0.3">
      <c r="A182" s="1" t="s">
        <v>72</v>
      </c>
      <c r="C182" s="84">
        <v>45491</v>
      </c>
      <c r="D182" s="89" t="s">
        <v>239</v>
      </c>
      <c r="E182" s="89" t="s">
        <v>66</v>
      </c>
      <c r="F182" s="90" t="s">
        <v>241</v>
      </c>
      <c r="G182" s="54">
        <v>400</v>
      </c>
      <c r="H182" s="54">
        <v>2.52</v>
      </c>
      <c r="I182" s="66">
        <f t="shared" ref="I182:I184" si="19">G182*H182</f>
        <v>1008</v>
      </c>
      <c r="J182" s="132"/>
      <c r="K182" s="54">
        <f t="shared" si="14"/>
        <v>225918</v>
      </c>
    </row>
    <row r="183" spans="1:12" ht="14" x14ac:dyDescent="0.3">
      <c r="C183" s="84">
        <v>45491</v>
      </c>
      <c r="D183" s="89" t="s">
        <v>239</v>
      </c>
      <c r="E183" s="89" t="s">
        <v>40</v>
      </c>
      <c r="F183" s="56" t="s">
        <v>1098</v>
      </c>
      <c r="G183" s="54">
        <v>-8113</v>
      </c>
      <c r="H183" s="54">
        <v>2.52</v>
      </c>
      <c r="I183" s="66">
        <f t="shared" si="19"/>
        <v>-20444.759999999998</v>
      </c>
      <c r="J183" s="132"/>
      <c r="K183" s="54">
        <f t="shared" si="14"/>
        <v>205473.24</v>
      </c>
    </row>
    <row r="184" spans="1:12" ht="14" x14ac:dyDescent="0.3">
      <c r="A184" s="318" t="s">
        <v>347</v>
      </c>
      <c r="C184" s="25">
        <v>45502</v>
      </c>
      <c r="D184" s="89" t="s">
        <v>239</v>
      </c>
      <c r="E184" s="89" t="s">
        <v>66</v>
      </c>
      <c r="F184" s="90" t="s">
        <v>593</v>
      </c>
      <c r="G184" s="54">
        <v>7650</v>
      </c>
      <c r="H184" s="175">
        <v>2.52</v>
      </c>
      <c r="I184" s="67">
        <f t="shared" si="19"/>
        <v>19278</v>
      </c>
      <c r="J184" s="132"/>
      <c r="K184" s="54">
        <f t="shared" si="14"/>
        <v>224751.24</v>
      </c>
    </row>
    <row r="185" spans="1:12" ht="14" x14ac:dyDescent="0.3">
      <c r="C185" s="25">
        <v>45504</v>
      </c>
      <c r="D185" s="89" t="s">
        <v>239</v>
      </c>
      <c r="E185" s="41" t="s">
        <v>66</v>
      </c>
      <c r="F185" s="90" t="s">
        <v>594</v>
      </c>
      <c r="G185" s="54"/>
      <c r="H185" s="54"/>
      <c r="I185" s="67">
        <v>2360</v>
      </c>
      <c r="J185" s="132"/>
      <c r="K185" s="54">
        <f t="shared" si="14"/>
        <v>227111.24</v>
      </c>
    </row>
    <row r="186" spans="1:12" ht="14" x14ac:dyDescent="0.3">
      <c r="C186" s="25">
        <v>45504</v>
      </c>
      <c r="D186" s="89" t="s">
        <v>239</v>
      </c>
      <c r="E186" s="41" t="s">
        <v>69</v>
      </c>
      <c r="F186" s="90" t="s">
        <v>377</v>
      </c>
      <c r="G186" s="54"/>
      <c r="H186" s="54"/>
      <c r="I186" s="154"/>
      <c r="J186" s="132">
        <f>130*1160</f>
        <v>150800</v>
      </c>
      <c r="K186" s="54">
        <f t="shared" si="14"/>
        <v>76311.239999999991</v>
      </c>
    </row>
    <row r="187" spans="1:12" ht="14" x14ac:dyDescent="0.3">
      <c r="C187" s="84">
        <v>45506</v>
      </c>
      <c r="D187" s="89" t="s">
        <v>239</v>
      </c>
      <c r="E187" s="41" t="s">
        <v>69</v>
      </c>
      <c r="F187" s="90" t="s">
        <v>420</v>
      </c>
      <c r="G187" s="54"/>
      <c r="H187" s="54"/>
      <c r="I187" s="66"/>
      <c r="J187" s="132">
        <f>1170*15</f>
        <v>17550</v>
      </c>
      <c r="K187" s="54">
        <f>K186+I187-J187</f>
        <v>58761.239999999991</v>
      </c>
    </row>
    <row r="188" spans="1:12" ht="14" x14ac:dyDescent="0.3">
      <c r="C188" s="25">
        <v>45511</v>
      </c>
      <c r="D188" s="89" t="s">
        <v>239</v>
      </c>
      <c r="E188" s="89" t="s">
        <v>66</v>
      </c>
      <c r="F188" s="90" t="s">
        <v>446</v>
      </c>
      <c r="G188" s="54"/>
      <c r="H188" s="175"/>
      <c r="I188" s="67">
        <f>355+40</f>
        <v>395</v>
      </c>
      <c r="J188" s="132"/>
      <c r="K188" s="54">
        <f t="shared" ref="K188:K191" si="20">K187+I188-J188</f>
        <v>59156.239999999991</v>
      </c>
      <c r="L188" s="316">
        <v>910</v>
      </c>
    </row>
    <row r="189" spans="1:12" ht="14" x14ac:dyDescent="0.3">
      <c r="C189" s="25">
        <v>45517</v>
      </c>
      <c r="D189" s="89" t="s">
        <v>239</v>
      </c>
      <c r="E189" s="41" t="s">
        <v>69</v>
      </c>
      <c r="F189" s="90" t="s">
        <v>458</v>
      </c>
      <c r="G189" s="54"/>
      <c r="H189" s="54"/>
      <c r="I189" s="154"/>
      <c r="J189" s="132">
        <f>1155*50</f>
        <v>57750</v>
      </c>
      <c r="K189" s="54">
        <f t="shared" si="20"/>
        <v>1406.2399999999907</v>
      </c>
    </row>
    <row r="190" spans="1:12" ht="14" x14ac:dyDescent="0.3">
      <c r="C190" s="25">
        <v>45523</v>
      </c>
      <c r="D190" s="89" t="s">
        <v>239</v>
      </c>
      <c r="E190" s="41" t="s">
        <v>69</v>
      </c>
      <c r="F190" s="90" t="s">
        <v>530</v>
      </c>
      <c r="G190" s="54"/>
      <c r="H190" s="54"/>
      <c r="I190" s="154"/>
      <c r="J190" s="132">
        <f>1140*55</f>
        <v>62700</v>
      </c>
      <c r="K190" s="54">
        <f t="shared" si="20"/>
        <v>-61293.760000000009</v>
      </c>
    </row>
    <row r="191" spans="1:12" ht="14" x14ac:dyDescent="0.3">
      <c r="C191" s="25"/>
      <c r="D191" s="41"/>
      <c r="E191" s="41"/>
      <c r="F191" s="90"/>
      <c r="G191" s="54"/>
      <c r="H191" s="54"/>
      <c r="I191" s="154"/>
      <c r="J191" s="132"/>
      <c r="K191" s="54">
        <f t="shared" si="20"/>
        <v>-61293.760000000009</v>
      </c>
    </row>
    <row r="192" spans="1:12" ht="15" x14ac:dyDescent="0.3">
      <c r="C192" s="25"/>
      <c r="D192" s="41"/>
      <c r="E192" s="41"/>
      <c r="F192" s="109" t="s">
        <v>252</v>
      </c>
      <c r="G192" s="54"/>
      <c r="H192" s="54"/>
      <c r="I192" s="154"/>
      <c r="J192" s="132"/>
      <c r="K192" s="54"/>
    </row>
    <row r="193" spans="1:11" ht="15" x14ac:dyDescent="0.3">
      <c r="C193" s="48"/>
      <c r="F193" s="319"/>
      <c r="G193" s="287"/>
      <c r="H193" s="287"/>
      <c r="I193" s="320"/>
      <c r="J193" s="321"/>
      <c r="K193" s="287"/>
    </row>
    <row r="194" spans="1:11" ht="15" x14ac:dyDescent="0.3">
      <c r="C194" s="48"/>
      <c r="F194" s="319"/>
      <c r="G194" s="287"/>
      <c r="H194" s="287"/>
      <c r="I194" s="320"/>
      <c r="J194" s="321"/>
      <c r="K194" s="287"/>
    </row>
    <row r="195" spans="1:11" ht="15" x14ac:dyDescent="0.3">
      <c r="C195" s="24" t="s">
        <v>0</v>
      </c>
      <c r="D195" s="24" t="s">
        <v>49</v>
      </c>
      <c r="E195" s="24" t="s">
        <v>53</v>
      </c>
      <c r="F195" s="19" t="s">
        <v>5</v>
      </c>
      <c r="G195" s="20" t="s">
        <v>6</v>
      </c>
      <c r="H195" s="20" t="s">
        <v>7</v>
      </c>
      <c r="I195" s="24" t="s">
        <v>13</v>
      </c>
      <c r="J195" s="24" t="s">
        <v>69</v>
      </c>
      <c r="K195" s="24" t="s">
        <v>57</v>
      </c>
    </row>
    <row r="196" spans="1:11" ht="14" x14ac:dyDescent="0.3">
      <c r="A196" s="1" t="s">
        <v>72</v>
      </c>
      <c r="C196" s="25">
        <v>45495</v>
      </c>
      <c r="D196" s="89" t="s">
        <v>250</v>
      </c>
      <c r="E196" s="89" t="s">
        <v>13</v>
      </c>
      <c r="F196" s="90" t="s">
        <v>253</v>
      </c>
      <c r="G196" s="54">
        <f>35*357</f>
        <v>12495</v>
      </c>
      <c r="H196" s="175">
        <v>2.5259999999999998</v>
      </c>
      <c r="I196" s="66">
        <f t="shared" ref="I196:I199" si="21">G196*H196</f>
        <v>31562.37</v>
      </c>
      <c r="J196" s="132"/>
      <c r="K196" s="54">
        <f>K192+I196-J196</f>
        <v>31562.37</v>
      </c>
    </row>
    <row r="197" spans="1:11" ht="14" x14ac:dyDescent="0.3">
      <c r="A197" s="1" t="s">
        <v>50</v>
      </c>
      <c r="C197" s="25">
        <v>45495</v>
      </c>
      <c r="D197" s="89" t="s">
        <v>250</v>
      </c>
      <c r="E197" s="89" t="s">
        <v>13</v>
      </c>
      <c r="F197" s="90" t="s">
        <v>254</v>
      </c>
      <c r="G197" s="54">
        <f>78*357</f>
        <v>27846</v>
      </c>
      <c r="H197" s="175">
        <v>2.5259999999999998</v>
      </c>
      <c r="I197" s="66">
        <f t="shared" si="21"/>
        <v>70338.995999999999</v>
      </c>
      <c r="J197" s="132"/>
      <c r="K197" s="54">
        <f t="shared" si="14"/>
        <v>101901.36599999999</v>
      </c>
    </row>
    <row r="198" spans="1:11" ht="14" x14ac:dyDescent="0.3">
      <c r="A198" s="1" t="s">
        <v>72</v>
      </c>
      <c r="C198" s="25">
        <v>45495</v>
      </c>
      <c r="D198" s="89" t="s">
        <v>250</v>
      </c>
      <c r="E198" s="89" t="s">
        <v>13</v>
      </c>
      <c r="F198" s="90" t="s">
        <v>241</v>
      </c>
      <c r="G198" s="54">
        <v>1130</v>
      </c>
      <c r="H198" s="175">
        <v>2.52</v>
      </c>
      <c r="I198" s="66">
        <f t="shared" si="21"/>
        <v>2847.6</v>
      </c>
      <c r="J198" s="132"/>
      <c r="K198" s="54">
        <f t="shared" si="14"/>
        <v>104748.966</v>
      </c>
    </row>
    <row r="199" spans="1:11" ht="14" x14ac:dyDescent="0.3">
      <c r="C199" s="25"/>
      <c r="D199" s="89" t="s">
        <v>250</v>
      </c>
      <c r="E199" s="89" t="s">
        <v>40</v>
      </c>
      <c r="F199" s="90" t="s">
        <v>1160</v>
      </c>
      <c r="G199" s="54">
        <v>-3667</v>
      </c>
      <c r="H199" s="175">
        <v>2.52</v>
      </c>
      <c r="I199" s="66">
        <f t="shared" si="21"/>
        <v>-9240.84</v>
      </c>
      <c r="J199" s="132"/>
      <c r="K199" s="54">
        <f t="shared" si="14"/>
        <v>95508.126000000004</v>
      </c>
    </row>
    <row r="200" spans="1:11" ht="14" x14ac:dyDescent="0.3">
      <c r="C200" s="25"/>
      <c r="D200" s="89"/>
      <c r="E200" s="41"/>
      <c r="F200" s="266" t="s">
        <v>451</v>
      </c>
      <c r="G200" s="54"/>
      <c r="H200" s="54"/>
      <c r="I200" s="67"/>
      <c r="J200" s="132">
        <v>95508.13</v>
      </c>
      <c r="K200" s="54">
        <f t="shared" si="14"/>
        <v>-4.0000000008149073E-3</v>
      </c>
    </row>
    <row r="201" spans="1:11" ht="14" x14ac:dyDescent="0.3">
      <c r="C201" s="25"/>
      <c r="D201" s="41"/>
      <c r="E201" s="41"/>
      <c r="F201" s="90"/>
      <c r="G201" s="54"/>
      <c r="H201" s="54"/>
      <c r="I201" s="154"/>
      <c r="J201" s="132"/>
      <c r="K201" s="54">
        <f t="shared" si="14"/>
        <v>-4.0000000008149073E-3</v>
      </c>
    </row>
    <row r="202" spans="1:11" ht="15" x14ac:dyDescent="0.3">
      <c r="C202" s="25"/>
      <c r="D202" s="41"/>
      <c r="E202" s="41"/>
      <c r="F202" s="109" t="s">
        <v>264</v>
      </c>
      <c r="G202" s="54"/>
      <c r="H202" s="54"/>
      <c r="I202" s="154"/>
      <c r="J202" s="132"/>
      <c r="K202" s="54"/>
    </row>
    <row r="203" spans="1:11" ht="15" x14ac:dyDescent="0.3">
      <c r="C203" s="48"/>
      <c r="F203" s="319"/>
      <c r="G203" s="287"/>
      <c r="H203" s="287"/>
      <c r="I203" s="320"/>
      <c r="J203" s="321"/>
      <c r="K203" s="287"/>
    </row>
    <row r="204" spans="1:11" ht="15" x14ac:dyDescent="0.3">
      <c r="C204" s="48"/>
      <c r="F204" s="319"/>
      <c r="G204" s="287"/>
      <c r="H204" s="287"/>
      <c r="I204" s="320"/>
      <c r="J204" s="321"/>
      <c r="K204" s="287"/>
    </row>
    <row r="205" spans="1:11" ht="15" x14ac:dyDescent="0.3">
      <c r="C205" s="24" t="s">
        <v>0</v>
      </c>
      <c r="D205" s="24" t="s">
        <v>49</v>
      </c>
      <c r="E205" s="24" t="s">
        <v>53</v>
      </c>
      <c r="F205" s="19" t="s">
        <v>5</v>
      </c>
      <c r="G205" s="20" t="s">
        <v>6</v>
      </c>
      <c r="H205" s="20" t="s">
        <v>7</v>
      </c>
      <c r="I205" s="24" t="s">
        <v>13</v>
      </c>
      <c r="J205" s="24" t="s">
        <v>69</v>
      </c>
      <c r="K205" s="24" t="s">
        <v>57</v>
      </c>
    </row>
    <row r="206" spans="1:11" ht="15" x14ac:dyDescent="0.3">
      <c r="C206" s="25"/>
      <c r="D206" s="41"/>
      <c r="E206" s="41"/>
      <c r="F206" s="176"/>
      <c r="G206" s="54"/>
      <c r="H206" s="54"/>
      <c r="I206" s="154"/>
      <c r="J206" s="132"/>
      <c r="K206" s="54"/>
    </row>
    <row r="207" spans="1:11" ht="15.5" x14ac:dyDescent="0.3">
      <c r="A207" s="1" t="s">
        <v>72</v>
      </c>
      <c r="C207" s="25">
        <v>45497</v>
      </c>
      <c r="D207" s="89" t="s">
        <v>272</v>
      </c>
      <c r="E207" s="89" t="s">
        <v>13</v>
      </c>
      <c r="F207" s="177" t="s">
        <v>273</v>
      </c>
      <c r="G207" s="54">
        <f>357*2</f>
        <v>714</v>
      </c>
      <c r="H207" s="54">
        <v>2.52</v>
      </c>
      <c r="I207" s="66">
        <f t="shared" ref="I207:I208" si="22">G207*H207</f>
        <v>1799.28</v>
      </c>
      <c r="J207" s="132"/>
      <c r="K207" s="54">
        <f t="shared" si="14"/>
        <v>1799.28</v>
      </c>
    </row>
    <row r="208" spans="1:11" ht="15.5" x14ac:dyDescent="0.3">
      <c r="C208" s="25">
        <v>45497</v>
      </c>
      <c r="D208" s="89" t="s">
        <v>272</v>
      </c>
      <c r="E208" s="89" t="s">
        <v>13</v>
      </c>
      <c r="F208" s="177" t="s">
        <v>274</v>
      </c>
      <c r="G208" s="54">
        <f>357*74</f>
        <v>26418</v>
      </c>
      <c r="H208" s="54">
        <v>2.52</v>
      </c>
      <c r="I208" s="66">
        <f t="shared" si="22"/>
        <v>66573.36</v>
      </c>
      <c r="J208" s="132"/>
      <c r="K208" s="54">
        <f t="shared" si="14"/>
        <v>68372.639999999999</v>
      </c>
    </row>
    <row r="209" spans="1:12" ht="15.5" x14ac:dyDescent="0.3">
      <c r="A209" s="1" t="s">
        <v>50</v>
      </c>
      <c r="C209" s="25">
        <v>45499</v>
      </c>
      <c r="D209" s="89" t="s">
        <v>272</v>
      </c>
      <c r="E209" s="89" t="s">
        <v>66</v>
      </c>
      <c r="F209" s="177" t="s">
        <v>315</v>
      </c>
      <c r="G209" s="54"/>
      <c r="H209" s="54"/>
      <c r="I209" s="66">
        <v>1050</v>
      </c>
      <c r="J209" s="132"/>
      <c r="K209" s="54">
        <f t="shared" si="14"/>
        <v>69422.64</v>
      </c>
    </row>
    <row r="210" spans="1:12" ht="15.5" x14ac:dyDescent="0.3">
      <c r="C210" s="25"/>
      <c r="D210" s="89" t="s">
        <v>272</v>
      </c>
      <c r="E210" s="89" t="s">
        <v>40</v>
      </c>
      <c r="F210" s="177" t="s">
        <v>597</v>
      </c>
      <c r="G210" s="54">
        <v>-2480</v>
      </c>
      <c r="H210" s="54">
        <v>2.52</v>
      </c>
      <c r="I210" s="66">
        <f t="shared" ref="I210" si="23">G210*H210</f>
        <v>-6249.6</v>
      </c>
      <c r="J210" s="132"/>
      <c r="K210" s="54">
        <f t="shared" si="14"/>
        <v>63173.04</v>
      </c>
    </row>
    <row r="211" spans="1:12" ht="15.5" x14ac:dyDescent="0.3">
      <c r="A211" s="1" t="s">
        <v>50</v>
      </c>
      <c r="C211" s="25">
        <v>45499</v>
      </c>
      <c r="D211" s="89" t="s">
        <v>272</v>
      </c>
      <c r="E211" s="41" t="s">
        <v>69</v>
      </c>
      <c r="F211" s="177" t="s">
        <v>316</v>
      </c>
      <c r="G211" s="54"/>
      <c r="H211" s="54"/>
      <c r="I211" s="154"/>
      <c r="J211" s="69">
        <f>1180*30</f>
        <v>35400</v>
      </c>
      <c r="K211" s="54">
        <f t="shared" si="14"/>
        <v>27773.040000000001</v>
      </c>
    </row>
    <row r="212" spans="1:12" ht="14" x14ac:dyDescent="0.3">
      <c r="A212" s="1" t="s">
        <v>72</v>
      </c>
      <c r="C212" s="25">
        <v>45502</v>
      </c>
      <c r="D212" s="89" t="s">
        <v>272</v>
      </c>
      <c r="E212" s="89" t="s">
        <v>66</v>
      </c>
      <c r="F212" s="90" t="s">
        <v>334</v>
      </c>
      <c r="G212" s="54">
        <v>350</v>
      </c>
      <c r="H212" s="54">
        <v>2.52</v>
      </c>
      <c r="I212" s="66">
        <f t="shared" ref="I212:I214" si="24">G212*H212</f>
        <v>882</v>
      </c>
      <c r="J212" s="132"/>
      <c r="K212" s="54">
        <f t="shared" si="14"/>
        <v>28655.040000000001</v>
      </c>
    </row>
    <row r="213" spans="1:12" ht="14" x14ac:dyDescent="0.3">
      <c r="A213" s="318" t="s">
        <v>347</v>
      </c>
      <c r="C213" s="25">
        <v>45502</v>
      </c>
      <c r="D213" s="89" t="s">
        <v>272</v>
      </c>
      <c r="E213" s="89" t="s">
        <v>66</v>
      </c>
      <c r="F213" s="90" t="s">
        <v>595</v>
      </c>
      <c r="G213" s="54">
        <v>2556</v>
      </c>
      <c r="H213" s="54">
        <v>2.52</v>
      </c>
      <c r="I213" s="67">
        <f t="shared" si="24"/>
        <v>6441.12</v>
      </c>
      <c r="J213" s="132"/>
      <c r="K213" s="54">
        <f t="shared" si="14"/>
        <v>35096.160000000003</v>
      </c>
    </row>
    <row r="214" spans="1:12" ht="14" x14ac:dyDescent="0.3">
      <c r="A214" s="318" t="s">
        <v>347</v>
      </c>
      <c r="C214" s="25">
        <v>45502</v>
      </c>
      <c r="D214" s="89" t="s">
        <v>272</v>
      </c>
      <c r="E214" s="89" t="s">
        <v>66</v>
      </c>
      <c r="F214" s="90" t="s">
        <v>596</v>
      </c>
      <c r="G214" s="54">
        <v>612</v>
      </c>
      <c r="H214" s="54">
        <v>2.52</v>
      </c>
      <c r="I214" s="67">
        <f t="shared" si="24"/>
        <v>1542.24</v>
      </c>
      <c r="J214" s="132"/>
      <c r="K214" s="54">
        <f t="shared" si="14"/>
        <v>36638.400000000001</v>
      </c>
    </row>
    <row r="215" spans="1:12" ht="14" x14ac:dyDescent="0.3">
      <c r="A215" s="1" t="s">
        <v>50</v>
      </c>
      <c r="C215" s="25">
        <v>45502</v>
      </c>
      <c r="D215" s="89" t="s">
        <v>272</v>
      </c>
      <c r="E215" s="89" t="s">
        <v>66</v>
      </c>
      <c r="F215" s="90" t="s">
        <v>355</v>
      </c>
      <c r="G215" s="54"/>
      <c r="H215" s="54"/>
      <c r="I215" s="66">
        <v>20</v>
      </c>
      <c r="J215" s="132"/>
      <c r="K215" s="54">
        <f t="shared" si="14"/>
        <v>36658.400000000001</v>
      </c>
      <c r="L215" s="316">
        <v>948.13</v>
      </c>
    </row>
    <row r="216" spans="1:12" ht="15.5" x14ac:dyDescent="0.3">
      <c r="A216" s="1" t="s">
        <v>50</v>
      </c>
      <c r="C216" s="25">
        <v>45502</v>
      </c>
      <c r="D216" s="89" t="s">
        <v>272</v>
      </c>
      <c r="E216" s="89" t="s">
        <v>69</v>
      </c>
      <c r="F216" s="177" t="s">
        <v>371</v>
      </c>
      <c r="G216" s="54"/>
      <c r="H216" s="54"/>
      <c r="I216" s="66"/>
      <c r="J216" s="66">
        <f>26*1165</f>
        <v>30290</v>
      </c>
      <c r="K216" s="54">
        <f t="shared" si="14"/>
        <v>6368.4000000000015</v>
      </c>
    </row>
    <row r="217" spans="1:12" ht="14" x14ac:dyDescent="0.3">
      <c r="A217" s="1" t="s">
        <v>50</v>
      </c>
      <c r="C217" s="25">
        <v>45504</v>
      </c>
      <c r="D217" s="89" t="s">
        <v>272</v>
      </c>
      <c r="E217" s="89" t="s">
        <v>69</v>
      </c>
      <c r="F217" s="90" t="s">
        <v>376</v>
      </c>
      <c r="G217" s="54"/>
      <c r="H217" s="54"/>
      <c r="I217" s="154"/>
      <c r="J217" s="68">
        <f>20*1160</f>
        <v>23200</v>
      </c>
      <c r="K217" s="54">
        <f t="shared" si="14"/>
        <v>-16831.599999999999</v>
      </c>
    </row>
    <row r="218" spans="1:12" ht="15" x14ac:dyDescent="0.3">
      <c r="C218" s="41"/>
      <c r="D218" s="41"/>
      <c r="E218" s="41"/>
      <c r="F218" s="109" t="s">
        <v>319</v>
      </c>
      <c r="G218" s="54"/>
      <c r="H218" s="54"/>
      <c r="I218" s="154"/>
      <c r="J218" s="132"/>
      <c r="K218" s="54"/>
    </row>
    <row r="219" spans="1:12" ht="15" x14ac:dyDescent="0.3">
      <c r="F219" s="319"/>
      <c r="G219" s="287"/>
      <c r="H219" s="287"/>
      <c r="I219" s="320"/>
      <c r="J219" s="321"/>
      <c r="K219" s="287"/>
    </row>
    <row r="220" spans="1:12" ht="15" x14ac:dyDescent="0.3">
      <c r="F220" s="319"/>
      <c r="G220" s="287"/>
      <c r="H220" s="287"/>
      <c r="I220" s="320"/>
      <c r="J220" s="321"/>
      <c r="K220" s="287"/>
    </row>
    <row r="221" spans="1:12" ht="15" x14ac:dyDescent="0.3">
      <c r="C221" s="24" t="s">
        <v>0</v>
      </c>
      <c r="D221" s="24" t="s">
        <v>49</v>
      </c>
      <c r="E221" s="24" t="s">
        <v>53</v>
      </c>
      <c r="F221" s="19" t="s">
        <v>5</v>
      </c>
      <c r="G221" s="20" t="s">
        <v>6</v>
      </c>
      <c r="H221" s="20" t="s">
        <v>7</v>
      </c>
      <c r="I221" s="24" t="s">
        <v>13</v>
      </c>
      <c r="J221" s="24" t="s">
        <v>69</v>
      </c>
      <c r="K221" s="24" t="s">
        <v>57</v>
      </c>
    </row>
    <row r="222" spans="1:12" ht="14" x14ac:dyDescent="0.3">
      <c r="C222" s="41"/>
      <c r="D222" s="41"/>
      <c r="E222" s="41"/>
      <c r="F222" s="90"/>
      <c r="G222" s="54"/>
      <c r="H222" s="54"/>
      <c r="I222" s="154"/>
      <c r="J222" s="132"/>
      <c r="K222" s="54">
        <f>K218+I222-J222</f>
        <v>0</v>
      </c>
    </row>
    <row r="223" spans="1:12" ht="14" x14ac:dyDescent="0.3">
      <c r="A223" s="1" t="s">
        <v>50</v>
      </c>
      <c r="C223" s="25">
        <v>45501</v>
      </c>
      <c r="D223" s="89" t="s">
        <v>328</v>
      </c>
      <c r="E223" s="89" t="s">
        <v>13</v>
      </c>
      <c r="F223" s="90" t="s">
        <v>329</v>
      </c>
      <c r="G223" s="54">
        <f>359*18</f>
        <v>6462</v>
      </c>
      <c r="H223" s="54">
        <v>2.52</v>
      </c>
      <c r="I223" s="66">
        <f t="shared" ref="I223:I226" si="25">G223*H223</f>
        <v>16284.24</v>
      </c>
      <c r="J223" s="132"/>
      <c r="K223" s="54">
        <f t="shared" si="14"/>
        <v>16284.24</v>
      </c>
    </row>
    <row r="224" spans="1:12" ht="14" x14ac:dyDescent="0.3">
      <c r="A224" s="1" t="s">
        <v>50</v>
      </c>
      <c r="C224" s="25">
        <v>45509</v>
      </c>
      <c r="D224" s="89" t="s">
        <v>328</v>
      </c>
      <c r="E224" s="89" t="s">
        <v>13</v>
      </c>
      <c r="F224" s="90" t="s">
        <v>425</v>
      </c>
      <c r="G224" s="54">
        <f>359*19</f>
        <v>6821</v>
      </c>
      <c r="H224" s="54">
        <v>2.52</v>
      </c>
      <c r="I224" s="66">
        <f t="shared" si="25"/>
        <v>17188.920000000002</v>
      </c>
      <c r="J224" s="132"/>
      <c r="K224" s="54">
        <f t="shared" si="14"/>
        <v>33473.160000000003</v>
      </c>
    </row>
    <row r="225" spans="1:12" ht="14" x14ac:dyDescent="0.3">
      <c r="C225" s="25"/>
      <c r="D225" s="41"/>
      <c r="E225" s="41" t="s">
        <v>66</v>
      </c>
      <c r="F225" s="90" t="s">
        <v>452</v>
      </c>
      <c r="G225" s="54">
        <v>180</v>
      </c>
      <c r="H225" s="54">
        <v>2.52</v>
      </c>
      <c r="I225" s="66">
        <f t="shared" si="25"/>
        <v>453.6</v>
      </c>
      <c r="J225" s="132"/>
      <c r="K225" s="54">
        <f t="shared" si="14"/>
        <v>33926.76</v>
      </c>
    </row>
    <row r="226" spans="1:12" ht="14" x14ac:dyDescent="0.3">
      <c r="C226" s="25"/>
      <c r="D226" s="89" t="s">
        <v>328</v>
      </c>
      <c r="E226" s="41" t="s">
        <v>40</v>
      </c>
      <c r="F226" s="90" t="s">
        <v>598</v>
      </c>
      <c r="G226" s="54">
        <v>-1207</v>
      </c>
      <c r="H226" s="54">
        <v>2.52</v>
      </c>
      <c r="I226" s="66">
        <f t="shared" si="25"/>
        <v>-3041.64</v>
      </c>
      <c r="J226" s="132"/>
      <c r="K226" s="54">
        <f t="shared" si="14"/>
        <v>30885.120000000003</v>
      </c>
    </row>
    <row r="227" spans="1:12" ht="14" x14ac:dyDescent="0.3">
      <c r="C227" s="41"/>
      <c r="D227" s="41"/>
      <c r="E227" s="41"/>
      <c r="F227" s="266" t="s">
        <v>453</v>
      </c>
      <c r="G227" s="54"/>
      <c r="H227" s="54"/>
      <c r="I227" s="154"/>
      <c r="J227" s="132">
        <v>33473.160000000003</v>
      </c>
      <c r="K227" s="54">
        <f t="shared" si="14"/>
        <v>-2588.0400000000009</v>
      </c>
    </row>
    <row r="228" spans="1:12" ht="14" x14ac:dyDescent="0.3">
      <c r="C228" s="41"/>
      <c r="D228" s="41"/>
      <c r="E228" s="41"/>
      <c r="F228" s="90"/>
      <c r="G228" s="54"/>
      <c r="H228" s="54"/>
      <c r="I228" s="154"/>
      <c r="J228" s="132"/>
      <c r="K228" s="54">
        <f t="shared" si="14"/>
        <v>-2588.0400000000009</v>
      </c>
    </row>
    <row r="229" spans="1:12" ht="15" x14ac:dyDescent="0.3">
      <c r="C229" s="41"/>
      <c r="D229" s="41"/>
      <c r="E229" s="41"/>
      <c r="F229" s="109" t="s">
        <v>443</v>
      </c>
      <c r="G229" s="54"/>
      <c r="H229" s="54"/>
      <c r="I229" s="154"/>
      <c r="J229" s="132"/>
      <c r="K229" s="54"/>
    </row>
    <row r="230" spans="1:12" ht="15" x14ac:dyDescent="0.3">
      <c r="F230" s="319"/>
      <c r="G230" s="287"/>
      <c r="H230" s="287"/>
      <c r="I230" s="320"/>
      <c r="J230" s="321"/>
      <c r="K230" s="287"/>
    </row>
    <row r="231" spans="1:12" ht="15" x14ac:dyDescent="0.3">
      <c r="F231" s="319"/>
      <c r="G231" s="287"/>
      <c r="H231" s="287"/>
      <c r="I231" s="320"/>
      <c r="J231" s="321"/>
      <c r="K231" s="287"/>
    </row>
    <row r="232" spans="1:12" ht="15" x14ac:dyDescent="0.3">
      <c r="C232" s="24" t="s">
        <v>0</v>
      </c>
      <c r="D232" s="24" t="s">
        <v>49</v>
      </c>
      <c r="E232" s="24" t="s">
        <v>53</v>
      </c>
      <c r="F232" s="19" t="s">
        <v>5</v>
      </c>
      <c r="G232" s="20" t="s">
        <v>6</v>
      </c>
      <c r="H232" s="20" t="s">
        <v>7</v>
      </c>
      <c r="I232" s="24" t="s">
        <v>13</v>
      </c>
      <c r="J232" s="24" t="s">
        <v>69</v>
      </c>
      <c r="K232" s="24" t="s">
        <v>57</v>
      </c>
    </row>
    <row r="233" spans="1:12" ht="14" x14ac:dyDescent="0.3">
      <c r="C233" s="41"/>
      <c r="D233" s="41"/>
      <c r="E233" s="41"/>
      <c r="F233" s="90"/>
      <c r="G233" s="54"/>
      <c r="H233" s="54"/>
      <c r="I233" s="154"/>
      <c r="J233" s="132"/>
      <c r="K233" s="54"/>
    </row>
    <row r="234" spans="1:12" ht="14" x14ac:dyDescent="0.3">
      <c r="C234" s="25">
        <v>45502</v>
      </c>
      <c r="D234" s="89" t="s">
        <v>330</v>
      </c>
      <c r="E234" s="89" t="s">
        <v>13</v>
      </c>
      <c r="F234" s="90" t="s">
        <v>331</v>
      </c>
      <c r="G234" s="54">
        <f>358*6</f>
        <v>2148</v>
      </c>
      <c r="H234" s="54">
        <v>2.52</v>
      </c>
      <c r="I234" s="66">
        <f t="shared" ref="I234:I237" si="26">G234*H234</f>
        <v>5412.96</v>
      </c>
      <c r="J234" s="132"/>
      <c r="K234" s="54">
        <f t="shared" si="14"/>
        <v>5412.96</v>
      </c>
    </row>
    <row r="235" spans="1:12" ht="14" x14ac:dyDescent="0.3">
      <c r="A235" s="1" t="s">
        <v>72</v>
      </c>
      <c r="C235" s="25">
        <v>45502</v>
      </c>
      <c r="D235" s="89" t="s">
        <v>330</v>
      </c>
      <c r="E235" s="89" t="s">
        <v>13</v>
      </c>
      <c r="F235" s="90" t="s">
        <v>332</v>
      </c>
      <c r="G235" s="54">
        <f>49*359</f>
        <v>17591</v>
      </c>
      <c r="H235" s="54">
        <v>2.62</v>
      </c>
      <c r="I235" s="66">
        <f t="shared" si="26"/>
        <v>46088.42</v>
      </c>
      <c r="J235" s="132"/>
      <c r="K235" s="54">
        <f t="shared" si="14"/>
        <v>51501.38</v>
      </c>
    </row>
    <row r="236" spans="1:12" ht="14" x14ac:dyDescent="0.3">
      <c r="A236" s="1" t="s">
        <v>72</v>
      </c>
      <c r="C236" s="25">
        <v>45502</v>
      </c>
      <c r="D236" s="89" t="s">
        <v>330</v>
      </c>
      <c r="E236" s="89" t="s">
        <v>66</v>
      </c>
      <c r="F236" s="90" t="s">
        <v>333</v>
      </c>
      <c r="G236" s="54">
        <v>70</v>
      </c>
      <c r="H236" s="54">
        <v>2.52</v>
      </c>
      <c r="I236" s="66">
        <f t="shared" si="26"/>
        <v>176.4</v>
      </c>
      <c r="J236" s="132"/>
      <c r="K236" s="54">
        <f t="shared" si="14"/>
        <v>51677.78</v>
      </c>
    </row>
    <row r="237" spans="1:12" ht="14" x14ac:dyDescent="0.3">
      <c r="A237" s="1" t="s">
        <v>437</v>
      </c>
      <c r="C237" s="25">
        <v>45509</v>
      </c>
      <c r="D237" s="89" t="s">
        <v>330</v>
      </c>
      <c r="E237" s="89" t="s">
        <v>13</v>
      </c>
      <c r="F237" s="90" t="s">
        <v>426</v>
      </c>
      <c r="G237" s="54">
        <f>359*6</f>
        <v>2154</v>
      </c>
      <c r="H237" s="54">
        <v>2.62</v>
      </c>
      <c r="I237" s="66">
        <f t="shared" si="26"/>
        <v>5643.4800000000005</v>
      </c>
      <c r="J237" s="132"/>
      <c r="K237" s="54">
        <f t="shared" si="14"/>
        <v>57321.26</v>
      </c>
    </row>
    <row r="238" spans="1:12" ht="14" x14ac:dyDescent="0.3">
      <c r="C238" s="25"/>
      <c r="D238" s="89" t="s">
        <v>330</v>
      </c>
      <c r="E238" s="89" t="s">
        <v>40</v>
      </c>
      <c r="F238" s="90" t="s">
        <v>600</v>
      </c>
      <c r="G238" s="54">
        <v>-1795</v>
      </c>
      <c r="H238" s="54">
        <v>2.62</v>
      </c>
      <c r="I238" s="66">
        <f t="shared" ref="I238:I239" si="27">G238*H238</f>
        <v>-4702.9000000000005</v>
      </c>
      <c r="J238" s="132"/>
      <c r="K238" s="54">
        <f t="shared" si="14"/>
        <v>52618.36</v>
      </c>
    </row>
    <row r="239" spans="1:12" ht="14" x14ac:dyDescent="0.3">
      <c r="C239" s="25"/>
      <c r="D239" s="89" t="s">
        <v>330</v>
      </c>
      <c r="E239" s="89" t="s">
        <v>40</v>
      </c>
      <c r="F239" s="90" t="s">
        <v>601</v>
      </c>
      <c r="G239" s="54">
        <v>-196</v>
      </c>
      <c r="H239" s="54">
        <v>2.62</v>
      </c>
      <c r="I239" s="66">
        <f t="shared" si="27"/>
        <v>-513.52</v>
      </c>
      <c r="J239" s="132"/>
      <c r="K239" s="54">
        <f t="shared" si="14"/>
        <v>52104.840000000004</v>
      </c>
      <c r="L239" s="321">
        <f>K239/61</f>
        <v>854.17770491803287</v>
      </c>
    </row>
    <row r="240" spans="1:12" ht="14" x14ac:dyDescent="0.3">
      <c r="C240" s="25"/>
      <c r="D240" s="89"/>
      <c r="E240" s="89"/>
      <c r="F240" s="341" t="s">
        <v>676</v>
      </c>
      <c r="G240" s="54"/>
      <c r="H240" s="54"/>
      <c r="I240" s="66"/>
      <c r="J240" s="132"/>
      <c r="K240" s="54">
        <f t="shared" si="14"/>
        <v>52104.840000000004</v>
      </c>
      <c r="L240" s="321"/>
    </row>
    <row r="241" spans="3:12" ht="14" x14ac:dyDescent="0.3">
      <c r="C241" s="25">
        <v>45549</v>
      </c>
      <c r="D241" s="89" t="s">
        <v>330</v>
      </c>
      <c r="E241" s="89" t="s">
        <v>66</v>
      </c>
      <c r="F241" s="354" t="s">
        <v>709</v>
      </c>
      <c r="G241" s="54"/>
      <c r="H241" s="54"/>
      <c r="I241" s="66">
        <v>1185</v>
      </c>
      <c r="J241" s="132"/>
      <c r="K241" s="54"/>
      <c r="L241" s="321"/>
    </row>
    <row r="242" spans="3:12" ht="14" x14ac:dyDescent="0.3">
      <c r="C242" s="25">
        <v>45551</v>
      </c>
      <c r="D242" s="89" t="s">
        <v>330</v>
      </c>
      <c r="E242" s="89" t="s">
        <v>66</v>
      </c>
      <c r="F242" s="90" t="s">
        <v>355</v>
      </c>
      <c r="G242" s="54"/>
      <c r="H242" s="54"/>
      <c r="I242" s="66">
        <v>20</v>
      </c>
      <c r="J242" s="132"/>
      <c r="K242" s="54">
        <f>K240+I242-J242</f>
        <v>52124.840000000004</v>
      </c>
      <c r="L242" s="321"/>
    </row>
    <row r="243" spans="3:12" ht="14" x14ac:dyDescent="0.3">
      <c r="C243" s="25">
        <v>45551</v>
      </c>
      <c r="D243" s="89" t="s">
        <v>330</v>
      </c>
      <c r="E243" s="89" t="s">
        <v>66</v>
      </c>
      <c r="F243" s="90" t="s">
        <v>355</v>
      </c>
      <c r="G243" s="54"/>
      <c r="H243" s="54"/>
      <c r="I243" s="66">
        <v>40</v>
      </c>
      <c r="J243" s="132"/>
      <c r="K243" s="54">
        <f t="shared" si="14"/>
        <v>52164.840000000004</v>
      </c>
      <c r="L243" s="321"/>
    </row>
    <row r="244" spans="3:12" ht="14" x14ac:dyDescent="0.3">
      <c r="C244" s="25">
        <v>45553</v>
      </c>
      <c r="D244" s="89" t="s">
        <v>330</v>
      </c>
      <c r="E244" s="89" t="s">
        <v>69</v>
      </c>
      <c r="F244" s="90" t="s">
        <v>740</v>
      </c>
      <c r="G244" s="54"/>
      <c r="H244" s="54"/>
      <c r="I244" s="154"/>
      <c r="J244" s="132">
        <f>1175*30</f>
        <v>35250</v>
      </c>
      <c r="K244" s="54">
        <f t="shared" si="14"/>
        <v>16914.840000000004</v>
      </c>
    </row>
    <row r="245" spans="3:12" ht="14" x14ac:dyDescent="0.3">
      <c r="C245" s="25">
        <v>45553</v>
      </c>
      <c r="D245" s="89" t="s">
        <v>330</v>
      </c>
      <c r="E245" s="89" t="s">
        <v>69</v>
      </c>
      <c r="F245" s="90" t="s">
        <v>741</v>
      </c>
      <c r="G245" s="54"/>
      <c r="H245" s="54"/>
      <c r="I245" s="154"/>
      <c r="J245" s="132">
        <f>1170*20</f>
        <v>23400</v>
      </c>
      <c r="K245" s="54">
        <f t="shared" si="14"/>
        <v>-6485.1599999999962</v>
      </c>
    </row>
    <row r="246" spans="3:12" ht="14" x14ac:dyDescent="0.3">
      <c r="C246" s="25">
        <v>45553</v>
      </c>
      <c r="D246" s="89" t="s">
        <v>330</v>
      </c>
      <c r="E246" s="89" t="s">
        <v>69</v>
      </c>
      <c r="F246" s="90" t="s">
        <v>742</v>
      </c>
      <c r="G246" s="54"/>
      <c r="H246" s="54"/>
      <c r="I246" s="154"/>
      <c r="J246" s="132">
        <f>1170*10</f>
        <v>11700</v>
      </c>
      <c r="K246" s="54">
        <f t="shared" si="14"/>
        <v>-18185.159999999996</v>
      </c>
    </row>
    <row r="247" spans="3:12" ht="14" x14ac:dyDescent="0.3">
      <c r="C247" s="25"/>
      <c r="D247" s="89"/>
      <c r="E247" s="89"/>
      <c r="F247" s="90"/>
      <c r="G247" s="54"/>
      <c r="H247" s="54"/>
      <c r="I247" s="154"/>
      <c r="J247" s="132"/>
      <c r="K247" s="54">
        <f t="shared" si="14"/>
        <v>-18185.159999999996</v>
      </c>
    </row>
    <row r="248" spans="3:12" ht="14" x14ac:dyDescent="0.3">
      <c r="C248" s="25"/>
      <c r="D248" s="89"/>
      <c r="E248" s="89"/>
      <c r="F248" s="90"/>
      <c r="G248" s="54"/>
      <c r="H248" s="54"/>
      <c r="I248" s="154"/>
      <c r="J248" s="132"/>
      <c r="K248" s="54">
        <f t="shared" si="14"/>
        <v>-18185.159999999996</v>
      </c>
    </row>
    <row r="249" spans="3:12" ht="14" x14ac:dyDescent="0.3">
      <c r="C249" s="25"/>
      <c r="D249" s="89"/>
      <c r="E249" s="89"/>
      <c r="F249" s="90"/>
      <c r="G249" s="54"/>
      <c r="H249" s="54"/>
      <c r="I249" s="154"/>
      <c r="J249" s="132"/>
      <c r="K249" s="54">
        <f t="shared" si="14"/>
        <v>-18185.159999999996</v>
      </c>
    </row>
    <row r="250" spans="3:12" ht="14" x14ac:dyDescent="0.3">
      <c r="C250" s="25"/>
      <c r="D250" s="89"/>
      <c r="E250" s="89"/>
      <c r="F250" s="90"/>
      <c r="G250" s="54"/>
      <c r="H250" s="54"/>
      <c r="I250" s="154"/>
      <c r="J250" s="132"/>
      <c r="K250" s="54">
        <f t="shared" si="14"/>
        <v>-18185.159999999996</v>
      </c>
    </row>
    <row r="251" spans="3:12" ht="14" x14ac:dyDescent="0.3">
      <c r="C251" s="41"/>
      <c r="D251" s="41"/>
      <c r="E251" s="41"/>
      <c r="F251" s="90"/>
      <c r="G251" s="54"/>
      <c r="H251" s="54"/>
      <c r="I251" s="154"/>
      <c r="J251" s="132"/>
      <c r="K251" s="54">
        <f t="shared" si="14"/>
        <v>-18185.159999999996</v>
      </c>
    </row>
    <row r="252" spans="3:12" ht="15" x14ac:dyDescent="0.3">
      <c r="C252" s="41"/>
      <c r="D252" s="41"/>
      <c r="E252" s="41"/>
      <c r="F252" s="109" t="s">
        <v>444</v>
      </c>
      <c r="G252" s="54"/>
      <c r="H252" s="54"/>
      <c r="I252" s="154"/>
      <c r="J252" s="132"/>
      <c r="K252" s="54"/>
    </row>
    <row r="253" spans="3:12" ht="15" x14ac:dyDescent="0.3">
      <c r="F253" s="319"/>
      <c r="G253" s="287"/>
      <c r="H253" s="287"/>
      <c r="I253" s="320"/>
      <c r="J253" s="321"/>
      <c r="K253" s="287"/>
    </row>
    <row r="254" spans="3:12" ht="15" x14ac:dyDescent="0.3">
      <c r="F254" s="319"/>
      <c r="G254" s="287"/>
      <c r="H254" s="287"/>
      <c r="I254" s="320"/>
      <c r="J254" s="321"/>
      <c r="K254" s="287"/>
    </row>
    <row r="255" spans="3:12" ht="15" x14ac:dyDescent="0.3">
      <c r="C255" s="24" t="s">
        <v>0</v>
      </c>
      <c r="D255" s="24" t="s">
        <v>49</v>
      </c>
      <c r="E255" s="24" t="s">
        <v>53</v>
      </c>
      <c r="F255" s="19" t="s">
        <v>5</v>
      </c>
      <c r="G255" s="20" t="s">
        <v>6</v>
      </c>
      <c r="H255" s="20" t="s">
        <v>7</v>
      </c>
      <c r="I255" s="24" t="s">
        <v>13</v>
      </c>
      <c r="J255" s="24" t="s">
        <v>69</v>
      </c>
      <c r="K255" s="24" t="s">
        <v>57</v>
      </c>
    </row>
    <row r="256" spans="3:12" ht="15" x14ac:dyDescent="0.3">
      <c r="C256" s="41"/>
      <c r="D256" s="41"/>
      <c r="E256" s="41"/>
      <c r="F256" s="176"/>
      <c r="G256" s="54"/>
      <c r="H256" s="54"/>
      <c r="I256" s="154"/>
      <c r="J256" s="132"/>
      <c r="K256" s="54"/>
    </row>
    <row r="257" spans="1:11" ht="15.5" x14ac:dyDescent="0.3">
      <c r="A257" s="1" t="s">
        <v>50</v>
      </c>
      <c r="C257" s="25">
        <v>45504</v>
      </c>
      <c r="D257" s="89" t="s">
        <v>417</v>
      </c>
      <c r="E257" s="89" t="s">
        <v>13</v>
      </c>
      <c r="F257" s="177" t="s">
        <v>419</v>
      </c>
      <c r="G257" s="54"/>
      <c r="H257" s="54"/>
      <c r="I257" s="54">
        <f>1170*17</f>
        <v>19890</v>
      </c>
      <c r="J257" s="132"/>
      <c r="K257" s="54">
        <f t="shared" si="14"/>
        <v>19890</v>
      </c>
    </row>
    <row r="258" spans="1:11" ht="15.5" x14ac:dyDescent="0.3">
      <c r="C258" s="25">
        <v>45523</v>
      </c>
      <c r="D258" s="89" t="s">
        <v>417</v>
      </c>
      <c r="E258" s="41" t="s">
        <v>69</v>
      </c>
      <c r="F258" s="177" t="s">
        <v>485</v>
      </c>
      <c r="G258" s="54"/>
      <c r="H258" s="54"/>
      <c r="I258" s="154"/>
      <c r="J258" s="132">
        <f>17*1140</f>
        <v>19380</v>
      </c>
      <c r="K258" s="54">
        <f t="shared" si="14"/>
        <v>510</v>
      </c>
    </row>
    <row r="259" spans="1:11" ht="15" x14ac:dyDescent="0.3">
      <c r="C259" s="41"/>
      <c r="D259" s="41"/>
      <c r="E259" s="41"/>
      <c r="F259" s="176"/>
      <c r="G259" s="54"/>
      <c r="H259" s="54"/>
      <c r="I259" s="154"/>
      <c r="J259" s="132"/>
      <c r="K259" s="54">
        <f t="shared" si="14"/>
        <v>510</v>
      </c>
    </row>
    <row r="260" spans="1:11" ht="15" x14ac:dyDescent="0.3">
      <c r="C260" s="41"/>
      <c r="D260" s="41"/>
      <c r="E260" s="41"/>
      <c r="F260" s="176"/>
      <c r="G260" s="54"/>
      <c r="H260" s="54"/>
      <c r="I260" s="154"/>
      <c r="J260" s="132"/>
      <c r="K260" s="54">
        <f t="shared" si="14"/>
        <v>510</v>
      </c>
    </row>
    <row r="261" spans="1:11" ht="15" x14ac:dyDescent="0.3">
      <c r="C261" s="41"/>
      <c r="D261" s="41"/>
      <c r="E261" s="41"/>
      <c r="F261" s="109" t="s">
        <v>418</v>
      </c>
      <c r="G261" s="54"/>
      <c r="H261" s="54"/>
      <c r="I261" s="154"/>
      <c r="J261" s="132"/>
      <c r="K261" s="54">
        <f t="shared" si="14"/>
        <v>510</v>
      </c>
    </row>
    <row r="268" spans="1:11" x14ac:dyDescent="0.3">
      <c r="C268" s="20" t="s">
        <v>0</v>
      </c>
      <c r="D268" s="20" t="s">
        <v>54</v>
      </c>
      <c r="E268" s="20"/>
      <c r="F268" s="18" t="s">
        <v>5</v>
      </c>
      <c r="G268" s="20" t="s">
        <v>248</v>
      </c>
      <c r="J268" s="14" t="s">
        <v>247</v>
      </c>
    </row>
    <row r="270" spans="1:11" ht="14" x14ac:dyDescent="0.3">
      <c r="C270" s="84">
        <v>45473</v>
      </c>
      <c r="D270" s="89" t="s">
        <v>167</v>
      </c>
      <c r="E270" s="41"/>
      <c r="F270" s="16" t="s">
        <v>244</v>
      </c>
      <c r="G270" s="41">
        <v>1</v>
      </c>
      <c r="H270" s="41"/>
      <c r="I270" s="41"/>
      <c r="J270" s="160">
        <v>0</v>
      </c>
    </row>
    <row r="271" spans="1:11" ht="14" x14ac:dyDescent="0.3">
      <c r="C271" s="25">
        <v>45495</v>
      </c>
      <c r="D271" s="89" t="s">
        <v>205</v>
      </c>
      <c r="E271" s="41"/>
      <c r="F271" s="16" t="s">
        <v>245</v>
      </c>
      <c r="G271" s="41">
        <v>0</v>
      </c>
      <c r="H271" s="41"/>
      <c r="I271" s="41"/>
      <c r="J271" s="160">
        <v>1</v>
      </c>
    </row>
    <row r="272" spans="1:11" ht="14" x14ac:dyDescent="0.3">
      <c r="C272" s="84">
        <v>45491</v>
      </c>
      <c r="D272" s="89" t="s">
        <v>237</v>
      </c>
      <c r="E272" s="41"/>
      <c r="F272" s="16" t="s">
        <v>246</v>
      </c>
      <c r="G272" s="41">
        <v>1</v>
      </c>
      <c r="H272" s="41"/>
      <c r="I272" s="41"/>
      <c r="J272" s="160">
        <v>55</v>
      </c>
    </row>
    <row r="273" spans="2:10" ht="14" x14ac:dyDescent="0.3">
      <c r="C273" s="84">
        <v>45491</v>
      </c>
      <c r="D273" s="89" t="s">
        <v>237</v>
      </c>
      <c r="E273" s="41"/>
      <c r="F273" s="16" t="s">
        <v>318</v>
      </c>
      <c r="G273" s="41">
        <v>-1</v>
      </c>
      <c r="H273" s="41"/>
      <c r="I273" s="41"/>
      <c r="J273" s="160">
        <v>-56</v>
      </c>
    </row>
    <row r="274" spans="2:10" ht="14" x14ac:dyDescent="0.3">
      <c r="C274" s="84">
        <v>45491</v>
      </c>
      <c r="D274" s="89" t="s">
        <v>239</v>
      </c>
      <c r="E274" s="41"/>
      <c r="F274" s="16" t="s">
        <v>249</v>
      </c>
      <c r="G274" s="41">
        <v>250</v>
      </c>
      <c r="H274" s="41"/>
      <c r="I274" s="41"/>
      <c r="J274" s="160">
        <v>0</v>
      </c>
    </row>
    <row r="275" spans="2:10" ht="14" x14ac:dyDescent="0.3">
      <c r="C275" s="25">
        <v>45495</v>
      </c>
      <c r="D275" s="89" t="s">
        <v>250</v>
      </c>
      <c r="E275" s="41"/>
      <c r="F275" s="16" t="s">
        <v>255</v>
      </c>
      <c r="G275" s="41">
        <v>113</v>
      </c>
      <c r="H275" s="41"/>
      <c r="I275" s="41"/>
      <c r="J275" s="160">
        <v>0</v>
      </c>
    </row>
    <row r="276" spans="2:10" ht="14" x14ac:dyDescent="0.3">
      <c r="C276" s="25">
        <v>45497</v>
      </c>
      <c r="D276" s="89" t="s">
        <v>272</v>
      </c>
      <c r="E276" s="41"/>
      <c r="F276" s="16" t="s">
        <v>283</v>
      </c>
      <c r="G276" s="41">
        <v>76</v>
      </c>
      <c r="H276" s="41"/>
      <c r="I276" s="41"/>
      <c r="J276" s="160">
        <v>0</v>
      </c>
    </row>
    <row r="277" spans="2:10" ht="14" x14ac:dyDescent="0.3">
      <c r="B277" s="1" t="s">
        <v>307</v>
      </c>
      <c r="C277" s="25">
        <v>45499</v>
      </c>
      <c r="D277" s="89" t="s">
        <v>272</v>
      </c>
      <c r="E277" s="41"/>
      <c r="F277" s="16" t="s">
        <v>314</v>
      </c>
      <c r="G277" s="41">
        <v>-56</v>
      </c>
      <c r="H277" s="41"/>
      <c r="I277" s="41"/>
      <c r="J277" s="160">
        <v>56</v>
      </c>
    </row>
    <row r="278" spans="2:10" ht="14" x14ac:dyDescent="0.3">
      <c r="C278" s="25">
        <v>45499</v>
      </c>
      <c r="D278" s="89" t="s">
        <v>272</v>
      </c>
      <c r="E278" s="41"/>
      <c r="F278" s="16" t="s">
        <v>318</v>
      </c>
      <c r="G278" s="41">
        <v>0</v>
      </c>
      <c r="H278" s="41"/>
      <c r="I278" s="41"/>
      <c r="J278" s="160">
        <v>-30</v>
      </c>
    </row>
    <row r="279" spans="2:10" ht="14" x14ac:dyDescent="0.3">
      <c r="C279" s="25">
        <v>45501</v>
      </c>
      <c r="D279" s="89" t="s">
        <v>328</v>
      </c>
      <c r="E279" s="41"/>
      <c r="F279" s="16" t="s">
        <v>353</v>
      </c>
      <c r="G279" s="41">
        <v>18</v>
      </c>
      <c r="H279" s="41"/>
      <c r="I279" s="41"/>
      <c r="J279" s="160">
        <v>0</v>
      </c>
    </row>
    <row r="280" spans="2:10" ht="14" x14ac:dyDescent="0.3">
      <c r="C280" s="25">
        <v>45502</v>
      </c>
      <c r="D280" s="89" t="s">
        <v>330</v>
      </c>
      <c r="E280" s="41"/>
      <c r="F280" s="16" t="s">
        <v>354</v>
      </c>
      <c r="G280" s="41">
        <v>55</v>
      </c>
      <c r="H280" s="41"/>
      <c r="I280" s="41"/>
      <c r="J280" s="160">
        <v>0</v>
      </c>
    </row>
    <row r="281" spans="2:10" ht="14" x14ac:dyDescent="0.3">
      <c r="C281" s="25">
        <v>45502</v>
      </c>
      <c r="D281" s="89" t="s">
        <v>272</v>
      </c>
      <c r="E281" s="41"/>
      <c r="F281" s="16" t="s">
        <v>373</v>
      </c>
      <c r="G281" s="41">
        <v>0</v>
      </c>
      <c r="H281" s="41"/>
      <c r="I281" s="41"/>
      <c r="J281" s="160">
        <v>-26</v>
      </c>
    </row>
    <row r="282" spans="2:10" ht="14" x14ac:dyDescent="0.3">
      <c r="C282" s="25">
        <v>45504</v>
      </c>
      <c r="D282" s="89" t="s">
        <v>272</v>
      </c>
      <c r="E282" s="41"/>
      <c r="F282" s="16" t="s">
        <v>372</v>
      </c>
      <c r="G282" s="41">
        <v>-20</v>
      </c>
      <c r="H282" s="41"/>
      <c r="I282" s="41"/>
      <c r="J282" s="160">
        <v>20</v>
      </c>
    </row>
    <row r="283" spans="2:10" ht="14" x14ac:dyDescent="0.3">
      <c r="C283" s="25">
        <v>45504</v>
      </c>
      <c r="D283" s="89" t="s">
        <v>239</v>
      </c>
      <c r="E283" s="41"/>
      <c r="F283" s="16" t="s">
        <v>372</v>
      </c>
      <c r="G283" s="41">
        <v>-148</v>
      </c>
      <c r="H283" s="41"/>
      <c r="I283" s="41"/>
      <c r="J283" s="160">
        <v>148</v>
      </c>
    </row>
    <row r="284" spans="2:10" ht="14" x14ac:dyDescent="0.3">
      <c r="C284" s="25">
        <v>45504</v>
      </c>
      <c r="D284" s="89" t="s">
        <v>250</v>
      </c>
      <c r="E284" s="41"/>
      <c r="F284" s="16" t="s">
        <v>378</v>
      </c>
      <c r="G284" s="41">
        <v>-102</v>
      </c>
      <c r="H284" s="41"/>
      <c r="I284" s="41"/>
      <c r="J284" s="160">
        <v>0</v>
      </c>
    </row>
    <row r="285" spans="2:10" ht="14" x14ac:dyDescent="0.3">
      <c r="C285" s="25">
        <v>45504</v>
      </c>
      <c r="D285" s="89" t="s">
        <v>250</v>
      </c>
      <c r="E285" s="41"/>
      <c r="F285" s="16" t="s">
        <v>423</v>
      </c>
      <c r="G285" s="41">
        <v>0</v>
      </c>
      <c r="H285" s="41"/>
      <c r="I285" s="41"/>
      <c r="J285" s="160">
        <v>-130</v>
      </c>
    </row>
    <row r="286" spans="2:10" ht="14" x14ac:dyDescent="0.3">
      <c r="C286" s="25">
        <v>45504</v>
      </c>
      <c r="D286" s="89" t="s">
        <v>272</v>
      </c>
      <c r="E286" s="41"/>
      <c r="F286" s="16" t="s">
        <v>423</v>
      </c>
      <c r="G286" s="41">
        <v>0</v>
      </c>
      <c r="H286" s="41"/>
      <c r="I286" s="41"/>
      <c r="J286" s="160">
        <v>-20</v>
      </c>
    </row>
    <row r="287" spans="2:10" ht="14" x14ac:dyDescent="0.3">
      <c r="C287" s="25">
        <v>45504</v>
      </c>
      <c r="D287" s="89" t="s">
        <v>417</v>
      </c>
      <c r="E287" s="41"/>
      <c r="F287" s="16" t="s">
        <v>424</v>
      </c>
      <c r="G287" s="41">
        <v>0</v>
      </c>
      <c r="H287" s="41"/>
      <c r="I287" s="41"/>
      <c r="J287" s="160">
        <v>17</v>
      </c>
    </row>
    <row r="288" spans="2:10" ht="14" x14ac:dyDescent="0.3">
      <c r="C288" s="25">
        <v>45506</v>
      </c>
      <c r="D288" s="89" t="s">
        <v>250</v>
      </c>
      <c r="E288" s="41"/>
      <c r="F288" s="16" t="s">
        <v>422</v>
      </c>
      <c r="G288" s="41">
        <v>0</v>
      </c>
      <c r="H288" s="41"/>
      <c r="I288" s="41"/>
      <c r="J288" s="160">
        <v>-15</v>
      </c>
    </row>
    <row r="289" spans="3:10" ht="14" x14ac:dyDescent="0.3">
      <c r="C289" s="25">
        <v>45509</v>
      </c>
      <c r="D289" s="89"/>
      <c r="E289" s="41"/>
      <c r="F289" s="16" t="s">
        <v>431</v>
      </c>
      <c r="G289" s="41">
        <v>19</v>
      </c>
      <c r="H289" s="41"/>
      <c r="I289" s="41"/>
      <c r="J289" s="160">
        <v>0</v>
      </c>
    </row>
    <row r="290" spans="3:10" ht="14" x14ac:dyDescent="0.3">
      <c r="C290" s="25">
        <v>45509</v>
      </c>
      <c r="D290" s="89"/>
      <c r="E290" s="41"/>
      <c r="F290" s="16" t="s">
        <v>432</v>
      </c>
      <c r="G290" s="41">
        <v>6</v>
      </c>
      <c r="H290" s="41"/>
      <c r="I290" s="41"/>
      <c r="J290" s="160">
        <v>0</v>
      </c>
    </row>
    <row r="291" spans="3:10" ht="14" x14ac:dyDescent="0.3">
      <c r="C291" s="25">
        <v>45511</v>
      </c>
      <c r="D291" s="89" t="s">
        <v>250</v>
      </c>
      <c r="E291" s="41"/>
      <c r="F291" s="16" t="s">
        <v>372</v>
      </c>
      <c r="G291" s="41">
        <v>0</v>
      </c>
      <c r="H291" s="41"/>
      <c r="I291" s="41"/>
      <c r="J291" s="160">
        <v>102</v>
      </c>
    </row>
    <row r="292" spans="3:10" ht="14" x14ac:dyDescent="0.3">
      <c r="C292" s="25"/>
      <c r="D292" s="89"/>
      <c r="E292" s="41"/>
      <c r="F292" s="161" t="s">
        <v>463</v>
      </c>
      <c r="G292" s="41">
        <v>-150</v>
      </c>
      <c r="H292" s="41"/>
      <c r="I292" s="41"/>
      <c r="J292" s="160">
        <v>0</v>
      </c>
    </row>
    <row r="293" spans="3:10" ht="14" x14ac:dyDescent="0.3">
      <c r="C293" s="25">
        <v>45517</v>
      </c>
      <c r="D293" s="89" t="s">
        <v>239</v>
      </c>
      <c r="E293" s="41"/>
      <c r="F293" s="16" t="s">
        <v>422</v>
      </c>
      <c r="G293" s="41">
        <v>0</v>
      </c>
      <c r="H293" s="41"/>
      <c r="I293" s="41"/>
      <c r="J293" s="160">
        <v>-50</v>
      </c>
    </row>
    <row r="294" spans="3:10" ht="14" x14ac:dyDescent="0.3">
      <c r="C294" s="25">
        <v>45517</v>
      </c>
      <c r="D294" s="89" t="s">
        <v>466</v>
      </c>
      <c r="E294" s="41"/>
      <c r="F294" s="16" t="s">
        <v>474</v>
      </c>
      <c r="G294" s="41">
        <v>400</v>
      </c>
      <c r="H294" s="41"/>
      <c r="I294" s="41"/>
      <c r="J294" s="160"/>
    </row>
    <row r="295" spans="3:10" ht="14" x14ac:dyDescent="0.3">
      <c r="C295" s="25">
        <v>45523</v>
      </c>
      <c r="D295" s="89" t="s">
        <v>239</v>
      </c>
      <c r="E295" s="41"/>
      <c r="F295" s="16" t="s">
        <v>485</v>
      </c>
      <c r="G295" s="41"/>
      <c r="H295" s="41"/>
      <c r="I295" s="41"/>
      <c r="J295" s="160">
        <v>-55</v>
      </c>
    </row>
    <row r="296" spans="3:10" ht="14" x14ac:dyDescent="0.3">
      <c r="C296" s="25">
        <v>45523</v>
      </c>
      <c r="D296" s="89" t="s">
        <v>417</v>
      </c>
      <c r="E296" s="41"/>
      <c r="F296" s="16" t="s">
        <v>485</v>
      </c>
      <c r="G296" s="41"/>
      <c r="H296" s="41"/>
      <c r="I296" s="41"/>
      <c r="J296" s="160">
        <v>-17</v>
      </c>
    </row>
    <row r="297" spans="3:10" x14ac:dyDescent="0.3">
      <c r="C297" s="20" t="s">
        <v>0</v>
      </c>
      <c r="D297" s="20" t="s">
        <v>54</v>
      </c>
      <c r="E297" s="20"/>
      <c r="F297" s="18" t="s">
        <v>5</v>
      </c>
      <c r="G297" s="20" t="s">
        <v>248</v>
      </c>
      <c r="J297" s="14" t="s">
        <v>247</v>
      </c>
    </row>
    <row r="298" spans="3:10" x14ac:dyDescent="0.3">
      <c r="C298" s="20"/>
      <c r="D298" s="20"/>
      <c r="E298" s="20"/>
      <c r="F298" s="18"/>
      <c r="G298" s="20"/>
    </row>
    <row r="299" spans="3:10" x14ac:dyDescent="0.3">
      <c r="C299" s="342">
        <v>45536</v>
      </c>
      <c r="D299" s="20"/>
      <c r="E299" s="20"/>
      <c r="F299" s="18" t="s">
        <v>686</v>
      </c>
      <c r="G299" s="20">
        <v>462</v>
      </c>
    </row>
    <row r="300" spans="3:10" ht="14" x14ac:dyDescent="0.3">
      <c r="C300" s="25">
        <v>45539</v>
      </c>
      <c r="D300" s="89" t="s">
        <v>466</v>
      </c>
      <c r="E300" s="41"/>
      <c r="F300" s="16" t="s">
        <v>534</v>
      </c>
      <c r="G300" s="41">
        <v>-400</v>
      </c>
      <c r="H300" s="41"/>
      <c r="I300" s="41"/>
      <c r="J300" s="160">
        <v>400</v>
      </c>
    </row>
    <row r="301" spans="3:10" ht="14" x14ac:dyDescent="0.3">
      <c r="C301" s="25">
        <v>45539</v>
      </c>
      <c r="D301" s="89" t="s">
        <v>466</v>
      </c>
      <c r="E301" s="41"/>
      <c r="F301" s="16" t="s">
        <v>606</v>
      </c>
      <c r="G301" s="41">
        <v>0</v>
      </c>
      <c r="H301" s="41"/>
      <c r="I301" s="41"/>
      <c r="J301" s="160">
        <v>-400</v>
      </c>
    </row>
    <row r="302" spans="3:10" ht="14" x14ac:dyDescent="0.3">
      <c r="C302" s="25"/>
      <c r="D302" s="89"/>
      <c r="E302" s="41"/>
      <c r="F302" s="16"/>
      <c r="G302" s="41"/>
      <c r="H302" s="41"/>
      <c r="I302" s="41"/>
      <c r="J302" s="160"/>
    </row>
    <row r="303" spans="3:10" ht="14" x14ac:dyDescent="0.3">
      <c r="C303" s="25">
        <v>45540</v>
      </c>
      <c r="D303" s="89" t="s">
        <v>559</v>
      </c>
      <c r="E303" s="41"/>
      <c r="F303" s="16" t="s">
        <v>528</v>
      </c>
      <c r="G303" s="41">
        <v>40</v>
      </c>
      <c r="H303" s="41"/>
      <c r="I303" s="41"/>
      <c r="J303" s="160"/>
    </row>
    <row r="304" spans="3:10" ht="14" x14ac:dyDescent="0.3">
      <c r="C304" s="25">
        <v>45547</v>
      </c>
      <c r="D304" s="89" t="s">
        <v>607</v>
      </c>
      <c r="E304" s="41"/>
      <c r="F304" s="16" t="s">
        <v>608</v>
      </c>
      <c r="G304" s="41">
        <v>42</v>
      </c>
      <c r="H304" s="41"/>
      <c r="I304" s="41"/>
      <c r="J304" s="160"/>
    </row>
    <row r="305" spans="3:10" ht="14" x14ac:dyDescent="0.3">
      <c r="C305" s="25">
        <v>45547</v>
      </c>
      <c r="D305" s="89" t="s">
        <v>330</v>
      </c>
      <c r="E305" s="41"/>
      <c r="F305" s="16" t="s">
        <v>658</v>
      </c>
      <c r="G305" s="41">
        <v>-60</v>
      </c>
      <c r="H305" s="41"/>
      <c r="I305" s="41"/>
      <c r="J305" s="160">
        <v>60</v>
      </c>
    </row>
    <row r="306" spans="3:10" ht="14" x14ac:dyDescent="0.3">
      <c r="C306" s="25">
        <v>45547</v>
      </c>
      <c r="D306" s="89" t="s">
        <v>559</v>
      </c>
      <c r="E306" s="41"/>
      <c r="F306" s="16" t="s">
        <v>659</v>
      </c>
      <c r="G306" s="41">
        <v>-40</v>
      </c>
      <c r="H306" s="41"/>
      <c r="I306" s="41"/>
      <c r="J306" s="160">
        <v>40</v>
      </c>
    </row>
    <row r="307" spans="3:10" ht="14" x14ac:dyDescent="0.3">
      <c r="C307" s="25">
        <v>45547</v>
      </c>
      <c r="D307" s="89" t="s">
        <v>607</v>
      </c>
      <c r="E307" s="41"/>
      <c r="F307" s="16" t="s">
        <v>660</v>
      </c>
      <c r="G307" s="41">
        <v>-23</v>
      </c>
      <c r="H307" s="41"/>
      <c r="I307" s="41"/>
      <c r="J307" s="160">
        <v>23</v>
      </c>
    </row>
    <row r="308" spans="3:10" ht="14" x14ac:dyDescent="0.3">
      <c r="C308" s="25">
        <v>45547</v>
      </c>
      <c r="D308" s="89" t="s">
        <v>167</v>
      </c>
      <c r="E308" s="41"/>
      <c r="F308" s="16" t="s">
        <v>679</v>
      </c>
      <c r="G308" s="41">
        <v>-1</v>
      </c>
      <c r="H308" s="41"/>
      <c r="I308" s="41"/>
      <c r="J308" s="160">
        <v>0</v>
      </c>
    </row>
    <row r="309" spans="3:10" ht="14" x14ac:dyDescent="0.3">
      <c r="C309" s="25">
        <v>45547</v>
      </c>
      <c r="D309" s="89" t="s">
        <v>330</v>
      </c>
      <c r="E309" s="41"/>
      <c r="F309" s="16" t="s">
        <v>680</v>
      </c>
      <c r="G309" s="41">
        <v>-1</v>
      </c>
      <c r="H309" s="41"/>
      <c r="I309" s="41"/>
      <c r="J309" s="160">
        <v>0</v>
      </c>
    </row>
    <row r="310" spans="3:10" ht="14" x14ac:dyDescent="0.3">
      <c r="C310" s="25">
        <v>45548</v>
      </c>
      <c r="D310" s="89" t="s">
        <v>685</v>
      </c>
      <c r="E310" s="41"/>
      <c r="F310" s="16" t="s">
        <v>608</v>
      </c>
      <c r="G310" s="41">
        <v>10</v>
      </c>
      <c r="H310" s="41"/>
      <c r="I310" s="41"/>
      <c r="J310" s="160">
        <v>0</v>
      </c>
    </row>
    <row r="311" spans="3:10" ht="14" x14ac:dyDescent="0.3">
      <c r="C311" s="88">
        <v>45548</v>
      </c>
      <c r="D311" s="89" t="s">
        <v>603</v>
      </c>
      <c r="E311" s="41"/>
      <c r="F311" s="16" t="s">
        <v>747</v>
      </c>
      <c r="G311" s="41"/>
      <c r="H311" s="41"/>
      <c r="I311" s="41"/>
      <c r="J311" s="160">
        <v>-23</v>
      </c>
    </row>
    <row r="312" spans="3:10" ht="14" x14ac:dyDescent="0.3">
      <c r="C312" s="25">
        <v>45553</v>
      </c>
      <c r="D312" s="89" t="s">
        <v>330</v>
      </c>
      <c r="E312" s="41"/>
      <c r="F312" s="90" t="s">
        <v>740</v>
      </c>
      <c r="G312" s="41"/>
      <c r="H312" s="41"/>
      <c r="I312" s="41"/>
      <c r="J312" s="160">
        <v>-30</v>
      </c>
    </row>
    <row r="313" spans="3:10" ht="14" x14ac:dyDescent="0.3">
      <c r="C313" s="25">
        <v>45553</v>
      </c>
      <c r="D313" s="89" t="s">
        <v>330</v>
      </c>
      <c r="E313" s="41"/>
      <c r="F313" s="90" t="s">
        <v>741</v>
      </c>
      <c r="G313" s="41"/>
      <c r="H313" s="41"/>
      <c r="I313" s="41"/>
      <c r="J313" s="160">
        <v>-20</v>
      </c>
    </row>
    <row r="314" spans="3:10" ht="14" x14ac:dyDescent="0.3">
      <c r="C314" s="25">
        <v>45553</v>
      </c>
      <c r="D314" s="89" t="s">
        <v>330</v>
      </c>
      <c r="E314" s="41"/>
      <c r="F314" s="90" t="s">
        <v>742</v>
      </c>
      <c r="G314" s="41"/>
      <c r="H314" s="41"/>
      <c r="I314" s="41"/>
      <c r="J314" s="160">
        <v>-10</v>
      </c>
    </row>
    <row r="315" spans="3:10" ht="14" x14ac:dyDescent="0.3">
      <c r="C315" s="346">
        <v>45549</v>
      </c>
      <c r="D315" s="89" t="s">
        <v>559</v>
      </c>
      <c r="E315" s="41"/>
      <c r="F315" s="348" t="s">
        <v>746</v>
      </c>
      <c r="G315" s="41"/>
      <c r="H315" s="41"/>
      <c r="I315" s="41"/>
      <c r="J315" s="160">
        <v>-30</v>
      </c>
    </row>
    <row r="316" spans="3:10" ht="14" x14ac:dyDescent="0.3">
      <c r="C316" s="346">
        <v>45553</v>
      </c>
      <c r="D316" s="89" t="s">
        <v>559</v>
      </c>
      <c r="E316" s="41"/>
      <c r="F316" s="348" t="s">
        <v>743</v>
      </c>
      <c r="G316" s="41"/>
      <c r="H316" s="41"/>
      <c r="I316" s="41"/>
      <c r="J316" s="160">
        <v>-5</v>
      </c>
    </row>
    <row r="317" spans="3:10" ht="14" x14ac:dyDescent="0.3">
      <c r="C317" s="346">
        <v>45553</v>
      </c>
      <c r="D317" s="89" t="s">
        <v>559</v>
      </c>
      <c r="E317" s="41"/>
      <c r="F317" s="348" t="s">
        <v>748</v>
      </c>
      <c r="G317" s="41"/>
      <c r="H317" s="41"/>
      <c r="I317" s="41"/>
      <c r="J317" s="160">
        <v>-5</v>
      </c>
    </row>
    <row r="318" spans="3:10" ht="14" x14ac:dyDescent="0.3">
      <c r="C318" s="25"/>
      <c r="D318" s="89"/>
      <c r="E318" s="41"/>
      <c r="F318" s="16"/>
      <c r="G318" s="41"/>
      <c r="H318" s="41"/>
      <c r="I318" s="41"/>
      <c r="J318" s="160"/>
    </row>
    <row r="319" spans="3:10" ht="14" x14ac:dyDescent="0.3">
      <c r="C319" s="25"/>
      <c r="D319" s="89"/>
      <c r="E319" s="41"/>
      <c r="F319" s="16"/>
      <c r="G319" s="41"/>
      <c r="H319" s="41"/>
      <c r="I319" s="41"/>
      <c r="J319" s="160"/>
    </row>
    <row r="320" spans="3:10" x14ac:dyDescent="0.3">
      <c r="C320" s="41"/>
      <c r="D320" s="41"/>
      <c r="E320" s="41"/>
      <c r="F320" s="16"/>
      <c r="G320" s="35">
        <f>SUM(G299:G319)</f>
        <v>29</v>
      </c>
      <c r="H320" s="35"/>
      <c r="I320" s="35"/>
      <c r="J320" s="161">
        <f>SUM(J270:J319)</f>
        <v>0</v>
      </c>
    </row>
    <row r="324" spans="3:13" ht="17.5" x14ac:dyDescent="0.3">
      <c r="F324" s="264" t="s">
        <v>462</v>
      </c>
    </row>
    <row r="326" spans="3:13" ht="14" x14ac:dyDescent="0.3">
      <c r="C326" s="84">
        <v>45473</v>
      </c>
      <c r="D326" s="89" t="s">
        <v>167</v>
      </c>
      <c r="E326" s="89" t="s">
        <v>13</v>
      </c>
      <c r="F326" s="56" t="s">
        <v>461</v>
      </c>
      <c r="G326" s="263">
        <v>522</v>
      </c>
      <c r="H326" s="94">
        <v>2.44</v>
      </c>
      <c r="I326" s="66">
        <f t="shared" ref="I326" si="28">G326*H326</f>
        <v>1273.68</v>
      </c>
    </row>
    <row r="328" spans="3:13" ht="14" x14ac:dyDescent="0.3">
      <c r="C328" s="25">
        <v>45495</v>
      </c>
      <c r="D328" s="89" t="s">
        <v>250</v>
      </c>
      <c r="E328" s="89" t="s">
        <v>13</v>
      </c>
      <c r="F328" s="90" t="s">
        <v>253</v>
      </c>
      <c r="G328" s="54">
        <f>35*357</f>
        <v>12495</v>
      </c>
      <c r="H328" s="175">
        <v>2.5259999999999998</v>
      </c>
      <c r="I328" s="66">
        <f t="shared" ref="I328:I329" si="29">G328*H328</f>
        <v>31562.37</v>
      </c>
    </row>
    <row r="329" spans="3:13" ht="14" x14ac:dyDescent="0.3">
      <c r="C329" s="25">
        <v>45495</v>
      </c>
      <c r="D329" s="89" t="s">
        <v>250</v>
      </c>
      <c r="E329" s="89" t="s">
        <v>13</v>
      </c>
      <c r="F329" s="90" t="s">
        <v>254</v>
      </c>
      <c r="G329" s="54">
        <f>78*357</f>
        <v>27846</v>
      </c>
      <c r="H329" s="175">
        <v>2.5259999999999998</v>
      </c>
      <c r="I329" s="66">
        <f t="shared" si="29"/>
        <v>70338.995999999999</v>
      </c>
    </row>
    <row r="331" spans="3:13" ht="14" x14ac:dyDescent="0.3">
      <c r="C331" s="25">
        <v>45501</v>
      </c>
      <c r="D331" s="89" t="s">
        <v>328</v>
      </c>
      <c r="E331" s="89" t="s">
        <v>13</v>
      </c>
      <c r="F331" s="90" t="s">
        <v>329</v>
      </c>
      <c r="G331" s="54">
        <f>359*18</f>
        <v>6462</v>
      </c>
      <c r="H331" s="54">
        <v>2.52</v>
      </c>
      <c r="I331" s="66">
        <f t="shared" ref="I331:I332" si="30">G331*H331</f>
        <v>16284.24</v>
      </c>
    </row>
    <row r="332" spans="3:13" ht="14" x14ac:dyDescent="0.3">
      <c r="C332" s="25">
        <v>45509</v>
      </c>
      <c r="D332" s="89" t="s">
        <v>328</v>
      </c>
      <c r="E332" s="89" t="s">
        <v>13</v>
      </c>
      <c r="F332" s="90" t="s">
        <v>425</v>
      </c>
      <c r="G332" s="54">
        <f>359*19</f>
        <v>6821</v>
      </c>
      <c r="H332" s="54">
        <v>2.52</v>
      </c>
      <c r="I332" s="66">
        <f t="shared" si="30"/>
        <v>17188.920000000002</v>
      </c>
      <c r="L332" s="1">
        <f>5613.73+5613.73+4210.3+7017.17+11227.46+4897.37+8401.52+4200.76+4200.76+5601.01+5601.01+9801.77+9801.77+2800.5+8571.21+9795.67</f>
        <v>107355.74</v>
      </c>
      <c r="M332" s="14" t="s">
        <v>483</v>
      </c>
    </row>
    <row r="333" spans="3:13" x14ac:dyDescent="0.3">
      <c r="L333" s="1">
        <f>L332/2.5</f>
        <v>42942.296000000002</v>
      </c>
      <c r="M333" s="14" t="s">
        <v>484</v>
      </c>
    </row>
    <row r="334" spans="3:13" ht="14" x14ac:dyDescent="0.3">
      <c r="C334" s="25">
        <v>45502</v>
      </c>
      <c r="D334" s="89" t="s">
        <v>330</v>
      </c>
      <c r="E334" s="89" t="s">
        <v>13</v>
      </c>
      <c r="F334" s="90" t="s">
        <v>331</v>
      </c>
      <c r="G334" s="54">
        <v>2148</v>
      </c>
      <c r="H334" s="54">
        <v>2.52</v>
      </c>
      <c r="I334" s="66">
        <v>5412.96</v>
      </c>
    </row>
    <row r="335" spans="3:13" ht="14" x14ac:dyDescent="0.3">
      <c r="C335" s="25">
        <v>45502</v>
      </c>
      <c r="D335" s="89" t="s">
        <v>330</v>
      </c>
      <c r="E335" s="89" t="s">
        <v>13</v>
      </c>
      <c r="F335" s="90" t="s">
        <v>332</v>
      </c>
      <c r="G335" s="54">
        <v>17591</v>
      </c>
      <c r="H335" s="54">
        <v>2.52</v>
      </c>
      <c r="I335" s="66">
        <v>44329.32</v>
      </c>
    </row>
    <row r="336" spans="3:13" ht="14" x14ac:dyDescent="0.3">
      <c r="C336" s="25">
        <v>45509</v>
      </c>
      <c r="D336" s="89" t="s">
        <v>330</v>
      </c>
      <c r="E336" s="89" t="s">
        <v>13</v>
      </c>
      <c r="F336" s="90" t="s">
        <v>426</v>
      </c>
      <c r="G336" s="54">
        <v>2154</v>
      </c>
      <c r="H336" s="54">
        <v>2.52</v>
      </c>
      <c r="I336" s="66">
        <v>5428.08</v>
      </c>
    </row>
    <row r="338" spans="1:13" ht="15" x14ac:dyDescent="0.3">
      <c r="F338" s="18" t="s">
        <v>230</v>
      </c>
      <c r="G338" s="265">
        <f>SUM(G326:G337)</f>
        <v>76039</v>
      </c>
      <c r="I338" s="265">
        <f>SUM(I326:I337)</f>
        <v>191818.56599999999</v>
      </c>
    </row>
    <row r="343" spans="1:13" ht="15" x14ac:dyDescent="0.3">
      <c r="A343" s="24" t="s">
        <v>73</v>
      </c>
      <c r="C343" s="24" t="s">
        <v>0</v>
      </c>
      <c r="D343" s="24" t="s">
        <v>49</v>
      </c>
      <c r="E343" s="24" t="s">
        <v>53</v>
      </c>
      <c r="F343" s="19" t="s">
        <v>5</v>
      </c>
      <c r="G343" s="20" t="s">
        <v>6</v>
      </c>
      <c r="H343" s="20" t="s">
        <v>7</v>
      </c>
      <c r="I343" s="24" t="s">
        <v>13</v>
      </c>
      <c r="J343" s="24" t="s">
        <v>69</v>
      </c>
      <c r="K343" s="24" t="s">
        <v>57</v>
      </c>
    </row>
    <row r="345" spans="1:13" ht="14" x14ac:dyDescent="0.3">
      <c r="A345" s="79" t="s">
        <v>307</v>
      </c>
      <c r="B345" s="79"/>
      <c r="C345" s="88">
        <v>45517</v>
      </c>
      <c r="D345" s="89" t="s">
        <v>466</v>
      </c>
      <c r="E345" s="89" t="s">
        <v>467</v>
      </c>
      <c r="F345" s="56" t="s">
        <v>468</v>
      </c>
      <c r="G345" s="54">
        <v>50000</v>
      </c>
      <c r="H345" s="54">
        <v>2.52</v>
      </c>
      <c r="I345" s="54">
        <f>G345*H345</f>
        <v>126000</v>
      </c>
      <c r="J345" s="132"/>
      <c r="K345" s="54">
        <f>K344+I345-J345</f>
        <v>126000</v>
      </c>
      <c r="M345" s="14" t="s">
        <v>1293</v>
      </c>
    </row>
    <row r="346" spans="1:13" ht="14" x14ac:dyDescent="0.3">
      <c r="A346" s="79" t="s">
        <v>307</v>
      </c>
      <c r="B346" s="79"/>
      <c r="C346" s="88">
        <v>45527</v>
      </c>
      <c r="D346" s="89" t="s">
        <v>466</v>
      </c>
      <c r="E346" s="89" t="s">
        <v>467</v>
      </c>
      <c r="F346" s="56" t="s">
        <v>500</v>
      </c>
      <c r="G346" s="54">
        <v>14000</v>
      </c>
      <c r="H346" s="54">
        <v>2.52</v>
      </c>
      <c r="I346" s="54">
        <f t="shared" ref="I346:I349" si="31">G346*H346</f>
        <v>35280</v>
      </c>
      <c r="J346" s="132"/>
      <c r="K346" s="54">
        <f t="shared" ref="K346:K366" si="32">K345+I346-J346</f>
        <v>161280</v>
      </c>
    </row>
    <row r="347" spans="1:13" ht="14" x14ac:dyDescent="0.3">
      <c r="A347" s="79" t="s">
        <v>307</v>
      </c>
      <c r="B347" s="79"/>
      <c r="C347" s="88">
        <v>45527</v>
      </c>
      <c r="D347" s="89" t="s">
        <v>466</v>
      </c>
      <c r="E347" s="89" t="s">
        <v>467</v>
      </c>
      <c r="F347" s="56" t="s">
        <v>501</v>
      </c>
      <c r="G347" s="54">
        <v>6000</v>
      </c>
      <c r="H347" s="54">
        <v>2.52</v>
      </c>
      <c r="I347" s="54">
        <f t="shared" si="31"/>
        <v>15120</v>
      </c>
      <c r="J347" s="132"/>
      <c r="K347" s="54">
        <f t="shared" si="32"/>
        <v>176400</v>
      </c>
    </row>
    <row r="348" spans="1:13" ht="14" x14ac:dyDescent="0.3">
      <c r="A348" s="79" t="s">
        <v>307</v>
      </c>
      <c r="B348" s="79"/>
      <c r="C348" s="88">
        <v>45527</v>
      </c>
      <c r="D348" s="89" t="s">
        <v>466</v>
      </c>
      <c r="E348" s="89" t="s">
        <v>467</v>
      </c>
      <c r="F348" s="56" t="s">
        <v>502</v>
      </c>
      <c r="G348" s="54">
        <v>20000</v>
      </c>
      <c r="H348" s="54">
        <v>2.4847000000000001</v>
      </c>
      <c r="I348" s="54">
        <f t="shared" si="31"/>
        <v>49694</v>
      </c>
      <c r="J348" s="132"/>
      <c r="K348" s="54">
        <f t="shared" si="32"/>
        <v>226094</v>
      </c>
    </row>
    <row r="349" spans="1:13" ht="14" x14ac:dyDescent="0.3">
      <c r="A349" s="79" t="s">
        <v>307</v>
      </c>
      <c r="B349" s="79"/>
      <c r="C349" s="88">
        <v>45527</v>
      </c>
      <c r="D349" s="89" t="s">
        <v>466</v>
      </c>
      <c r="E349" s="89" t="s">
        <v>467</v>
      </c>
      <c r="F349" s="56" t="s">
        <v>503</v>
      </c>
      <c r="G349" s="54">
        <v>52800</v>
      </c>
      <c r="H349" s="54">
        <v>2.4847000000000001</v>
      </c>
      <c r="I349" s="54">
        <f t="shared" si="31"/>
        <v>131192.16</v>
      </c>
      <c r="J349" s="132"/>
      <c r="K349" s="54">
        <f t="shared" si="32"/>
        <v>357286.16000000003</v>
      </c>
    </row>
    <row r="350" spans="1:13" ht="14" x14ac:dyDescent="0.3">
      <c r="A350" s="79"/>
      <c r="B350" s="79"/>
      <c r="C350" s="84"/>
      <c r="D350" s="89"/>
      <c r="E350" s="89"/>
      <c r="F350" s="56"/>
      <c r="G350" s="54"/>
      <c r="H350" s="54"/>
      <c r="I350" s="54"/>
      <c r="J350" s="132"/>
      <c r="K350" s="54">
        <f t="shared" si="32"/>
        <v>357286.16000000003</v>
      </c>
    </row>
    <row r="351" spans="1:13" ht="14" x14ac:dyDescent="0.3">
      <c r="A351" s="79" t="s">
        <v>307</v>
      </c>
      <c r="B351" s="79"/>
      <c r="C351" s="84">
        <v>45539</v>
      </c>
      <c r="D351" s="89" t="s">
        <v>466</v>
      </c>
      <c r="E351" s="89" t="s">
        <v>535</v>
      </c>
      <c r="F351" s="80" t="s">
        <v>536</v>
      </c>
      <c r="G351" s="54"/>
      <c r="H351" s="54"/>
      <c r="I351" s="54">
        <v>3760</v>
      </c>
      <c r="J351" s="132"/>
      <c r="K351" s="54">
        <f t="shared" si="32"/>
        <v>361046.16000000003</v>
      </c>
    </row>
    <row r="352" spans="1:13" ht="14" x14ac:dyDescent="0.3">
      <c r="A352" s="79" t="s">
        <v>307</v>
      </c>
      <c r="B352" s="79"/>
      <c r="C352" s="84">
        <v>45539</v>
      </c>
      <c r="D352" s="89" t="s">
        <v>466</v>
      </c>
      <c r="E352" s="89" t="s">
        <v>535</v>
      </c>
      <c r="F352" s="80" t="s">
        <v>355</v>
      </c>
      <c r="G352" s="54"/>
      <c r="H352" s="54"/>
      <c r="I352" s="54">
        <v>250</v>
      </c>
      <c r="J352" s="132"/>
      <c r="K352" s="54">
        <f t="shared" si="32"/>
        <v>361296.16000000003</v>
      </c>
      <c r="L352" s="288"/>
    </row>
    <row r="353" spans="1:12" ht="14" x14ac:dyDescent="0.3">
      <c r="A353" s="79" t="s">
        <v>307</v>
      </c>
      <c r="B353" s="79"/>
      <c r="C353" s="84">
        <v>45540</v>
      </c>
      <c r="D353" s="89" t="s">
        <v>466</v>
      </c>
      <c r="E353" s="89" t="s">
        <v>535</v>
      </c>
      <c r="F353" s="80" t="s">
        <v>355</v>
      </c>
      <c r="G353" s="54"/>
      <c r="H353" s="54"/>
      <c r="I353" s="54">
        <v>100</v>
      </c>
      <c r="J353" s="132"/>
      <c r="K353" s="54">
        <f t="shared" si="32"/>
        <v>361396.16000000003</v>
      </c>
      <c r="L353" s="288"/>
    </row>
    <row r="354" spans="1:12" ht="14" x14ac:dyDescent="0.3">
      <c r="A354" s="81" t="s">
        <v>612</v>
      </c>
      <c r="B354" s="81"/>
      <c r="C354" s="86">
        <v>45540</v>
      </c>
      <c r="D354" s="91" t="s">
        <v>466</v>
      </c>
      <c r="E354" s="91" t="s">
        <v>535</v>
      </c>
      <c r="F354" s="82" t="s">
        <v>20</v>
      </c>
      <c r="G354" s="149">
        <v>12011</v>
      </c>
      <c r="H354" s="149">
        <v>2.52</v>
      </c>
      <c r="I354" s="149">
        <f t="shared" ref="I354:I355" si="33">G354*H354</f>
        <v>30267.72</v>
      </c>
      <c r="J354" s="132"/>
      <c r="K354" s="54">
        <f t="shared" si="32"/>
        <v>391663.88</v>
      </c>
      <c r="L354" s="288"/>
    </row>
    <row r="355" spans="1:12" ht="14" x14ac:dyDescent="0.3">
      <c r="A355" s="79"/>
      <c r="B355" s="79"/>
      <c r="C355" s="84">
        <v>45542</v>
      </c>
      <c r="D355" s="89" t="s">
        <v>466</v>
      </c>
      <c r="E355" s="89" t="s">
        <v>40</v>
      </c>
      <c r="F355" s="80" t="s">
        <v>584</v>
      </c>
      <c r="G355" s="54">
        <v>-12981</v>
      </c>
      <c r="H355" s="54">
        <v>2.52</v>
      </c>
      <c r="I355" s="54">
        <f t="shared" si="33"/>
        <v>-32712.12</v>
      </c>
      <c r="J355" s="132"/>
      <c r="K355" s="54">
        <f t="shared" si="32"/>
        <v>358951.76</v>
      </c>
      <c r="L355" s="288">
        <f>K355/400</f>
        <v>897.37940000000003</v>
      </c>
    </row>
    <row r="356" spans="1:12" ht="14" x14ac:dyDescent="0.3">
      <c r="A356" s="79"/>
      <c r="B356" s="79"/>
      <c r="C356" s="84"/>
      <c r="D356" s="89"/>
      <c r="E356" s="89"/>
      <c r="F356" s="90"/>
      <c r="G356" s="54"/>
      <c r="H356" s="54"/>
      <c r="I356" s="54"/>
      <c r="J356" s="132"/>
      <c r="K356" s="54">
        <f t="shared" si="32"/>
        <v>358951.76</v>
      </c>
    </row>
    <row r="357" spans="1:12" ht="14" x14ac:dyDescent="0.3">
      <c r="A357" s="79" t="s">
        <v>307</v>
      </c>
      <c r="B357" s="79"/>
      <c r="C357" s="84">
        <v>45539</v>
      </c>
      <c r="D357" s="89" t="s">
        <v>466</v>
      </c>
      <c r="E357" s="89" t="s">
        <v>69</v>
      </c>
      <c r="F357" s="56" t="s">
        <v>537</v>
      </c>
      <c r="G357" s="54"/>
      <c r="H357" s="54"/>
      <c r="I357" s="54"/>
      <c r="J357" s="132">
        <f>150*1170</f>
        <v>175500</v>
      </c>
      <c r="K357" s="54">
        <f t="shared" si="32"/>
        <v>183451.76</v>
      </c>
    </row>
    <row r="358" spans="1:12" ht="14" x14ac:dyDescent="0.3">
      <c r="A358" s="79" t="s">
        <v>307</v>
      </c>
      <c r="B358" s="79"/>
      <c r="C358" s="84">
        <v>45539</v>
      </c>
      <c r="D358" s="89" t="s">
        <v>466</v>
      </c>
      <c r="E358" s="89" t="s">
        <v>69</v>
      </c>
      <c r="F358" s="56" t="s">
        <v>538</v>
      </c>
      <c r="G358" s="54"/>
      <c r="H358" s="54"/>
      <c r="I358" s="54"/>
      <c r="J358" s="132">
        <f>1170*5</f>
        <v>5850</v>
      </c>
      <c r="K358" s="54">
        <f t="shared" si="32"/>
        <v>177601.76</v>
      </c>
    </row>
    <row r="359" spans="1:12" ht="14" x14ac:dyDescent="0.3">
      <c r="A359" s="79" t="s">
        <v>307</v>
      </c>
      <c r="B359" s="79"/>
      <c r="C359" s="84">
        <v>45539</v>
      </c>
      <c r="D359" s="89" t="s">
        <v>466</v>
      </c>
      <c r="E359" s="89" t="s">
        <v>69</v>
      </c>
      <c r="F359" s="56" t="s">
        <v>539</v>
      </c>
      <c r="G359" s="54"/>
      <c r="H359" s="54"/>
      <c r="I359" s="54"/>
      <c r="J359" s="132">
        <f>1190*10</f>
        <v>11900</v>
      </c>
      <c r="K359" s="54">
        <f t="shared" si="32"/>
        <v>165701.76000000001</v>
      </c>
    </row>
    <row r="360" spans="1:12" ht="14" x14ac:dyDescent="0.3">
      <c r="A360" s="79" t="s">
        <v>307</v>
      </c>
      <c r="B360" s="79"/>
      <c r="C360" s="84">
        <v>45540</v>
      </c>
      <c r="D360" s="89" t="s">
        <v>466</v>
      </c>
      <c r="E360" s="89" t="s">
        <v>69</v>
      </c>
      <c r="F360" s="56" t="s">
        <v>548</v>
      </c>
      <c r="G360" s="54"/>
      <c r="H360" s="54"/>
      <c r="I360" s="54"/>
      <c r="J360" s="132">
        <f>1170*20</f>
        <v>23400</v>
      </c>
      <c r="K360" s="54">
        <f t="shared" si="32"/>
        <v>142301.76000000001</v>
      </c>
    </row>
    <row r="361" spans="1:12" ht="14" x14ac:dyDescent="0.3">
      <c r="A361" s="79" t="s">
        <v>307</v>
      </c>
      <c r="B361" s="79"/>
      <c r="C361" s="84">
        <v>45540</v>
      </c>
      <c r="D361" s="89" t="s">
        <v>466</v>
      </c>
      <c r="E361" s="89" t="s">
        <v>69</v>
      </c>
      <c r="F361" s="56" t="s">
        <v>549</v>
      </c>
      <c r="G361" s="54"/>
      <c r="H361" s="54"/>
      <c r="I361" s="54"/>
      <c r="J361" s="132">
        <f>100*1170</f>
        <v>117000</v>
      </c>
      <c r="K361" s="54">
        <f t="shared" si="32"/>
        <v>25301.760000000009</v>
      </c>
    </row>
    <row r="362" spans="1:12" ht="14" x14ac:dyDescent="0.3">
      <c r="A362" s="79" t="s">
        <v>307</v>
      </c>
      <c r="B362" s="79"/>
      <c r="C362" s="84">
        <v>45540</v>
      </c>
      <c r="D362" s="89" t="s">
        <v>466</v>
      </c>
      <c r="E362" s="89" t="s">
        <v>69</v>
      </c>
      <c r="F362" s="56" t="s">
        <v>550</v>
      </c>
      <c r="G362" s="54"/>
      <c r="H362" s="54"/>
      <c r="I362" s="54"/>
      <c r="J362" s="132">
        <f>60*1175</f>
        <v>70500</v>
      </c>
      <c r="K362" s="54">
        <f t="shared" si="32"/>
        <v>-45198.239999999991</v>
      </c>
    </row>
    <row r="363" spans="1:12" ht="14" x14ac:dyDescent="0.3">
      <c r="A363" s="79" t="s">
        <v>307</v>
      </c>
      <c r="B363" s="79"/>
      <c r="C363" s="84">
        <v>45540</v>
      </c>
      <c r="D363" s="89" t="s">
        <v>466</v>
      </c>
      <c r="E363" s="89" t="s">
        <v>69</v>
      </c>
      <c r="F363" s="56" t="s">
        <v>538</v>
      </c>
      <c r="G363" s="54"/>
      <c r="H363" s="54"/>
      <c r="I363" s="54"/>
      <c r="J363" s="132">
        <f>1170*5</f>
        <v>5850</v>
      </c>
      <c r="K363" s="54">
        <f t="shared" si="32"/>
        <v>-51048.239999999991</v>
      </c>
    </row>
    <row r="364" spans="1:12" ht="14" x14ac:dyDescent="0.3">
      <c r="A364" s="79" t="s">
        <v>307</v>
      </c>
      <c r="B364" s="79"/>
      <c r="C364" s="84">
        <v>45541</v>
      </c>
      <c r="D364" s="89" t="s">
        <v>466</v>
      </c>
      <c r="E364" s="89" t="s">
        <v>69</v>
      </c>
      <c r="F364" s="56" t="s">
        <v>556</v>
      </c>
      <c r="G364" s="54"/>
      <c r="H364" s="54"/>
      <c r="I364" s="54"/>
      <c r="J364" s="132">
        <f>1170*44</f>
        <v>51480</v>
      </c>
      <c r="K364" s="54">
        <f t="shared" si="32"/>
        <v>-102528.23999999999</v>
      </c>
    </row>
    <row r="365" spans="1:12" ht="14" x14ac:dyDescent="0.3">
      <c r="A365" s="79" t="s">
        <v>307</v>
      </c>
      <c r="B365" s="79"/>
      <c r="C365" s="84">
        <v>45541</v>
      </c>
      <c r="D365" s="89" t="s">
        <v>466</v>
      </c>
      <c r="E365" s="89" t="s">
        <v>69</v>
      </c>
      <c r="F365" s="56" t="s">
        <v>557</v>
      </c>
      <c r="G365" s="54"/>
      <c r="H365" s="54"/>
      <c r="I365" s="54"/>
      <c r="J365" s="132">
        <f>1170*6</f>
        <v>7020</v>
      </c>
      <c r="K365" s="54">
        <f t="shared" si="32"/>
        <v>-109548.23999999999</v>
      </c>
    </row>
    <row r="366" spans="1:12" ht="15" x14ac:dyDescent="0.3">
      <c r="A366" s="79"/>
      <c r="B366" s="79"/>
      <c r="C366" s="84"/>
      <c r="D366" s="89"/>
      <c r="E366" s="89"/>
      <c r="F366" s="109" t="s">
        <v>609</v>
      </c>
      <c r="G366" s="54"/>
      <c r="H366" s="54"/>
      <c r="I366" s="54"/>
      <c r="J366" s="132"/>
      <c r="K366" s="54">
        <f t="shared" si="32"/>
        <v>-109548.23999999999</v>
      </c>
    </row>
    <row r="369" spans="1:12" ht="15" x14ac:dyDescent="0.3">
      <c r="C369" s="24" t="s">
        <v>0</v>
      </c>
      <c r="D369" s="24" t="s">
        <v>49</v>
      </c>
      <c r="E369" s="24" t="s">
        <v>53</v>
      </c>
      <c r="F369" s="19" t="s">
        <v>5</v>
      </c>
      <c r="G369" s="20" t="s">
        <v>6</v>
      </c>
      <c r="H369" s="20" t="s">
        <v>7</v>
      </c>
      <c r="I369" s="24" t="s">
        <v>13</v>
      </c>
      <c r="J369" s="24" t="s">
        <v>69</v>
      </c>
      <c r="K369" s="24" t="s">
        <v>57</v>
      </c>
    </row>
    <row r="371" spans="1:12" ht="14" x14ac:dyDescent="0.3">
      <c r="A371" s="1" t="s">
        <v>307</v>
      </c>
      <c r="C371" s="88">
        <v>45540</v>
      </c>
      <c r="D371" s="89" t="s">
        <v>559</v>
      </c>
      <c r="E371" s="89" t="s">
        <v>467</v>
      </c>
      <c r="F371" s="56" t="s">
        <v>560</v>
      </c>
      <c r="G371" s="54">
        <f>358*40</f>
        <v>14320</v>
      </c>
      <c r="H371" s="54">
        <v>2.5299999999999998</v>
      </c>
      <c r="I371" s="54">
        <f>G371*H371</f>
        <v>36229.599999999999</v>
      </c>
      <c r="J371" s="132"/>
      <c r="K371" s="54">
        <f>K370+I371-J371</f>
        <v>36229.599999999999</v>
      </c>
    </row>
    <row r="372" spans="1:12" ht="14" x14ac:dyDescent="0.3">
      <c r="A372" s="318" t="s">
        <v>612</v>
      </c>
      <c r="B372" s="318"/>
      <c r="C372" s="344">
        <v>45544</v>
      </c>
      <c r="D372" s="91" t="s">
        <v>559</v>
      </c>
      <c r="E372" s="91" t="s">
        <v>40</v>
      </c>
      <c r="F372" s="75" t="s">
        <v>605</v>
      </c>
      <c r="G372" s="149">
        <v>-1301.82</v>
      </c>
      <c r="H372" s="149">
        <v>2.5299999999999998</v>
      </c>
      <c r="I372" s="149">
        <f>G372*H372</f>
        <v>-3293.6045999999997</v>
      </c>
      <c r="J372" s="148"/>
      <c r="K372" s="149">
        <f t="shared" ref="K372:K379" si="34">K371+I372-J372</f>
        <v>32935.9954</v>
      </c>
    </row>
    <row r="373" spans="1:12" ht="14" x14ac:dyDescent="0.3">
      <c r="A373" s="345"/>
      <c r="B373" s="345"/>
      <c r="C373" s="346">
        <v>45549</v>
      </c>
      <c r="D373" s="89" t="s">
        <v>559</v>
      </c>
      <c r="E373" s="347" t="s">
        <v>66</v>
      </c>
      <c r="F373" s="348" t="s">
        <v>709</v>
      </c>
      <c r="G373" s="349"/>
      <c r="H373" s="349"/>
      <c r="I373" s="349">
        <v>1185</v>
      </c>
      <c r="J373" s="350"/>
      <c r="K373" s="349">
        <f t="shared" si="34"/>
        <v>34120.9954</v>
      </c>
    </row>
    <row r="374" spans="1:12" ht="14" x14ac:dyDescent="0.3">
      <c r="A374" s="345"/>
      <c r="B374" s="345"/>
      <c r="C374" s="346">
        <v>45549</v>
      </c>
      <c r="D374" s="89" t="s">
        <v>559</v>
      </c>
      <c r="E374" s="347" t="s">
        <v>66</v>
      </c>
      <c r="F374" s="348" t="s">
        <v>355</v>
      </c>
      <c r="G374" s="349"/>
      <c r="H374" s="349"/>
      <c r="I374" s="349">
        <v>60</v>
      </c>
      <c r="J374" s="350"/>
      <c r="K374" s="349">
        <f t="shared" si="34"/>
        <v>34180.9954</v>
      </c>
      <c r="L374" s="1">
        <f>K374/40</f>
        <v>854.52488500000004</v>
      </c>
    </row>
    <row r="375" spans="1:12" ht="14" x14ac:dyDescent="0.3">
      <c r="A375" s="345"/>
      <c r="B375" s="345"/>
      <c r="C375" s="346">
        <v>45549</v>
      </c>
      <c r="D375" s="89" t="s">
        <v>559</v>
      </c>
      <c r="E375" s="347" t="s">
        <v>69</v>
      </c>
      <c r="F375" s="348" t="s">
        <v>746</v>
      </c>
      <c r="G375" s="349"/>
      <c r="H375" s="349"/>
      <c r="I375" s="349"/>
      <c r="J375" s="350">
        <f>1165*30</f>
        <v>34950</v>
      </c>
      <c r="K375" s="349">
        <f t="shared" si="34"/>
        <v>-769.00460000000021</v>
      </c>
    </row>
    <row r="376" spans="1:12" ht="14" x14ac:dyDescent="0.3">
      <c r="A376" s="345"/>
      <c r="B376" s="345"/>
      <c r="C376" s="346">
        <v>45553</v>
      </c>
      <c r="D376" s="89" t="s">
        <v>559</v>
      </c>
      <c r="E376" s="347" t="s">
        <v>69</v>
      </c>
      <c r="F376" s="348" t="s">
        <v>743</v>
      </c>
      <c r="G376" s="349"/>
      <c r="H376" s="349"/>
      <c r="I376" s="349"/>
      <c r="J376" s="350">
        <f>1170*5</f>
        <v>5850</v>
      </c>
      <c r="K376" s="349">
        <f t="shared" si="34"/>
        <v>-6619.0046000000002</v>
      </c>
    </row>
    <row r="377" spans="1:12" ht="14" x14ac:dyDescent="0.3">
      <c r="A377" s="345"/>
      <c r="B377" s="345"/>
      <c r="C377" s="346">
        <v>45553</v>
      </c>
      <c r="D377" s="89" t="s">
        <v>559</v>
      </c>
      <c r="E377" s="347" t="s">
        <v>69</v>
      </c>
      <c r="F377" s="348" t="s">
        <v>748</v>
      </c>
      <c r="G377" s="349"/>
      <c r="H377" s="349"/>
      <c r="I377" s="349"/>
      <c r="J377" s="350">
        <f>1170*5</f>
        <v>5850</v>
      </c>
      <c r="K377" s="349">
        <f t="shared" si="34"/>
        <v>-12469.0046</v>
      </c>
    </row>
    <row r="378" spans="1:12" ht="14" x14ac:dyDescent="0.3">
      <c r="C378" s="88"/>
      <c r="D378" s="89"/>
      <c r="E378" s="89"/>
      <c r="F378" s="56"/>
      <c r="G378" s="54"/>
      <c r="H378" s="54"/>
      <c r="I378" s="54"/>
      <c r="J378" s="132"/>
      <c r="K378" s="149">
        <f t="shared" si="34"/>
        <v>-12469.0046</v>
      </c>
    </row>
    <row r="379" spans="1:12" ht="15" x14ac:dyDescent="0.3">
      <c r="C379" s="88"/>
      <c r="D379" s="89"/>
      <c r="E379" s="89"/>
      <c r="F379" s="109" t="s">
        <v>610</v>
      </c>
      <c r="G379" s="54"/>
      <c r="H379" s="54"/>
      <c r="I379" s="54"/>
      <c r="J379" s="132"/>
      <c r="K379" s="54">
        <f t="shared" si="34"/>
        <v>-12469.0046</v>
      </c>
    </row>
    <row r="382" spans="1:12" ht="15" x14ac:dyDescent="0.3">
      <c r="C382" s="24" t="s">
        <v>0</v>
      </c>
      <c r="D382" s="24" t="s">
        <v>49</v>
      </c>
      <c r="E382" s="24" t="s">
        <v>53</v>
      </c>
      <c r="F382" s="19" t="s">
        <v>5</v>
      </c>
      <c r="G382" s="20" t="s">
        <v>6</v>
      </c>
      <c r="H382" s="20" t="s">
        <v>7</v>
      </c>
      <c r="I382" s="24" t="s">
        <v>13</v>
      </c>
      <c r="J382" s="24" t="s">
        <v>69</v>
      </c>
      <c r="K382" s="24" t="s">
        <v>57</v>
      </c>
    </row>
    <row r="384" spans="1:12" ht="14" x14ac:dyDescent="0.3">
      <c r="A384" s="1" t="s">
        <v>307</v>
      </c>
      <c r="C384" s="88">
        <v>45544</v>
      </c>
      <c r="D384" s="89" t="s">
        <v>603</v>
      </c>
      <c r="E384" s="89" t="s">
        <v>66</v>
      </c>
      <c r="F384" s="56" t="s">
        <v>690</v>
      </c>
      <c r="G384" s="54">
        <v>87</v>
      </c>
      <c r="H384" s="54">
        <v>2.5299999999999998</v>
      </c>
      <c r="I384" s="54">
        <f>G384*H384</f>
        <v>220.10999999999999</v>
      </c>
      <c r="J384" s="132"/>
      <c r="K384" s="54">
        <f>K383+I384-J384</f>
        <v>220.10999999999999</v>
      </c>
    </row>
    <row r="385" spans="1:13" ht="14" x14ac:dyDescent="0.3">
      <c r="A385" s="318" t="s">
        <v>612</v>
      </c>
      <c r="B385" s="318"/>
      <c r="C385" s="344">
        <v>45544</v>
      </c>
      <c r="D385" s="91" t="s">
        <v>603</v>
      </c>
      <c r="E385" s="91" t="s">
        <v>40</v>
      </c>
      <c r="F385" s="75" t="s">
        <v>604</v>
      </c>
      <c r="G385" s="149">
        <v>-2251.7800000000002</v>
      </c>
      <c r="H385" s="149">
        <v>2.5299999999999998</v>
      </c>
      <c r="I385" s="149">
        <f>G385*H385</f>
        <v>-5697.0034000000005</v>
      </c>
      <c r="J385" s="148"/>
      <c r="K385" s="149">
        <f t="shared" ref="K385:K404" si="35">K384+I385-J385</f>
        <v>-5476.8934000000008</v>
      </c>
    </row>
    <row r="386" spans="1:13" ht="14" x14ac:dyDescent="0.3">
      <c r="A386" s="318" t="s">
        <v>612</v>
      </c>
      <c r="B386" s="318"/>
      <c r="C386" s="344">
        <v>45544</v>
      </c>
      <c r="D386" s="91" t="s">
        <v>603</v>
      </c>
      <c r="E386" s="91" t="s">
        <v>66</v>
      </c>
      <c r="F386" s="75" t="s">
        <v>20</v>
      </c>
      <c r="G386" s="149">
        <v>874.8</v>
      </c>
      <c r="H386" s="149">
        <v>2.5299999999999998</v>
      </c>
      <c r="I386" s="149">
        <f>G386*H386</f>
        <v>2213.2439999999997</v>
      </c>
      <c r="J386" s="148"/>
      <c r="K386" s="149">
        <f t="shared" si="35"/>
        <v>-3263.6494000000012</v>
      </c>
    </row>
    <row r="387" spans="1:13" ht="14" x14ac:dyDescent="0.3">
      <c r="A387" s="1" t="s">
        <v>307</v>
      </c>
      <c r="B387" s="1">
        <v>8</v>
      </c>
      <c r="C387" s="88">
        <v>45547</v>
      </c>
      <c r="D387" s="89" t="s">
        <v>603</v>
      </c>
      <c r="E387" s="89" t="s">
        <v>467</v>
      </c>
      <c r="F387" s="56" t="s">
        <v>662</v>
      </c>
      <c r="G387" s="54">
        <f>750*8</f>
        <v>6000</v>
      </c>
      <c r="H387" s="54">
        <v>2.5299999999999998</v>
      </c>
      <c r="I387" s="54">
        <f t="shared" ref="I387:I398" si="36">G387*H387</f>
        <v>15179.999999999998</v>
      </c>
      <c r="J387" s="132"/>
      <c r="K387" s="54">
        <f t="shared" si="35"/>
        <v>11916.350599999998</v>
      </c>
      <c r="M387" s="14" t="s">
        <v>1294</v>
      </c>
    </row>
    <row r="388" spans="1:13" ht="14" x14ac:dyDescent="0.3">
      <c r="A388" s="1" t="s">
        <v>307</v>
      </c>
      <c r="B388" s="1">
        <v>5</v>
      </c>
      <c r="C388" s="88">
        <v>45547</v>
      </c>
      <c r="D388" s="89" t="s">
        <v>603</v>
      </c>
      <c r="E388" s="89" t="s">
        <v>467</v>
      </c>
      <c r="F388" s="56" t="s">
        <v>663</v>
      </c>
      <c r="G388" s="54">
        <f>770*5</f>
        <v>3850</v>
      </c>
      <c r="H388" s="54">
        <v>2.5299999999999998</v>
      </c>
      <c r="I388" s="54">
        <f t="shared" si="36"/>
        <v>9740.5</v>
      </c>
      <c r="J388" s="132"/>
      <c r="K388" s="54">
        <f t="shared" si="35"/>
        <v>21656.850599999998</v>
      </c>
      <c r="M388" s="14" t="s">
        <v>1294</v>
      </c>
    </row>
    <row r="389" spans="1:13" ht="14" x14ac:dyDescent="0.3">
      <c r="A389" s="1" t="s">
        <v>307</v>
      </c>
      <c r="B389" s="1">
        <v>3</v>
      </c>
      <c r="C389" s="88">
        <v>45547</v>
      </c>
      <c r="D389" s="89" t="s">
        <v>603</v>
      </c>
      <c r="E389" s="89" t="s">
        <v>467</v>
      </c>
      <c r="F389" s="56" t="s">
        <v>664</v>
      </c>
      <c r="G389" s="54">
        <f>745*3</f>
        <v>2235</v>
      </c>
      <c r="H389" s="54">
        <v>2.5299999999999998</v>
      </c>
      <c r="I389" s="54">
        <f t="shared" si="36"/>
        <v>5654.5499999999993</v>
      </c>
      <c r="J389" s="132"/>
      <c r="K389" s="54">
        <f t="shared" si="35"/>
        <v>27311.400599999997</v>
      </c>
      <c r="M389" s="14" t="s">
        <v>1294</v>
      </c>
    </row>
    <row r="390" spans="1:13" ht="14" x14ac:dyDescent="0.3">
      <c r="A390" s="1" t="s">
        <v>307</v>
      </c>
      <c r="B390" s="1">
        <v>2</v>
      </c>
      <c r="C390" s="88">
        <v>45547</v>
      </c>
      <c r="D390" s="89" t="s">
        <v>603</v>
      </c>
      <c r="E390" s="89" t="s">
        <v>467</v>
      </c>
      <c r="F390" s="56" t="s">
        <v>665</v>
      </c>
      <c r="G390" s="54">
        <f>780*2</f>
        <v>1560</v>
      </c>
      <c r="H390" s="54">
        <v>2.5299999999999998</v>
      </c>
      <c r="I390" s="54">
        <f t="shared" si="36"/>
        <v>3946.7999999999997</v>
      </c>
      <c r="J390" s="132"/>
      <c r="K390" s="54">
        <f t="shared" si="35"/>
        <v>31258.200599999996</v>
      </c>
      <c r="M390" s="14" t="s">
        <v>1294</v>
      </c>
    </row>
    <row r="391" spans="1:13" ht="14" x14ac:dyDescent="0.3">
      <c r="A391" s="1" t="s">
        <v>307</v>
      </c>
      <c r="B391" s="1">
        <v>1</v>
      </c>
      <c r="C391" s="88">
        <v>45547</v>
      </c>
      <c r="D391" s="89" t="s">
        <v>603</v>
      </c>
      <c r="E391" s="89" t="s">
        <v>467</v>
      </c>
      <c r="F391" s="56" t="s">
        <v>666</v>
      </c>
      <c r="G391" s="54">
        <f>745*1</f>
        <v>745</v>
      </c>
      <c r="H391" s="54">
        <v>2.5299999999999998</v>
      </c>
      <c r="I391" s="54">
        <f t="shared" si="36"/>
        <v>1884.85</v>
      </c>
      <c r="J391" s="132"/>
      <c r="K391" s="54">
        <f t="shared" si="35"/>
        <v>33143.050599999995</v>
      </c>
      <c r="M391" s="14" t="s">
        <v>1294</v>
      </c>
    </row>
    <row r="392" spans="1:13" ht="14" x14ac:dyDescent="0.3">
      <c r="A392" s="1" t="s">
        <v>307</v>
      </c>
      <c r="B392" s="1">
        <v>2</v>
      </c>
      <c r="C392" s="88">
        <v>45547</v>
      </c>
      <c r="D392" s="89" t="s">
        <v>603</v>
      </c>
      <c r="E392" s="89" t="s">
        <v>467</v>
      </c>
      <c r="F392" s="56" t="s">
        <v>667</v>
      </c>
      <c r="G392" s="54">
        <f>799*2</f>
        <v>1598</v>
      </c>
      <c r="H392" s="54">
        <v>2.5299999999999998</v>
      </c>
      <c r="I392" s="54">
        <f t="shared" si="36"/>
        <v>4042.9399999999996</v>
      </c>
      <c r="J392" s="132"/>
      <c r="K392" s="54">
        <f t="shared" si="35"/>
        <v>37185.990599999997</v>
      </c>
      <c r="M392" s="14" t="s">
        <v>1294</v>
      </c>
    </row>
    <row r="393" spans="1:13" ht="14" x14ac:dyDescent="0.3">
      <c r="A393" s="1" t="s">
        <v>307</v>
      </c>
      <c r="B393" s="1">
        <v>2</v>
      </c>
      <c r="C393" s="88">
        <v>45547</v>
      </c>
      <c r="D393" s="89" t="s">
        <v>603</v>
      </c>
      <c r="E393" s="89" t="s">
        <v>467</v>
      </c>
      <c r="F393" s="56" t="s">
        <v>668</v>
      </c>
      <c r="G393" s="54">
        <f>799*2</f>
        <v>1598</v>
      </c>
      <c r="H393" s="54">
        <v>2.5299999999999998</v>
      </c>
      <c r="I393" s="54">
        <f t="shared" si="36"/>
        <v>4042.9399999999996</v>
      </c>
      <c r="J393" s="132"/>
      <c r="K393" s="54">
        <f t="shared" si="35"/>
        <v>41228.9306</v>
      </c>
    </row>
    <row r="394" spans="1:13" ht="14" x14ac:dyDescent="0.3">
      <c r="A394" s="1" t="s">
        <v>307</v>
      </c>
      <c r="B394" s="1">
        <v>8</v>
      </c>
      <c r="C394" s="88">
        <v>45547</v>
      </c>
      <c r="D394" s="89" t="s">
        <v>603</v>
      </c>
      <c r="E394" s="89" t="s">
        <v>467</v>
      </c>
      <c r="F394" s="56" t="s">
        <v>669</v>
      </c>
      <c r="G394" s="54">
        <f>758*8</f>
        <v>6064</v>
      </c>
      <c r="H394" s="54">
        <v>2.5299999999999998</v>
      </c>
      <c r="I394" s="54">
        <f t="shared" si="36"/>
        <v>15341.919999999998</v>
      </c>
      <c r="J394" s="132"/>
      <c r="K394" s="54">
        <f t="shared" si="35"/>
        <v>56570.850599999998</v>
      </c>
      <c r="M394" s="14" t="s">
        <v>1294</v>
      </c>
    </row>
    <row r="395" spans="1:13" ht="14" x14ac:dyDescent="0.3">
      <c r="A395" s="1" t="s">
        <v>307</v>
      </c>
      <c r="B395" s="1">
        <v>1</v>
      </c>
      <c r="C395" s="88">
        <v>45547</v>
      </c>
      <c r="D395" s="89" t="s">
        <v>603</v>
      </c>
      <c r="E395" s="89" t="s">
        <v>467</v>
      </c>
      <c r="F395" s="56" t="s">
        <v>671</v>
      </c>
      <c r="G395" s="54">
        <f>759*1</f>
        <v>759</v>
      </c>
      <c r="H395" s="54">
        <v>2.5299999999999998</v>
      </c>
      <c r="I395" s="54">
        <f t="shared" si="36"/>
        <v>1920.2699999999998</v>
      </c>
      <c r="J395" s="132"/>
      <c r="K395" s="54">
        <f t="shared" si="35"/>
        <v>58491.120599999995</v>
      </c>
    </row>
    <row r="396" spans="1:13" ht="14" x14ac:dyDescent="0.3">
      <c r="A396" s="1" t="s">
        <v>307</v>
      </c>
      <c r="B396" s="1">
        <v>1</v>
      </c>
      <c r="C396" s="88">
        <v>45547</v>
      </c>
      <c r="D396" s="89" t="s">
        <v>603</v>
      </c>
      <c r="E396" s="89" t="s">
        <v>467</v>
      </c>
      <c r="F396" s="56" t="s">
        <v>672</v>
      </c>
      <c r="G396" s="54">
        <f>799*1</f>
        <v>799</v>
      </c>
      <c r="H396" s="54">
        <v>2.5299999999999998</v>
      </c>
      <c r="I396" s="54">
        <f t="shared" si="36"/>
        <v>2021.4699999999998</v>
      </c>
      <c r="J396" s="132"/>
      <c r="K396" s="54">
        <f t="shared" si="35"/>
        <v>60512.590599999996</v>
      </c>
    </row>
    <row r="397" spans="1:13" ht="14" x14ac:dyDescent="0.3">
      <c r="A397" s="1" t="s">
        <v>307</v>
      </c>
      <c r="B397" s="1">
        <v>3</v>
      </c>
      <c r="C397" s="88">
        <v>45547</v>
      </c>
      <c r="D397" s="89" t="s">
        <v>603</v>
      </c>
      <c r="E397" s="89" t="s">
        <v>467</v>
      </c>
      <c r="F397" s="56" t="s">
        <v>673</v>
      </c>
      <c r="G397" s="54">
        <f>799*3</f>
        <v>2397</v>
      </c>
      <c r="H397" s="54">
        <v>2.5299999999999998</v>
      </c>
      <c r="I397" s="54">
        <f t="shared" si="36"/>
        <v>6064.41</v>
      </c>
      <c r="J397" s="132"/>
      <c r="K397" s="54">
        <f t="shared" si="35"/>
        <v>66577.000599999999</v>
      </c>
    </row>
    <row r="398" spans="1:13" ht="14" x14ac:dyDescent="0.3">
      <c r="A398" s="1" t="s">
        <v>307</v>
      </c>
      <c r="B398" s="1">
        <v>6</v>
      </c>
      <c r="C398" s="88">
        <v>45547</v>
      </c>
      <c r="D398" s="89" t="s">
        <v>603</v>
      </c>
      <c r="E398" s="89" t="s">
        <v>467</v>
      </c>
      <c r="F398" s="56" t="s">
        <v>674</v>
      </c>
      <c r="G398" s="54">
        <f>795*6</f>
        <v>4770</v>
      </c>
      <c r="H398" s="54">
        <v>2.5299999999999998</v>
      </c>
      <c r="I398" s="54">
        <f t="shared" si="36"/>
        <v>12068.099999999999</v>
      </c>
      <c r="J398" s="132"/>
      <c r="K398" s="54">
        <f t="shared" si="35"/>
        <v>78645.100600000005</v>
      </c>
    </row>
    <row r="399" spans="1:13" ht="14" x14ac:dyDescent="0.3">
      <c r="C399" s="88"/>
      <c r="D399" s="89"/>
      <c r="E399" s="89"/>
      <c r="F399" s="56"/>
      <c r="G399" s="54"/>
      <c r="H399" s="54"/>
      <c r="I399" s="54"/>
      <c r="J399" s="132"/>
      <c r="K399" s="54">
        <f t="shared" si="35"/>
        <v>78645.100600000005</v>
      </c>
    </row>
    <row r="400" spans="1:13" ht="14" x14ac:dyDescent="0.3">
      <c r="C400" s="88">
        <v>45548</v>
      </c>
      <c r="D400" s="89" t="s">
        <v>603</v>
      </c>
      <c r="E400" s="89" t="s">
        <v>66</v>
      </c>
      <c r="F400" s="56" t="s">
        <v>705</v>
      </c>
      <c r="G400" s="54"/>
      <c r="H400" s="54"/>
      <c r="I400" s="54">
        <v>1060</v>
      </c>
      <c r="J400" s="132"/>
      <c r="K400" s="54">
        <f t="shared" si="35"/>
        <v>79705.100600000005</v>
      </c>
    </row>
    <row r="401" spans="1:11" ht="14" x14ac:dyDescent="0.3">
      <c r="C401" s="88">
        <v>45548</v>
      </c>
      <c r="D401" s="89" t="s">
        <v>603</v>
      </c>
      <c r="E401" s="89" t="s">
        <v>69</v>
      </c>
      <c r="F401" s="56" t="s">
        <v>707</v>
      </c>
      <c r="G401" s="54"/>
      <c r="H401" s="54"/>
      <c r="I401" s="54"/>
      <c r="J401" s="132">
        <f>2780*23</f>
        <v>63940</v>
      </c>
      <c r="K401" s="54">
        <f t="shared" si="35"/>
        <v>15765.100600000005</v>
      </c>
    </row>
    <row r="402" spans="1:11" ht="14" x14ac:dyDescent="0.3">
      <c r="C402" s="88"/>
      <c r="D402" s="89"/>
      <c r="E402" s="89"/>
      <c r="F402" s="56"/>
      <c r="G402" s="54"/>
      <c r="H402" s="54"/>
      <c r="I402" s="54"/>
      <c r="J402" s="132"/>
      <c r="K402" s="54">
        <f t="shared" si="35"/>
        <v>15765.100600000005</v>
      </c>
    </row>
    <row r="403" spans="1:11" ht="14" x14ac:dyDescent="0.3">
      <c r="C403" s="88"/>
      <c r="D403" s="89"/>
      <c r="E403" s="89"/>
      <c r="F403" s="56"/>
      <c r="G403" s="54"/>
      <c r="H403" s="54"/>
      <c r="I403" s="54"/>
      <c r="J403" s="132"/>
      <c r="K403" s="54">
        <f t="shared" si="35"/>
        <v>15765.100600000005</v>
      </c>
    </row>
    <row r="404" spans="1:11" ht="14" x14ac:dyDescent="0.3">
      <c r="C404" s="88"/>
      <c r="D404" s="89"/>
      <c r="E404" s="89"/>
      <c r="F404" s="56"/>
      <c r="G404" s="54"/>
      <c r="H404" s="54"/>
      <c r="I404" s="54"/>
      <c r="J404" s="132"/>
      <c r="K404" s="54">
        <f t="shared" si="35"/>
        <v>15765.100600000005</v>
      </c>
    </row>
    <row r="405" spans="1:11" ht="15" x14ac:dyDescent="0.3">
      <c r="C405" s="88"/>
      <c r="D405" s="89"/>
      <c r="E405" s="89"/>
      <c r="F405" s="109" t="s">
        <v>682</v>
      </c>
      <c r="G405" s="54"/>
      <c r="H405" s="54"/>
      <c r="I405" s="54"/>
      <c r="J405" s="132"/>
      <c r="K405" s="54">
        <f t="shared" ref="K405" si="37">K404+I405-J405</f>
        <v>15765.100600000005</v>
      </c>
    </row>
    <row r="408" spans="1:11" ht="15" x14ac:dyDescent="0.3">
      <c r="C408" s="24" t="s">
        <v>0</v>
      </c>
      <c r="D408" s="24" t="s">
        <v>49</v>
      </c>
      <c r="E408" s="24" t="s">
        <v>53</v>
      </c>
      <c r="F408" s="19" t="s">
        <v>5</v>
      </c>
      <c r="G408" s="20" t="s">
        <v>6</v>
      </c>
      <c r="H408" s="20" t="s">
        <v>7</v>
      </c>
      <c r="I408" s="24" t="s">
        <v>13</v>
      </c>
      <c r="J408" s="24" t="s">
        <v>69</v>
      </c>
      <c r="K408" s="24" t="s">
        <v>57</v>
      </c>
    </row>
    <row r="410" spans="1:11" ht="14" x14ac:dyDescent="0.3">
      <c r="A410" s="1" t="s">
        <v>307</v>
      </c>
      <c r="C410" s="88">
        <v>45548</v>
      </c>
      <c r="D410" s="89" t="s">
        <v>681</v>
      </c>
      <c r="E410" s="89" t="s">
        <v>467</v>
      </c>
      <c r="F410" s="56" t="s">
        <v>684</v>
      </c>
      <c r="G410" s="54">
        <f>799*10</f>
        <v>7990</v>
      </c>
      <c r="H410" s="54">
        <v>2.5299999999999998</v>
      </c>
      <c r="I410" s="54">
        <f>G410*H410</f>
        <v>20214.699999999997</v>
      </c>
      <c r="J410" s="132"/>
      <c r="K410" s="54">
        <f>K409+I410-J410</f>
        <v>20214.699999999997</v>
      </c>
    </row>
    <row r="411" spans="1:11" ht="14" x14ac:dyDescent="0.3">
      <c r="A411" s="318"/>
      <c r="C411" s="360">
        <v>45548</v>
      </c>
      <c r="D411" s="361"/>
      <c r="E411" s="361" t="s">
        <v>40</v>
      </c>
      <c r="F411" s="362" t="s">
        <v>920</v>
      </c>
      <c r="G411" s="363">
        <f>-G410/11</f>
        <v>-726.36363636363637</v>
      </c>
      <c r="H411" s="363">
        <v>2.5299999999999998</v>
      </c>
      <c r="I411" s="363">
        <f>G411*H411</f>
        <v>-1837.6999999999998</v>
      </c>
      <c r="J411" s="132"/>
      <c r="K411" s="54">
        <f t="shared" ref="K411:K413" si="38">K410+I411-J411</f>
        <v>18376.999999999996</v>
      </c>
    </row>
    <row r="412" spans="1:11" ht="14" x14ac:dyDescent="0.3">
      <c r="C412" s="88"/>
      <c r="D412" s="89"/>
      <c r="E412" s="89"/>
      <c r="F412" s="56"/>
      <c r="G412" s="54"/>
      <c r="H412" s="54"/>
      <c r="I412" s="54"/>
      <c r="J412" s="132"/>
      <c r="K412" s="54">
        <f t="shared" si="38"/>
        <v>18376.999999999996</v>
      </c>
    </row>
    <row r="413" spans="1:11" ht="15" x14ac:dyDescent="0.3">
      <c r="C413" s="88"/>
      <c r="D413" s="89"/>
      <c r="E413" s="89"/>
      <c r="F413" s="109" t="s">
        <v>683</v>
      </c>
      <c r="G413" s="54"/>
      <c r="H413" s="54"/>
      <c r="I413" s="54"/>
      <c r="J413" s="132"/>
      <c r="K413" s="54">
        <f t="shared" si="38"/>
        <v>18376.999999999996</v>
      </c>
    </row>
    <row r="417" spans="1:13" ht="15" x14ac:dyDescent="0.3">
      <c r="A417" s="1" t="s">
        <v>759</v>
      </c>
      <c r="C417" s="24" t="s">
        <v>0</v>
      </c>
      <c r="D417" s="24" t="s">
        <v>49</v>
      </c>
      <c r="E417" s="24" t="s">
        <v>53</v>
      </c>
      <c r="F417" s="19" t="s">
        <v>5</v>
      </c>
      <c r="G417" s="20" t="s">
        <v>6</v>
      </c>
      <c r="H417" s="20" t="s">
        <v>7</v>
      </c>
      <c r="I417" s="24" t="s">
        <v>13</v>
      </c>
      <c r="J417" s="24" t="s">
        <v>69</v>
      </c>
      <c r="K417" s="24" t="s">
        <v>57</v>
      </c>
    </row>
    <row r="419" spans="1:13" ht="14" x14ac:dyDescent="0.3">
      <c r="B419" s="1" t="s">
        <v>775</v>
      </c>
      <c r="C419" s="88">
        <v>45549</v>
      </c>
      <c r="D419" s="89" t="s">
        <v>791</v>
      </c>
      <c r="E419" s="89" t="s">
        <v>467</v>
      </c>
      <c r="F419" s="56" t="s">
        <v>782</v>
      </c>
      <c r="G419" s="54">
        <f>2147*4</f>
        <v>8588</v>
      </c>
      <c r="H419" s="54">
        <f>I419/G419</f>
        <v>2.5660875640428507</v>
      </c>
      <c r="I419" s="54">
        <v>22037.56</v>
      </c>
      <c r="J419" s="132"/>
      <c r="K419" s="54">
        <f>K418+I419-J419</f>
        <v>22037.56</v>
      </c>
      <c r="L419" s="1">
        <v>22037.56</v>
      </c>
      <c r="M419" s="14" t="s">
        <v>1295</v>
      </c>
    </row>
    <row r="420" spans="1:13" ht="14" x14ac:dyDescent="0.3">
      <c r="B420" s="1" t="s">
        <v>775</v>
      </c>
      <c r="C420" s="88">
        <v>45549</v>
      </c>
      <c r="D420" s="89" t="s">
        <v>791</v>
      </c>
      <c r="E420" s="89" t="s">
        <v>467</v>
      </c>
      <c r="F420" s="56" t="s">
        <v>783</v>
      </c>
      <c r="G420" s="54">
        <f>2497*4</f>
        <v>9988</v>
      </c>
      <c r="H420" s="54">
        <f>I420/G420</f>
        <v>2.5660873047657189</v>
      </c>
      <c r="I420" s="54">
        <v>25630.080000000002</v>
      </c>
      <c r="J420" s="132"/>
      <c r="K420" s="54">
        <f t="shared" ref="K420:K426" si="39">K419+I420-J420</f>
        <v>47667.64</v>
      </c>
      <c r="L420" s="1">
        <v>25630.080000000002</v>
      </c>
      <c r="M420" s="14" t="s">
        <v>1295</v>
      </c>
    </row>
    <row r="421" spans="1:13" ht="14" x14ac:dyDescent="0.3">
      <c r="A421" s="1" t="s">
        <v>789</v>
      </c>
      <c r="B421" s="1" t="s">
        <v>775</v>
      </c>
      <c r="C421" s="88">
        <v>45549</v>
      </c>
      <c r="D421" s="89" t="s">
        <v>791</v>
      </c>
      <c r="E421" s="89" t="s">
        <v>467</v>
      </c>
      <c r="F421" s="56" t="s">
        <v>787</v>
      </c>
      <c r="G421" s="54">
        <f>2147*5</f>
        <v>10735</v>
      </c>
      <c r="H421" s="54">
        <v>2.57</v>
      </c>
      <c r="I421" s="54">
        <f>G421*H421</f>
        <v>27588.949999999997</v>
      </c>
      <c r="J421" s="132"/>
      <c r="K421" s="54">
        <f t="shared" si="39"/>
        <v>75256.59</v>
      </c>
    </row>
    <row r="422" spans="1:13" ht="14" x14ac:dyDescent="0.3">
      <c r="A422" s="1" t="s">
        <v>790</v>
      </c>
      <c r="B422" s="1" t="s">
        <v>775</v>
      </c>
      <c r="C422" s="88">
        <v>45549</v>
      </c>
      <c r="D422" s="89" t="s">
        <v>791</v>
      </c>
      <c r="E422" s="89" t="s">
        <v>467</v>
      </c>
      <c r="F422" s="56" t="s">
        <v>788</v>
      </c>
      <c r="G422" s="54">
        <f>2497*5</f>
        <v>12485</v>
      </c>
      <c r="H422" s="54">
        <v>2.57</v>
      </c>
      <c r="I422" s="54">
        <f>G422*H422</f>
        <v>32086.449999999997</v>
      </c>
      <c r="J422" s="132"/>
      <c r="K422" s="54">
        <f t="shared" si="39"/>
        <v>107343.03999999999</v>
      </c>
    </row>
    <row r="423" spans="1:13" ht="14" x14ac:dyDescent="0.3">
      <c r="C423" s="360">
        <v>45549</v>
      </c>
      <c r="D423" s="361"/>
      <c r="E423" s="361" t="s">
        <v>40</v>
      </c>
      <c r="F423" s="362" t="s">
        <v>801</v>
      </c>
      <c r="G423" s="363">
        <f>-41796/11</f>
        <v>-3799.6363636363635</v>
      </c>
      <c r="H423" s="363">
        <v>2.57</v>
      </c>
      <c r="I423" s="363">
        <f>G423*H423</f>
        <v>-9765.0654545454545</v>
      </c>
      <c r="J423" s="132"/>
      <c r="K423" s="54">
        <f t="shared" si="39"/>
        <v>97577.974545454534</v>
      </c>
    </row>
    <row r="424" spans="1:13" ht="14" x14ac:dyDescent="0.3">
      <c r="C424" s="88"/>
      <c r="D424" s="89"/>
      <c r="E424" s="89"/>
      <c r="F424" s="56"/>
      <c r="G424" s="54"/>
      <c r="H424" s="54"/>
      <c r="I424" s="54"/>
      <c r="J424" s="132"/>
      <c r="K424" s="54">
        <f t="shared" si="39"/>
        <v>97577.974545454534</v>
      </c>
    </row>
    <row r="425" spans="1:13" ht="14" x14ac:dyDescent="0.3">
      <c r="C425" s="88"/>
      <c r="D425" s="89"/>
      <c r="E425" s="89"/>
      <c r="F425" s="56"/>
      <c r="G425" s="54"/>
      <c r="H425" s="54"/>
      <c r="I425" s="54"/>
      <c r="J425" s="132"/>
      <c r="K425" s="54">
        <f t="shared" si="39"/>
        <v>97577.974545454534</v>
      </c>
    </row>
    <row r="426" spans="1:13" ht="14" x14ac:dyDescent="0.3">
      <c r="C426" s="88"/>
      <c r="D426" s="89"/>
      <c r="E426" s="89"/>
      <c r="F426" s="56"/>
      <c r="G426" s="54"/>
      <c r="H426" s="54"/>
      <c r="I426" s="54"/>
      <c r="J426" s="132"/>
      <c r="K426" s="54">
        <f t="shared" si="39"/>
        <v>97577.974545454534</v>
      </c>
    </row>
    <row r="427" spans="1:13" ht="14" x14ac:dyDescent="0.3">
      <c r="C427" s="88"/>
      <c r="D427" s="89"/>
      <c r="E427" s="89"/>
      <c r="F427" s="56"/>
      <c r="G427" s="54"/>
      <c r="H427" s="54"/>
      <c r="I427" s="54"/>
      <c r="J427" s="132"/>
      <c r="K427" s="54">
        <f t="shared" ref="K427:K428" si="40">K426+I427-J427</f>
        <v>97577.974545454534</v>
      </c>
    </row>
    <row r="428" spans="1:13" ht="15" x14ac:dyDescent="0.3">
      <c r="C428" s="88"/>
      <c r="D428" s="89"/>
      <c r="E428" s="89"/>
      <c r="F428" s="109" t="s">
        <v>784</v>
      </c>
      <c r="G428" s="54"/>
      <c r="H428" s="54"/>
      <c r="I428" s="54"/>
      <c r="J428" s="132"/>
      <c r="K428" s="54">
        <f t="shared" si="40"/>
        <v>97577.974545454534</v>
      </c>
    </row>
    <row r="430" spans="1:13" ht="15" x14ac:dyDescent="0.3">
      <c r="C430" s="24" t="s">
        <v>0</v>
      </c>
      <c r="D430" s="24" t="s">
        <v>717</v>
      </c>
      <c r="E430" s="24" t="s">
        <v>53</v>
      </c>
      <c r="F430" s="19" t="s">
        <v>5</v>
      </c>
      <c r="G430" s="20" t="s">
        <v>6</v>
      </c>
      <c r="H430" s="20" t="s">
        <v>7</v>
      </c>
      <c r="I430" s="24" t="s">
        <v>13</v>
      </c>
      <c r="J430" s="24" t="s">
        <v>69</v>
      </c>
      <c r="K430" s="24" t="s">
        <v>57</v>
      </c>
    </row>
    <row r="432" spans="1:13" ht="14" x14ac:dyDescent="0.3">
      <c r="A432" s="1" t="s">
        <v>156</v>
      </c>
      <c r="C432" s="88">
        <v>45549</v>
      </c>
      <c r="D432" s="89" t="s">
        <v>816</v>
      </c>
      <c r="E432" s="89"/>
      <c r="F432" s="56" t="s">
        <v>818</v>
      </c>
      <c r="G432" s="54">
        <f>2147*4</f>
        <v>8588</v>
      </c>
      <c r="H432" s="54">
        <v>2.5299999999999998</v>
      </c>
      <c r="I432" s="54">
        <f>G432*H432</f>
        <v>21727.64</v>
      </c>
      <c r="J432" s="132"/>
      <c r="K432" s="54">
        <f>K431+I432-J432</f>
        <v>21727.64</v>
      </c>
    </row>
    <row r="433" spans="1:11" ht="14" x14ac:dyDescent="0.3">
      <c r="A433" s="1" t="s">
        <v>156</v>
      </c>
      <c r="C433" s="88">
        <v>45549</v>
      </c>
      <c r="D433" s="89" t="s">
        <v>816</v>
      </c>
      <c r="E433" s="89"/>
      <c r="F433" s="56" t="s">
        <v>819</v>
      </c>
      <c r="G433" s="54">
        <f>2497*4</f>
        <v>9988</v>
      </c>
      <c r="H433" s="54">
        <v>2.5299999999999998</v>
      </c>
      <c r="I433" s="54">
        <f t="shared" ref="I433:I435" si="41">G433*H433</f>
        <v>25269.64</v>
      </c>
      <c r="J433" s="132"/>
      <c r="K433" s="54">
        <f t="shared" ref="K433:K441" si="42">K432+I433-J433</f>
        <v>46997.279999999999</v>
      </c>
    </row>
    <row r="434" spans="1:11" ht="14" x14ac:dyDescent="0.3">
      <c r="A434" s="1" t="s">
        <v>725</v>
      </c>
      <c r="C434" s="88">
        <v>45549</v>
      </c>
      <c r="D434" s="89" t="s">
        <v>817</v>
      </c>
      <c r="E434" s="89"/>
      <c r="F434" s="56" t="s">
        <v>821</v>
      </c>
      <c r="G434" s="54">
        <f>2147*5</f>
        <v>10735</v>
      </c>
      <c r="H434" s="54">
        <v>2.5299999999999998</v>
      </c>
      <c r="I434" s="54">
        <f t="shared" si="41"/>
        <v>27159.55</v>
      </c>
      <c r="J434" s="132"/>
      <c r="K434" s="54">
        <f>K433+I434-J434</f>
        <v>74156.83</v>
      </c>
    </row>
    <row r="435" spans="1:11" ht="14" x14ac:dyDescent="0.3">
      <c r="A435" s="1" t="s">
        <v>725</v>
      </c>
      <c r="C435" s="88">
        <v>45549</v>
      </c>
      <c r="D435" s="89" t="s">
        <v>817</v>
      </c>
      <c r="E435" s="89"/>
      <c r="F435" s="56" t="s">
        <v>820</v>
      </c>
      <c r="G435" s="54">
        <f>2497*5</f>
        <v>12485</v>
      </c>
      <c r="H435" s="54">
        <v>2.5299999999999998</v>
      </c>
      <c r="I435" s="54">
        <f t="shared" si="41"/>
        <v>31587.05</v>
      </c>
      <c r="J435" s="132"/>
      <c r="K435" s="54">
        <f t="shared" si="42"/>
        <v>105743.88</v>
      </c>
    </row>
    <row r="436" spans="1:11" ht="14" x14ac:dyDescent="0.3">
      <c r="C436" s="360"/>
      <c r="D436" s="361"/>
      <c r="E436" s="361"/>
      <c r="F436" s="362"/>
      <c r="G436" s="363"/>
      <c r="H436" s="363"/>
      <c r="I436" s="363"/>
      <c r="J436" s="132"/>
      <c r="K436" s="54">
        <f t="shared" si="42"/>
        <v>105743.88</v>
      </c>
    </row>
    <row r="437" spans="1:11" ht="14" x14ac:dyDescent="0.3">
      <c r="C437" s="88"/>
      <c r="D437" s="89"/>
      <c r="E437" s="89"/>
      <c r="F437" s="56"/>
      <c r="G437" s="54"/>
      <c r="H437" s="54"/>
      <c r="I437" s="54"/>
      <c r="J437" s="132"/>
      <c r="K437" s="54">
        <f t="shared" si="42"/>
        <v>105743.88</v>
      </c>
    </row>
    <row r="438" spans="1:11" ht="14" x14ac:dyDescent="0.3">
      <c r="C438" s="88"/>
      <c r="D438" s="89"/>
      <c r="E438" s="89"/>
      <c r="F438" s="56"/>
      <c r="G438" s="54"/>
      <c r="H438" s="54"/>
      <c r="I438" s="54"/>
      <c r="J438" s="132"/>
      <c r="K438" s="54">
        <f t="shared" si="42"/>
        <v>105743.88</v>
      </c>
    </row>
    <row r="439" spans="1:11" ht="14" x14ac:dyDescent="0.3">
      <c r="C439" s="88"/>
      <c r="D439" s="89"/>
      <c r="E439" s="89"/>
      <c r="F439" s="56"/>
      <c r="G439" s="54"/>
      <c r="H439" s="54"/>
      <c r="I439" s="54"/>
      <c r="J439" s="132"/>
      <c r="K439" s="54">
        <f t="shared" si="42"/>
        <v>105743.88</v>
      </c>
    </row>
    <row r="440" spans="1:11" ht="14" x14ac:dyDescent="0.3">
      <c r="C440" s="88"/>
      <c r="D440" s="89"/>
      <c r="E440" s="89"/>
      <c r="F440" s="56"/>
      <c r="G440" s="54"/>
      <c r="H440" s="54"/>
      <c r="I440" s="54"/>
      <c r="J440" s="132"/>
      <c r="K440" s="54">
        <f t="shared" si="42"/>
        <v>105743.88</v>
      </c>
    </row>
    <row r="441" spans="1:11" ht="15" x14ac:dyDescent="0.3">
      <c r="C441" s="88"/>
      <c r="D441" s="89"/>
      <c r="E441" s="89"/>
      <c r="F441" s="109" t="s">
        <v>784</v>
      </c>
      <c r="G441" s="54"/>
      <c r="H441" s="54"/>
      <c r="I441" s="54"/>
      <c r="J441" s="132"/>
      <c r="K441" s="54">
        <f t="shared" si="42"/>
        <v>105743.88</v>
      </c>
    </row>
    <row r="450" spans="1:13" ht="15" x14ac:dyDescent="0.3">
      <c r="A450" s="1" t="s">
        <v>759</v>
      </c>
      <c r="C450" s="24" t="s">
        <v>0</v>
      </c>
      <c r="D450" s="24" t="s">
        <v>49</v>
      </c>
      <c r="E450" s="24" t="s">
        <v>53</v>
      </c>
      <c r="F450" s="19" t="s">
        <v>5</v>
      </c>
      <c r="G450" s="20" t="s">
        <v>6</v>
      </c>
      <c r="H450" s="20" t="s">
        <v>7</v>
      </c>
      <c r="I450" s="24" t="s">
        <v>13</v>
      </c>
      <c r="J450" s="24" t="s">
        <v>69</v>
      </c>
      <c r="K450" s="24" t="s">
        <v>57</v>
      </c>
    </row>
    <row r="452" spans="1:13" ht="14" x14ac:dyDescent="0.3">
      <c r="A452" s="1" t="s">
        <v>307</v>
      </c>
      <c r="B452" s="1" t="s">
        <v>76</v>
      </c>
      <c r="C452" s="88">
        <v>45549</v>
      </c>
      <c r="D452" s="89" t="s">
        <v>792</v>
      </c>
      <c r="E452" s="89" t="s">
        <v>467</v>
      </c>
      <c r="F452" s="77" t="s">
        <v>859</v>
      </c>
      <c r="G452" s="136">
        <f>230*3</f>
        <v>690</v>
      </c>
      <c r="H452" s="136">
        <f>I452/G452</f>
        <v>2.566086956521739</v>
      </c>
      <c r="I452" s="136">
        <v>1770.6</v>
      </c>
      <c r="J452" s="132"/>
      <c r="K452" s="54">
        <f>K451+I452-J452</f>
        <v>1770.6</v>
      </c>
      <c r="M452" s="14" t="s">
        <v>1295</v>
      </c>
    </row>
    <row r="453" spans="1:13" ht="14" x14ac:dyDescent="0.3">
      <c r="B453" s="1" t="s">
        <v>76</v>
      </c>
      <c r="C453" s="88">
        <v>45549</v>
      </c>
      <c r="D453" s="89" t="s">
        <v>792</v>
      </c>
      <c r="E453" s="89" t="s">
        <v>467</v>
      </c>
      <c r="F453" s="56" t="s">
        <v>860</v>
      </c>
      <c r="G453" s="54">
        <f>230*3</f>
        <v>690</v>
      </c>
      <c r="H453" s="54">
        <f>I453/G453</f>
        <v>2.566086956521739</v>
      </c>
      <c r="I453" s="54">
        <v>1770.6</v>
      </c>
      <c r="J453" s="132"/>
      <c r="K453" s="54">
        <f t="shared" ref="K453:K466" si="43">K452+I453-J453</f>
        <v>3541.2</v>
      </c>
    </row>
    <row r="454" spans="1:13" ht="14" x14ac:dyDescent="0.3">
      <c r="A454" s="1" t="s">
        <v>307</v>
      </c>
      <c r="B454" s="1" t="s">
        <v>76</v>
      </c>
      <c r="C454" s="88">
        <v>45549</v>
      </c>
      <c r="D454" s="89" t="s">
        <v>792</v>
      </c>
      <c r="E454" s="89" t="s">
        <v>467</v>
      </c>
      <c r="F454" s="77" t="s">
        <v>785</v>
      </c>
      <c r="G454" s="136">
        <f>297*6</f>
        <v>1782</v>
      </c>
      <c r="H454" s="136">
        <f>I454/G454</f>
        <v>2.566088664421998</v>
      </c>
      <c r="I454" s="136">
        <v>4572.7700000000004</v>
      </c>
      <c r="J454" s="132"/>
      <c r="K454" s="54">
        <f t="shared" si="43"/>
        <v>8113.97</v>
      </c>
      <c r="M454" s="14" t="s">
        <v>1295</v>
      </c>
    </row>
    <row r="455" spans="1:13" ht="14" x14ac:dyDescent="0.3">
      <c r="B455" s="1" t="s">
        <v>76</v>
      </c>
      <c r="C455" s="88">
        <v>45549</v>
      </c>
      <c r="D455" s="89" t="s">
        <v>792</v>
      </c>
      <c r="E455" s="89" t="s">
        <v>467</v>
      </c>
      <c r="F455" s="56" t="s">
        <v>786</v>
      </c>
      <c r="G455" s="54">
        <f>298*3</f>
        <v>894</v>
      </c>
      <c r="H455" s="54">
        <v>2.57</v>
      </c>
      <c r="I455" s="54">
        <f>G455*H455</f>
        <v>2297.58</v>
      </c>
      <c r="J455" s="132"/>
      <c r="K455" s="54">
        <f t="shared" si="43"/>
        <v>10411.549999999999</v>
      </c>
    </row>
    <row r="456" spans="1:13" ht="14" x14ac:dyDescent="0.3">
      <c r="A456" s="1" t="s">
        <v>307</v>
      </c>
      <c r="B456" s="1" t="s">
        <v>775</v>
      </c>
      <c r="C456" s="88">
        <v>45549</v>
      </c>
      <c r="D456" s="89" t="s">
        <v>792</v>
      </c>
      <c r="E456" s="89" t="s">
        <v>467</v>
      </c>
      <c r="F456" s="77" t="s">
        <v>793</v>
      </c>
      <c r="G456" s="136">
        <f>297*10</f>
        <v>2970</v>
      </c>
      <c r="H456" s="136">
        <f>I456/G456</f>
        <v>2.566087542087542</v>
      </c>
      <c r="I456" s="136">
        <v>7621.28</v>
      </c>
      <c r="J456" s="132"/>
      <c r="K456" s="54">
        <f t="shared" si="43"/>
        <v>18032.829999999998</v>
      </c>
      <c r="M456" s="14" t="s">
        <v>1295</v>
      </c>
    </row>
    <row r="457" spans="1:13" ht="14" x14ac:dyDescent="0.3">
      <c r="A457" s="1" t="s">
        <v>307</v>
      </c>
      <c r="B457" s="1" t="s">
        <v>76</v>
      </c>
      <c r="C457" s="88">
        <v>45549</v>
      </c>
      <c r="D457" s="89" t="s">
        <v>792</v>
      </c>
      <c r="E457" s="89" t="s">
        <v>467</v>
      </c>
      <c r="F457" s="77" t="s">
        <v>794</v>
      </c>
      <c r="G457" s="136">
        <v>297</v>
      </c>
      <c r="H457" s="136">
        <f>I457/G457</f>
        <v>2.566094276094276</v>
      </c>
      <c r="I457" s="136">
        <v>762.13</v>
      </c>
      <c r="J457" s="132"/>
      <c r="K457" s="54">
        <f t="shared" si="43"/>
        <v>18794.96</v>
      </c>
      <c r="M457" s="14" t="s">
        <v>1296</v>
      </c>
    </row>
    <row r="458" spans="1:13" ht="14" x14ac:dyDescent="0.3">
      <c r="B458" s="1" t="s">
        <v>76</v>
      </c>
      <c r="C458" s="88">
        <v>45549</v>
      </c>
      <c r="D458" s="89" t="s">
        <v>792</v>
      </c>
      <c r="E458" s="89" t="s">
        <v>467</v>
      </c>
      <c r="F458" s="56" t="s">
        <v>795</v>
      </c>
      <c r="G458" s="54">
        <f>298*2</f>
        <v>596</v>
      </c>
      <c r="H458" s="54">
        <v>2.57</v>
      </c>
      <c r="I458" s="54">
        <f>G458*H458</f>
        <v>1531.7199999999998</v>
      </c>
      <c r="J458" s="132"/>
      <c r="K458" s="54">
        <f t="shared" si="43"/>
        <v>20326.68</v>
      </c>
    </row>
    <row r="459" spans="1:13" ht="14" x14ac:dyDescent="0.3">
      <c r="A459" s="1" t="s">
        <v>307</v>
      </c>
      <c r="B459" s="1" t="s">
        <v>76</v>
      </c>
      <c r="C459" s="88">
        <v>45549</v>
      </c>
      <c r="D459" s="89" t="s">
        <v>792</v>
      </c>
      <c r="E459" s="89" t="s">
        <v>467</v>
      </c>
      <c r="F459" s="56" t="s">
        <v>796</v>
      </c>
      <c r="G459" s="54">
        <v>297</v>
      </c>
      <c r="H459" s="54">
        <f>I459/G459</f>
        <v>2.566094276094276</v>
      </c>
      <c r="I459" s="54">
        <v>762.13</v>
      </c>
      <c r="J459" s="132"/>
      <c r="K459" s="54">
        <f t="shared" si="43"/>
        <v>21088.81</v>
      </c>
    </row>
    <row r="460" spans="1:13" ht="14" x14ac:dyDescent="0.3">
      <c r="A460" s="1" t="s">
        <v>307</v>
      </c>
      <c r="B460" s="1" t="s">
        <v>76</v>
      </c>
      <c r="C460" s="88">
        <v>45549</v>
      </c>
      <c r="D460" s="89" t="s">
        <v>792</v>
      </c>
      <c r="E460" s="89" t="s">
        <v>467</v>
      </c>
      <c r="F460" s="56" t="s">
        <v>797</v>
      </c>
      <c r="G460" s="54">
        <v>298</v>
      </c>
      <c r="H460" s="54">
        <v>2.57</v>
      </c>
      <c r="I460" s="54">
        <f>G460*H460</f>
        <v>765.8599999999999</v>
      </c>
      <c r="J460" s="132"/>
      <c r="K460" s="54">
        <f t="shared" si="43"/>
        <v>21854.670000000002</v>
      </c>
    </row>
    <row r="461" spans="1:13" ht="14" x14ac:dyDescent="0.3">
      <c r="A461" s="1" t="s">
        <v>307</v>
      </c>
      <c r="B461" s="1" t="s">
        <v>76</v>
      </c>
      <c r="C461" s="88">
        <v>45549</v>
      </c>
      <c r="D461" s="89" t="s">
        <v>792</v>
      </c>
      <c r="E461" s="89" t="s">
        <v>467</v>
      </c>
      <c r="F461" s="56" t="s">
        <v>798</v>
      </c>
      <c r="G461" s="54">
        <v>298</v>
      </c>
      <c r="H461" s="54">
        <v>2.57</v>
      </c>
      <c r="I461" s="54">
        <f>G461*H461</f>
        <v>765.8599999999999</v>
      </c>
      <c r="J461" s="132"/>
      <c r="K461" s="54">
        <f t="shared" si="43"/>
        <v>22620.530000000002</v>
      </c>
    </row>
    <row r="462" spans="1:13" ht="14" x14ac:dyDescent="0.3">
      <c r="A462" s="1" t="s">
        <v>307</v>
      </c>
      <c r="B462" s="1" t="s">
        <v>76</v>
      </c>
      <c r="C462" s="88">
        <v>45549</v>
      </c>
      <c r="D462" s="89" t="s">
        <v>792</v>
      </c>
      <c r="E462" s="89" t="s">
        <v>467</v>
      </c>
      <c r="F462" s="56" t="s">
        <v>799</v>
      </c>
      <c r="G462" s="54">
        <f>230*3</f>
        <v>690</v>
      </c>
      <c r="H462" s="54">
        <v>2.57</v>
      </c>
      <c r="I462" s="54">
        <f>G462*H462</f>
        <v>1773.3</v>
      </c>
      <c r="J462" s="132"/>
      <c r="K462" s="54">
        <f t="shared" si="43"/>
        <v>24393.83</v>
      </c>
    </row>
    <row r="463" spans="1:13" ht="14" x14ac:dyDescent="0.3">
      <c r="C463" s="360">
        <v>45549</v>
      </c>
      <c r="D463" s="361"/>
      <c r="E463" s="361" t="s">
        <v>40</v>
      </c>
      <c r="F463" s="362" t="s">
        <v>800</v>
      </c>
      <c r="G463" s="363">
        <f>-9502/11</f>
        <v>-863.81818181818187</v>
      </c>
      <c r="H463" s="363">
        <v>2.57</v>
      </c>
      <c r="I463" s="363">
        <f>G463*H463</f>
        <v>-2220.0127272727273</v>
      </c>
      <c r="J463" s="132"/>
      <c r="K463" s="54">
        <f t="shared" si="43"/>
        <v>22173.817272727276</v>
      </c>
    </row>
    <row r="464" spans="1:13" ht="14" x14ac:dyDescent="0.3">
      <c r="C464" s="88"/>
      <c r="D464" s="89"/>
      <c r="E464" s="89"/>
      <c r="F464" s="56"/>
      <c r="G464" s="54"/>
      <c r="H464" s="54"/>
      <c r="I464" s="54"/>
      <c r="J464" s="132"/>
      <c r="K464" s="54">
        <f t="shared" si="43"/>
        <v>22173.817272727276</v>
      </c>
    </row>
    <row r="465" spans="1:11" ht="14" x14ac:dyDescent="0.3">
      <c r="C465" s="88"/>
      <c r="D465" s="89"/>
      <c r="E465" s="89"/>
      <c r="F465" s="56"/>
      <c r="G465" s="54"/>
      <c r="H465" s="54"/>
      <c r="I465" s="54"/>
      <c r="J465" s="132"/>
      <c r="K465" s="54">
        <f t="shared" si="43"/>
        <v>22173.817272727276</v>
      </c>
    </row>
    <row r="466" spans="1:11" ht="15" x14ac:dyDescent="0.3">
      <c r="C466" s="88"/>
      <c r="D466" s="89"/>
      <c r="E466" s="89"/>
      <c r="F466" s="109" t="s">
        <v>897</v>
      </c>
      <c r="G466" s="54"/>
      <c r="H466" s="54"/>
      <c r="I466" s="54"/>
      <c r="J466" s="132"/>
      <c r="K466" s="54">
        <f t="shared" si="43"/>
        <v>22173.817272727276</v>
      </c>
    </row>
    <row r="471" spans="1:11" ht="15" x14ac:dyDescent="0.3">
      <c r="C471" s="24" t="s">
        <v>0</v>
      </c>
      <c r="D471" s="24" t="s">
        <v>49</v>
      </c>
      <c r="E471" s="24" t="s">
        <v>53</v>
      </c>
      <c r="F471" s="19" t="s">
        <v>5</v>
      </c>
      <c r="G471" s="20" t="s">
        <v>6</v>
      </c>
      <c r="H471" s="20" t="s">
        <v>7</v>
      </c>
      <c r="I471" s="24" t="s">
        <v>13</v>
      </c>
      <c r="J471" s="24" t="s">
        <v>69</v>
      </c>
      <c r="K471" s="24" t="s">
        <v>57</v>
      </c>
    </row>
    <row r="473" spans="1:11" ht="14" x14ac:dyDescent="0.3">
      <c r="C473" s="88"/>
      <c r="D473" s="89"/>
      <c r="E473" s="89"/>
      <c r="F473" s="56"/>
      <c r="G473" s="54"/>
      <c r="H473" s="54"/>
      <c r="I473" s="54"/>
      <c r="J473" s="132"/>
      <c r="K473" s="54">
        <f>K472+I473-J473</f>
        <v>0</v>
      </c>
    </row>
    <row r="474" spans="1:11" ht="14" x14ac:dyDescent="0.3">
      <c r="B474" s="1" t="s">
        <v>76</v>
      </c>
      <c r="C474" s="88">
        <v>45550</v>
      </c>
      <c r="D474" s="89" t="s">
        <v>792</v>
      </c>
      <c r="E474" s="89" t="s">
        <v>13</v>
      </c>
      <c r="F474" s="56" t="s">
        <v>802</v>
      </c>
      <c r="G474" s="54">
        <f>8*299</f>
        <v>2392</v>
      </c>
      <c r="H474" s="54">
        <v>2.5299999999999998</v>
      </c>
      <c r="I474" s="54">
        <f>G474*H474</f>
        <v>6051.7599999999993</v>
      </c>
      <c r="J474" s="132"/>
      <c r="K474" s="54">
        <f t="shared" ref="K474:K483" si="44">K473+I474-J474</f>
        <v>6051.7599999999993</v>
      </c>
    </row>
    <row r="475" spans="1:11" ht="14" x14ac:dyDescent="0.3">
      <c r="B475" s="1" t="s">
        <v>76</v>
      </c>
      <c r="C475" s="88">
        <v>45550</v>
      </c>
      <c r="D475" s="89" t="s">
        <v>792</v>
      </c>
      <c r="E475" s="89" t="s">
        <v>13</v>
      </c>
      <c r="F475" s="56" t="s">
        <v>803</v>
      </c>
      <c r="G475" s="54">
        <f>9*298</f>
        <v>2682</v>
      </c>
      <c r="H475" s="54">
        <v>2.5299999999999998</v>
      </c>
      <c r="I475" s="54">
        <f t="shared" ref="I475:I480" si="45">G475*H475</f>
        <v>6785.4599999999991</v>
      </c>
      <c r="J475" s="132"/>
      <c r="K475" s="54">
        <f t="shared" si="44"/>
        <v>12837.219999999998</v>
      </c>
    </row>
    <row r="476" spans="1:11" ht="14" x14ac:dyDescent="0.3">
      <c r="A476" s="1" t="s">
        <v>307</v>
      </c>
      <c r="B476" s="1" t="s">
        <v>76</v>
      </c>
      <c r="C476" s="88">
        <v>45550</v>
      </c>
      <c r="D476" s="89" t="s">
        <v>792</v>
      </c>
      <c r="E476" s="89" t="s">
        <v>13</v>
      </c>
      <c r="F476" s="56" t="s">
        <v>804</v>
      </c>
      <c r="G476" s="54">
        <f>8*298</f>
        <v>2384</v>
      </c>
      <c r="H476" s="54">
        <v>2.5299999999999998</v>
      </c>
      <c r="I476" s="54">
        <f t="shared" si="45"/>
        <v>6031.5199999999995</v>
      </c>
      <c r="J476" s="132"/>
      <c r="K476" s="54">
        <f t="shared" si="44"/>
        <v>18868.739999999998</v>
      </c>
    </row>
    <row r="477" spans="1:11" ht="14" x14ac:dyDescent="0.3">
      <c r="A477" s="1" t="s">
        <v>307</v>
      </c>
      <c r="B477" s="1" t="s">
        <v>76</v>
      </c>
      <c r="C477" s="88">
        <v>45550</v>
      </c>
      <c r="D477" s="89" t="s">
        <v>792</v>
      </c>
      <c r="E477" s="89" t="s">
        <v>13</v>
      </c>
      <c r="F477" s="56" t="s">
        <v>805</v>
      </c>
      <c r="G477" s="54">
        <f>3*299</f>
        <v>897</v>
      </c>
      <c r="H477" s="54">
        <v>2.5299999999999998</v>
      </c>
      <c r="I477" s="54">
        <f t="shared" si="45"/>
        <v>2269.41</v>
      </c>
      <c r="J477" s="132"/>
      <c r="K477" s="54">
        <f t="shared" si="44"/>
        <v>21138.149999999998</v>
      </c>
    </row>
    <row r="478" spans="1:11" ht="14" x14ac:dyDescent="0.3">
      <c r="A478" s="1" t="s">
        <v>307</v>
      </c>
      <c r="B478" s="1" t="s">
        <v>76</v>
      </c>
      <c r="C478" s="88">
        <v>45550</v>
      </c>
      <c r="D478" s="89" t="s">
        <v>792</v>
      </c>
      <c r="E478" s="89" t="s">
        <v>13</v>
      </c>
      <c r="F478" s="56" t="s">
        <v>806</v>
      </c>
      <c r="G478" s="54">
        <f>4*297</f>
        <v>1188</v>
      </c>
      <c r="H478" s="54">
        <v>2.5299999999999998</v>
      </c>
      <c r="I478" s="54">
        <f t="shared" si="45"/>
        <v>3005.64</v>
      </c>
      <c r="J478" s="132"/>
      <c r="K478" s="54">
        <f t="shared" si="44"/>
        <v>24143.789999999997</v>
      </c>
    </row>
    <row r="479" spans="1:11" ht="14" x14ac:dyDescent="0.3">
      <c r="A479" s="1" t="s">
        <v>307</v>
      </c>
      <c r="B479" s="1" t="s">
        <v>76</v>
      </c>
      <c r="C479" s="88">
        <v>45550</v>
      </c>
      <c r="D479" s="89" t="s">
        <v>792</v>
      </c>
      <c r="E479" s="89" t="s">
        <v>13</v>
      </c>
      <c r="F479" s="56" t="s">
        <v>807</v>
      </c>
      <c r="G479" s="54">
        <f>5*298</f>
        <v>1490</v>
      </c>
      <c r="H479" s="54">
        <v>2.5299999999999998</v>
      </c>
      <c r="I479" s="54">
        <f t="shared" si="45"/>
        <v>3769.7</v>
      </c>
      <c r="J479" s="132"/>
      <c r="K479" s="54">
        <f t="shared" si="44"/>
        <v>27913.489999999998</v>
      </c>
    </row>
    <row r="480" spans="1:11" ht="14" x14ac:dyDescent="0.3">
      <c r="C480" s="360">
        <v>45550</v>
      </c>
      <c r="D480" s="361"/>
      <c r="E480" s="361" t="s">
        <v>40</v>
      </c>
      <c r="F480" s="362" t="s">
        <v>809</v>
      </c>
      <c r="G480" s="363">
        <f>-11033/11</f>
        <v>-1003</v>
      </c>
      <c r="H480" s="363">
        <v>2.5299999999999998</v>
      </c>
      <c r="I480" s="363">
        <f t="shared" si="45"/>
        <v>-2537.5899999999997</v>
      </c>
      <c r="J480" s="132"/>
      <c r="K480" s="54">
        <f t="shared" si="44"/>
        <v>25375.899999999998</v>
      </c>
    </row>
    <row r="481" spans="1:11" ht="14" x14ac:dyDescent="0.3">
      <c r="C481" s="88"/>
      <c r="D481" s="89"/>
      <c r="E481" s="89"/>
      <c r="F481" s="56"/>
      <c r="G481" s="54"/>
      <c r="H481" s="54"/>
      <c r="I481" s="54"/>
      <c r="J481" s="132"/>
      <c r="K481" s="54">
        <f t="shared" si="44"/>
        <v>25375.899999999998</v>
      </c>
    </row>
    <row r="482" spans="1:11" ht="14" x14ac:dyDescent="0.3">
      <c r="C482" s="88"/>
      <c r="D482" s="89"/>
      <c r="E482" s="89"/>
      <c r="F482" s="56"/>
      <c r="G482" s="54"/>
      <c r="H482" s="54"/>
      <c r="I482" s="54"/>
      <c r="J482" s="132"/>
      <c r="K482" s="54">
        <f t="shared" si="44"/>
        <v>25375.899999999998</v>
      </c>
    </row>
    <row r="483" spans="1:11" ht="15" x14ac:dyDescent="0.3">
      <c r="C483" s="88"/>
      <c r="D483" s="89"/>
      <c r="E483" s="89"/>
      <c r="F483" s="109" t="s">
        <v>861</v>
      </c>
      <c r="G483" s="54"/>
      <c r="H483" s="54"/>
      <c r="I483" s="54"/>
      <c r="J483" s="132"/>
      <c r="K483" s="54">
        <f t="shared" si="44"/>
        <v>25375.899999999998</v>
      </c>
    </row>
    <row r="486" spans="1:11" ht="15" x14ac:dyDescent="0.3">
      <c r="C486" s="24" t="s">
        <v>0</v>
      </c>
      <c r="D486" s="24" t="s">
        <v>49</v>
      </c>
      <c r="E486" s="24" t="s">
        <v>53</v>
      </c>
      <c r="F486" s="19" t="s">
        <v>5</v>
      </c>
      <c r="G486" s="20" t="s">
        <v>6</v>
      </c>
      <c r="H486" s="20" t="s">
        <v>7</v>
      </c>
      <c r="I486" s="24" t="s">
        <v>13</v>
      </c>
      <c r="J486" s="24" t="s">
        <v>69</v>
      </c>
      <c r="K486" s="24" t="s">
        <v>57</v>
      </c>
    </row>
    <row r="488" spans="1:11" ht="14" x14ac:dyDescent="0.3">
      <c r="C488" s="88"/>
      <c r="D488" s="89"/>
      <c r="E488" s="89"/>
      <c r="F488" s="56"/>
      <c r="G488" s="54"/>
      <c r="H488" s="54"/>
      <c r="I488" s="54"/>
      <c r="J488" s="132"/>
      <c r="K488" s="54">
        <f>K487+I488-J488</f>
        <v>0</v>
      </c>
    </row>
    <row r="489" spans="1:11" ht="14" x14ac:dyDescent="0.3">
      <c r="B489" s="1" t="s">
        <v>76</v>
      </c>
      <c r="C489" s="88">
        <v>45551</v>
      </c>
      <c r="D489" s="89" t="s">
        <v>792</v>
      </c>
      <c r="E489" s="89" t="s">
        <v>13</v>
      </c>
      <c r="F489" s="56" t="s">
        <v>760</v>
      </c>
      <c r="G489" s="54">
        <f>299*6</f>
        <v>1794</v>
      </c>
      <c r="H489" s="54">
        <v>2.5299999999999998</v>
      </c>
      <c r="I489" s="54">
        <f>G489*H489</f>
        <v>4538.82</v>
      </c>
      <c r="J489" s="132"/>
      <c r="K489" s="54">
        <f t="shared" ref="K489:K502" si="46">K488+I489-J489</f>
        <v>4538.82</v>
      </c>
    </row>
    <row r="490" spans="1:11" ht="14" x14ac:dyDescent="0.3">
      <c r="B490" s="1" t="s">
        <v>76</v>
      </c>
      <c r="C490" s="88">
        <v>45551</v>
      </c>
      <c r="D490" s="89" t="s">
        <v>792</v>
      </c>
      <c r="E490" s="89" t="s">
        <v>13</v>
      </c>
      <c r="F490" s="56" t="s">
        <v>761</v>
      </c>
      <c r="G490" s="54">
        <f>298*12</f>
        <v>3576</v>
      </c>
      <c r="H490" s="54">
        <v>2.5299999999999998</v>
      </c>
      <c r="I490" s="54">
        <f t="shared" ref="I490:I493" si="47">G490*H490</f>
        <v>9047.2799999999988</v>
      </c>
      <c r="J490" s="132"/>
      <c r="K490" s="54">
        <f t="shared" si="46"/>
        <v>13586.099999999999</v>
      </c>
    </row>
    <row r="491" spans="1:11" ht="14" x14ac:dyDescent="0.3">
      <c r="B491" s="1" t="s">
        <v>76</v>
      </c>
      <c r="C491" s="88">
        <v>45551</v>
      </c>
      <c r="D491" s="89" t="s">
        <v>792</v>
      </c>
      <c r="E491" s="89" t="s">
        <v>13</v>
      </c>
      <c r="F491" s="56" t="s">
        <v>762</v>
      </c>
      <c r="G491" s="54">
        <f>297*5</f>
        <v>1485</v>
      </c>
      <c r="H491" s="54">
        <v>2.5299999999999998</v>
      </c>
      <c r="I491" s="54">
        <f t="shared" si="47"/>
        <v>3757.0499999999997</v>
      </c>
      <c r="J491" s="132"/>
      <c r="K491" s="54">
        <f t="shared" si="46"/>
        <v>17343.149999999998</v>
      </c>
    </row>
    <row r="492" spans="1:11" ht="14" x14ac:dyDescent="0.3">
      <c r="A492" s="1" t="s">
        <v>307</v>
      </c>
      <c r="B492" s="1" t="s">
        <v>76</v>
      </c>
      <c r="C492" s="88">
        <v>45551</v>
      </c>
      <c r="D492" s="89" t="s">
        <v>792</v>
      </c>
      <c r="E492" s="89" t="s">
        <v>13</v>
      </c>
      <c r="F492" s="56" t="s">
        <v>763</v>
      </c>
      <c r="G492" s="54">
        <f>297*7</f>
        <v>2079</v>
      </c>
      <c r="H492" s="54">
        <v>2.5299999999999998</v>
      </c>
      <c r="I492" s="54">
        <f t="shared" si="47"/>
        <v>5259.87</v>
      </c>
      <c r="J492" s="132"/>
      <c r="K492" s="54">
        <f t="shared" si="46"/>
        <v>22603.019999999997</v>
      </c>
    </row>
    <row r="493" spans="1:11" ht="14" x14ac:dyDescent="0.3">
      <c r="A493" s="1" t="s">
        <v>307</v>
      </c>
      <c r="B493" s="1" t="s">
        <v>76</v>
      </c>
      <c r="C493" s="88">
        <v>45551</v>
      </c>
      <c r="D493" s="89" t="s">
        <v>792</v>
      </c>
      <c r="E493" s="89" t="s">
        <v>13</v>
      </c>
      <c r="F493" s="56" t="s">
        <v>764</v>
      </c>
      <c r="G493" s="54">
        <f>299*2</f>
        <v>598</v>
      </c>
      <c r="H493" s="54">
        <v>2.5299999999999998</v>
      </c>
      <c r="I493" s="54">
        <f t="shared" si="47"/>
        <v>1512.9399999999998</v>
      </c>
      <c r="J493" s="132"/>
      <c r="K493" s="54">
        <f t="shared" si="46"/>
        <v>24115.959999999995</v>
      </c>
    </row>
    <row r="494" spans="1:11" ht="14" x14ac:dyDescent="0.3">
      <c r="C494" s="88"/>
      <c r="D494" s="89"/>
      <c r="E494" s="89"/>
      <c r="F494" s="56"/>
      <c r="G494" s="54"/>
      <c r="H494" s="54"/>
      <c r="I494" s="54"/>
      <c r="J494" s="132"/>
      <c r="K494" s="54">
        <f t="shared" si="46"/>
        <v>24115.959999999995</v>
      </c>
    </row>
    <row r="495" spans="1:11" ht="14" x14ac:dyDescent="0.3">
      <c r="B495" s="1" t="s">
        <v>767</v>
      </c>
      <c r="C495" s="88">
        <v>45551</v>
      </c>
      <c r="D495" s="89" t="s">
        <v>808</v>
      </c>
      <c r="E495" s="89" t="s">
        <v>13</v>
      </c>
      <c r="F495" s="56" t="s">
        <v>765</v>
      </c>
      <c r="G495" s="54">
        <f>765*2</f>
        <v>1530</v>
      </c>
      <c r="H495" s="54">
        <v>2.5299999999999998</v>
      </c>
      <c r="I495" s="54">
        <f t="shared" ref="I495:I497" si="48">G495*H495</f>
        <v>3870.8999999999996</v>
      </c>
      <c r="J495" s="132"/>
      <c r="K495" s="54">
        <f t="shared" si="46"/>
        <v>27986.859999999993</v>
      </c>
    </row>
    <row r="496" spans="1:11" ht="14" x14ac:dyDescent="0.3">
      <c r="A496" s="1" t="s">
        <v>307</v>
      </c>
      <c r="B496" s="1" t="s">
        <v>767</v>
      </c>
      <c r="C496" s="88">
        <v>45551</v>
      </c>
      <c r="D496" s="89" t="s">
        <v>808</v>
      </c>
      <c r="E496" s="89" t="s">
        <v>13</v>
      </c>
      <c r="F496" s="56" t="s">
        <v>766</v>
      </c>
      <c r="G496" s="54">
        <f>798*2</f>
        <v>1596</v>
      </c>
      <c r="H496" s="54">
        <v>2.5299999999999998</v>
      </c>
      <c r="I496" s="54">
        <f t="shared" si="48"/>
        <v>4037.8799999999997</v>
      </c>
      <c r="J496" s="132"/>
      <c r="K496" s="54">
        <f t="shared" si="46"/>
        <v>32024.739999999994</v>
      </c>
    </row>
    <row r="497" spans="1:11" ht="14" x14ac:dyDescent="0.3">
      <c r="C497" s="360">
        <v>45551</v>
      </c>
      <c r="D497" s="361"/>
      <c r="E497" s="361" t="s">
        <v>40</v>
      </c>
      <c r="F497" s="362" t="s">
        <v>810</v>
      </c>
      <c r="G497" s="363">
        <f>-12658/11</f>
        <v>-1150.7272727272727</v>
      </c>
      <c r="H497" s="363">
        <v>2.5299999999999998</v>
      </c>
      <c r="I497" s="363">
        <f t="shared" si="48"/>
        <v>-2911.3399999999997</v>
      </c>
      <c r="J497" s="132"/>
      <c r="K497" s="54">
        <f t="shared" si="46"/>
        <v>29113.399999999994</v>
      </c>
    </row>
    <row r="498" spans="1:11" ht="14" x14ac:dyDescent="0.3">
      <c r="C498" s="88"/>
      <c r="D498" s="89"/>
      <c r="E498" s="89"/>
      <c r="F498" s="56"/>
      <c r="G498" s="54"/>
      <c r="H498" s="54"/>
      <c r="I498" s="54"/>
      <c r="J498" s="132"/>
      <c r="K498" s="54">
        <f t="shared" si="46"/>
        <v>29113.399999999994</v>
      </c>
    </row>
    <row r="499" spans="1:11" ht="14" x14ac:dyDescent="0.3">
      <c r="C499" s="88"/>
      <c r="D499" s="89"/>
      <c r="E499" s="89"/>
      <c r="F499" s="56"/>
      <c r="G499" s="54"/>
      <c r="H499" s="54"/>
      <c r="I499" s="54"/>
      <c r="J499" s="132"/>
      <c r="K499" s="54">
        <f t="shared" si="46"/>
        <v>29113.399999999994</v>
      </c>
    </row>
    <row r="500" spans="1:11" ht="14" x14ac:dyDescent="0.3">
      <c r="C500" s="88"/>
      <c r="D500" s="89"/>
      <c r="E500" s="89"/>
      <c r="F500" s="56"/>
      <c r="G500" s="54"/>
      <c r="H500" s="54"/>
      <c r="I500" s="54"/>
      <c r="J500" s="132"/>
      <c r="K500" s="54">
        <f t="shared" si="46"/>
        <v>29113.399999999994</v>
      </c>
    </row>
    <row r="501" spans="1:11" ht="14" x14ac:dyDescent="0.3">
      <c r="C501" s="88"/>
      <c r="D501" s="89"/>
      <c r="E501" s="89"/>
      <c r="F501" s="56"/>
      <c r="G501" s="54"/>
      <c r="H501" s="54"/>
      <c r="I501" s="54"/>
      <c r="J501" s="132"/>
      <c r="K501" s="54">
        <f t="shared" si="46"/>
        <v>29113.399999999994</v>
      </c>
    </row>
    <row r="502" spans="1:11" ht="15" x14ac:dyDescent="0.3">
      <c r="A502" s="1" t="s">
        <v>864</v>
      </c>
      <c r="C502" s="88"/>
      <c r="D502" s="89"/>
      <c r="E502" s="89"/>
      <c r="F502" s="109" t="s">
        <v>863</v>
      </c>
      <c r="G502" s="54"/>
      <c r="H502" s="54"/>
      <c r="I502" s="54"/>
      <c r="J502" s="132"/>
      <c r="K502" s="54">
        <f t="shared" si="46"/>
        <v>29113.399999999994</v>
      </c>
    </row>
    <row r="505" spans="1:11" ht="15" x14ac:dyDescent="0.3">
      <c r="C505" s="24" t="s">
        <v>0</v>
      </c>
      <c r="D505" s="24" t="s">
        <v>49</v>
      </c>
      <c r="E505" s="24" t="s">
        <v>53</v>
      </c>
      <c r="F505" s="19" t="s">
        <v>5</v>
      </c>
      <c r="G505" s="20" t="s">
        <v>6</v>
      </c>
      <c r="H505" s="20" t="s">
        <v>7</v>
      </c>
      <c r="I505" s="24" t="s">
        <v>13</v>
      </c>
      <c r="J505" s="24" t="s">
        <v>69</v>
      </c>
      <c r="K505" s="24" t="s">
        <v>57</v>
      </c>
    </row>
    <row r="507" spans="1:11" ht="14" x14ac:dyDescent="0.3">
      <c r="C507" s="88"/>
      <c r="D507" s="89"/>
      <c r="E507" s="89"/>
      <c r="F507" s="56"/>
      <c r="G507" s="54"/>
      <c r="H507" s="54"/>
      <c r="I507" s="54"/>
      <c r="J507" s="132"/>
      <c r="K507" s="54">
        <f>K506+I507-J507</f>
        <v>0</v>
      </c>
    </row>
    <row r="508" spans="1:11" ht="14" x14ac:dyDescent="0.3">
      <c r="B508" s="1" t="s">
        <v>76</v>
      </c>
      <c r="C508" s="88">
        <v>45552</v>
      </c>
      <c r="D508" s="89" t="s">
        <v>792</v>
      </c>
      <c r="E508" s="89" t="s">
        <v>13</v>
      </c>
      <c r="F508" s="56" t="s">
        <v>770</v>
      </c>
      <c r="G508" s="54">
        <f>299*7</f>
        <v>2093</v>
      </c>
      <c r="H508" s="54">
        <v>2.5299999999999998</v>
      </c>
      <c r="I508" s="54">
        <f>G508*H508</f>
        <v>5295.29</v>
      </c>
      <c r="J508" s="132"/>
      <c r="K508" s="54">
        <f t="shared" ref="K508:K531" si="49">K507+I508-J508</f>
        <v>5295.29</v>
      </c>
    </row>
    <row r="509" spans="1:11" ht="14" x14ac:dyDescent="0.3">
      <c r="A509" s="1" t="s">
        <v>307</v>
      </c>
      <c r="B509" s="1" t="s">
        <v>775</v>
      </c>
      <c r="C509" s="88">
        <v>45552</v>
      </c>
      <c r="D509" s="89" t="s">
        <v>792</v>
      </c>
      <c r="E509" s="89" t="s">
        <v>13</v>
      </c>
      <c r="F509" s="56" t="s">
        <v>772</v>
      </c>
      <c r="G509" s="54">
        <f>298*1</f>
        <v>298</v>
      </c>
      <c r="H509" s="54">
        <v>2.5299999999999998</v>
      </c>
      <c r="I509" s="54">
        <f t="shared" ref="I509:I526" si="50">G509*H509</f>
        <v>753.93999999999994</v>
      </c>
      <c r="J509" s="132"/>
      <c r="K509" s="54">
        <f t="shared" si="49"/>
        <v>6049.23</v>
      </c>
    </row>
    <row r="510" spans="1:11" ht="14" x14ac:dyDescent="0.3">
      <c r="A510" s="1" t="s">
        <v>307</v>
      </c>
      <c r="B510" s="1" t="s">
        <v>76</v>
      </c>
      <c r="C510" s="88">
        <v>45552</v>
      </c>
      <c r="D510" s="89" t="s">
        <v>792</v>
      </c>
      <c r="E510" s="89" t="s">
        <v>13</v>
      </c>
      <c r="F510" s="56" t="s">
        <v>771</v>
      </c>
      <c r="G510" s="54">
        <f>1*312</f>
        <v>312</v>
      </c>
      <c r="H510" s="54">
        <v>2.5299999999999998</v>
      </c>
      <c r="I510" s="54">
        <f t="shared" si="50"/>
        <v>789.3599999999999</v>
      </c>
      <c r="J510" s="132"/>
      <c r="K510" s="54">
        <f t="shared" si="49"/>
        <v>6838.5899999999992</v>
      </c>
    </row>
    <row r="511" spans="1:11" ht="14" x14ac:dyDescent="0.3">
      <c r="A511" s="1" t="s">
        <v>307</v>
      </c>
      <c r="B511" s="1" t="s">
        <v>76</v>
      </c>
      <c r="C511" s="88">
        <v>45552</v>
      </c>
      <c r="D511" s="89" t="s">
        <v>792</v>
      </c>
      <c r="E511" s="89" t="s">
        <v>13</v>
      </c>
      <c r="F511" s="56" t="s">
        <v>773</v>
      </c>
      <c r="G511" s="54">
        <f>297*3</f>
        <v>891</v>
      </c>
      <c r="H511" s="54">
        <v>2.5299999999999998</v>
      </c>
      <c r="I511" s="54">
        <f t="shared" si="50"/>
        <v>2254.23</v>
      </c>
      <c r="J511" s="132"/>
      <c r="K511" s="54">
        <f t="shared" si="49"/>
        <v>9092.82</v>
      </c>
    </row>
    <row r="512" spans="1:11" ht="14" x14ac:dyDescent="0.3">
      <c r="A512" s="1" t="s">
        <v>307</v>
      </c>
      <c r="B512" s="1" t="s">
        <v>776</v>
      </c>
      <c r="C512" s="88">
        <v>45552</v>
      </c>
      <c r="D512" s="89" t="s">
        <v>792</v>
      </c>
      <c r="E512" s="89" t="s">
        <v>13</v>
      </c>
      <c r="F512" s="56" t="s">
        <v>774</v>
      </c>
      <c r="G512" s="54">
        <f>298*2</f>
        <v>596</v>
      </c>
      <c r="H512" s="54">
        <v>2.5499999999999998</v>
      </c>
      <c r="I512" s="54">
        <f t="shared" si="50"/>
        <v>1519.8</v>
      </c>
      <c r="J512" s="132"/>
      <c r="K512" s="54">
        <f t="shared" si="49"/>
        <v>10612.619999999999</v>
      </c>
    </row>
    <row r="513" spans="1:13" ht="14" x14ac:dyDescent="0.3">
      <c r="C513" s="360">
        <v>45552</v>
      </c>
      <c r="D513" s="361"/>
      <c r="E513" s="361" t="s">
        <v>40</v>
      </c>
      <c r="F513" s="362" t="s">
        <v>1349</v>
      </c>
      <c r="G513" s="363">
        <f>-4190/11</f>
        <v>-380.90909090909093</v>
      </c>
      <c r="H513" s="363">
        <v>2.5299999999999998</v>
      </c>
      <c r="I513" s="363">
        <f t="shared" si="50"/>
        <v>-963.7</v>
      </c>
      <c r="J513" s="132"/>
      <c r="K513" s="54">
        <f t="shared" si="49"/>
        <v>9648.9199999999983</v>
      </c>
    </row>
    <row r="514" spans="1:13" ht="14" x14ac:dyDescent="0.3">
      <c r="C514" s="88"/>
      <c r="D514" s="89"/>
      <c r="E514" s="89"/>
      <c r="F514" s="56"/>
      <c r="G514" s="54"/>
      <c r="H514" s="54"/>
      <c r="I514" s="54"/>
      <c r="J514" s="132"/>
      <c r="K514" s="54">
        <f t="shared" si="49"/>
        <v>9648.9199999999983</v>
      </c>
    </row>
    <row r="515" spans="1:13" ht="15" x14ac:dyDescent="0.3">
      <c r="C515" s="88"/>
      <c r="D515" s="89"/>
      <c r="E515" s="89"/>
      <c r="F515" s="109" t="s">
        <v>865</v>
      </c>
      <c r="G515" s="54"/>
      <c r="H515" s="54"/>
      <c r="I515" s="54"/>
      <c r="J515" s="132"/>
      <c r="K515" s="54">
        <f t="shared" si="49"/>
        <v>9648.9199999999983</v>
      </c>
    </row>
    <row r="516" spans="1:13" ht="15" x14ac:dyDescent="0.3">
      <c r="C516" s="88"/>
      <c r="D516" s="89"/>
      <c r="E516" s="89"/>
      <c r="F516" s="176"/>
      <c r="G516" s="54"/>
      <c r="H516" s="54"/>
      <c r="I516" s="54"/>
      <c r="J516" s="132"/>
      <c r="K516" s="54"/>
    </row>
    <row r="517" spans="1:13" ht="15" x14ac:dyDescent="0.3">
      <c r="C517" s="24" t="s">
        <v>0</v>
      </c>
      <c r="D517" s="24" t="s">
        <v>49</v>
      </c>
      <c r="E517" s="24" t="s">
        <v>53</v>
      </c>
      <c r="F517" s="19" t="s">
        <v>5</v>
      </c>
      <c r="G517" s="20" t="s">
        <v>6</v>
      </c>
      <c r="H517" s="20" t="s">
        <v>7</v>
      </c>
      <c r="I517" s="24" t="s">
        <v>13</v>
      </c>
      <c r="J517" s="24" t="s">
        <v>69</v>
      </c>
      <c r="K517" s="24" t="s">
        <v>57</v>
      </c>
    </row>
    <row r="518" spans="1:13" ht="14" x14ac:dyDescent="0.3">
      <c r="C518" s="88"/>
      <c r="D518" s="89"/>
      <c r="E518" s="89"/>
      <c r="F518" s="56"/>
      <c r="G518" s="54"/>
      <c r="H518" s="54"/>
      <c r="I518" s="54"/>
      <c r="J518" s="132"/>
      <c r="K518" s="54"/>
    </row>
    <row r="519" spans="1:13" ht="14" x14ac:dyDescent="0.3">
      <c r="C519" s="88"/>
      <c r="D519" s="89"/>
      <c r="E519" s="89"/>
      <c r="F519" s="56"/>
      <c r="G519" s="54"/>
      <c r="H519" s="54"/>
      <c r="I519" s="54"/>
      <c r="J519" s="132"/>
      <c r="K519" s="54"/>
    </row>
    <row r="520" spans="1:13" ht="14" x14ac:dyDescent="0.3">
      <c r="B520" s="1" t="s">
        <v>76</v>
      </c>
      <c r="C520" s="88">
        <v>45553</v>
      </c>
      <c r="D520" s="89" t="s">
        <v>792</v>
      </c>
      <c r="E520" s="89" t="s">
        <v>13</v>
      </c>
      <c r="F520" s="56" t="s">
        <v>768</v>
      </c>
      <c r="G520" s="54">
        <f>298*9</f>
        <v>2682</v>
      </c>
      <c r="H520" s="54">
        <v>2.5299999999999998</v>
      </c>
      <c r="I520" s="54">
        <f t="shared" si="50"/>
        <v>6785.4599999999991</v>
      </c>
      <c r="J520" s="132"/>
      <c r="K520" s="54">
        <f t="shared" si="49"/>
        <v>6785.4599999999991</v>
      </c>
    </row>
    <row r="521" spans="1:13" ht="14" x14ac:dyDescent="0.3">
      <c r="A521" s="1" t="s">
        <v>307</v>
      </c>
      <c r="B521" s="1" t="s">
        <v>76</v>
      </c>
      <c r="C521" s="88">
        <v>45553</v>
      </c>
      <c r="D521" s="89" t="s">
        <v>792</v>
      </c>
      <c r="E521" s="89" t="s">
        <v>13</v>
      </c>
      <c r="F521" s="56" t="s">
        <v>769</v>
      </c>
      <c r="G521" s="54">
        <f>298*51</f>
        <v>15198</v>
      </c>
      <c r="H521" s="54">
        <v>2.5299999999999998</v>
      </c>
      <c r="I521" s="54">
        <f t="shared" si="50"/>
        <v>38450.939999999995</v>
      </c>
      <c r="J521" s="132"/>
      <c r="K521" s="54">
        <f t="shared" si="49"/>
        <v>45236.399999999994</v>
      </c>
    </row>
    <row r="522" spans="1:13" ht="14" x14ac:dyDescent="0.3">
      <c r="A522" s="1" t="s">
        <v>307</v>
      </c>
      <c r="C522" s="88">
        <v>45553</v>
      </c>
      <c r="D522" s="89" t="s">
        <v>792</v>
      </c>
      <c r="E522" s="89" t="s">
        <v>13</v>
      </c>
      <c r="F522" s="56" t="s">
        <v>997</v>
      </c>
      <c r="G522" s="54">
        <f>297*1</f>
        <v>297</v>
      </c>
      <c r="H522" s="54">
        <v>2.5299999999999998</v>
      </c>
      <c r="I522" s="54">
        <f t="shared" si="50"/>
        <v>751.41</v>
      </c>
      <c r="J522" s="132"/>
      <c r="K522" s="54">
        <f t="shared" si="49"/>
        <v>45987.81</v>
      </c>
      <c r="M522" s="14" t="s">
        <v>50</v>
      </c>
    </row>
    <row r="523" spans="1:13" ht="14" x14ac:dyDescent="0.3">
      <c r="A523" s="1" t="s">
        <v>307</v>
      </c>
      <c r="C523" s="88">
        <v>45553</v>
      </c>
      <c r="D523" s="89" t="s">
        <v>792</v>
      </c>
      <c r="E523" s="89" t="s">
        <v>13</v>
      </c>
      <c r="F523" s="56" t="s">
        <v>998</v>
      </c>
      <c r="G523" s="54">
        <v>298</v>
      </c>
      <c r="H523" s="54">
        <v>2.5299999999999998</v>
      </c>
      <c r="I523" s="54">
        <f t="shared" si="50"/>
        <v>753.93999999999994</v>
      </c>
      <c r="J523" s="132"/>
      <c r="K523" s="54">
        <f t="shared" si="49"/>
        <v>46741.75</v>
      </c>
      <c r="M523" s="14" t="s">
        <v>50</v>
      </c>
    </row>
    <row r="524" spans="1:13" ht="14" x14ac:dyDescent="0.3">
      <c r="C524" s="88"/>
      <c r="D524" s="89"/>
      <c r="E524" s="89"/>
      <c r="F524" s="56"/>
      <c r="G524" s="54"/>
      <c r="H524" s="54"/>
      <c r="I524" s="54"/>
      <c r="J524" s="132"/>
      <c r="K524" s="54">
        <f t="shared" si="49"/>
        <v>46741.75</v>
      </c>
    </row>
    <row r="525" spans="1:13" ht="14" x14ac:dyDescent="0.3">
      <c r="A525" s="1" t="s">
        <v>307</v>
      </c>
      <c r="B525" s="1" t="s">
        <v>76</v>
      </c>
      <c r="C525" s="88">
        <v>45553</v>
      </c>
      <c r="D525" s="89" t="s">
        <v>808</v>
      </c>
      <c r="E525" s="89" t="s">
        <v>13</v>
      </c>
      <c r="F525" s="56" t="s">
        <v>777</v>
      </c>
      <c r="G525" s="54">
        <f>755*10</f>
        <v>7550</v>
      </c>
      <c r="H525" s="54">
        <v>2.5299999999999998</v>
      </c>
      <c r="I525" s="54">
        <f t="shared" si="50"/>
        <v>19101.5</v>
      </c>
      <c r="J525" s="132"/>
      <c r="K525" s="54">
        <f t="shared" si="49"/>
        <v>65843.25</v>
      </c>
    </row>
    <row r="526" spans="1:13" ht="14" x14ac:dyDescent="0.3">
      <c r="A526" s="1" t="s">
        <v>307</v>
      </c>
      <c r="B526" s="1" t="s">
        <v>76</v>
      </c>
      <c r="C526" s="88">
        <v>45553</v>
      </c>
      <c r="D526" s="89" t="s">
        <v>808</v>
      </c>
      <c r="E526" s="89" t="s">
        <v>13</v>
      </c>
      <c r="F526" s="56" t="s">
        <v>778</v>
      </c>
      <c r="G526" s="54">
        <f>790*54</f>
        <v>42660</v>
      </c>
      <c r="H526" s="54">
        <v>2.5299999999999998</v>
      </c>
      <c r="I526" s="54">
        <f t="shared" si="50"/>
        <v>107929.79999999999</v>
      </c>
      <c r="J526" s="132"/>
      <c r="K526" s="54">
        <f t="shared" si="49"/>
        <v>173773.05</v>
      </c>
    </row>
    <row r="527" spans="1:13" ht="14" x14ac:dyDescent="0.3">
      <c r="A527" s="1" t="s">
        <v>307</v>
      </c>
      <c r="C527" s="88">
        <v>45553</v>
      </c>
      <c r="D527" s="89"/>
      <c r="E527" s="89"/>
      <c r="F527" s="56" t="s">
        <v>779</v>
      </c>
      <c r="G527" s="54">
        <v>96</v>
      </c>
      <c r="H527" s="54">
        <v>2.5299999999999998</v>
      </c>
      <c r="I527" s="54">
        <f t="shared" ref="I527:I528" si="51">G527*H527</f>
        <v>242.88</v>
      </c>
      <c r="J527" s="132"/>
      <c r="K527" s="54">
        <f t="shared" si="49"/>
        <v>174015.93</v>
      </c>
    </row>
    <row r="528" spans="1:13" ht="14" x14ac:dyDescent="0.3">
      <c r="C528" s="360">
        <v>45553</v>
      </c>
      <c r="D528" s="361"/>
      <c r="E528" s="361" t="s">
        <v>40</v>
      </c>
      <c r="F528" s="362" t="s">
        <v>1348</v>
      </c>
      <c r="G528" s="363">
        <f>-68685/11</f>
        <v>-6244.090909090909</v>
      </c>
      <c r="H528" s="363">
        <v>2.5299999999999998</v>
      </c>
      <c r="I528" s="363">
        <f t="shared" si="51"/>
        <v>-15797.55</v>
      </c>
      <c r="J528" s="132"/>
      <c r="K528" s="54">
        <f t="shared" si="49"/>
        <v>158218.38</v>
      </c>
    </row>
    <row r="529" spans="1:13" ht="14" x14ac:dyDescent="0.3">
      <c r="C529" s="88"/>
      <c r="D529" s="89"/>
      <c r="E529" s="89"/>
      <c r="F529" s="56"/>
      <c r="G529" s="54"/>
      <c r="H529" s="54"/>
      <c r="I529" s="54"/>
      <c r="J529" s="132"/>
      <c r="K529" s="54">
        <f t="shared" si="49"/>
        <v>158218.38</v>
      </c>
    </row>
    <row r="530" spans="1:13" ht="14" x14ac:dyDescent="0.3">
      <c r="C530" s="88"/>
      <c r="D530" s="89"/>
      <c r="E530" s="89"/>
      <c r="F530" s="56"/>
      <c r="G530" s="54"/>
      <c r="H530" s="54"/>
      <c r="I530" s="54"/>
      <c r="J530" s="132"/>
      <c r="K530" s="54">
        <f t="shared" si="49"/>
        <v>158218.38</v>
      </c>
    </row>
    <row r="531" spans="1:13" ht="15" x14ac:dyDescent="0.3">
      <c r="C531" s="88"/>
      <c r="D531" s="89"/>
      <c r="E531" s="89"/>
      <c r="F531" s="109" t="s">
        <v>1010</v>
      </c>
      <c r="G531" s="54"/>
      <c r="H531" s="54"/>
      <c r="I531" s="54"/>
      <c r="J531" s="132"/>
      <c r="K531" s="54">
        <f t="shared" si="49"/>
        <v>158218.38</v>
      </c>
    </row>
    <row r="534" spans="1:13" ht="15" x14ac:dyDescent="0.3">
      <c r="C534" s="24" t="s">
        <v>0</v>
      </c>
      <c r="D534" s="24" t="s">
        <v>49</v>
      </c>
      <c r="E534" s="24" t="s">
        <v>53</v>
      </c>
      <c r="F534" s="19" t="s">
        <v>5</v>
      </c>
      <c r="G534" s="20" t="s">
        <v>6</v>
      </c>
      <c r="H534" s="20" t="s">
        <v>7</v>
      </c>
      <c r="I534" s="24" t="s">
        <v>13</v>
      </c>
      <c r="J534" s="24" t="s">
        <v>69</v>
      </c>
      <c r="K534" s="24" t="s">
        <v>57</v>
      </c>
    </row>
    <row r="535" spans="1:13" ht="14" x14ac:dyDescent="0.3">
      <c r="C535" s="88"/>
      <c r="D535" s="89"/>
      <c r="E535" s="89"/>
      <c r="F535" s="56"/>
      <c r="G535" s="54"/>
      <c r="H535" s="54"/>
      <c r="I535" s="54"/>
      <c r="J535" s="132"/>
      <c r="K535" s="54"/>
    </row>
    <row r="536" spans="1:13" ht="14" x14ac:dyDescent="0.3">
      <c r="C536" s="88"/>
      <c r="D536" s="89"/>
      <c r="E536" s="89"/>
      <c r="F536" s="56"/>
      <c r="G536" s="54"/>
      <c r="H536" s="54"/>
      <c r="I536" s="54"/>
      <c r="J536" s="132"/>
      <c r="K536" s="54"/>
    </row>
    <row r="537" spans="1:13" ht="14" x14ac:dyDescent="0.3">
      <c r="A537" s="1" t="s">
        <v>307</v>
      </c>
      <c r="B537" s="1" t="s">
        <v>76</v>
      </c>
      <c r="C537" s="88">
        <v>45554</v>
      </c>
      <c r="D537" s="89" t="s">
        <v>792</v>
      </c>
      <c r="E537" s="89" t="s">
        <v>13</v>
      </c>
      <c r="F537" s="56" t="s">
        <v>811</v>
      </c>
      <c r="G537" s="54">
        <f>299*2</f>
        <v>598</v>
      </c>
      <c r="H537" s="54">
        <v>2.5299999999999998</v>
      </c>
      <c r="I537" s="54">
        <f t="shared" ref="I537" si="52">G537*H537</f>
        <v>1512.9399999999998</v>
      </c>
      <c r="J537" s="132"/>
      <c r="K537" s="54">
        <f t="shared" ref="K537:K545" si="53">K536+I537-J537</f>
        <v>1512.9399999999998</v>
      </c>
    </row>
    <row r="538" spans="1:13" ht="14" x14ac:dyDescent="0.3">
      <c r="A538" s="1" t="s">
        <v>307</v>
      </c>
      <c r="B538" s="1" t="s">
        <v>76</v>
      </c>
      <c r="C538" s="88">
        <v>45554</v>
      </c>
      <c r="D538" s="89" t="s">
        <v>792</v>
      </c>
      <c r="E538" s="89" t="s">
        <v>13</v>
      </c>
      <c r="F538" s="56" t="s">
        <v>812</v>
      </c>
      <c r="G538" s="54">
        <v>299</v>
      </c>
      <c r="H538" s="54">
        <v>2.5299999999999998</v>
      </c>
      <c r="I538" s="54">
        <f t="shared" ref="I538:I540" si="54">G538*H538</f>
        <v>756.46999999999991</v>
      </c>
      <c r="J538" s="132"/>
      <c r="K538" s="54">
        <f t="shared" si="53"/>
        <v>2269.41</v>
      </c>
      <c r="M538" s="14" t="s">
        <v>50</v>
      </c>
    </row>
    <row r="539" spans="1:13" ht="14" x14ac:dyDescent="0.3">
      <c r="A539" s="1" t="s">
        <v>307</v>
      </c>
      <c r="B539" s="1" t="s">
        <v>76</v>
      </c>
      <c r="C539" s="88">
        <v>45554</v>
      </c>
      <c r="D539" s="89" t="s">
        <v>792</v>
      </c>
      <c r="E539" s="89" t="s">
        <v>13</v>
      </c>
      <c r="F539" s="56" t="s">
        <v>813</v>
      </c>
      <c r="G539" s="54">
        <v>297</v>
      </c>
      <c r="H539" s="54">
        <v>2.5299999999999998</v>
      </c>
      <c r="I539" s="54">
        <f t="shared" si="54"/>
        <v>751.41</v>
      </c>
      <c r="J539" s="132"/>
      <c r="K539" s="54">
        <f t="shared" si="53"/>
        <v>3020.8199999999997</v>
      </c>
    </row>
    <row r="540" spans="1:13" ht="14" x14ac:dyDescent="0.3">
      <c r="A540" s="1" t="s">
        <v>307</v>
      </c>
      <c r="B540" s="1" t="s">
        <v>76</v>
      </c>
      <c r="C540" s="88">
        <v>45554</v>
      </c>
      <c r="D540" s="89" t="s">
        <v>792</v>
      </c>
      <c r="E540" s="89" t="s">
        <v>13</v>
      </c>
      <c r="F540" s="56" t="s">
        <v>814</v>
      </c>
      <c r="G540" s="54">
        <v>297</v>
      </c>
      <c r="H540" s="54">
        <v>2.5299999999999998</v>
      </c>
      <c r="I540" s="54">
        <f t="shared" si="54"/>
        <v>751.41</v>
      </c>
      <c r="J540" s="132"/>
      <c r="K540" s="54">
        <f t="shared" si="53"/>
        <v>3772.2299999999996</v>
      </c>
      <c r="M540" s="14" t="s">
        <v>50</v>
      </c>
    </row>
    <row r="541" spans="1:13" ht="14" x14ac:dyDescent="0.3">
      <c r="A541" s="1" t="s">
        <v>307</v>
      </c>
      <c r="B541" s="1" t="s">
        <v>775</v>
      </c>
      <c r="C541" s="88">
        <v>45554</v>
      </c>
      <c r="D541" s="89" t="s">
        <v>808</v>
      </c>
      <c r="E541" s="89" t="s">
        <v>13</v>
      </c>
      <c r="F541" s="56" t="s">
        <v>815</v>
      </c>
      <c r="G541" s="54">
        <f>7*790</f>
        <v>5530</v>
      </c>
      <c r="H541" s="54">
        <v>2.5299999999999998</v>
      </c>
      <c r="I541" s="54">
        <f t="shared" ref="I541:I542" si="55">G541*H541</f>
        <v>13990.9</v>
      </c>
      <c r="J541" s="132"/>
      <c r="K541" s="54">
        <f t="shared" si="53"/>
        <v>17763.129999999997</v>
      </c>
    </row>
    <row r="542" spans="1:13" ht="14" x14ac:dyDescent="0.3">
      <c r="C542" s="360">
        <v>45554</v>
      </c>
      <c r="D542" s="361"/>
      <c r="E542" s="361" t="s">
        <v>40</v>
      </c>
      <c r="F542" s="362" t="s">
        <v>866</v>
      </c>
      <c r="G542" s="363">
        <f>7021/11</f>
        <v>638.27272727272725</v>
      </c>
      <c r="H542" s="363">
        <v>2.5299999999999998</v>
      </c>
      <c r="I542" s="363">
        <f t="shared" si="55"/>
        <v>1614.83</v>
      </c>
      <c r="J542" s="132"/>
      <c r="K542" s="54">
        <f t="shared" si="53"/>
        <v>19377.96</v>
      </c>
    </row>
    <row r="543" spans="1:13" ht="14" x14ac:dyDescent="0.3">
      <c r="C543" s="88"/>
      <c r="D543" s="89"/>
      <c r="E543" s="89"/>
      <c r="F543" s="56"/>
      <c r="G543" s="54"/>
      <c r="H543" s="54"/>
      <c r="I543" s="54"/>
      <c r="J543" s="132"/>
      <c r="K543" s="54">
        <f t="shared" si="53"/>
        <v>19377.96</v>
      </c>
    </row>
    <row r="544" spans="1:13" ht="14" x14ac:dyDescent="0.3">
      <c r="C544" s="88"/>
      <c r="D544" s="89"/>
      <c r="E544" s="89"/>
      <c r="F544" s="56"/>
      <c r="G544" s="54"/>
      <c r="H544" s="54"/>
      <c r="I544" s="54"/>
      <c r="J544" s="132"/>
      <c r="K544" s="54">
        <f t="shared" si="53"/>
        <v>19377.96</v>
      </c>
    </row>
    <row r="545" spans="1:13" ht="15" x14ac:dyDescent="0.3">
      <c r="C545" s="88"/>
      <c r="D545" s="89"/>
      <c r="E545" s="89"/>
      <c r="F545" s="109" t="s">
        <v>867</v>
      </c>
      <c r="G545" s="54"/>
      <c r="H545" s="54"/>
      <c r="I545" s="54"/>
      <c r="J545" s="132"/>
      <c r="K545" s="54">
        <f t="shared" si="53"/>
        <v>19377.96</v>
      </c>
    </row>
    <row r="548" spans="1:13" ht="15" x14ac:dyDescent="0.3">
      <c r="C548" s="24" t="s">
        <v>0</v>
      </c>
      <c r="D548" s="24" t="s">
        <v>49</v>
      </c>
      <c r="E548" s="24" t="s">
        <v>53</v>
      </c>
      <c r="F548" s="19" t="s">
        <v>5</v>
      </c>
      <c r="G548" s="20" t="s">
        <v>6</v>
      </c>
      <c r="H548" s="20" t="s">
        <v>7</v>
      </c>
      <c r="I548" s="24" t="s">
        <v>13</v>
      </c>
      <c r="J548" s="24" t="s">
        <v>69</v>
      </c>
      <c r="K548" s="24" t="s">
        <v>57</v>
      </c>
    </row>
    <row r="549" spans="1:13" ht="14" x14ac:dyDescent="0.3">
      <c r="C549" s="88"/>
      <c r="D549" s="89"/>
      <c r="E549" s="89"/>
      <c r="F549" s="56"/>
      <c r="G549" s="54"/>
      <c r="H549" s="54"/>
      <c r="I549" s="54"/>
      <c r="J549" s="132"/>
      <c r="K549" s="54"/>
    </row>
    <row r="550" spans="1:13" ht="14" x14ac:dyDescent="0.3">
      <c r="B550" s="1" t="s">
        <v>76</v>
      </c>
      <c r="C550" s="88">
        <v>45556</v>
      </c>
      <c r="D550" s="89" t="s">
        <v>808</v>
      </c>
      <c r="E550" s="89" t="s">
        <v>13</v>
      </c>
      <c r="F550" s="56" t="s">
        <v>868</v>
      </c>
      <c r="G550" s="54">
        <f>30*799</f>
        <v>23970</v>
      </c>
      <c r="H550" s="54">
        <v>2.5299999999999998</v>
      </c>
      <c r="I550" s="54">
        <f t="shared" ref="I550" si="56">G550*H550</f>
        <v>60644.1</v>
      </c>
      <c r="J550" s="132"/>
      <c r="K550" s="54">
        <f t="shared" ref="K550:K560" si="57">K549+I550-J550</f>
        <v>60644.1</v>
      </c>
    </row>
    <row r="551" spans="1:13" ht="14" x14ac:dyDescent="0.3">
      <c r="A551" s="1" t="s">
        <v>307</v>
      </c>
      <c r="C551" s="88"/>
      <c r="D551" s="89"/>
      <c r="E551" s="89"/>
      <c r="F551" s="56" t="s">
        <v>985</v>
      </c>
      <c r="G551" s="54"/>
      <c r="H551" s="54">
        <v>2.5299999999999998</v>
      </c>
      <c r="I551" s="54">
        <f t="shared" ref="I551:I555" si="58">G551*H551</f>
        <v>0</v>
      </c>
      <c r="J551" s="132"/>
      <c r="K551" s="54">
        <f t="shared" si="57"/>
        <v>60644.1</v>
      </c>
      <c r="M551" s="14" t="s">
        <v>50</v>
      </c>
    </row>
    <row r="552" spans="1:13" ht="14" x14ac:dyDescent="0.3">
      <c r="A552" s="1" t="s">
        <v>307</v>
      </c>
      <c r="C552" s="88"/>
      <c r="D552" s="89"/>
      <c r="E552" s="89"/>
      <c r="F552" s="56" t="s">
        <v>986</v>
      </c>
      <c r="G552" s="54"/>
      <c r="H552" s="54">
        <v>2.5299999999999998</v>
      </c>
      <c r="I552" s="54">
        <f t="shared" ref="I552" si="59">G552*H552</f>
        <v>0</v>
      </c>
      <c r="J552" s="132"/>
      <c r="K552" s="54">
        <f t="shared" si="57"/>
        <v>60644.1</v>
      </c>
    </row>
    <row r="553" spans="1:13" ht="14" x14ac:dyDescent="0.3">
      <c r="A553" s="1" t="s">
        <v>307</v>
      </c>
      <c r="C553" s="88"/>
      <c r="D553" s="89"/>
      <c r="E553" s="89"/>
      <c r="F553" s="56" t="s">
        <v>869</v>
      </c>
      <c r="G553" s="54"/>
      <c r="H553" s="54">
        <v>2.5299999999999998</v>
      </c>
      <c r="I553" s="54">
        <f t="shared" si="58"/>
        <v>0</v>
      </c>
      <c r="J553" s="132"/>
      <c r="K553" s="54">
        <f t="shared" si="57"/>
        <v>60644.1</v>
      </c>
      <c r="M553" s="14" t="s">
        <v>50</v>
      </c>
    </row>
    <row r="554" spans="1:13" ht="14" x14ac:dyDescent="0.3">
      <c r="A554" s="1" t="s">
        <v>307</v>
      </c>
      <c r="C554" s="88"/>
      <c r="D554" s="89"/>
      <c r="E554" s="89"/>
      <c r="F554" s="56" t="s">
        <v>870</v>
      </c>
      <c r="G554" s="54"/>
      <c r="H554" s="54">
        <v>2.5299999999999998</v>
      </c>
      <c r="I554" s="54">
        <f t="shared" si="58"/>
        <v>0</v>
      </c>
      <c r="J554" s="132"/>
      <c r="K554" s="54">
        <f t="shared" si="57"/>
        <v>60644.1</v>
      </c>
    </row>
    <row r="555" spans="1:13" ht="14" x14ac:dyDescent="0.3">
      <c r="C555" s="360">
        <v>45556</v>
      </c>
      <c r="D555" s="361"/>
      <c r="E555" s="361" t="s">
        <v>40</v>
      </c>
      <c r="F555" s="362" t="s">
        <v>1027</v>
      </c>
      <c r="G555" s="363">
        <f>23970/11</f>
        <v>2179.090909090909</v>
      </c>
      <c r="H555" s="363">
        <v>2.5299999999999998</v>
      </c>
      <c r="I555" s="363">
        <f t="shared" si="58"/>
        <v>5513.0999999999995</v>
      </c>
      <c r="J555" s="132"/>
      <c r="K555" s="54">
        <f t="shared" si="57"/>
        <v>66157.2</v>
      </c>
    </row>
    <row r="556" spans="1:13" ht="14" x14ac:dyDescent="0.3">
      <c r="C556" s="88"/>
      <c r="D556" s="89"/>
      <c r="E556" s="89"/>
      <c r="F556" s="56"/>
      <c r="G556" s="54"/>
      <c r="H556" s="54"/>
      <c r="I556" s="54"/>
      <c r="J556" s="132"/>
      <c r="K556" s="54">
        <f t="shared" si="57"/>
        <v>66157.2</v>
      </c>
    </row>
    <row r="557" spans="1:13" ht="14" x14ac:dyDescent="0.3">
      <c r="C557" s="360"/>
      <c r="D557" s="361"/>
      <c r="E557" s="361"/>
      <c r="F557" s="362"/>
      <c r="G557" s="363"/>
      <c r="H557" s="363"/>
      <c r="I557" s="363"/>
      <c r="J557" s="132"/>
      <c r="K557" s="54">
        <f t="shared" si="57"/>
        <v>66157.2</v>
      </c>
    </row>
    <row r="558" spans="1:13" ht="14" x14ac:dyDescent="0.3">
      <c r="C558" s="88"/>
      <c r="D558" s="89"/>
      <c r="E558" s="89"/>
      <c r="F558" s="56"/>
      <c r="G558" s="54"/>
      <c r="H558" s="54"/>
      <c r="I558" s="54"/>
      <c r="J558" s="132"/>
      <c r="K558" s="54">
        <f t="shared" si="57"/>
        <v>66157.2</v>
      </c>
    </row>
    <row r="559" spans="1:13" ht="14" x14ac:dyDescent="0.3">
      <c r="C559" s="88"/>
      <c r="D559" s="89"/>
      <c r="E559" s="89"/>
      <c r="F559" s="56"/>
      <c r="G559" s="54"/>
      <c r="H559" s="54"/>
      <c r="I559" s="54"/>
      <c r="J559" s="132"/>
      <c r="K559" s="54">
        <f t="shared" si="57"/>
        <v>66157.2</v>
      </c>
    </row>
    <row r="560" spans="1:13" ht="15" x14ac:dyDescent="0.3">
      <c r="C560" s="88"/>
      <c r="D560" s="89"/>
      <c r="E560" s="89"/>
      <c r="F560" s="109" t="s">
        <v>871</v>
      </c>
      <c r="G560" s="54"/>
      <c r="H560" s="54"/>
      <c r="I560" s="54"/>
      <c r="J560" s="132"/>
      <c r="K560" s="54">
        <f t="shared" si="57"/>
        <v>66157.2</v>
      </c>
    </row>
    <row r="563" spans="1:13" ht="15" x14ac:dyDescent="0.3">
      <c r="C563" s="24" t="s">
        <v>0</v>
      </c>
      <c r="D563" s="24" t="s">
        <v>49</v>
      </c>
      <c r="E563" s="24" t="s">
        <v>53</v>
      </c>
      <c r="F563" s="19" t="s">
        <v>5</v>
      </c>
      <c r="G563" s="20" t="s">
        <v>6</v>
      </c>
      <c r="H563" s="20" t="s">
        <v>7</v>
      </c>
      <c r="I563" s="24" t="s">
        <v>13</v>
      </c>
      <c r="J563" s="24" t="s">
        <v>69</v>
      </c>
      <c r="K563" s="24" t="s">
        <v>57</v>
      </c>
    </row>
    <row r="564" spans="1:13" ht="14" x14ac:dyDescent="0.3">
      <c r="C564" s="88"/>
      <c r="D564" s="89"/>
      <c r="E564" s="89"/>
      <c r="F564" s="56"/>
      <c r="G564" s="54"/>
      <c r="H564" s="54"/>
      <c r="I564" s="54"/>
      <c r="J564" s="132"/>
      <c r="K564" s="54"/>
    </row>
    <row r="565" spans="1:13" ht="14" x14ac:dyDescent="0.3">
      <c r="A565" s="1" t="s">
        <v>307</v>
      </c>
      <c r="B565" s="1" t="s">
        <v>76</v>
      </c>
      <c r="C565" s="88">
        <v>45558</v>
      </c>
      <c r="D565" s="89" t="s">
        <v>792</v>
      </c>
      <c r="E565" s="89" t="s">
        <v>13</v>
      </c>
      <c r="F565" s="56" t="s">
        <v>872</v>
      </c>
      <c r="G565" s="54">
        <f>297*3</f>
        <v>891</v>
      </c>
      <c r="H565" s="54">
        <v>2.5299999999999998</v>
      </c>
      <c r="I565" s="54">
        <f t="shared" ref="I565" si="60">G565*H565</f>
        <v>2254.23</v>
      </c>
      <c r="J565" s="132"/>
      <c r="K565" s="54">
        <f t="shared" ref="K565:K577" si="61">K564+I565-J565</f>
        <v>2254.23</v>
      </c>
      <c r="M565" s="14" t="s">
        <v>50</v>
      </c>
    </row>
    <row r="566" spans="1:13" ht="14" x14ac:dyDescent="0.3">
      <c r="A566" s="1" t="s">
        <v>307</v>
      </c>
      <c r="B566" s="1" t="s">
        <v>76</v>
      </c>
      <c r="C566" s="88">
        <v>45558</v>
      </c>
      <c r="D566" s="89" t="s">
        <v>792</v>
      </c>
      <c r="E566" s="89" t="s">
        <v>13</v>
      </c>
      <c r="F566" s="56" t="s">
        <v>873</v>
      </c>
      <c r="G566" s="54">
        <v>298</v>
      </c>
      <c r="H566" s="54">
        <v>2.5299999999999998</v>
      </c>
      <c r="I566" s="54">
        <f t="shared" ref="I566:I570" si="62">G566*H566</f>
        <v>753.93999999999994</v>
      </c>
      <c r="J566" s="132"/>
      <c r="K566" s="54">
        <f t="shared" si="61"/>
        <v>3008.17</v>
      </c>
      <c r="M566" s="14" t="s">
        <v>50</v>
      </c>
    </row>
    <row r="567" spans="1:13" ht="14" x14ac:dyDescent="0.3">
      <c r="B567" s="1" t="s">
        <v>76</v>
      </c>
      <c r="C567" s="88">
        <v>45558</v>
      </c>
      <c r="D567" s="89" t="s">
        <v>808</v>
      </c>
      <c r="E567" s="89" t="s">
        <v>13</v>
      </c>
      <c r="F567" s="56" t="s">
        <v>874</v>
      </c>
      <c r="G567" s="54">
        <f>759*2</f>
        <v>1518</v>
      </c>
      <c r="H567" s="54">
        <v>2.5299999999999998</v>
      </c>
      <c r="I567" s="54">
        <f t="shared" si="62"/>
        <v>3840.5399999999995</v>
      </c>
      <c r="J567" s="132"/>
      <c r="K567" s="54">
        <f t="shared" si="61"/>
        <v>6848.7099999999991</v>
      </c>
    </row>
    <row r="568" spans="1:13" ht="14" x14ac:dyDescent="0.3">
      <c r="A568" s="1" t="s">
        <v>307</v>
      </c>
      <c r="B568" s="1" t="s">
        <v>775</v>
      </c>
      <c r="C568" s="88">
        <v>45558</v>
      </c>
      <c r="D568" s="89" t="s">
        <v>808</v>
      </c>
      <c r="E568" s="89" t="s">
        <v>13</v>
      </c>
      <c r="F568" s="56" t="s">
        <v>877</v>
      </c>
      <c r="G568" s="54">
        <f>759*2</f>
        <v>1518</v>
      </c>
      <c r="H568" s="54">
        <v>2.5299999999999998</v>
      </c>
      <c r="I568" s="54">
        <f t="shared" si="62"/>
        <v>3840.5399999999995</v>
      </c>
      <c r="J568" s="132"/>
      <c r="K568" s="54">
        <f t="shared" si="61"/>
        <v>10689.249999999998</v>
      </c>
    </row>
    <row r="569" spans="1:13" ht="14" x14ac:dyDescent="0.3">
      <c r="B569" s="1" t="s">
        <v>76</v>
      </c>
      <c r="C569" s="88">
        <v>45558</v>
      </c>
      <c r="D569" s="89" t="s">
        <v>792</v>
      </c>
      <c r="E569" s="89" t="s">
        <v>13</v>
      </c>
      <c r="F569" s="56" t="s">
        <v>875</v>
      </c>
      <c r="G569" s="349">
        <f>297*2</f>
        <v>594</v>
      </c>
      <c r="H569" s="54">
        <v>2.5299999999999998</v>
      </c>
      <c r="I569" s="54">
        <f t="shared" si="62"/>
        <v>1502.82</v>
      </c>
      <c r="J569" s="132"/>
      <c r="K569" s="54">
        <f t="shared" si="61"/>
        <v>12192.069999999998</v>
      </c>
    </row>
    <row r="570" spans="1:13" ht="14" x14ac:dyDescent="0.3">
      <c r="B570" s="1" t="s">
        <v>76</v>
      </c>
      <c r="C570" s="88">
        <v>45558</v>
      </c>
      <c r="D570" s="89" t="s">
        <v>792</v>
      </c>
      <c r="E570" s="89" t="s">
        <v>13</v>
      </c>
      <c r="F570" s="56" t="s">
        <v>876</v>
      </c>
      <c r="G570" s="54">
        <v>299</v>
      </c>
      <c r="H570" s="54">
        <v>2.5299999999999998</v>
      </c>
      <c r="I570" s="54">
        <f t="shared" si="62"/>
        <v>756.46999999999991</v>
      </c>
      <c r="J570" s="132"/>
      <c r="K570" s="54">
        <f t="shared" si="61"/>
        <v>12948.539999999997</v>
      </c>
    </row>
    <row r="571" spans="1:13" ht="14" x14ac:dyDescent="0.3">
      <c r="A571" s="1" t="s">
        <v>307</v>
      </c>
      <c r="B571" s="1" t="s">
        <v>76</v>
      </c>
      <c r="C571" s="88">
        <v>45558</v>
      </c>
      <c r="D571" s="89" t="s">
        <v>792</v>
      </c>
      <c r="E571" s="89" t="s">
        <v>13</v>
      </c>
      <c r="F571" s="56" t="s">
        <v>878</v>
      </c>
      <c r="G571" s="54">
        <f>298*5</f>
        <v>1490</v>
      </c>
      <c r="H571" s="54">
        <v>2.5299999999999998</v>
      </c>
      <c r="I571" s="54">
        <f t="shared" ref="I571:I574" si="63">G571*H571</f>
        <v>3769.7</v>
      </c>
      <c r="J571" s="132"/>
      <c r="K571" s="54">
        <f t="shared" ref="K571:K574" si="64">K570+I571-J571</f>
        <v>16718.239999999998</v>
      </c>
    </row>
    <row r="572" spans="1:13" ht="14" x14ac:dyDescent="0.3">
      <c r="A572" s="1" t="s">
        <v>307</v>
      </c>
      <c r="B572" s="1" t="s">
        <v>76</v>
      </c>
      <c r="C572" s="88">
        <v>45558</v>
      </c>
      <c r="D572" s="89" t="s">
        <v>792</v>
      </c>
      <c r="E572" s="89" t="s">
        <v>13</v>
      </c>
      <c r="F572" s="56" t="s">
        <v>879</v>
      </c>
      <c r="G572" s="54">
        <f>297*3</f>
        <v>891</v>
      </c>
      <c r="H572" s="54">
        <v>2.5299999999999998</v>
      </c>
      <c r="I572" s="54">
        <f t="shared" si="63"/>
        <v>2254.23</v>
      </c>
      <c r="J572" s="132"/>
      <c r="K572" s="54">
        <f t="shared" si="64"/>
        <v>18972.469999999998</v>
      </c>
    </row>
    <row r="573" spans="1:13" ht="14" x14ac:dyDescent="0.3">
      <c r="A573" s="1" t="s">
        <v>307</v>
      </c>
      <c r="B573" s="1" t="s">
        <v>76</v>
      </c>
      <c r="C573" s="88">
        <v>45558</v>
      </c>
      <c r="D573" s="89" t="s">
        <v>808</v>
      </c>
      <c r="E573" s="89" t="s">
        <v>13</v>
      </c>
      <c r="F573" s="56" t="s">
        <v>880</v>
      </c>
      <c r="G573" s="54">
        <v>745</v>
      </c>
      <c r="H573" s="54">
        <v>2.5299999999999998</v>
      </c>
      <c r="I573" s="54">
        <f t="shared" si="63"/>
        <v>1884.85</v>
      </c>
      <c r="J573" s="132"/>
      <c r="K573" s="54">
        <f t="shared" si="64"/>
        <v>20857.319999999996</v>
      </c>
    </row>
    <row r="574" spans="1:13" ht="14" x14ac:dyDescent="0.3">
      <c r="C574" s="360">
        <v>45558</v>
      </c>
      <c r="D574" s="361"/>
      <c r="E574" s="361" t="s">
        <v>40</v>
      </c>
      <c r="F574" s="362" t="s">
        <v>883</v>
      </c>
      <c r="G574" s="363">
        <f>-8244/11</f>
        <v>-749.4545454545455</v>
      </c>
      <c r="H574" s="363">
        <v>2.5299999999999998</v>
      </c>
      <c r="I574" s="363">
        <f t="shared" si="63"/>
        <v>-1896.12</v>
      </c>
      <c r="J574" s="132"/>
      <c r="K574" s="54">
        <f t="shared" si="64"/>
        <v>18961.199999999997</v>
      </c>
    </row>
    <row r="575" spans="1:13" ht="14" x14ac:dyDescent="0.3">
      <c r="C575" s="88"/>
      <c r="D575" s="89"/>
      <c r="E575" s="89"/>
      <c r="F575" s="56"/>
      <c r="G575" s="54"/>
      <c r="H575" s="54"/>
      <c r="I575" s="54"/>
      <c r="J575" s="132"/>
      <c r="K575" s="54">
        <f t="shared" si="61"/>
        <v>18961.199999999997</v>
      </c>
    </row>
    <row r="576" spans="1:13" ht="14" x14ac:dyDescent="0.3">
      <c r="C576" s="88"/>
      <c r="D576" s="89"/>
      <c r="E576" s="89"/>
      <c r="F576" s="56"/>
      <c r="G576" s="54"/>
      <c r="H576" s="54"/>
      <c r="I576" s="54"/>
      <c r="J576" s="132"/>
      <c r="K576" s="54">
        <f t="shared" si="61"/>
        <v>18961.199999999997</v>
      </c>
    </row>
    <row r="577" spans="1:11" ht="15" x14ac:dyDescent="0.3">
      <c r="C577" s="88"/>
      <c r="D577" s="89"/>
      <c r="E577" s="89"/>
      <c r="F577" s="109" t="s">
        <v>881</v>
      </c>
      <c r="G577" s="54"/>
      <c r="H577" s="54"/>
      <c r="I577" s="54"/>
      <c r="J577" s="132"/>
      <c r="K577" s="54">
        <f t="shared" si="61"/>
        <v>18961.199999999997</v>
      </c>
    </row>
    <row r="580" spans="1:11" ht="15" x14ac:dyDescent="0.3">
      <c r="C580" s="24" t="s">
        <v>0</v>
      </c>
      <c r="D580" s="24" t="s">
        <v>49</v>
      </c>
      <c r="E580" s="24" t="s">
        <v>53</v>
      </c>
      <c r="F580" s="19" t="s">
        <v>5</v>
      </c>
      <c r="G580" s="20" t="s">
        <v>6</v>
      </c>
      <c r="H580" s="20" t="s">
        <v>7</v>
      </c>
      <c r="I580" s="24" t="s">
        <v>13</v>
      </c>
      <c r="J580" s="24" t="s">
        <v>69</v>
      </c>
      <c r="K580" s="24" t="s">
        <v>57</v>
      </c>
    </row>
    <row r="581" spans="1:11" ht="14" x14ac:dyDescent="0.3">
      <c r="C581" s="88"/>
      <c r="D581" s="89"/>
      <c r="E581" s="89"/>
      <c r="F581" s="56"/>
      <c r="G581" s="54"/>
      <c r="H581" s="54"/>
      <c r="I581" s="54"/>
      <c r="J581" s="132"/>
      <c r="K581" s="54"/>
    </row>
    <row r="582" spans="1:11" ht="14" x14ac:dyDescent="0.3">
      <c r="A582" s="1" t="s">
        <v>307</v>
      </c>
      <c r="B582" s="1" t="s">
        <v>76</v>
      </c>
      <c r="C582" s="88">
        <v>45559</v>
      </c>
      <c r="D582" s="89" t="s">
        <v>792</v>
      </c>
      <c r="E582" s="89" t="s">
        <v>13</v>
      </c>
      <c r="F582" s="56" t="s">
        <v>884</v>
      </c>
      <c r="G582" s="54">
        <v>299</v>
      </c>
      <c r="H582" s="54">
        <v>2.5299999999999998</v>
      </c>
      <c r="I582" s="54">
        <f t="shared" ref="I582:I592" si="65">G582*H582</f>
        <v>756.46999999999991</v>
      </c>
      <c r="J582" s="132"/>
      <c r="K582" s="54">
        <f t="shared" ref="K582:K594" si="66">K581+I582-J582</f>
        <v>756.46999999999991</v>
      </c>
    </row>
    <row r="583" spans="1:11" ht="14" x14ac:dyDescent="0.3">
      <c r="B583" s="1" t="s">
        <v>76</v>
      </c>
      <c r="C583" s="88">
        <v>45559</v>
      </c>
      <c r="D583" s="89" t="s">
        <v>792</v>
      </c>
      <c r="E583" s="89" t="s">
        <v>13</v>
      </c>
      <c r="F583" s="56" t="s">
        <v>885</v>
      </c>
      <c r="G583" s="54">
        <v>299</v>
      </c>
      <c r="H583" s="54">
        <v>2.5299999999999998</v>
      </c>
      <c r="I583" s="54">
        <f t="shared" si="65"/>
        <v>756.46999999999991</v>
      </c>
      <c r="J583" s="132"/>
      <c r="K583" s="54">
        <f t="shared" si="66"/>
        <v>1512.9399999999998</v>
      </c>
    </row>
    <row r="584" spans="1:11" ht="14" x14ac:dyDescent="0.3">
      <c r="B584" s="1" t="s">
        <v>76</v>
      </c>
      <c r="C584" s="88">
        <v>45559</v>
      </c>
      <c r="D584" s="89" t="s">
        <v>808</v>
      </c>
      <c r="E584" s="89" t="s">
        <v>13</v>
      </c>
      <c r="F584" s="56" t="s">
        <v>886</v>
      </c>
      <c r="G584" s="54">
        <v>796</v>
      </c>
      <c r="H584" s="54">
        <v>2.5299999999999998</v>
      </c>
      <c r="I584" s="54">
        <f t="shared" si="65"/>
        <v>2013.8799999999999</v>
      </c>
      <c r="J584" s="132"/>
      <c r="K584" s="54">
        <f t="shared" si="66"/>
        <v>3526.8199999999997</v>
      </c>
    </row>
    <row r="585" spans="1:11" ht="14" x14ac:dyDescent="0.3">
      <c r="B585" s="1" t="s">
        <v>76</v>
      </c>
      <c r="C585" s="88">
        <v>45559</v>
      </c>
      <c r="D585" s="89" t="s">
        <v>792</v>
      </c>
      <c r="E585" s="89" t="s">
        <v>13</v>
      </c>
      <c r="F585" s="56" t="s">
        <v>885</v>
      </c>
      <c r="G585" s="54">
        <v>299</v>
      </c>
      <c r="H585" s="54">
        <v>2.5299999999999998</v>
      </c>
      <c r="I585" s="54">
        <f t="shared" si="65"/>
        <v>756.46999999999991</v>
      </c>
      <c r="J585" s="132"/>
      <c r="K585" s="54">
        <f t="shared" si="66"/>
        <v>4283.29</v>
      </c>
    </row>
    <row r="586" spans="1:11" ht="14" x14ac:dyDescent="0.3">
      <c r="B586" s="1" t="s">
        <v>76</v>
      </c>
      <c r="C586" s="88">
        <v>45559</v>
      </c>
      <c r="D586" s="89" t="s">
        <v>808</v>
      </c>
      <c r="E586" s="89" t="s">
        <v>13</v>
      </c>
      <c r="F586" s="56" t="s">
        <v>886</v>
      </c>
      <c r="G586" s="349">
        <v>796</v>
      </c>
      <c r="H586" s="54">
        <v>2.5299999999999998</v>
      </c>
      <c r="I586" s="54">
        <f t="shared" si="65"/>
        <v>2013.8799999999999</v>
      </c>
      <c r="J586" s="132"/>
      <c r="K586" s="54">
        <f t="shared" si="66"/>
        <v>6297.17</v>
      </c>
    </row>
    <row r="587" spans="1:11" ht="14" x14ac:dyDescent="0.3">
      <c r="A587" s="1" t="s">
        <v>307</v>
      </c>
      <c r="B587" s="1" t="s">
        <v>76</v>
      </c>
      <c r="C587" s="88">
        <v>45559</v>
      </c>
      <c r="D587" s="89" t="s">
        <v>792</v>
      </c>
      <c r="E587" s="89" t="s">
        <v>13</v>
      </c>
      <c r="F587" s="56" t="s">
        <v>887</v>
      </c>
      <c r="G587" s="54">
        <f>298*5</f>
        <v>1490</v>
      </c>
      <c r="H587" s="54">
        <v>2.5299999999999998</v>
      </c>
      <c r="I587" s="54">
        <f t="shared" si="65"/>
        <v>3769.7</v>
      </c>
      <c r="J587" s="132"/>
      <c r="K587" s="54">
        <f t="shared" si="66"/>
        <v>10066.869999999999</v>
      </c>
    </row>
    <row r="588" spans="1:11" ht="14" x14ac:dyDescent="0.3">
      <c r="B588" s="1" t="s">
        <v>76</v>
      </c>
      <c r="C588" s="88">
        <v>45559</v>
      </c>
      <c r="D588" s="89" t="s">
        <v>792</v>
      </c>
      <c r="E588" s="89" t="s">
        <v>13</v>
      </c>
      <c r="F588" s="56" t="s">
        <v>888</v>
      </c>
      <c r="G588" s="54">
        <v>299</v>
      </c>
      <c r="H588" s="54">
        <v>2.5299999999999998</v>
      </c>
      <c r="I588" s="54">
        <f t="shared" si="65"/>
        <v>756.46999999999991</v>
      </c>
      <c r="J588" s="132"/>
      <c r="K588" s="54">
        <f t="shared" si="66"/>
        <v>10823.339999999998</v>
      </c>
    </row>
    <row r="589" spans="1:11" ht="14" x14ac:dyDescent="0.3">
      <c r="A589" s="1" t="s">
        <v>307</v>
      </c>
      <c r="B589" s="1" t="s">
        <v>775</v>
      </c>
      <c r="C589" s="88">
        <v>45559</v>
      </c>
      <c r="D589" s="89" t="s">
        <v>808</v>
      </c>
      <c r="E589" s="89" t="s">
        <v>13</v>
      </c>
      <c r="F589" s="56" t="s">
        <v>889</v>
      </c>
      <c r="G589" s="54">
        <f>758*10</f>
        <v>7580</v>
      </c>
      <c r="H589" s="54">
        <v>2.5299999999999998</v>
      </c>
      <c r="I589" s="54">
        <f t="shared" si="65"/>
        <v>19177.399999999998</v>
      </c>
      <c r="J589" s="132"/>
      <c r="K589" s="54">
        <f t="shared" si="66"/>
        <v>30000.739999999998</v>
      </c>
    </row>
    <row r="590" spans="1:11" ht="14" x14ac:dyDescent="0.3">
      <c r="A590" s="1" t="s">
        <v>307</v>
      </c>
      <c r="B590" s="1" t="s">
        <v>775</v>
      </c>
      <c r="C590" s="88">
        <v>45559</v>
      </c>
      <c r="D590" s="89" t="s">
        <v>808</v>
      </c>
      <c r="E590" s="89" t="s">
        <v>13</v>
      </c>
      <c r="F590" s="56" t="s">
        <v>891</v>
      </c>
      <c r="G590" s="54">
        <f>750*10</f>
        <v>7500</v>
      </c>
      <c r="H590" s="54">
        <v>2.5299999999999998</v>
      </c>
      <c r="I590" s="54">
        <f t="shared" si="65"/>
        <v>18975</v>
      </c>
      <c r="J590" s="132"/>
      <c r="K590" s="54">
        <f t="shared" si="66"/>
        <v>48975.74</v>
      </c>
    </row>
    <row r="591" spans="1:11" ht="14" x14ac:dyDescent="0.3">
      <c r="A591" s="1" t="s">
        <v>307</v>
      </c>
      <c r="B591" s="1" t="s">
        <v>76</v>
      </c>
      <c r="C591" s="88">
        <v>45559</v>
      </c>
      <c r="D591" s="347" t="s">
        <v>792</v>
      </c>
      <c r="E591" s="89" t="s">
        <v>13</v>
      </c>
      <c r="F591" s="56" t="s">
        <v>890</v>
      </c>
      <c r="G591" s="349">
        <f>298*10</f>
        <v>2980</v>
      </c>
      <c r="H591" s="349">
        <v>2.5299999999999998</v>
      </c>
      <c r="I591" s="349">
        <f t="shared" si="65"/>
        <v>7539.4</v>
      </c>
      <c r="J591" s="132"/>
      <c r="K591" s="54">
        <f t="shared" si="66"/>
        <v>56515.14</v>
      </c>
    </row>
    <row r="592" spans="1:11" ht="14" x14ac:dyDescent="0.3">
      <c r="C592" s="360">
        <v>45559</v>
      </c>
      <c r="D592" s="361"/>
      <c r="E592" s="361" t="s">
        <v>40</v>
      </c>
      <c r="F592" s="362" t="s">
        <v>892</v>
      </c>
      <c r="G592" s="363">
        <f>-22338/11</f>
        <v>-2030.7272727272727</v>
      </c>
      <c r="H592" s="363">
        <v>2.5299999999999998</v>
      </c>
      <c r="I592" s="363">
        <f t="shared" si="65"/>
        <v>-5137.74</v>
      </c>
      <c r="J592" s="132"/>
      <c r="K592" s="54">
        <f t="shared" si="66"/>
        <v>51377.4</v>
      </c>
    </row>
    <row r="593" spans="1:13" ht="14" x14ac:dyDescent="0.3">
      <c r="C593" s="88"/>
      <c r="D593" s="89"/>
      <c r="E593" s="89"/>
      <c r="F593" s="56"/>
      <c r="G593" s="54"/>
      <c r="H593" s="54"/>
      <c r="I593" s="54"/>
      <c r="J593" s="132"/>
      <c r="K593" s="54">
        <f t="shared" si="66"/>
        <v>51377.4</v>
      </c>
    </row>
    <row r="594" spans="1:13" ht="15" x14ac:dyDescent="0.3">
      <c r="C594" s="88"/>
      <c r="D594" s="89"/>
      <c r="E594" s="89"/>
      <c r="F594" s="109" t="s">
        <v>893</v>
      </c>
      <c r="G594" s="54"/>
      <c r="H594" s="54"/>
      <c r="I594" s="54"/>
      <c r="J594" s="132"/>
      <c r="K594" s="54">
        <f t="shared" si="66"/>
        <v>51377.4</v>
      </c>
    </row>
    <row r="597" spans="1:13" ht="15" x14ac:dyDescent="0.3">
      <c r="C597" s="24" t="s">
        <v>0</v>
      </c>
      <c r="D597" s="24" t="s">
        <v>49</v>
      </c>
      <c r="E597" s="24" t="s">
        <v>53</v>
      </c>
      <c r="F597" s="19" t="s">
        <v>5</v>
      </c>
      <c r="G597" s="20" t="s">
        <v>6</v>
      </c>
      <c r="H597" s="20" t="s">
        <v>7</v>
      </c>
      <c r="I597" s="24" t="s">
        <v>13</v>
      </c>
      <c r="J597" s="24" t="s">
        <v>69</v>
      </c>
      <c r="K597" s="24" t="s">
        <v>57</v>
      </c>
    </row>
    <row r="598" spans="1:13" ht="14" x14ac:dyDescent="0.3">
      <c r="C598" s="88"/>
      <c r="D598" s="89"/>
      <c r="E598" s="89"/>
      <c r="F598" s="56"/>
      <c r="G598" s="54"/>
      <c r="H598" s="54"/>
      <c r="I598" s="54"/>
      <c r="J598" s="132"/>
      <c r="K598" s="54"/>
    </row>
    <row r="599" spans="1:13" ht="14" x14ac:dyDescent="0.3">
      <c r="A599" s="1" t="s">
        <v>307</v>
      </c>
      <c r="B599" s="1" t="s">
        <v>76</v>
      </c>
      <c r="C599" s="88">
        <v>45560</v>
      </c>
      <c r="D599" s="89" t="s">
        <v>792</v>
      </c>
      <c r="E599" s="89" t="s">
        <v>13</v>
      </c>
      <c r="F599" s="56" t="s">
        <v>917</v>
      </c>
      <c r="G599" s="54">
        <f>2*297</f>
        <v>594</v>
      </c>
      <c r="H599" s="349">
        <v>2.5299999999999998</v>
      </c>
      <c r="I599" s="349">
        <f t="shared" ref="I599:I606" si="67">G599*H599</f>
        <v>1502.82</v>
      </c>
      <c r="J599" s="132"/>
      <c r="K599" s="54">
        <f t="shared" ref="K599:K610" si="68">K598+I599-J599</f>
        <v>1502.82</v>
      </c>
    </row>
    <row r="600" spans="1:13" ht="14" x14ac:dyDescent="0.3">
      <c r="B600" s="1" t="s">
        <v>76</v>
      </c>
      <c r="C600" s="88">
        <v>45560</v>
      </c>
      <c r="D600" s="89" t="s">
        <v>792</v>
      </c>
      <c r="E600" s="89" t="s">
        <v>13</v>
      </c>
      <c r="F600" s="56" t="s">
        <v>918</v>
      </c>
      <c r="G600" s="54">
        <f>6*299</f>
        <v>1794</v>
      </c>
      <c r="H600" s="349">
        <v>2.5299999999999998</v>
      </c>
      <c r="I600" s="349">
        <f t="shared" si="67"/>
        <v>4538.82</v>
      </c>
      <c r="J600" s="132"/>
      <c r="K600" s="54">
        <f t="shared" si="68"/>
        <v>6041.6399999999994</v>
      </c>
    </row>
    <row r="601" spans="1:13" ht="14" x14ac:dyDescent="0.3">
      <c r="B601" s="1" t="s">
        <v>76</v>
      </c>
      <c r="C601" s="88">
        <v>45560</v>
      </c>
      <c r="D601" s="89" t="s">
        <v>808</v>
      </c>
      <c r="E601" s="89" t="s">
        <v>13</v>
      </c>
      <c r="F601" s="56" t="s">
        <v>919</v>
      </c>
      <c r="G601" s="54">
        <v>796</v>
      </c>
      <c r="H601" s="349">
        <v>2.5299999999999998</v>
      </c>
      <c r="I601" s="349">
        <f t="shared" si="67"/>
        <v>2013.8799999999999</v>
      </c>
      <c r="J601" s="132"/>
      <c r="K601" s="54">
        <f t="shared" si="68"/>
        <v>8055.5199999999995</v>
      </c>
    </row>
    <row r="602" spans="1:13" ht="14" x14ac:dyDescent="0.3">
      <c r="A602" s="1" t="s">
        <v>307</v>
      </c>
      <c r="B602" s="1" t="s">
        <v>76</v>
      </c>
      <c r="C602" s="88">
        <v>45560</v>
      </c>
      <c r="D602" s="89" t="s">
        <v>792</v>
      </c>
      <c r="E602" s="89" t="s">
        <v>13</v>
      </c>
      <c r="F602" s="56" t="s">
        <v>1163</v>
      </c>
      <c r="G602" s="54">
        <v>318</v>
      </c>
      <c r="H602" s="349">
        <v>2.5299999999999998</v>
      </c>
      <c r="I602" s="349">
        <f t="shared" si="67"/>
        <v>804.54</v>
      </c>
      <c r="J602" s="132"/>
      <c r="K602" s="54">
        <f t="shared" si="68"/>
        <v>8860.06</v>
      </c>
      <c r="M602" s="14" t="s">
        <v>50</v>
      </c>
    </row>
    <row r="603" spans="1:13" ht="14" x14ac:dyDescent="0.3">
      <c r="A603" s="1" t="s">
        <v>307</v>
      </c>
      <c r="B603" s="1" t="s">
        <v>76</v>
      </c>
      <c r="C603" s="88">
        <v>45560</v>
      </c>
      <c r="D603" s="89" t="s">
        <v>792</v>
      </c>
      <c r="E603" s="89" t="s">
        <v>13</v>
      </c>
      <c r="F603" s="56" t="s">
        <v>1164</v>
      </c>
      <c r="G603" s="54">
        <v>309</v>
      </c>
      <c r="H603" s="349">
        <v>2.5299999999999998</v>
      </c>
      <c r="I603" s="349">
        <f t="shared" si="67"/>
        <v>781.77</v>
      </c>
      <c r="J603" s="132"/>
      <c r="K603" s="54">
        <f t="shared" si="68"/>
        <v>9641.83</v>
      </c>
      <c r="M603" s="14" t="s">
        <v>50</v>
      </c>
    </row>
    <row r="604" spans="1:13" ht="14" x14ac:dyDescent="0.3">
      <c r="A604" s="1" t="s">
        <v>307</v>
      </c>
      <c r="B604" s="1" t="s">
        <v>76</v>
      </c>
      <c r="C604" s="88">
        <v>45560</v>
      </c>
      <c r="D604" s="89" t="s">
        <v>792</v>
      </c>
      <c r="E604" s="89" t="s">
        <v>13</v>
      </c>
      <c r="F604" s="56" t="s">
        <v>1165</v>
      </c>
      <c r="G604" s="54">
        <v>309</v>
      </c>
      <c r="H604" s="349">
        <v>2.5299999999999998</v>
      </c>
      <c r="I604" s="349">
        <f t="shared" si="67"/>
        <v>781.77</v>
      </c>
      <c r="J604" s="132"/>
      <c r="K604" s="54">
        <f t="shared" si="68"/>
        <v>10423.6</v>
      </c>
      <c r="M604" s="14" t="s">
        <v>50</v>
      </c>
    </row>
    <row r="605" spans="1:13" ht="14" x14ac:dyDescent="0.3">
      <c r="A605" s="1" t="s">
        <v>1168</v>
      </c>
      <c r="B605" s="1" t="s">
        <v>76</v>
      </c>
      <c r="C605" s="88">
        <v>45560</v>
      </c>
      <c r="D605" s="89" t="s">
        <v>792</v>
      </c>
      <c r="E605" s="89" t="s">
        <v>13</v>
      </c>
      <c r="F605" s="56" t="s">
        <v>1166</v>
      </c>
      <c r="G605" s="54"/>
      <c r="H605" s="349"/>
      <c r="I605" s="349"/>
      <c r="J605" s="132"/>
      <c r="K605" s="54">
        <f t="shared" si="68"/>
        <v>10423.6</v>
      </c>
      <c r="M605" s="14" t="s">
        <v>50</v>
      </c>
    </row>
    <row r="606" spans="1:13" ht="14" x14ac:dyDescent="0.3">
      <c r="C606" s="360">
        <v>45560</v>
      </c>
      <c r="D606" s="361"/>
      <c r="E606" s="361" t="s">
        <v>40</v>
      </c>
      <c r="F606" s="362" t="s">
        <v>1169</v>
      </c>
      <c r="G606" s="363">
        <f>4120/11</f>
        <v>374.54545454545456</v>
      </c>
      <c r="H606" s="363">
        <v>2.5299999999999998</v>
      </c>
      <c r="I606" s="363">
        <f t="shared" si="67"/>
        <v>947.6</v>
      </c>
      <c r="J606" s="132"/>
      <c r="K606" s="54">
        <f t="shared" si="68"/>
        <v>11371.2</v>
      </c>
    </row>
    <row r="607" spans="1:13" ht="14" x14ac:dyDescent="0.3">
      <c r="C607" s="88"/>
      <c r="D607" s="89"/>
      <c r="E607" s="89"/>
      <c r="F607" s="56"/>
      <c r="G607" s="349"/>
      <c r="H607" s="54"/>
      <c r="I607" s="54"/>
      <c r="J607" s="132"/>
      <c r="K607" s="54">
        <f t="shared" si="68"/>
        <v>11371.2</v>
      </c>
    </row>
    <row r="608" spans="1:13" ht="14" x14ac:dyDescent="0.3">
      <c r="C608" s="88"/>
      <c r="D608" s="89"/>
      <c r="E608" s="89"/>
      <c r="F608" s="56"/>
      <c r="G608" s="54"/>
      <c r="H608" s="54"/>
      <c r="I608" s="54"/>
      <c r="J608" s="132"/>
      <c r="K608" s="54">
        <f t="shared" si="68"/>
        <v>11371.2</v>
      </c>
    </row>
    <row r="609" spans="1:13" ht="14" x14ac:dyDescent="0.3">
      <c r="C609" s="88"/>
      <c r="D609" s="89"/>
      <c r="E609" s="89"/>
      <c r="F609" s="56"/>
      <c r="G609" s="54"/>
      <c r="H609" s="54"/>
      <c r="I609" s="54"/>
      <c r="J609" s="132"/>
      <c r="K609" s="54">
        <f t="shared" si="68"/>
        <v>11371.2</v>
      </c>
    </row>
    <row r="610" spans="1:13" ht="15" x14ac:dyDescent="0.3">
      <c r="C610" s="88"/>
      <c r="D610" s="89"/>
      <c r="E610" s="89"/>
      <c r="F610" s="109" t="s">
        <v>1170</v>
      </c>
      <c r="G610" s="54"/>
      <c r="H610" s="54"/>
      <c r="I610" s="54"/>
      <c r="J610" s="132"/>
      <c r="K610" s="54">
        <f t="shared" si="68"/>
        <v>11371.2</v>
      </c>
    </row>
    <row r="613" spans="1:13" ht="15" x14ac:dyDescent="0.3">
      <c r="C613" s="24" t="s">
        <v>0</v>
      </c>
      <c r="D613" s="24" t="s">
        <v>49</v>
      </c>
      <c r="E613" s="24" t="s">
        <v>53</v>
      </c>
      <c r="F613" s="19" t="s">
        <v>5</v>
      </c>
      <c r="G613" s="20" t="s">
        <v>6</v>
      </c>
      <c r="H613" s="20" t="s">
        <v>7</v>
      </c>
      <c r="I613" s="24" t="s">
        <v>13</v>
      </c>
      <c r="J613" s="24" t="s">
        <v>69</v>
      </c>
      <c r="K613" s="24" t="s">
        <v>57</v>
      </c>
    </row>
    <row r="614" spans="1:13" ht="14" x14ac:dyDescent="0.3">
      <c r="C614" s="88"/>
      <c r="D614" s="89"/>
      <c r="E614" s="89"/>
      <c r="F614" s="56"/>
      <c r="G614" s="54"/>
      <c r="H614" s="54"/>
      <c r="I614" s="54"/>
      <c r="J614" s="132"/>
      <c r="K614" s="54"/>
    </row>
    <row r="615" spans="1:13" ht="14" x14ac:dyDescent="0.3">
      <c r="A615" s="1" t="s">
        <v>307</v>
      </c>
      <c r="B615" s="1" t="s">
        <v>76</v>
      </c>
      <c r="C615" s="88">
        <v>45561</v>
      </c>
      <c r="D615" s="89" t="s">
        <v>792</v>
      </c>
      <c r="E615" s="89" t="s">
        <v>13</v>
      </c>
      <c r="F615" s="56" t="s">
        <v>993</v>
      </c>
      <c r="G615" s="54">
        <f>3*297</f>
        <v>891</v>
      </c>
      <c r="H615" s="349">
        <v>2.5299999999999998</v>
      </c>
      <c r="I615" s="349">
        <f t="shared" ref="I615:I619" si="69">G615*H615</f>
        <v>2254.23</v>
      </c>
      <c r="J615" s="132"/>
      <c r="K615" s="54">
        <f t="shared" ref="K615:K623" si="70">K614+I615-J615</f>
        <v>2254.23</v>
      </c>
    </row>
    <row r="616" spans="1:13" ht="14" x14ac:dyDescent="0.3">
      <c r="A616" s="1" t="s">
        <v>307</v>
      </c>
      <c r="B616" s="1" t="s">
        <v>1167</v>
      </c>
      <c r="C616" s="88">
        <v>45561</v>
      </c>
      <c r="D616" s="89" t="s">
        <v>792</v>
      </c>
      <c r="E616" s="89" t="s">
        <v>13</v>
      </c>
      <c r="F616" s="56" t="s">
        <v>994</v>
      </c>
      <c r="G616" s="54">
        <v>298</v>
      </c>
      <c r="H616" s="349">
        <v>2.5299999999999998</v>
      </c>
      <c r="I616" s="349">
        <f t="shared" si="69"/>
        <v>753.93999999999994</v>
      </c>
      <c r="J616" s="132"/>
      <c r="K616" s="54">
        <f t="shared" si="70"/>
        <v>3008.17</v>
      </c>
    </row>
    <row r="617" spans="1:13" ht="14" x14ac:dyDescent="0.3">
      <c r="A617" s="1" t="s">
        <v>307</v>
      </c>
      <c r="B617" s="1" t="s">
        <v>76</v>
      </c>
      <c r="C617" s="88">
        <v>45561</v>
      </c>
      <c r="D617" s="89" t="s">
        <v>792</v>
      </c>
      <c r="E617" s="89" t="s">
        <v>13</v>
      </c>
      <c r="F617" s="56" t="s">
        <v>995</v>
      </c>
      <c r="G617" s="54">
        <v>307</v>
      </c>
      <c r="H617" s="349">
        <v>2.5299999999999998</v>
      </c>
      <c r="I617" s="349">
        <f t="shared" si="69"/>
        <v>776.70999999999992</v>
      </c>
      <c r="J617" s="132"/>
      <c r="K617" s="54">
        <f t="shared" si="70"/>
        <v>3784.88</v>
      </c>
    </row>
    <row r="618" spans="1:13" ht="14" x14ac:dyDescent="0.3">
      <c r="A618" s="1" t="s">
        <v>307</v>
      </c>
      <c r="B618" s="1" t="s">
        <v>76</v>
      </c>
      <c r="C618" s="88">
        <v>45561</v>
      </c>
      <c r="D618" s="89" t="s">
        <v>792</v>
      </c>
      <c r="E618" s="89" t="s">
        <v>13</v>
      </c>
      <c r="F618" s="56" t="s">
        <v>1006</v>
      </c>
      <c r="G618" s="54">
        <v>307</v>
      </c>
      <c r="H618" s="349">
        <v>2.5299999999999998</v>
      </c>
      <c r="I618" s="349">
        <f t="shared" ref="I618" si="71">G618*H618</f>
        <v>776.70999999999992</v>
      </c>
      <c r="J618" s="132"/>
      <c r="K618" s="54">
        <f t="shared" si="70"/>
        <v>4561.59</v>
      </c>
      <c r="M618" s="14" t="s">
        <v>50</v>
      </c>
    </row>
    <row r="619" spans="1:13" ht="14" x14ac:dyDescent="0.3">
      <c r="C619" s="360">
        <v>45561</v>
      </c>
      <c r="D619" s="361"/>
      <c r="E619" s="361" t="s">
        <v>40</v>
      </c>
      <c r="F619" s="362" t="s">
        <v>1008</v>
      </c>
      <c r="G619" s="363">
        <v>-180.3</v>
      </c>
      <c r="H619" s="363">
        <v>2.5299999999999998</v>
      </c>
      <c r="I619" s="363">
        <f t="shared" si="69"/>
        <v>-456.15899999999999</v>
      </c>
      <c r="J619" s="132"/>
      <c r="K619" s="54">
        <f t="shared" si="70"/>
        <v>4105.4310000000005</v>
      </c>
    </row>
    <row r="620" spans="1:13" ht="14" x14ac:dyDescent="0.3">
      <c r="C620" s="88"/>
      <c r="D620" s="89"/>
      <c r="E620" s="89"/>
      <c r="F620" s="56"/>
      <c r="G620" s="349"/>
      <c r="H620" s="54"/>
      <c r="I620" s="54"/>
      <c r="J620" s="132"/>
      <c r="K620" s="54">
        <f t="shared" si="70"/>
        <v>4105.4310000000005</v>
      </c>
    </row>
    <row r="621" spans="1:13" ht="14" x14ac:dyDescent="0.3">
      <c r="C621" s="88"/>
      <c r="D621" s="89"/>
      <c r="E621" s="89"/>
      <c r="F621" s="56"/>
      <c r="G621" s="54"/>
      <c r="H621" s="54"/>
      <c r="I621" s="54"/>
      <c r="J621" s="132"/>
      <c r="K621" s="54">
        <f t="shared" si="70"/>
        <v>4105.4310000000005</v>
      </c>
    </row>
    <row r="622" spans="1:13" ht="14" x14ac:dyDescent="0.3">
      <c r="C622" s="88"/>
      <c r="D622" s="89"/>
      <c r="E622" s="89"/>
      <c r="F622" s="56"/>
      <c r="G622" s="54"/>
      <c r="H622" s="54"/>
      <c r="I622" s="54"/>
      <c r="J622" s="132"/>
      <c r="K622" s="54">
        <f t="shared" si="70"/>
        <v>4105.4310000000005</v>
      </c>
    </row>
    <row r="623" spans="1:13" ht="15" x14ac:dyDescent="0.3">
      <c r="C623" s="88"/>
      <c r="D623" s="89"/>
      <c r="E623" s="89"/>
      <c r="F623" s="109" t="s">
        <v>1012</v>
      </c>
      <c r="G623" s="54"/>
      <c r="H623" s="54"/>
      <c r="I623" s="54"/>
      <c r="J623" s="132"/>
      <c r="K623" s="54">
        <f t="shared" si="70"/>
        <v>4105.4310000000005</v>
      </c>
    </row>
    <row r="625" spans="1:11" ht="15" x14ac:dyDescent="0.3">
      <c r="C625" s="24" t="s">
        <v>0</v>
      </c>
      <c r="D625" s="24" t="s">
        <v>49</v>
      </c>
      <c r="E625" s="24" t="s">
        <v>53</v>
      </c>
      <c r="F625" s="19" t="s">
        <v>5</v>
      </c>
      <c r="G625" s="20" t="s">
        <v>6</v>
      </c>
      <c r="H625" s="20" t="s">
        <v>7</v>
      </c>
      <c r="I625" s="24" t="s">
        <v>13</v>
      </c>
      <c r="J625" s="24" t="s">
        <v>69</v>
      </c>
      <c r="K625" s="24" t="s">
        <v>57</v>
      </c>
    </row>
    <row r="626" spans="1:11" ht="14" x14ac:dyDescent="0.3">
      <c r="C626" s="88"/>
      <c r="D626" s="89"/>
      <c r="E626" s="89"/>
      <c r="F626" s="56"/>
      <c r="G626" s="54"/>
      <c r="H626" s="54"/>
      <c r="I626" s="54"/>
      <c r="J626" s="132"/>
      <c r="K626" s="54"/>
    </row>
    <row r="627" spans="1:11" ht="14" x14ac:dyDescent="0.3">
      <c r="A627" s="1" t="s">
        <v>307</v>
      </c>
      <c r="B627" s="1" t="s">
        <v>76</v>
      </c>
      <c r="C627" s="88">
        <v>45562</v>
      </c>
      <c r="D627" s="89" t="s">
        <v>792</v>
      </c>
      <c r="E627" s="89"/>
      <c r="F627" s="56" t="s">
        <v>1015</v>
      </c>
      <c r="G627" s="54">
        <f>3*297</f>
        <v>891</v>
      </c>
      <c r="H627" s="349">
        <v>2.5299999999999998</v>
      </c>
      <c r="I627" s="349">
        <f t="shared" ref="I627:I630" si="72">G627*H627</f>
        <v>2254.23</v>
      </c>
      <c r="J627" s="132"/>
      <c r="K627" s="54">
        <f t="shared" ref="K627:K633" si="73">K626+I627-J627</f>
        <v>2254.23</v>
      </c>
    </row>
    <row r="628" spans="1:11" ht="14" x14ac:dyDescent="0.3">
      <c r="C628" s="88">
        <v>45563</v>
      </c>
      <c r="D628" s="89" t="s">
        <v>792</v>
      </c>
      <c r="E628" s="89"/>
      <c r="F628" s="56" t="s">
        <v>1016</v>
      </c>
      <c r="G628" s="54">
        <f>6*299</f>
        <v>1794</v>
      </c>
      <c r="H628" s="349">
        <v>2.5299999999999998</v>
      </c>
      <c r="I628" s="349">
        <f t="shared" si="72"/>
        <v>4538.82</v>
      </c>
      <c r="J628" s="132"/>
      <c r="K628" s="54">
        <f t="shared" si="73"/>
        <v>6793.0499999999993</v>
      </c>
    </row>
    <row r="629" spans="1:11" ht="14" x14ac:dyDescent="0.3">
      <c r="A629" s="1" t="s">
        <v>307</v>
      </c>
      <c r="C629" s="88">
        <v>45563</v>
      </c>
      <c r="D629" s="89" t="s">
        <v>792</v>
      </c>
      <c r="E629" s="89"/>
      <c r="F629" s="56" t="s">
        <v>1017</v>
      </c>
      <c r="G629" s="54">
        <f>5*297</f>
        <v>1485</v>
      </c>
      <c r="H629" s="349">
        <v>2.5299999999999998</v>
      </c>
      <c r="I629" s="349">
        <f t="shared" si="72"/>
        <v>3757.0499999999997</v>
      </c>
      <c r="J629" s="132"/>
      <c r="K629" s="54">
        <f t="shared" si="73"/>
        <v>10550.099999999999</v>
      </c>
    </row>
    <row r="630" spans="1:11" ht="14" x14ac:dyDescent="0.3">
      <c r="C630" s="360">
        <v>45563</v>
      </c>
      <c r="D630" s="361"/>
      <c r="E630" s="361" t="s">
        <v>40</v>
      </c>
      <c r="F630" s="362" t="s">
        <v>1018</v>
      </c>
      <c r="G630" s="363">
        <v>-417</v>
      </c>
      <c r="H630" s="363">
        <v>2.5299999999999998</v>
      </c>
      <c r="I630" s="363">
        <f t="shared" si="72"/>
        <v>-1055.01</v>
      </c>
      <c r="J630" s="132"/>
      <c r="K630" s="54">
        <f t="shared" si="73"/>
        <v>9495.0899999999983</v>
      </c>
    </row>
    <row r="631" spans="1:11" ht="14" x14ac:dyDescent="0.3">
      <c r="C631" s="360"/>
      <c r="D631" s="361"/>
      <c r="E631" s="361"/>
      <c r="F631" s="362"/>
      <c r="G631" s="363"/>
      <c r="H631" s="363"/>
      <c r="I631" s="363"/>
      <c r="J631" s="132"/>
      <c r="K631" s="54">
        <f t="shared" si="73"/>
        <v>9495.0899999999983</v>
      </c>
    </row>
    <row r="632" spans="1:11" ht="14" x14ac:dyDescent="0.3">
      <c r="C632" s="88"/>
      <c r="D632" s="89"/>
      <c r="E632" s="89"/>
      <c r="F632" s="56"/>
      <c r="G632" s="54"/>
      <c r="H632" s="54"/>
      <c r="I632" s="54"/>
      <c r="J632" s="132"/>
      <c r="K632" s="54">
        <f t="shared" si="73"/>
        <v>9495.0899999999983</v>
      </c>
    </row>
    <row r="633" spans="1:11" ht="15" x14ac:dyDescent="0.3">
      <c r="C633" s="88"/>
      <c r="D633" s="89"/>
      <c r="E633" s="89"/>
      <c r="F633" s="109" t="s">
        <v>1019</v>
      </c>
      <c r="G633" s="54"/>
      <c r="H633" s="54"/>
      <c r="I633" s="54"/>
      <c r="J633" s="132"/>
      <c r="K633" s="54">
        <f t="shared" si="73"/>
        <v>9495.0899999999983</v>
      </c>
    </row>
    <row r="636" spans="1:11" ht="15" x14ac:dyDescent="0.3">
      <c r="C636" s="24" t="s">
        <v>0</v>
      </c>
      <c r="D636" s="24" t="s">
        <v>49</v>
      </c>
      <c r="E636" s="24" t="s">
        <v>53</v>
      </c>
      <c r="F636" s="19" t="s">
        <v>5</v>
      </c>
      <c r="G636" s="20" t="s">
        <v>6</v>
      </c>
      <c r="H636" s="20" t="s">
        <v>7</v>
      </c>
      <c r="I636" s="24" t="s">
        <v>13</v>
      </c>
      <c r="J636" s="24" t="s">
        <v>69</v>
      </c>
      <c r="K636" s="24" t="s">
        <v>57</v>
      </c>
    </row>
    <row r="637" spans="1:11" ht="14" x14ac:dyDescent="0.3">
      <c r="C637" s="88"/>
      <c r="D637" s="89"/>
      <c r="E637" s="89"/>
      <c r="F637" s="56"/>
      <c r="G637" s="54"/>
      <c r="H637" s="54"/>
      <c r="I637" s="54"/>
      <c r="J637" s="132"/>
      <c r="K637" s="54"/>
    </row>
    <row r="638" spans="1:11" ht="14" x14ac:dyDescent="0.3">
      <c r="C638" s="88">
        <v>45563</v>
      </c>
      <c r="D638" s="89" t="s">
        <v>792</v>
      </c>
      <c r="E638" s="89" t="s">
        <v>13</v>
      </c>
      <c r="F638" s="56" t="s">
        <v>1021</v>
      </c>
      <c r="G638" s="54">
        <f>298*100</f>
        <v>29800</v>
      </c>
      <c r="H638" s="349">
        <v>2.5299999999999998</v>
      </c>
      <c r="I638" s="349">
        <f t="shared" ref="I638:I639" si="74">G638*H638</f>
        <v>75394</v>
      </c>
      <c r="J638" s="132"/>
      <c r="K638" s="54">
        <f t="shared" ref="K638:K648" si="75">K637+I638-J638</f>
        <v>75394</v>
      </c>
    </row>
    <row r="639" spans="1:11" ht="14" x14ac:dyDescent="0.3">
      <c r="C639" s="88">
        <v>45563</v>
      </c>
      <c r="D639" s="89"/>
      <c r="E639" s="89" t="s">
        <v>66</v>
      </c>
      <c r="F639" s="56" t="s">
        <v>1022</v>
      </c>
      <c r="G639" s="54">
        <v>1000</v>
      </c>
      <c r="H639" s="349">
        <v>2.5299999999999998</v>
      </c>
      <c r="I639" s="349">
        <f t="shared" si="74"/>
        <v>2530</v>
      </c>
      <c r="J639" s="132"/>
      <c r="K639" s="54">
        <f t="shared" si="75"/>
        <v>77924</v>
      </c>
    </row>
    <row r="640" spans="1:11" ht="14" x14ac:dyDescent="0.3">
      <c r="C640" s="88">
        <v>45563</v>
      </c>
      <c r="D640" s="347"/>
      <c r="E640" s="347"/>
      <c r="F640" s="348" t="s">
        <v>1026</v>
      </c>
      <c r="G640" s="349">
        <v>-2397</v>
      </c>
      <c r="H640" s="349">
        <v>2.5299999999999998</v>
      </c>
      <c r="I640" s="349">
        <f t="shared" ref="I640" si="76">G640*H640</f>
        <v>-6064.41</v>
      </c>
      <c r="J640" s="132"/>
      <c r="K640" s="54">
        <f t="shared" si="75"/>
        <v>71859.59</v>
      </c>
    </row>
    <row r="641" spans="1:13" ht="14" x14ac:dyDescent="0.3">
      <c r="A641" s="1" t="s">
        <v>307</v>
      </c>
      <c r="C641" s="88">
        <v>45563</v>
      </c>
      <c r="D641" s="89"/>
      <c r="E641" s="89"/>
      <c r="F641" s="56" t="s">
        <v>1023</v>
      </c>
      <c r="G641" s="54"/>
      <c r="H641" s="349"/>
      <c r="I641" s="349"/>
      <c r="J641" s="132"/>
      <c r="K641" s="54">
        <f t="shared" si="75"/>
        <v>71859.59</v>
      </c>
    </row>
    <row r="642" spans="1:13" ht="14" x14ac:dyDescent="0.3">
      <c r="C642" s="88">
        <v>45563</v>
      </c>
      <c r="D642" s="347"/>
      <c r="E642" s="347"/>
      <c r="F642" s="348" t="s">
        <v>1024</v>
      </c>
      <c r="G642" s="349"/>
      <c r="H642" s="349"/>
      <c r="I642" s="349"/>
      <c r="J642" s="132"/>
      <c r="K642" s="54">
        <f t="shared" si="75"/>
        <v>71859.59</v>
      </c>
    </row>
    <row r="643" spans="1:13" ht="14" x14ac:dyDescent="0.3">
      <c r="A643" s="1" t="s">
        <v>307</v>
      </c>
      <c r="C643" s="88">
        <v>45563</v>
      </c>
      <c r="D643" s="347"/>
      <c r="E643" s="347"/>
      <c r="F643" s="348" t="s">
        <v>1025</v>
      </c>
      <c r="G643" s="349"/>
      <c r="H643" s="349"/>
      <c r="I643" s="349"/>
      <c r="J643" s="132"/>
      <c r="K643" s="54">
        <f t="shared" si="75"/>
        <v>71859.59</v>
      </c>
    </row>
    <row r="644" spans="1:13" ht="14" x14ac:dyDescent="0.3">
      <c r="C644" s="360">
        <v>45563</v>
      </c>
      <c r="D644" s="361"/>
      <c r="E644" s="361" t="s">
        <v>40</v>
      </c>
      <c r="F644" s="362" t="s">
        <v>1027</v>
      </c>
      <c r="G644" s="363">
        <v>-2709</v>
      </c>
      <c r="H644" s="363">
        <v>2.5299999999999998</v>
      </c>
      <c r="I644" s="363">
        <f t="shared" ref="I644" si="77">G644*H644</f>
        <v>-6853.7699999999995</v>
      </c>
      <c r="J644" s="132"/>
      <c r="K644" s="54">
        <f t="shared" si="75"/>
        <v>65005.82</v>
      </c>
    </row>
    <row r="645" spans="1:13" ht="14" x14ac:dyDescent="0.3">
      <c r="C645" s="346"/>
      <c r="D645" s="347"/>
      <c r="E645" s="347"/>
      <c r="F645" s="348"/>
      <c r="G645" s="349"/>
      <c r="H645" s="349"/>
      <c r="I645" s="349"/>
      <c r="J645" s="132"/>
      <c r="K645" s="54">
        <f t="shared" si="75"/>
        <v>65005.82</v>
      </c>
    </row>
    <row r="646" spans="1:13" ht="14" x14ac:dyDescent="0.3">
      <c r="C646" s="360"/>
      <c r="D646" s="361"/>
      <c r="E646" s="361"/>
      <c r="F646" s="362"/>
      <c r="G646" s="363"/>
      <c r="H646" s="363"/>
      <c r="I646" s="363"/>
      <c r="J646" s="132"/>
      <c r="K646" s="54">
        <f t="shared" si="75"/>
        <v>65005.82</v>
      </c>
    </row>
    <row r="647" spans="1:13" ht="14" x14ac:dyDescent="0.3">
      <c r="C647" s="88"/>
      <c r="D647" s="89"/>
      <c r="E647" s="89"/>
      <c r="F647" s="56"/>
      <c r="G647" s="54"/>
      <c r="H647" s="54"/>
      <c r="I647" s="54"/>
      <c r="J647" s="132"/>
      <c r="K647" s="54">
        <f t="shared" si="75"/>
        <v>65005.82</v>
      </c>
    </row>
    <row r="648" spans="1:13" ht="15" x14ac:dyDescent="0.3">
      <c r="C648" s="88"/>
      <c r="D648" s="89"/>
      <c r="E648" s="89"/>
      <c r="F648" s="109" t="s">
        <v>1020</v>
      </c>
      <c r="G648" s="54"/>
      <c r="H648" s="54"/>
      <c r="I648" s="54"/>
      <c r="J648" s="132"/>
      <c r="K648" s="54">
        <f t="shared" si="75"/>
        <v>65005.82</v>
      </c>
    </row>
    <row r="651" spans="1:13" ht="15" x14ac:dyDescent="0.3">
      <c r="C651" s="24" t="s">
        <v>0</v>
      </c>
      <c r="D651" s="24" t="s">
        <v>49</v>
      </c>
      <c r="E651" s="24" t="s">
        <v>53</v>
      </c>
      <c r="F651" s="19" t="s">
        <v>5</v>
      </c>
      <c r="G651" s="20" t="s">
        <v>6</v>
      </c>
      <c r="H651" s="20" t="s">
        <v>7</v>
      </c>
      <c r="I651" s="24" t="s">
        <v>13</v>
      </c>
      <c r="J651" s="24" t="s">
        <v>69</v>
      </c>
      <c r="K651" s="24" t="s">
        <v>57</v>
      </c>
    </row>
    <row r="652" spans="1:13" ht="14" x14ac:dyDescent="0.3">
      <c r="C652" s="88"/>
      <c r="D652" s="89"/>
      <c r="E652" s="89"/>
      <c r="F652" s="56"/>
      <c r="G652" s="54"/>
      <c r="H652" s="54"/>
      <c r="I652" s="54"/>
      <c r="J652" s="132"/>
      <c r="K652" s="54"/>
    </row>
    <row r="653" spans="1:13" ht="14" x14ac:dyDescent="0.3">
      <c r="A653" s="1" t="s">
        <v>307</v>
      </c>
      <c r="C653" s="88">
        <v>45563</v>
      </c>
      <c r="D653" s="89" t="s">
        <v>792</v>
      </c>
      <c r="E653" s="89" t="s">
        <v>13</v>
      </c>
      <c r="F653" s="56" t="s">
        <v>1032</v>
      </c>
      <c r="G653" s="54">
        <f>297*9</f>
        <v>2673</v>
      </c>
      <c r="H653" s="349">
        <v>2.5299999999999998</v>
      </c>
      <c r="I653" s="349">
        <f t="shared" ref="I653:I656" si="78">G653*H653</f>
        <v>6762.69</v>
      </c>
      <c r="J653" s="132"/>
      <c r="K653" s="54">
        <f t="shared" ref="K653:K663" si="79">K652+I653-J653</f>
        <v>6762.69</v>
      </c>
    </row>
    <row r="654" spans="1:13" ht="14" x14ac:dyDescent="0.3">
      <c r="A654" s="1" t="s">
        <v>307</v>
      </c>
      <c r="C654" s="88">
        <v>45563</v>
      </c>
      <c r="D654" s="89" t="s">
        <v>792</v>
      </c>
      <c r="E654" s="89" t="s">
        <v>13</v>
      </c>
      <c r="F654" s="56" t="s">
        <v>1033</v>
      </c>
      <c r="G654" s="54">
        <v>297</v>
      </c>
      <c r="H654" s="349">
        <v>2.5299999999999998</v>
      </c>
      <c r="I654" s="349">
        <f t="shared" si="78"/>
        <v>751.41</v>
      </c>
      <c r="J654" s="132"/>
      <c r="K654" s="54">
        <f t="shared" si="79"/>
        <v>7514.0999999999995</v>
      </c>
      <c r="M654" s="14" t="s">
        <v>50</v>
      </c>
    </row>
    <row r="655" spans="1:13" ht="14" x14ac:dyDescent="0.3">
      <c r="A655" s="1" t="s">
        <v>307</v>
      </c>
      <c r="C655" s="88">
        <v>45563</v>
      </c>
      <c r="D655" s="89" t="s">
        <v>792</v>
      </c>
      <c r="E655" s="89" t="s">
        <v>13</v>
      </c>
      <c r="F655" s="56" t="s">
        <v>1034</v>
      </c>
      <c r="G655" s="349">
        <f>298*2</f>
        <v>596</v>
      </c>
      <c r="H655" s="349">
        <v>2.5299999999999998</v>
      </c>
      <c r="I655" s="349">
        <f t="shared" si="78"/>
        <v>1507.8799999999999</v>
      </c>
      <c r="J655" s="132"/>
      <c r="K655" s="54">
        <f t="shared" si="79"/>
        <v>9021.98</v>
      </c>
    </row>
    <row r="656" spans="1:13" ht="14" x14ac:dyDescent="0.3">
      <c r="A656" s="1" t="s">
        <v>307</v>
      </c>
      <c r="C656" s="88">
        <v>45563</v>
      </c>
      <c r="D656" s="89" t="s">
        <v>792</v>
      </c>
      <c r="E656" s="89" t="s">
        <v>13</v>
      </c>
      <c r="F656" s="56" t="s">
        <v>1172</v>
      </c>
      <c r="G656" s="54">
        <f>297*4</f>
        <v>1188</v>
      </c>
      <c r="H656" s="349">
        <v>2.5299999999999998</v>
      </c>
      <c r="I656" s="349">
        <f t="shared" si="78"/>
        <v>3005.64</v>
      </c>
      <c r="J656" s="132"/>
      <c r="K656" s="54">
        <f t="shared" si="79"/>
        <v>12027.619999999999</v>
      </c>
    </row>
    <row r="657" spans="1:13" ht="14" x14ac:dyDescent="0.3">
      <c r="B657" s="1" t="s">
        <v>1173</v>
      </c>
      <c r="C657" s="88">
        <v>45563</v>
      </c>
      <c r="D657" s="89" t="s">
        <v>792</v>
      </c>
      <c r="E657" s="89" t="s">
        <v>13</v>
      </c>
      <c r="F657" s="56" t="s">
        <v>1174</v>
      </c>
      <c r="G657" s="349">
        <v>297</v>
      </c>
      <c r="H657" s="349">
        <v>2.5299999999999998</v>
      </c>
      <c r="I657" s="349">
        <f t="shared" ref="I657" si="80">G657*H657</f>
        <v>751.41</v>
      </c>
      <c r="J657" s="132"/>
      <c r="K657" s="54">
        <f t="shared" si="79"/>
        <v>12779.029999999999</v>
      </c>
    </row>
    <row r="658" spans="1:13" ht="14" x14ac:dyDescent="0.3">
      <c r="C658" s="88"/>
      <c r="D658" s="347"/>
      <c r="E658" s="347"/>
      <c r="F658" s="348"/>
      <c r="G658" s="349"/>
      <c r="H658" s="349"/>
      <c r="I658" s="349"/>
      <c r="J658" s="132"/>
      <c r="K658" s="54">
        <f t="shared" si="79"/>
        <v>12779.029999999999</v>
      </c>
    </row>
    <row r="659" spans="1:13" ht="14" x14ac:dyDescent="0.3">
      <c r="C659" s="360">
        <v>45563</v>
      </c>
      <c r="D659" s="361"/>
      <c r="E659" s="361" t="s">
        <v>40</v>
      </c>
      <c r="F659" s="362" t="s">
        <v>1175</v>
      </c>
      <c r="G659" s="363">
        <v>-505.1</v>
      </c>
      <c r="H659" s="363">
        <v>2.5299999999999998</v>
      </c>
      <c r="I659" s="363">
        <f t="shared" ref="I659" si="81">G659*H659</f>
        <v>-1277.903</v>
      </c>
      <c r="J659" s="132"/>
      <c r="K659" s="54">
        <f t="shared" si="79"/>
        <v>11501.126999999999</v>
      </c>
    </row>
    <row r="660" spans="1:13" ht="14" x14ac:dyDescent="0.3">
      <c r="C660" s="346"/>
      <c r="D660" s="347"/>
      <c r="E660" s="347"/>
      <c r="F660" s="348"/>
      <c r="G660" s="349"/>
      <c r="H660" s="349"/>
      <c r="I660" s="349"/>
      <c r="J660" s="132"/>
      <c r="K660" s="54">
        <f t="shared" si="79"/>
        <v>11501.126999999999</v>
      </c>
    </row>
    <row r="661" spans="1:13" ht="14" x14ac:dyDescent="0.3">
      <c r="C661" s="360"/>
      <c r="D661" s="361"/>
      <c r="E661" s="361"/>
      <c r="F661" s="362"/>
      <c r="G661" s="363"/>
      <c r="H661" s="363"/>
      <c r="I661" s="363"/>
      <c r="J661" s="132"/>
      <c r="K661" s="54">
        <f t="shared" si="79"/>
        <v>11501.126999999999</v>
      </c>
    </row>
    <row r="662" spans="1:13" ht="14" x14ac:dyDescent="0.3">
      <c r="C662" s="88"/>
      <c r="D662" s="89"/>
      <c r="E662" s="89"/>
      <c r="F662" s="56"/>
      <c r="G662" s="54"/>
      <c r="H662" s="54"/>
      <c r="I662" s="54"/>
      <c r="J662" s="132"/>
      <c r="K662" s="54">
        <f t="shared" si="79"/>
        <v>11501.126999999999</v>
      </c>
    </row>
    <row r="663" spans="1:13" ht="15" x14ac:dyDescent="0.3">
      <c r="C663" s="88"/>
      <c r="D663" s="89"/>
      <c r="E663" s="89"/>
      <c r="F663" s="109" t="s">
        <v>1176</v>
      </c>
      <c r="G663" s="54"/>
      <c r="H663" s="54"/>
      <c r="I663" s="54"/>
      <c r="J663" s="132"/>
      <c r="K663" s="54">
        <f t="shared" si="79"/>
        <v>11501.126999999999</v>
      </c>
    </row>
    <row r="666" spans="1:13" ht="15" x14ac:dyDescent="0.3">
      <c r="C666" s="24" t="s">
        <v>0</v>
      </c>
      <c r="D666" s="24" t="s">
        <v>49</v>
      </c>
      <c r="E666" s="24" t="s">
        <v>53</v>
      </c>
      <c r="F666" s="19" t="s">
        <v>5</v>
      </c>
      <c r="G666" s="20" t="s">
        <v>6</v>
      </c>
      <c r="H666" s="20" t="s">
        <v>7</v>
      </c>
      <c r="I666" s="24" t="s">
        <v>13</v>
      </c>
      <c r="J666" s="24" t="s">
        <v>69</v>
      </c>
      <c r="K666" s="24" t="s">
        <v>57</v>
      </c>
    </row>
    <row r="667" spans="1:13" ht="14" x14ac:dyDescent="0.3">
      <c r="C667" s="88"/>
      <c r="D667" s="89"/>
      <c r="E667" s="89"/>
      <c r="F667" s="56"/>
      <c r="G667" s="54"/>
      <c r="H667" s="54"/>
      <c r="I667" s="54"/>
      <c r="J667" s="132"/>
      <c r="K667" s="54"/>
    </row>
    <row r="668" spans="1:13" ht="14" x14ac:dyDescent="0.3">
      <c r="A668" s="1" t="s">
        <v>1179</v>
      </c>
      <c r="C668" s="88">
        <v>45564</v>
      </c>
      <c r="D668" s="89" t="s">
        <v>792</v>
      </c>
      <c r="E668" s="89" t="s">
        <v>13</v>
      </c>
      <c r="F668" s="56" t="s">
        <v>1038</v>
      </c>
      <c r="G668" s="54"/>
      <c r="H668" s="349"/>
      <c r="I668" s="349"/>
      <c r="J668" s="132"/>
      <c r="K668" s="54">
        <f t="shared" ref="K668:K678" si="82">K667+I668-J668</f>
        <v>0</v>
      </c>
      <c r="M668" s="14" t="s">
        <v>50</v>
      </c>
    </row>
    <row r="669" spans="1:13" ht="14" x14ac:dyDescent="0.3">
      <c r="A669" s="1" t="s">
        <v>1179</v>
      </c>
      <c r="C669" s="88">
        <v>45564</v>
      </c>
      <c r="D669" s="89" t="s">
        <v>792</v>
      </c>
      <c r="E669" s="89" t="s">
        <v>13</v>
      </c>
      <c r="F669" s="56" t="s">
        <v>1039</v>
      </c>
      <c r="G669" s="54"/>
      <c r="H669" s="349"/>
      <c r="I669" s="349"/>
      <c r="J669" s="132"/>
      <c r="K669" s="54">
        <f t="shared" si="82"/>
        <v>0</v>
      </c>
      <c r="M669" s="14" t="s">
        <v>50</v>
      </c>
    </row>
    <row r="670" spans="1:13" ht="14" x14ac:dyDescent="0.3">
      <c r="A670" s="1" t="s">
        <v>1179</v>
      </c>
      <c r="C670" s="88">
        <v>45564</v>
      </c>
      <c r="D670" s="89" t="s">
        <v>792</v>
      </c>
      <c r="E670" s="89" t="s">
        <v>13</v>
      </c>
      <c r="F670" s="56" t="s">
        <v>1040</v>
      </c>
      <c r="G670" s="349"/>
      <c r="H670" s="349"/>
      <c r="I670" s="349"/>
      <c r="J670" s="132"/>
      <c r="K670" s="54">
        <f t="shared" si="82"/>
        <v>0</v>
      </c>
      <c r="M670" s="14" t="s">
        <v>50</v>
      </c>
    </row>
    <row r="671" spans="1:13" ht="14" x14ac:dyDescent="0.3">
      <c r="C671" s="88"/>
      <c r="D671" s="89"/>
      <c r="E671" s="88"/>
      <c r="F671" s="56"/>
      <c r="G671" s="54"/>
      <c r="H671" s="349"/>
      <c r="I671" s="349"/>
      <c r="J671" s="132"/>
      <c r="K671" s="54">
        <f t="shared" si="82"/>
        <v>0</v>
      </c>
    </row>
    <row r="672" spans="1:13" ht="14" x14ac:dyDescent="0.3">
      <c r="C672" s="88"/>
      <c r="D672" s="347"/>
      <c r="E672" s="347"/>
      <c r="F672" s="348"/>
      <c r="G672" s="349"/>
      <c r="H672" s="349"/>
      <c r="I672" s="349"/>
      <c r="J672" s="132"/>
      <c r="K672" s="54">
        <f t="shared" si="82"/>
        <v>0</v>
      </c>
    </row>
    <row r="673" spans="1:13" ht="14" x14ac:dyDescent="0.3">
      <c r="C673" s="88"/>
      <c r="D673" s="347"/>
      <c r="E673" s="347"/>
      <c r="F673" s="348"/>
      <c r="G673" s="349"/>
      <c r="H673" s="349"/>
      <c r="I673" s="349"/>
      <c r="J673" s="132"/>
      <c r="K673" s="54">
        <f t="shared" si="82"/>
        <v>0</v>
      </c>
    </row>
    <row r="674" spans="1:13" ht="14" x14ac:dyDescent="0.3">
      <c r="C674" s="360">
        <v>45564</v>
      </c>
      <c r="D674" s="361"/>
      <c r="E674" s="361" t="s">
        <v>40</v>
      </c>
      <c r="F674" s="362" t="s">
        <v>1041</v>
      </c>
      <c r="G674" s="363"/>
      <c r="H674" s="363"/>
      <c r="I674" s="363"/>
      <c r="J674" s="132"/>
      <c r="K674" s="54">
        <f t="shared" si="82"/>
        <v>0</v>
      </c>
    </row>
    <row r="675" spans="1:13" ht="14" x14ac:dyDescent="0.3">
      <c r="C675" s="346"/>
      <c r="D675" s="347"/>
      <c r="E675" s="347"/>
      <c r="F675" s="348"/>
      <c r="G675" s="349"/>
      <c r="H675" s="349"/>
      <c r="I675" s="349"/>
      <c r="J675" s="132"/>
      <c r="K675" s="54">
        <f t="shared" si="82"/>
        <v>0</v>
      </c>
    </row>
    <row r="676" spans="1:13" ht="14" x14ac:dyDescent="0.3">
      <c r="C676" s="360"/>
      <c r="D676" s="361"/>
      <c r="E676" s="361"/>
      <c r="F676" s="362"/>
      <c r="G676" s="363"/>
      <c r="H676" s="363"/>
      <c r="I676" s="363"/>
      <c r="J676" s="132"/>
      <c r="K676" s="54">
        <f t="shared" si="82"/>
        <v>0</v>
      </c>
    </row>
    <row r="677" spans="1:13" ht="14" x14ac:dyDescent="0.3">
      <c r="C677" s="88"/>
      <c r="D677" s="89"/>
      <c r="E677" s="89"/>
      <c r="F677" s="56"/>
      <c r="G677" s="54"/>
      <c r="H677" s="54"/>
      <c r="I677" s="54"/>
      <c r="J677" s="132"/>
      <c r="K677" s="54">
        <f t="shared" si="82"/>
        <v>0</v>
      </c>
    </row>
    <row r="678" spans="1:13" ht="15" x14ac:dyDescent="0.3">
      <c r="C678" s="88"/>
      <c r="D678" s="89"/>
      <c r="E678" s="89"/>
      <c r="F678" s="109" t="s">
        <v>1042</v>
      </c>
      <c r="G678" s="54"/>
      <c r="H678" s="54"/>
      <c r="I678" s="54"/>
      <c r="J678" s="132"/>
      <c r="K678" s="54">
        <f t="shared" si="82"/>
        <v>0</v>
      </c>
    </row>
    <row r="681" spans="1:13" ht="15" x14ac:dyDescent="0.3">
      <c r="C681" s="24" t="s">
        <v>0</v>
      </c>
      <c r="D681" s="24" t="s">
        <v>49</v>
      </c>
      <c r="E681" s="24" t="s">
        <v>53</v>
      </c>
      <c r="F681" s="19" t="s">
        <v>5</v>
      </c>
      <c r="G681" s="20" t="s">
        <v>6</v>
      </c>
      <c r="H681" s="20" t="s">
        <v>7</v>
      </c>
      <c r="I681" s="24" t="s">
        <v>13</v>
      </c>
      <c r="J681" s="24" t="s">
        <v>69</v>
      </c>
      <c r="K681" s="24" t="s">
        <v>57</v>
      </c>
    </row>
    <row r="682" spans="1:13" ht="14" x14ac:dyDescent="0.3">
      <c r="C682" s="88"/>
      <c r="D682" s="89"/>
      <c r="E682" s="89"/>
      <c r="F682" s="56"/>
      <c r="G682" s="54"/>
      <c r="H682" s="54"/>
      <c r="I682" s="54"/>
      <c r="J682" s="132"/>
      <c r="K682" s="54"/>
    </row>
    <row r="683" spans="1:13" ht="14" x14ac:dyDescent="0.3">
      <c r="A683" s="1" t="s">
        <v>307</v>
      </c>
      <c r="C683" s="88">
        <v>45565</v>
      </c>
      <c r="D683" s="89" t="s">
        <v>1043</v>
      </c>
      <c r="E683" s="89" t="s">
        <v>467</v>
      </c>
      <c r="F683" s="56" t="s">
        <v>1069</v>
      </c>
      <c r="G683" s="54">
        <f>2550*2</f>
        <v>5100</v>
      </c>
      <c r="H683" s="349">
        <v>2.5299999999999998</v>
      </c>
      <c r="I683" s="349">
        <f t="shared" ref="I683:I686" si="83">G683*H683</f>
        <v>12902.999999999998</v>
      </c>
      <c r="J683" s="132"/>
      <c r="K683" s="54">
        <f t="shared" ref="K683:K697" si="84">K682+I683-J683</f>
        <v>12902.999999999998</v>
      </c>
    </row>
    <row r="684" spans="1:13" ht="14" x14ac:dyDescent="0.3">
      <c r="A684" s="1" t="s">
        <v>307</v>
      </c>
      <c r="C684" s="88">
        <v>45565</v>
      </c>
      <c r="D684" s="89" t="s">
        <v>792</v>
      </c>
      <c r="E684" s="89" t="s">
        <v>467</v>
      </c>
      <c r="F684" s="56" t="s">
        <v>1044</v>
      </c>
      <c r="G684" s="54">
        <v>298</v>
      </c>
      <c r="H684" s="349">
        <v>2.5299999999999998</v>
      </c>
      <c r="I684" s="349">
        <f t="shared" si="83"/>
        <v>753.93999999999994</v>
      </c>
      <c r="J684" s="132"/>
      <c r="K684" s="54">
        <f t="shared" si="84"/>
        <v>13656.939999999999</v>
      </c>
    </row>
    <row r="685" spans="1:13" ht="14" x14ac:dyDescent="0.3">
      <c r="A685" s="1" t="s">
        <v>307</v>
      </c>
      <c r="C685" s="88">
        <v>45565</v>
      </c>
      <c r="D685" s="89" t="s">
        <v>792</v>
      </c>
      <c r="E685" s="89" t="s">
        <v>467</v>
      </c>
      <c r="F685" s="56" t="s">
        <v>1044</v>
      </c>
      <c r="G685" s="54">
        <v>298</v>
      </c>
      <c r="H685" s="349">
        <v>2.5299999999999998</v>
      </c>
      <c r="I685" s="349">
        <f t="shared" si="83"/>
        <v>753.93999999999994</v>
      </c>
      <c r="J685" s="132"/>
      <c r="K685" s="54">
        <f t="shared" si="84"/>
        <v>14410.88</v>
      </c>
    </row>
    <row r="686" spans="1:13" ht="14" x14ac:dyDescent="0.3">
      <c r="A686" s="1" t="s">
        <v>307</v>
      </c>
      <c r="C686" s="88">
        <v>45565</v>
      </c>
      <c r="D686" s="89" t="s">
        <v>792</v>
      </c>
      <c r="E686" s="89" t="s">
        <v>467</v>
      </c>
      <c r="F686" s="56" t="s">
        <v>1048</v>
      </c>
      <c r="G686" s="54">
        <v>299</v>
      </c>
      <c r="H686" s="349">
        <v>2.5299999999999998</v>
      </c>
      <c r="I686" s="349">
        <f t="shared" si="83"/>
        <v>756.46999999999991</v>
      </c>
      <c r="J686" s="132"/>
      <c r="K686" s="54">
        <f t="shared" si="84"/>
        <v>15167.349999999999</v>
      </c>
      <c r="M686" s="14" t="s">
        <v>50</v>
      </c>
    </row>
    <row r="687" spans="1:13" ht="14" x14ac:dyDescent="0.3">
      <c r="A687" s="1" t="s">
        <v>307</v>
      </c>
      <c r="C687" s="88">
        <v>45565</v>
      </c>
      <c r="D687" s="89" t="s">
        <v>792</v>
      </c>
      <c r="E687" s="89" t="s">
        <v>467</v>
      </c>
      <c r="F687" s="56" t="s">
        <v>1049</v>
      </c>
      <c r="G687" s="349">
        <v>299</v>
      </c>
      <c r="H687" s="349">
        <v>2.5299999999999998</v>
      </c>
      <c r="I687" s="349">
        <f t="shared" ref="I687:I692" si="85">G687*H687</f>
        <v>756.46999999999991</v>
      </c>
      <c r="J687" s="132"/>
      <c r="K687" s="54">
        <f t="shared" si="84"/>
        <v>15923.819999999998</v>
      </c>
    </row>
    <row r="688" spans="1:13" ht="14" x14ac:dyDescent="0.3">
      <c r="A688" s="1" t="s">
        <v>307</v>
      </c>
      <c r="C688" s="88">
        <v>45565</v>
      </c>
      <c r="D688" s="89" t="s">
        <v>792</v>
      </c>
      <c r="E688" s="89" t="s">
        <v>467</v>
      </c>
      <c r="F688" s="56" t="s">
        <v>1050</v>
      </c>
      <c r="G688" s="349">
        <f>299*2</f>
        <v>598</v>
      </c>
      <c r="H688" s="349">
        <v>2.5299999999999998</v>
      </c>
      <c r="I688" s="349">
        <f t="shared" si="85"/>
        <v>1512.9399999999998</v>
      </c>
      <c r="J688" s="132"/>
      <c r="K688" s="54">
        <f t="shared" si="84"/>
        <v>17436.759999999998</v>
      </c>
    </row>
    <row r="689" spans="1:13" ht="14" x14ac:dyDescent="0.3">
      <c r="A689" s="1" t="s">
        <v>307</v>
      </c>
      <c r="C689" s="88">
        <v>45565</v>
      </c>
      <c r="D689" s="89" t="s">
        <v>792</v>
      </c>
      <c r="E689" s="89" t="s">
        <v>467</v>
      </c>
      <c r="F689" s="56" t="s">
        <v>1049</v>
      </c>
      <c r="G689" s="349">
        <v>299</v>
      </c>
      <c r="H689" s="349">
        <v>2.5299999999999998</v>
      </c>
      <c r="I689" s="349">
        <f t="shared" si="85"/>
        <v>756.46999999999991</v>
      </c>
      <c r="J689" s="132"/>
      <c r="K689" s="54">
        <f t="shared" si="84"/>
        <v>18193.23</v>
      </c>
    </row>
    <row r="690" spans="1:13" ht="14" x14ac:dyDescent="0.3">
      <c r="A690" s="1" t="s">
        <v>307</v>
      </c>
      <c r="C690" s="88">
        <v>45565</v>
      </c>
      <c r="D690" s="89" t="s">
        <v>792</v>
      </c>
      <c r="E690" s="89" t="s">
        <v>467</v>
      </c>
      <c r="F690" s="56" t="s">
        <v>1048</v>
      </c>
      <c r="G690" s="349">
        <v>299</v>
      </c>
      <c r="H690" s="349">
        <v>2.5299999999999998</v>
      </c>
      <c r="I690" s="349">
        <f t="shared" si="85"/>
        <v>756.46999999999991</v>
      </c>
      <c r="J690" s="132"/>
      <c r="K690" s="54">
        <f t="shared" si="84"/>
        <v>18949.7</v>
      </c>
      <c r="M690" s="14" t="s">
        <v>50</v>
      </c>
    </row>
    <row r="691" spans="1:13" ht="14" x14ac:dyDescent="0.3">
      <c r="A691" s="1" t="s">
        <v>307</v>
      </c>
      <c r="C691" s="88">
        <v>45565</v>
      </c>
      <c r="D691" s="89" t="s">
        <v>792</v>
      </c>
      <c r="E691" s="89" t="s">
        <v>467</v>
      </c>
      <c r="F691" s="56" t="s">
        <v>1051</v>
      </c>
      <c r="G691" s="349">
        <f>299*3</f>
        <v>897</v>
      </c>
      <c r="H691" s="349">
        <v>2.5299999999999998</v>
      </c>
      <c r="I691" s="349">
        <f t="shared" si="85"/>
        <v>2269.41</v>
      </c>
      <c r="J691" s="132"/>
      <c r="K691" s="54">
        <f t="shared" si="84"/>
        <v>21219.11</v>
      </c>
    </row>
    <row r="692" spans="1:13" ht="14" x14ac:dyDescent="0.3">
      <c r="A692" s="1" t="s">
        <v>307</v>
      </c>
      <c r="C692" s="88">
        <v>45565</v>
      </c>
      <c r="D692" s="89" t="s">
        <v>792</v>
      </c>
      <c r="E692" s="89" t="s">
        <v>467</v>
      </c>
      <c r="F692" s="56" t="s">
        <v>1052</v>
      </c>
      <c r="G692" s="349">
        <f>299*2</f>
        <v>598</v>
      </c>
      <c r="H692" s="349">
        <v>2.5299999999999998</v>
      </c>
      <c r="I692" s="349">
        <f t="shared" si="85"/>
        <v>1512.9399999999998</v>
      </c>
      <c r="J692" s="132"/>
      <c r="K692" s="54">
        <f t="shared" si="84"/>
        <v>22732.05</v>
      </c>
    </row>
    <row r="693" spans="1:13" ht="14" x14ac:dyDescent="0.3">
      <c r="A693" s="1" t="s">
        <v>307</v>
      </c>
      <c r="C693" s="88">
        <v>45565</v>
      </c>
      <c r="D693" s="347" t="s">
        <v>792</v>
      </c>
      <c r="E693" s="89" t="s">
        <v>467</v>
      </c>
      <c r="F693" s="348" t="s">
        <v>1053</v>
      </c>
      <c r="G693" s="349">
        <v>298</v>
      </c>
      <c r="H693" s="349">
        <v>2.5299999999999998</v>
      </c>
      <c r="I693" s="349">
        <f t="shared" ref="I693:I695" si="86">G693*H693</f>
        <v>753.93999999999994</v>
      </c>
      <c r="J693" s="132"/>
      <c r="K693" s="54">
        <f t="shared" si="84"/>
        <v>23485.989999999998</v>
      </c>
      <c r="M693" s="14" t="s">
        <v>50</v>
      </c>
    </row>
    <row r="694" spans="1:13" ht="14" x14ac:dyDescent="0.3">
      <c r="A694" s="1" t="s">
        <v>307</v>
      </c>
      <c r="C694" s="88">
        <v>45565</v>
      </c>
      <c r="D694" s="347" t="s">
        <v>792</v>
      </c>
      <c r="E694" s="89" t="s">
        <v>467</v>
      </c>
      <c r="F694" s="348" t="s">
        <v>1178</v>
      </c>
      <c r="G694" s="349">
        <v>297</v>
      </c>
      <c r="H694" s="349">
        <v>2.5299999999999998</v>
      </c>
      <c r="I694" s="349">
        <f t="shared" si="86"/>
        <v>751.41</v>
      </c>
      <c r="J694" s="132"/>
      <c r="K694" s="54">
        <f t="shared" si="84"/>
        <v>24237.399999999998</v>
      </c>
      <c r="M694" s="14" t="s">
        <v>50</v>
      </c>
    </row>
    <row r="695" spans="1:13" ht="14" x14ac:dyDescent="0.3">
      <c r="C695" s="360">
        <v>45565</v>
      </c>
      <c r="D695" s="361"/>
      <c r="E695" s="361" t="s">
        <v>40</v>
      </c>
      <c r="F695" s="362" t="s">
        <v>1054</v>
      </c>
      <c r="G695" s="363">
        <v>-958</v>
      </c>
      <c r="H695" s="363">
        <v>2.5299999999999998</v>
      </c>
      <c r="I695" s="363">
        <f t="shared" si="86"/>
        <v>-2423.7399999999998</v>
      </c>
      <c r="J695" s="132"/>
      <c r="K695" s="54">
        <f t="shared" si="84"/>
        <v>21813.659999999996</v>
      </c>
    </row>
    <row r="696" spans="1:13" ht="14" x14ac:dyDescent="0.3">
      <c r="C696" s="360"/>
      <c r="D696" s="361"/>
      <c r="E696" s="361"/>
      <c r="F696" s="362"/>
      <c r="G696" s="363"/>
      <c r="H696" s="363"/>
      <c r="I696" s="363"/>
      <c r="J696" s="132"/>
      <c r="K696" s="54">
        <f t="shared" si="84"/>
        <v>21813.659999999996</v>
      </c>
    </row>
    <row r="697" spans="1:13" ht="15" x14ac:dyDescent="0.3">
      <c r="C697" s="88"/>
      <c r="D697" s="89"/>
      <c r="E697" s="89"/>
      <c r="F697" s="109" t="s">
        <v>1055</v>
      </c>
      <c r="G697" s="54"/>
      <c r="H697" s="54"/>
      <c r="I697" s="54"/>
      <c r="J697" s="132"/>
      <c r="K697" s="54">
        <f t="shared" si="84"/>
        <v>21813.659999999996</v>
      </c>
    </row>
    <row r="700" spans="1:13" ht="15" x14ac:dyDescent="0.3">
      <c r="C700" s="24" t="s">
        <v>0</v>
      </c>
      <c r="D700" s="24" t="s">
        <v>49</v>
      </c>
      <c r="E700" s="24" t="s">
        <v>53</v>
      </c>
      <c r="F700" s="19" t="s">
        <v>5</v>
      </c>
      <c r="G700" s="20" t="s">
        <v>6</v>
      </c>
      <c r="H700" s="20" t="s">
        <v>7</v>
      </c>
      <c r="I700" s="24" t="s">
        <v>13</v>
      </c>
      <c r="J700" s="24" t="s">
        <v>69</v>
      </c>
      <c r="K700" s="24" t="s">
        <v>57</v>
      </c>
    </row>
    <row r="701" spans="1:13" ht="14" x14ac:dyDescent="0.3">
      <c r="C701" s="88"/>
      <c r="D701" s="89"/>
      <c r="E701" s="89"/>
      <c r="F701" s="56"/>
      <c r="G701" s="54"/>
      <c r="H701" s="54"/>
      <c r="I701" s="54"/>
      <c r="J701" s="132"/>
      <c r="K701" s="54"/>
    </row>
    <row r="702" spans="1:13" ht="14" x14ac:dyDescent="0.3">
      <c r="C702" s="88">
        <v>45567</v>
      </c>
      <c r="D702" s="89" t="s">
        <v>808</v>
      </c>
      <c r="E702" s="89" t="s">
        <v>1075</v>
      </c>
      <c r="F702" s="56" t="s">
        <v>1074</v>
      </c>
      <c r="G702" s="54"/>
      <c r="H702" s="349"/>
      <c r="I702" s="349">
        <f>2235*2</f>
        <v>4470</v>
      </c>
      <c r="J702" s="132"/>
      <c r="K702" s="54">
        <f t="shared" ref="K702:K709" si="87">K701+I702-J702</f>
        <v>4470</v>
      </c>
    </row>
    <row r="703" spans="1:13" ht="14" x14ac:dyDescent="0.3">
      <c r="C703" s="88">
        <v>45567</v>
      </c>
      <c r="D703" s="89" t="s">
        <v>808</v>
      </c>
      <c r="E703" s="89" t="s">
        <v>69</v>
      </c>
      <c r="F703" s="56" t="s">
        <v>1076</v>
      </c>
      <c r="G703" s="54"/>
      <c r="H703" s="349"/>
      <c r="I703" s="349"/>
      <c r="J703" s="132">
        <f>2270*2</f>
        <v>4540</v>
      </c>
      <c r="K703" s="54">
        <f t="shared" si="87"/>
        <v>-70</v>
      </c>
    </row>
    <row r="704" spans="1:13" ht="14" x14ac:dyDescent="0.3">
      <c r="C704" s="88">
        <v>45567</v>
      </c>
      <c r="D704" s="89" t="s">
        <v>808</v>
      </c>
      <c r="E704" s="89" t="s">
        <v>1075</v>
      </c>
      <c r="F704" s="56" t="s">
        <v>1077</v>
      </c>
      <c r="G704" s="349"/>
      <c r="H704" s="349"/>
      <c r="I704" s="349">
        <f>2150*19</f>
        <v>40850</v>
      </c>
      <c r="J704" s="132"/>
      <c r="K704" s="54">
        <f t="shared" si="87"/>
        <v>40780</v>
      </c>
    </row>
    <row r="705" spans="3:12" ht="14" x14ac:dyDescent="0.3">
      <c r="C705" s="88">
        <v>45567</v>
      </c>
      <c r="D705" s="89" t="s">
        <v>808</v>
      </c>
      <c r="E705" s="89" t="s">
        <v>69</v>
      </c>
      <c r="F705" s="56" t="s">
        <v>1078</v>
      </c>
      <c r="G705" s="54"/>
      <c r="H705" s="349"/>
      <c r="I705" s="349"/>
      <c r="J705" s="132">
        <f>2200*19</f>
        <v>41800</v>
      </c>
      <c r="K705" s="54">
        <f t="shared" si="87"/>
        <v>-1020</v>
      </c>
    </row>
    <row r="706" spans="3:12" ht="14" x14ac:dyDescent="0.3">
      <c r="C706" s="88"/>
      <c r="D706" s="347"/>
      <c r="E706" s="347"/>
      <c r="F706" s="348"/>
      <c r="G706" s="349"/>
      <c r="H706" s="349"/>
      <c r="I706" s="349"/>
      <c r="J706" s="132"/>
      <c r="K706" s="54">
        <f t="shared" si="87"/>
        <v>-1020</v>
      </c>
    </row>
    <row r="707" spans="3:12" ht="14" x14ac:dyDescent="0.3">
      <c r="C707" s="360"/>
      <c r="D707" s="361"/>
      <c r="E707" s="361"/>
      <c r="F707" s="362"/>
      <c r="G707" s="363"/>
      <c r="H707" s="363"/>
      <c r="I707" s="363"/>
      <c r="J707" s="132"/>
      <c r="K707" s="54">
        <f t="shared" si="87"/>
        <v>-1020</v>
      </c>
    </row>
    <row r="708" spans="3:12" ht="14" x14ac:dyDescent="0.3">
      <c r="C708" s="88"/>
      <c r="D708" s="89"/>
      <c r="E708" s="89"/>
      <c r="F708" s="56"/>
      <c r="G708" s="54"/>
      <c r="H708" s="54"/>
      <c r="I708" s="54"/>
      <c r="J708" s="132"/>
      <c r="K708" s="54">
        <f t="shared" si="87"/>
        <v>-1020</v>
      </c>
    </row>
    <row r="709" spans="3:12" ht="15" x14ac:dyDescent="0.3">
      <c r="C709" s="88"/>
      <c r="D709" s="89"/>
      <c r="E709" s="89"/>
      <c r="F709" s="109" t="s">
        <v>1079</v>
      </c>
      <c r="G709" s="54"/>
      <c r="H709" s="54"/>
      <c r="I709" s="54"/>
      <c r="J709" s="132"/>
      <c r="K709" s="54">
        <f t="shared" si="87"/>
        <v>-1020</v>
      </c>
    </row>
    <row r="713" spans="3:12" ht="15" x14ac:dyDescent="0.3">
      <c r="C713" s="24" t="s">
        <v>0</v>
      </c>
      <c r="D713" s="24" t="s">
        <v>49</v>
      </c>
      <c r="E713" s="24" t="s">
        <v>53</v>
      </c>
      <c r="F713" s="19" t="s">
        <v>5</v>
      </c>
      <c r="G713" s="20" t="s">
        <v>6</v>
      </c>
      <c r="H713" s="20" t="s">
        <v>7</v>
      </c>
      <c r="I713" s="24" t="s">
        <v>13</v>
      </c>
      <c r="J713" s="24" t="s">
        <v>69</v>
      </c>
      <c r="K713" s="24" t="s">
        <v>57</v>
      </c>
    </row>
    <row r="714" spans="3:12" ht="14" x14ac:dyDescent="0.3">
      <c r="C714" s="88"/>
      <c r="D714" s="89"/>
      <c r="E714" s="89"/>
      <c r="F714" s="56"/>
      <c r="G714" s="54"/>
      <c r="H714" s="54"/>
      <c r="I714" s="54"/>
      <c r="J714" s="132"/>
      <c r="K714" s="54"/>
    </row>
    <row r="715" spans="3:12" ht="14" x14ac:dyDescent="0.3">
      <c r="C715" s="88">
        <v>45566</v>
      </c>
      <c r="D715" s="89" t="s">
        <v>808</v>
      </c>
      <c r="E715" s="89" t="s">
        <v>467</v>
      </c>
      <c r="F715" s="56" t="s">
        <v>1181</v>
      </c>
      <c r="G715" s="54">
        <f>12*750</f>
        <v>9000</v>
      </c>
      <c r="H715" s="349">
        <v>2.5499999999999998</v>
      </c>
      <c r="I715" s="349">
        <f>G715*H715</f>
        <v>22950</v>
      </c>
      <c r="J715" s="132"/>
      <c r="K715" s="54">
        <f t="shared" ref="K715:K722" si="88">K714+I715-J715</f>
        <v>22950</v>
      </c>
      <c r="L715" s="1">
        <v>22950</v>
      </c>
    </row>
    <row r="716" spans="3:12" ht="14" x14ac:dyDescent="0.3">
      <c r="C716" s="88">
        <v>45566</v>
      </c>
      <c r="D716" s="89" t="s">
        <v>792</v>
      </c>
      <c r="E716" s="89" t="s">
        <v>467</v>
      </c>
      <c r="F716" s="56" t="s">
        <v>1182</v>
      </c>
      <c r="G716" s="54">
        <f>299*2</f>
        <v>598</v>
      </c>
      <c r="H716" s="349">
        <v>2.5499999999999998</v>
      </c>
      <c r="I716" s="349">
        <f>G716*H716</f>
        <v>1524.8999999999999</v>
      </c>
      <c r="J716" s="132"/>
      <c r="K716" s="54">
        <f t="shared" si="88"/>
        <v>24474.9</v>
      </c>
    </row>
    <row r="717" spans="3:12" ht="14" x14ac:dyDescent="0.3">
      <c r="C717" s="344">
        <v>45566</v>
      </c>
      <c r="D717" s="91" t="s">
        <v>792</v>
      </c>
      <c r="E717" s="91" t="s">
        <v>467</v>
      </c>
      <c r="F717" s="75" t="s">
        <v>1183</v>
      </c>
      <c r="G717" s="407"/>
      <c r="H717" s="349"/>
      <c r="I717" s="349"/>
      <c r="J717" s="132"/>
      <c r="K717" s="54">
        <f t="shared" si="88"/>
        <v>24474.9</v>
      </c>
    </row>
    <row r="718" spans="3:12" ht="14" x14ac:dyDescent="0.3">
      <c r="C718" s="88"/>
      <c r="D718" s="89"/>
      <c r="E718" s="89"/>
      <c r="F718" s="56" t="s">
        <v>1350</v>
      </c>
      <c r="G718" s="54">
        <f>-9598/11</f>
        <v>-872.5454545454545</v>
      </c>
      <c r="H718" s="349">
        <v>2.5499999999999998</v>
      </c>
      <c r="I718" s="349">
        <f>G718*H718</f>
        <v>-2224.9909090909086</v>
      </c>
      <c r="J718" s="132"/>
      <c r="K718" s="54">
        <f t="shared" si="88"/>
        <v>22249.909090909092</v>
      </c>
    </row>
    <row r="719" spans="3:12" ht="14" x14ac:dyDescent="0.3">
      <c r="C719" s="88"/>
      <c r="D719" s="347"/>
      <c r="E719" s="347"/>
      <c r="F719" s="348"/>
      <c r="G719" s="349"/>
      <c r="H719" s="349"/>
      <c r="I719" s="349"/>
      <c r="J719" s="132"/>
      <c r="K719" s="54">
        <f t="shared" si="88"/>
        <v>22249.909090909092</v>
      </c>
    </row>
    <row r="720" spans="3:12" ht="14" x14ac:dyDescent="0.3">
      <c r="C720" s="360"/>
      <c r="D720" s="361"/>
      <c r="E720" s="361"/>
      <c r="F720" s="362"/>
      <c r="G720" s="363"/>
      <c r="H720" s="363"/>
      <c r="I720" s="363"/>
      <c r="J720" s="132"/>
      <c r="K720" s="54">
        <f t="shared" si="88"/>
        <v>22249.909090909092</v>
      </c>
    </row>
    <row r="721" spans="2:13" ht="14" x14ac:dyDescent="0.3">
      <c r="C721" s="88"/>
      <c r="D721" s="89"/>
      <c r="E721" s="89"/>
      <c r="F721" s="56"/>
      <c r="G721" s="54"/>
      <c r="H721" s="54"/>
      <c r="I721" s="54"/>
      <c r="J721" s="132"/>
      <c r="K721" s="54">
        <f t="shared" si="88"/>
        <v>22249.909090909092</v>
      </c>
    </row>
    <row r="722" spans="2:13" ht="15" x14ac:dyDescent="0.3">
      <c r="C722" s="88"/>
      <c r="D722" s="89"/>
      <c r="E722" s="89"/>
      <c r="F722" s="109" t="s">
        <v>1184</v>
      </c>
      <c r="G722" s="54"/>
      <c r="H722" s="54"/>
      <c r="I722" s="54"/>
      <c r="J722" s="132"/>
      <c r="K722" s="54">
        <f t="shared" si="88"/>
        <v>22249.909090909092</v>
      </c>
    </row>
    <row r="725" spans="2:13" ht="15" x14ac:dyDescent="0.3">
      <c r="C725" s="24" t="s">
        <v>0</v>
      </c>
      <c r="D725" s="24" t="s">
        <v>49</v>
      </c>
      <c r="E725" s="24" t="s">
        <v>53</v>
      </c>
      <c r="F725" s="19" t="s">
        <v>5</v>
      </c>
      <c r="G725" s="20" t="s">
        <v>6</v>
      </c>
      <c r="H725" s="20" t="s">
        <v>7</v>
      </c>
      <c r="I725" s="24" t="s">
        <v>13</v>
      </c>
      <c r="J725" s="24" t="s">
        <v>69</v>
      </c>
      <c r="K725" s="24" t="s">
        <v>57</v>
      </c>
    </row>
    <row r="726" spans="2:13" ht="14" x14ac:dyDescent="0.3">
      <c r="C726" s="88"/>
      <c r="D726" s="89"/>
      <c r="E726" s="89"/>
      <c r="F726" s="56"/>
      <c r="G726" s="54"/>
      <c r="H726" s="54"/>
      <c r="I726" s="54"/>
      <c r="J726" s="132"/>
      <c r="K726" s="54"/>
    </row>
    <row r="727" spans="2:13" ht="14" x14ac:dyDescent="0.3">
      <c r="C727" s="88">
        <v>45567</v>
      </c>
      <c r="D727" s="89" t="s">
        <v>792</v>
      </c>
      <c r="E727" s="89" t="s">
        <v>467</v>
      </c>
      <c r="F727" s="56" t="s">
        <v>1191</v>
      </c>
      <c r="G727" s="54">
        <f>2*299</f>
        <v>598</v>
      </c>
      <c r="H727" s="349">
        <v>2.5499999999999998</v>
      </c>
      <c r="I727" s="349">
        <f>G727*H727</f>
        <v>1524.8999999999999</v>
      </c>
      <c r="J727" s="132"/>
      <c r="K727" s="54">
        <f t="shared" ref="K727:K737" si="89">K726+I727-J727</f>
        <v>1524.8999999999999</v>
      </c>
    </row>
    <row r="728" spans="2:13" ht="14" x14ac:dyDescent="0.3">
      <c r="C728" s="88">
        <v>45567</v>
      </c>
      <c r="D728" s="89" t="s">
        <v>792</v>
      </c>
      <c r="E728" s="89" t="s">
        <v>467</v>
      </c>
      <c r="F728" s="56" t="s">
        <v>1186</v>
      </c>
      <c r="G728" s="54">
        <v>298</v>
      </c>
      <c r="H728" s="349">
        <v>2.5499999999999998</v>
      </c>
      <c r="I728" s="349">
        <f t="shared" ref="I728:I731" si="90">G728*H728</f>
        <v>759.9</v>
      </c>
      <c r="J728" s="132"/>
      <c r="K728" s="54">
        <f t="shared" si="89"/>
        <v>2284.7999999999997</v>
      </c>
      <c r="M728" s="14" t="s">
        <v>50</v>
      </c>
    </row>
    <row r="729" spans="2:13" ht="14" x14ac:dyDescent="0.3">
      <c r="C729" s="88">
        <v>45567</v>
      </c>
      <c r="D729" s="89" t="s">
        <v>792</v>
      </c>
      <c r="E729" s="89" t="s">
        <v>467</v>
      </c>
      <c r="F729" s="56" t="s">
        <v>1187</v>
      </c>
      <c r="G729" s="349">
        <v>298</v>
      </c>
      <c r="H729" s="349">
        <v>2.5499999999999998</v>
      </c>
      <c r="I729" s="349">
        <f t="shared" si="90"/>
        <v>759.9</v>
      </c>
      <c r="J729" s="132"/>
      <c r="K729" s="54">
        <f t="shared" si="89"/>
        <v>3044.7</v>
      </c>
    </row>
    <row r="730" spans="2:13" ht="14" x14ac:dyDescent="0.3">
      <c r="B730" s="1" t="s">
        <v>1030</v>
      </c>
      <c r="C730" s="88">
        <v>45567</v>
      </c>
      <c r="D730" s="89" t="s">
        <v>792</v>
      </c>
      <c r="E730" s="89" t="s">
        <v>467</v>
      </c>
      <c r="F730" s="56" t="s">
        <v>1189</v>
      </c>
      <c r="G730" s="54">
        <f>298*5</f>
        <v>1490</v>
      </c>
      <c r="H730" s="349">
        <v>2.5499999999999998</v>
      </c>
      <c r="I730" s="349">
        <f t="shared" si="90"/>
        <v>3799.4999999999995</v>
      </c>
      <c r="J730" s="132"/>
      <c r="K730" s="54">
        <f t="shared" si="89"/>
        <v>6844.1999999999989</v>
      </c>
    </row>
    <row r="731" spans="2:13" ht="14" x14ac:dyDescent="0.3">
      <c r="C731" s="88">
        <v>45567</v>
      </c>
      <c r="D731" s="89" t="s">
        <v>792</v>
      </c>
      <c r="E731" s="89" t="s">
        <v>467</v>
      </c>
      <c r="F731" s="56" t="s">
        <v>1190</v>
      </c>
      <c r="G731" s="349">
        <f>298*2</f>
        <v>596</v>
      </c>
      <c r="H731" s="349">
        <v>2.5499999999999998</v>
      </c>
      <c r="I731" s="349">
        <f t="shared" si="90"/>
        <v>1519.8</v>
      </c>
      <c r="J731" s="132"/>
      <c r="K731" s="54">
        <f t="shared" si="89"/>
        <v>8363.9999999999982</v>
      </c>
    </row>
    <row r="732" spans="2:13" ht="14" x14ac:dyDescent="0.3">
      <c r="B732" s="1" t="s">
        <v>1030</v>
      </c>
      <c r="C732" s="88">
        <v>45567</v>
      </c>
      <c r="D732" s="89" t="s">
        <v>792</v>
      </c>
      <c r="E732" s="89" t="s">
        <v>467</v>
      </c>
      <c r="F732" s="56" t="s">
        <v>1193</v>
      </c>
      <c r="G732" s="349">
        <f>298*3</f>
        <v>894</v>
      </c>
      <c r="H732" s="349">
        <v>2.5499999999999998</v>
      </c>
      <c r="I732" s="349">
        <f t="shared" ref="I732" si="91">G732*H732</f>
        <v>2279.6999999999998</v>
      </c>
      <c r="J732" s="132"/>
      <c r="K732" s="54">
        <f t="shared" si="89"/>
        <v>10643.699999999997</v>
      </c>
    </row>
    <row r="733" spans="2:13" ht="14" x14ac:dyDescent="0.3">
      <c r="C733" s="88">
        <v>45567</v>
      </c>
      <c r="D733" s="89" t="s">
        <v>1317</v>
      </c>
      <c r="E733" s="89" t="s">
        <v>467</v>
      </c>
      <c r="F733" s="56" t="s">
        <v>1318</v>
      </c>
      <c r="G733" s="349">
        <v>290</v>
      </c>
      <c r="H733" s="349">
        <v>2.5499999999999998</v>
      </c>
      <c r="I733" s="349">
        <f t="shared" ref="I733" si="92">G733*H733</f>
        <v>739.5</v>
      </c>
      <c r="J733" s="132"/>
      <c r="K733" s="54">
        <f t="shared" si="89"/>
        <v>11383.199999999997</v>
      </c>
    </row>
    <row r="734" spans="2:13" ht="14" x14ac:dyDescent="0.3">
      <c r="C734" s="88"/>
      <c r="D734" s="89"/>
      <c r="E734" s="89"/>
      <c r="F734" s="56" t="s">
        <v>1351</v>
      </c>
      <c r="G734" s="349">
        <f>-4464/11</f>
        <v>-405.81818181818181</v>
      </c>
      <c r="H734" s="349">
        <v>2.5499999999999998</v>
      </c>
      <c r="I734" s="349">
        <f t="shared" ref="I734" si="93">G734*H734</f>
        <v>-1034.8363636363636</v>
      </c>
      <c r="J734" s="132"/>
      <c r="K734" s="54">
        <f t="shared" si="89"/>
        <v>10348.363636363634</v>
      </c>
    </row>
    <row r="735" spans="2:13" ht="14" x14ac:dyDescent="0.3">
      <c r="C735" s="88"/>
      <c r="D735" s="89"/>
      <c r="E735" s="89"/>
      <c r="F735" s="56"/>
      <c r="G735" s="349"/>
      <c r="H735" s="349"/>
      <c r="I735" s="349"/>
      <c r="J735" s="132"/>
      <c r="K735" s="54">
        <f t="shared" si="89"/>
        <v>10348.363636363634</v>
      </c>
    </row>
    <row r="736" spans="2:13" ht="14" x14ac:dyDescent="0.3">
      <c r="C736" s="88"/>
      <c r="D736" s="89"/>
      <c r="E736" s="89"/>
      <c r="F736" s="56"/>
      <c r="G736" s="54"/>
      <c r="H736" s="54"/>
      <c r="I736" s="54"/>
      <c r="J736" s="132"/>
      <c r="K736" s="54">
        <f t="shared" si="89"/>
        <v>10348.363636363634</v>
      </c>
    </row>
    <row r="737" spans="2:13" ht="15" x14ac:dyDescent="0.3">
      <c r="C737" s="88"/>
      <c r="D737" s="89"/>
      <c r="E737" s="89"/>
      <c r="F737" s="109" t="s">
        <v>1195</v>
      </c>
      <c r="G737" s="54"/>
      <c r="H737" s="54"/>
      <c r="I737" s="54"/>
      <c r="J737" s="132"/>
      <c r="K737" s="54">
        <f t="shared" si="89"/>
        <v>10348.363636363634</v>
      </c>
    </row>
    <row r="740" spans="2:13" ht="15" x14ac:dyDescent="0.3">
      <c r="C740" s="24" t="s">
        <v>0</v>
      </c>
      <c r="D740" s="24" t="s">
        <v>49</v>
      </c>
      <c r="E740" s="24" t="s">
        <v>53</v>
      </c>
      <c r="F740" s="19" t="s">
        <v>5</v>
      </c>
      <c r="G740" s="20" t="s">
        <v>6</v>
      </c>
      <c r="H740" s="20" t="s">
        <v>7</v>
      </c>
      <c r="I740" s="24" t="s">
        <v>13</v>
      </c>
      <c r="J740" s="24" t="s">
        <v>69</v>
      </c>
      <c r="K740" s="24" t="s">
        <v>57</v>
      </c>
    </row>
    <row r="741" spans="2:13" ht="14" x14ac:dyDescent="0.3">
      <c r="C741" s="88"/>
      <c r="D741" s="89"/>
      <c r="E741" s="89"/>
      <c r="F741" s="56"/>
      <c r="G741" s="54"/>
      <c r="H741" s="54"/>
      <c r="I741" s="54"/>
      <c r="J741" s="132"/>
      <c r="K741" s="54"/>
    </row>
    <row r="742" spans="2:13" ht="14" x14ac:dyDescent="0.3">
      <c r="B742" s="1" t="s">
        <v>1266</v>
      </c>
      <c r="C742" s="88">
        <v>45568</v>
      </c>
      <c r="D742" s="89" t="s">
        <v>792</v>
      </c>
      <c r="E742" s="89"/>
      <c r="F742" s="56" t="s">
        <v>1297</v>
      </c>
      <c r="G742" s="54">
        <f>298*4</f>
        <v>1192</v>
      </c>
      <c r="H742" s="349">
        <v>2.5499999999999998</v>
      </c>
      <c r="I742" s="349">
        <f>G742*H742</f>
        <v>3039.6</v>
      </c>
      <c r="J742" s="132"/>
      <c r="K742" s="54">
        <f t="shared" ref="K742:K752" si="94">K741+I742-J742</f>
        <v>3039.6</v>
      </c>
    </row>
    <row r="743" spans="2:13" ht="14" x14ac:dyDescent="0.3">
      <c r="C743" s="88">
        <v>45568</v>
      </c>
      <c r="D743" s="89" t="s">
        <v>792</v>
      </c>
      <c r="E743" s="89"/>
      <c r="F743" s="56" t="s">
        <v>1298</v>
      </c>
      <c r="G743" s="54">
        <v>298</v>
      </c>
      <c r="H743" s="349">
        <v>2.5499999999999998</v>
      </c>
      <c r="I743" s="349">
        <f t="shared" ref="I743:I747" si="95">G743*H743</f>
        <v>759.9</v>
      </c>
      <c r="J743" s="132"/>
      <c r="K743" s="54">
        <f t="shared" si="94"/>
        <v>3799.5</v>
      </c>
    </row>
    <row r="744" spans="2:13" ht="14" x14ac:dyDescent="0.3">
      <c r="C744" s="88">
        <v>45568</v>
      </c>
      <c r="D744" s="89" t="s">
        <v>792</v>
      </c>
      <c r="E744" s="89"/>
      <c r="F744" s="56" t="s">
        <v>1299</v>
      </c>
      <c r="G744" s="349">
        <v>298</v>
      </c>
      <c r="H744" s="349">
        <v>2.5499999999999998</v>
      </c>
      <c r="I744" s="349">
        <f t="shared" si="95"/>
        <v>759.9</v>
      </c>
      <c r="J744" s="132"/>
      <c r="K744" s="54">
        <f t="shared" si="94"/>
        <v>4559.3999999999996</v>
      </c>
      <c r="M744" s="14" t="s">
        <v>50</v>
      </c>
    </row>
    <row r="745" spans="2:13" ht="14" x14ac:dyDescent="0.3">
      <c r="C745" s="88">
        <v>45568</v>
      </c>
      <c r="D745" s="89" t="s">
        <v>808</v>
      </c>
      <c r="E745" s="89"/>
      <c r="F745" s="56" t="s">
        <v>1300</v>
      </c>
      <c r="G745" s="54">
        <f>780*2</f>
        <v>1560</v>
      </c>
      <c r="H745" s="349">
        <v>2.5499999999999998</v>
      </c>
      <c r="I745" s="349">
        <f t="shared" si="95"/>
        <v>3977.9999999999995</v>
      </c>
      <c r="J745" s="132"/>
      <c r="K745" s="54">
        <f t="shared" si="94"/>
        <v>8537.4</v>
      </c>
      <c r="L745" s="1">
        <v>3978</v>
      </c>
    </row>
    <row r="746" spans="2:13" ht="14" x14ac:dyDescent="0.3">
      <c r="C746" s="88">
        <v>45568</v>
      </c>
      <c r="D746" s="89" t="s">
        <v>792</v>
      </c>
      <c r="E746" s="89"/>
      <c r="F746" s="56" t="s">
        <v>1301</v>
      </c>
      <c r="G746" s="349">
        <v>298</v>
      </c>
      <c r="H746" s="349">
        <v>2.5499999999999998</v>
      </c>
      <c r="I746" s="349">
        <f t="shared" si="95"/>
        <v>759.9</v>
      </c>
      <c r="J746" s="132"/>
      <c r="K746" s="54">
        <f t="shared" si="94"/>
        <v>9297.2999999999993</v>
      </c>
      <c r="L746" s="1">
        <v>759.9</v>
      </c>
    </row>
    <row r="747" spans="2:13" ht="14" x14ac:dyDescent="0.3">
      <c r="C747" s="88">
        <v>45568</v>
      </c>
      <c r="D747" s="89" t="s">
        <v>792</v>
      </c>
      <c r="E747" s="89"/>
      <c r="F747" s="56" t="s">
        <v>1298</v>
      </c>
      <c r="G747" s="349">
        <v>298</v>
      </c>
      <c r="H747" s="349">
        <v>2.5499999999999998</v>
      </c>
      <c r="I747" s="349">
        <f t="shared" si="95"/>
        <v>759.9</v>
      </c>
      <c r="J747" s="132"/>
      <c r="K747" s="54">
        <f t="shared" si="94"/>
        <v>10057.199999999999</v>
      </c>
    </row>
    <row r="748" spans="2:13" ht="14" x14ac:dyDescent="0.3">
      <c r="C748" s="88">
        <v>45568</v>
      </c>
      <c r="D748" s="89" t="s">
        <v>792</v>
      </c>
      <c r="E748" s="89"/>
      <c r="F748" s="56" t="s">
        <v>1302</v>
      </c>
      <c r="G748" s="363"/>
      <c r="H748" s="349"/>
      <c r="I748" s="349"/>
      <c r="J748" s="132"/>
      <c r="K748" s="54">
        <f t="shared" si="94"/>
        <v>10057.199999999999</v>
      </c>
    </row>
    <row r="749" spans="2:13" ht="14" x14ac:dyDescent="0.3">
      <c r="C749" s="88"/>
      <c r="D749" s="89"/>
      <c r="E749" s="89"/>
      <c r="F749" s="56" t="s">
        <v>1355</v>
      </c>
      <c r="G749" s="349">
        <f>-3944/11</f>
        <v>-358.54545454545456</v>
      </c>
      <c r="H749" s="349">
        <v>2.5499999999999998</v>
      </c>
      <c r="I749" s="349">
        <f t="shared" ref="I749" si="96">G749*H749</f>
        <v>-914.29090909090905</v>
      </c>
      <c r="J749" s="132"/>
      <c r="K749" s="54">
        <f t="shared" si="94"/>
        <v>9142.9090909090901</v>
      </c>
    </row>
    <row r="750" spans="2:13" ht="14" x14ac:dyDescent="0.3">
      <c r="C750" s="88"/>
      <c r="D750" s="89"/>
      <c r="E750" s="89"/>
      <c r="F750" s="56"/>
      <c r="G750" s="363"/>
      <c r="H750" s="349"/>
      <c r="I750" s="349"/>
      <c r="J750" s="132"/>
      <c r="K750" s="54">
        <f t="shared" si="94"/>
        <v>9142.9090909090901</v>
      </c>
    </row>
    <row r="751" spans="2:13" ht="14" x14ac:dyDescent="0.3">
      <c r="C751" s="88"/>
      <c r="D751" s="89"/>
      <c r="E751" s="89"/>
      <c r="F751" s="56"/>
      <c r="G751" s="54"/>
      <c r="H751" s="54"/>
      <c r="I751" s="54"/>
      <c r="J751" s="132"/>
      <c r="K751" s="54">
        <f t="shared" si="94"/>
        <v>9142.9090909090901</v>
      </c>
    </row>
    <row r="752" spans="2:13" ht="15" x14ac:dyDescent="0.3">
      <c r="C752" s="88"/>
      <c r="D752" s="89"/>
      <c r="E752" s="89"/>
      <c r="F752" s="109" t="s">
        <v>1198</v>
      </c>
      <c r="G752" s="54"/>
      <c r="H752" s="54"/>
      <c r="I752" s="54"/>
      <c r="J752" s="132"/>
      <c r="K752" s="54">
        <f t="shared" si="94"/>
        <v>9142.9090909090901</v>
      </c>
    </row>
    <row r="755" spans="3:12" ht="15" x14ac:dyDescent="0.3">
      <c r="C755" s="24" t="s">
        <v>0</v>
      </c>
      <c r="D755" s="24" t="s">
        <v>49</v>
      </c>
      <c r="E755" s="24" t="s">
        <v>53</v>
      </c>
      <c r="F755" s="19" t="s">
        <v>5</v>
      </c>
      <c r="G755" s="20" t="s">
        <v>6</v>
      </c>
      <c r="H755" s="20" t="s">
        <v>7</v>
      </c>
      <c r="I755" s="24" t="s">
        <v>13</v>
      </c>
      <c r="J755" s="24" t="s">
        <v>69</v>
      </c>
      <c r="K755" s="24" t="s">
        <v>57</v>
      </c>
    </row>
    <row r="756" spans="3:12" ht="14" x14ac:dyDescent="0.3">
      <c r="C756" s="88"/>
      <c r="D756" s="89"/>
      <c r="E756" s="89"/>
      <c r="F756" s="56"/>
      <c r="G756" s="54"/>
      <c r="H756" s="54"/>
      <c r="I756" s="54"/>
      <c r="J756" s="132"/>
      <c r="K756" s="54"/>
    </row>
    <row r="757" spans="3:12" ht="14" x14ac:dyDescent="0.3">
      <c r="C757" s="88">
        <v>45569</v>
      </c>
      <c r="D757" s="89" t="s">
        <v>808</v>
      </c>
      <c r="E757" s="89"/>
      <c r="F757" s="56" t="s">
        <v>1201</v>
      </c>
      <c r="G757" s="54">
        <f>768*10</f>
        <v>7680</v>
      </c>
      <c r="H757" s="349">
        <v>2.5499999999999998</v>
      </c>
      <c r="I757" s="349">
        <f>G757*H757</f>
        <v>19584</v>
      </c>
      <c r="J757" s="132"/>
      <c r="K757" s="54">
        <f t="shared" ref="K757:K767" si="97">K756+I757-J757</f>
        <v>19584</v>
      </c>
      <c r="L757" s="1">
        <v>19584</v>
      </c>
    </row>
    <row r="758" spans="3:12" ht="14" x14ac:dyDescent="0.3">
      <c r="C758" s="88">
        <v>45569</v>
      </c>
      <c r="D758" s="89" t="s">
        <v>792</v>
      </c>
      <c r="E758" s="89"/>
      <c r="F758" s="56" t="s">
        <v>1200</v>
      </c>
      <c r="G758" s="54">
        <f>298*2</f>
        <v>596</v>
      </c>
      <c r="H758" s="349">
        <v>2.5499999999999998</v>
      </c>
      <c r="I758" s="349">
        <f t="shared" ref="I758:I761" si="98">G758*H758</f>
        <v>1519.8</v>
      </c>
      <c r="J758" s="132"/>
      <c r="K758" s="54">
        <f t="shared" si="97"/>
        <v>21103.8</v>
      </c>
      <c r="L758" s="1">
        <v>1519.8</v>
      </c>
    </row>
    <row r="759" spans="3:12" ht="14" x14ac:dyDescent="0.3">
      <c r="C759" s="88">
        <v>45569</v>
      </c>
      <c r="D759" s="89" t="s">
        <v>792</v>
      </c>
      <c r="E759" s="89"/>
      <c r="F759" s="56" t="s">
        <v>1202</v>
      </c>
      <c r="G759" s="349">
        <f>4*299</f>
        <v>1196</v>
      </c>
      <c r="H759" s="349">
        <v>2.5499999999999998</v>
      </c>
      <c r="I759" s="349">
        <f t="shared" si="98"/>
        <v>3049.7999999999997</v>
      </c>
      <c r="J759" s="132"/>
      <c r="K759" s="54">
        <f t="shared" si="97"/>
        <v>24153.599999999999</v>
      </c>
    </row>
    <row r="760" spans="3:12" ht="14" x14ac:dyDescent="0.3">
      <c r="C760" s="88"/>
      <c r="D760" s="89"/>
      <c r="E760" s="89"/>
      <c r="F760" s="56"/>
      <c r="G760" s="54"/>
      <c r="H760" s="349">
        <v>2.5499999999999998</v>
      </c>
      <c r="I760" s="349">
        <f t="shared" si="98"/>
        <v>0</v>
      </c>
      <c r="J760" s="132"/>
      <c r="K760" s="54">
        <f t="shared" si="97"/>
        <v>24153.599999999999</v>
      </c>
    </row>
    <row r="761" spans="3:12" ht="14" x14ac:dyDescent="0.3">
      <c r="C761" s="88">
        <v>45570</v>
      </c>
      <c r="D761" s="89" t="s">
        <v>792</v>
      </c>
      <c r="E761" s="89"/>
      <c r="F761" s="56" t="s">
        <v>1203</v>
      </c>
      <c r="G761" s="349">
        <f>299*2</f>
        <v>598</v>
      </c>
      <c r="H761" s="349">
        <v>2.5499999999999998</v>
      </c>
      <c r="I761" s="349">
        <f t="shared" si="98"/>
        <v>1524.8999999999999</v>
      </c>
      <c r="J761" s="132"/>
      <c r="K761" s="54">
        <f t="shared" si="97"/>
        <v>25678.5</v>
      </c>
    </row>
    <row r="762" spans="3:12" ht="14" x14ac:dyDescent="0.3">
      <c r="C762" s="88">
        <v>45570</v>
      </c>
      <c r="D762" s="89" t="s">
        <v>792</v>
      </c>
      <c r="E762" s="89"/>
      <c r="F762" s="56" t="s">
        <v>1242</v>
      </c>
      <c r="G762" s="349">
        <f>299*10</f>
        <v>2990</v>
      </c>
      <c r="H762" s="349">
        <v>2.5499999999999998</v>
      </c>
      <c r="I762" s="349">
        <f t="shared" ref="I762" si="99">G762*H762</f>
        <v>7624.4999999999991</v>
      </c>
      <c r="J762" s="132"/>
      <c r="K762" s="54">
        <f t="shared" si="97"/>
        <v>33303</v>
      </c>
      <c r="L762" s="1">
        <v>7624.5</v>
      </c>
    </row>
    <row r="763" spans="3:12" ht="14" x14ac:dyDescent="0.3">
      <c r="C763" s="88"/>
      <c r="D763" s="89"/>
      <c r="E763" s="89"/>
      <c r="F763" s="56"/>
      <c r="G763" s="363"/>
      <c r="H763" s="349"/>
      <c r="I763" s="349"/>
      <c r="J763" s="132"/>
      <c r="K763" s="54">
        <f t="shared" si="97"/>
        <v>33303</v>
      </c>
    </row>
    <row r="764" spans="3:12" ht="14" x14ac:dyDescent="0.3">
      <c r="C764" s="88"/>
      <c r="D764" s="89"/>
      <c r="E764" s="89"/>
      <c r="F764" s="56" t="s">
        <v>1356</v>
      </c>
      <c r="G764" s="363">
        <f>-13060/11</f>
        <v>-1187.2727272727273</v>
      </c>
      <c r="H764" s="349">
        <v>2.5499999999999998</v>
      </c>
      <c r="I764" s="349">
        <f t="shared" ref="I764" si="100">G764*H764</f>
        <v>-3027.5454545454545</v>
      </c>
      <c r="J764" s="132"/>
      <c r="K764" s="54">
        <f t="shared" si="97"/>
        <v>30275.454545454544</v>
      </c>
    </row>
    <row r="765" spans="3:12" ht="14" x14ac:dyDescent="0.3">
      <c r="C765" s="88"/>
      <c r="D765" s="89"/>
      <c r="E765" s="89"/>
      <c r="F765" s="56"/>
      <c r="G765" s="363"/>
      <c r="H765" s="349"/>
      <c r="I765" s="349"/>
      <c r="J765" s="132"/>
      <c r="K765" s="54">
        <f t="shared" si="97"/>
        <v>30275.454545454544</v>
      </c>
    </row>
    <row r="766" spans="3:12" ht="14" x14ac:dyDescent="0.3">
      <c r="C766" s="88"/>
      <c r="D766" s="89"/>
      <c r="E766" s="89"/>
      <c r="F766" s="56"/>
      <c r="G766" s="54"/>
      <c r="H766" s="54"/>
      <c r="I766" s="54"/>
      <c r="J766" s="132"/>
      <c r="K766" s="54">
        <f t="shared" si="97"/>
        <v>30275.454545454544</v>
      </c>
    </row>
    <row r="767" spans="3:12" ht="15" x14ac:dyDescent="0.3">
      <c r="C767" s="88"/>
      <c r="D767" s="89"/>
      <c r="E767" s="89"/>
      <c r="F767" s="109" t="s">
        <v>1199</v>
      </c>
      <c r="G767" s="54"/>
      <c r="H767" s="54"/>
      <c r="I767" s="54"/>
      <c r="J767" s="132"/>
      <c r="K767" s="54">
        <f t="shared" si="97"/>
        <v>30275.454545454544</v>
      </c>
    </row>
    <row r="770" spans="3:12" ht="15" x14ac:dyDescent="0.3">
      <c r="C770" s="24" t="s">
        <v>0</v>
      </c>
      <c r="D770" s="24" t="s">
        <v>49</v>
      </c>
      <c r="E770" s="24" t="s">
        <v>53</v>
      </c>
      <c r="F770" s="19" t="s">
        <v>5</v>
      </c>
      <c r="G770" s="20" t="s">
        <v>6</v>
      </c>
      <c r="H770" s="20" t="s">
        <v>7</v>
      </c>
      <c r="I770" s="24" t="s">
        <v>13</v>
      </c>
      <c r="J770" s="24" t="s">
        <v>69</v>
      </c>
      <c r="K770" s="24" t="s">
        <v>57</v>
      </c>
    </row>
    <row r="771" spans="3:12" ht="14" x14ac:dyDescent="0.3">
      <c r="C771" s="88"/>
      <c r="D771" s="89"/>
      <c r="E771" s="89"/>
      <c r="F771" s="56"/>
      <c r="G771" s="54"/>
      <c r="H771" s="54"/>
      <c r="I771" s="54"/>
      <c r="J771" s="132"/>
      <c r="K771" s="54"/>
    </row>
    <row r="772" spans="3:12" ht="14" x14ac:dyDescent="0.3">
      <c r="C772" s="88">
        <v>45572</v>
      </c>
      <c r="D772" s="89" t="s">
        <v>808</v>
      </c>
      <c r="E772" s="89" t="s">
        <v>467</v>
      </c>
      <c r="F772" s="56" t="s">
        <v>1206</v>
      </c>
      <c r="G772" s="54">
        <f>745*9</f>
        <v>6705</v>
      </c>
      <c r="H772" s="349">
        <v>2.5499999999999998</v>
      </c>
      <c r="I772" s="349">
        <f>G772*H772</f>
        <v>17097.75</v>
      </c>
      <c r="J772" s="132"/>
      <c r="K772" s="54">
        <f t="shared" ref="K772:K776" si="101">K771+I772-J772</f>
        <v>17097.75</v>
      </c>
      <c r="L772" s="1">
        <v>17097.75</v>
      </c>
    </row>
    <row r="773" spans="3:12" ht="14" x14ac:dyDescent="0.3">
      <c r="C773" s="88">
        <v>45572</v>
      </c>
      <c r="D773" s="89" t="s">
        <v>808</v>
      </c>
      <c r="E773" s="89" t="s">
        <v>467</v>
      </c>
      <c r="F773" s="56" t="s">
        <v>1207</v>
      </c>
      <c r="G773" s="54">
        <f>755*2</f>
        <v>1510</v>
      </c>
      <c r="H773" s="349">
        <v>2.5499999999999998</v>
      </c>
      <c r="I773" s="349">
        <f t="shared" ref="I773:I775" si="102">G773*H773</f>
        <v>3850.4999999999995</v>
      </c>
      <c r="J773" s="132"/>
      <c r="K773" s="54">
        <f t="shared" si="101"/>
        <v>20948.25</v>
      </c>
      <c r="L773" s="1">
        <v>3850.5</v>
      </c>
    </row>
    <row r="774" spans="3:12" ht="14" x14ac:dyDescent="0.3">
      <c r="C774" s="88">
        <v>45573</v>
      </c>
      <c r="D774" s="89" t="s">
        <v>792</v>
      </c>
      <c r="E774" s="89" t="s">
        <v>467</v>
      </c>
      <c r="F774" s="56" t="s">
        <v>1212</v>
      </c>
      <c r="G774" s="349">
        <f>2*299</f>
        <v>598</v>
      </c>
      <c r="H774" s="349">
        <v>2.5499999999999998</v>
      </c>
      <c r="I774" s="349">
        <f t="shared" si="102"/>
        <v>1524.8999999999999</v>
      </c>
      <c r="J774" s="132"/>
      <c r="K774" s="54">
        <f t="shared" si="101"/>
        <v>22473.15</v>
      </c>
      <c r="L774" s="1">
        <v>1524.9</v>
      </c>
    </row>
    <row r="775" spans="3:12" ht="14" x14ac:dyDescent="0.3">
      <c r="C775" s="88"/>
      <c r="D775" s="89"/>
      <c r="E775" s="89"/>
      <c r="F775" s="56" t="s">
        <v>1357</v>
      </c>
      <c r="G775" s="54">
        <f>-8813/11</f>
        <v>-801.18181818181813</v>
      </c>
      <c r="H775" s="349">
        <v>2.5499999999999998</v>
      </c>
      <c r="I775" s="349">
        <f t="shared" si="102"/>
        <v>-2043.0136363636361</v>
      </c>
      <c r="J775" s="132"/>
      <c r="K775" s="54">
        <f t="shared" si="101"/>
        <v>20430.136363636364</v>
      </c>
    </row>
    <row r="776" spans="3:12" ht="15" x14ac:dyDescent="0.3">
      <c r="C776" s="88"/>
      <c r="D776" s="89"/>
      <c r="E776" s="89"/>
      <c r="F776" s="109" t="s">
        <v>1205</v>
      </c>
      <c r="G776" s="54"/>
      <c r="H776" s="54"/>
      <c r="I776" s="54"/>
      <c r="J776" s="132"/>
      <c r="K776" s="54">
        <f t="shared" si="101"/>
        <v>20430.136363636364</v>
      </c>
    </row>
    <row r="779" spans="3:12" ht="15" x14ac:dyDescent="0.3">
      <c r="C779" s="24" t="s">
        <v>0</v>
      </c>
      <c r="D779" s="24" t="s">
        <v>49</v>
      </c>
      <c r="E779" s="24" t="s">
        <v>53</v>
      </c>
      <c r="F779" s="19" t="s">
        <v>5</v>
      </c>
      <c r="G779" s="20" t="s">
        <v>6</v>
      </c>
      <c r="H779" s="20" t="s">
        <v>7</v>
      </c>
      <c r="I779" s="24" t="s">
        <v>13</v>
      </c>
      <c r="J779" s="24" t="s">
        <v>69</v>
      </c>
      <c r="K779" s="24" t="s">
        <v>57</v>
      </c>
    </row>
    <row r="780" spans="3:12" ht="14" x14ac:dyDescent="0.3">
      <c r="C780" s="88"/>
      <c r="D780" s="89"/>
      <c r="E780" s="89"/>
      <c r="F780" s="56"/>
      <c r="G780" s="54"/>
      <c r="H780" s="54"/>
      <c r="I780" s="54"/>
      <c r="J780" s="132"/>
      <c r="K780" s="54"/>
    </row>
    <row r="781" spans="3:12" ht="14" x14ac:dyDescent="0.3">
      <c r="C781" s="88">
        <v>45573</v>
      </c>
      <c r="D781" s="89" t="s">
        <v>1217</v>
      </c>
      <c r="E781" s="89" t="s">
        <v>467</v>
      </c>
      <c r="F781" s="56" t="s">
        <v>1213</v>
      </c>
      <c r="G781" s="54">
        <f>8*668</f>
        <v>5344</v>
      </c>
      <c r="H781" s="349">
        <v>2.5499999999999998</v>
      </c>
      <c r="I781" s="349">
        <f>G781*H781</f>
        <v>13627.199999999999</v>
      </c>
      <c r="J781" s="132"/>
      <c r="K781" s="54">
        <f t="shared" ref="K781:K788" si="103">K780+I781-J781</f>
        <v>13627.199999999999</v>
      </c>
      <c r="L781" s="1">
        <v>13627.2</v>
      </c>
    </row>
    <row r="782" spans="3:12" ht="14" x14ac:dyDescent="0.3">
      <c r="C782" s="88">
        <v>45573</v>
      </c>
      <c r="D782" s="89" t="s">
        <v>1217</v>
      </c>
      <c r="E782" s="89" t="s">
        <v>467</v>
      </c>
      <c r="F782" s="56" t="s">
        <v>1214</v>
      </c>
      <c r="G782" s="54">
        <f>7*668</f>
        <v>4676</v>
      </c>
      <c r="H782" s="349">
        <v>2.5499999999999998</v>
      </c>
      <c r="I782" s="349">
        <f t="shared" ref="I782:I783" si="104">G782*H782</f>
        <v>11923.8</v>
      </c>
      <c r="J782" s="132"/>
      <c r="K782" s="54">
        <f t="shared" si="103"/>
        <v>25551</v>
      </c>
      <c r="L782" s="1">
        <v>11923.8</v>
      </c>
    </row>
    <row r="783" spans="3:12" ht="14" x14ac:dyDescent="0.3">
      <c r="C783" s="88">
        <v>45573</v>
      </c>
      <c r="D783" s="89" t="s">
        <v>1218</v>
      </c>
      <c r="E783" s="89" t="s">
        <v>467</v>
      </c>
      <c r="F783" s="56" t="s">
        <v>1215</v>
      </c>
      <c r="G783" s="349">
        <f>18*312</f>
        <v>5616</v>
      </c>
      <c r="H783" s="349">
        <v>2.5499999999999998</v>
      </c>
      <c r="I783" s="349">
        <f t="shared" si="104"/>
        <v>14320.8</v>
      </c>
      <c r="J783" s="132"/>
      <c r="K783" s="54">
        <f t="shared" si="103"/>
        <v>39871.800000000003</v>
      </c>
      <c r="L783" s="1">
        <v>14320.8</v>
      </c>
    </row>
    <row r="784" spans="3:12" ht="14" x14ac:dyDescent="0.3">
      <c r="C784" s="88">
        <v>45573</v>
      </c>
      <c r="D784" s="89" t="s">
        <v>1219</v>
      </c>
      <c r="E784" s="89" t="s">
        <v>467</v>
      </c>
      <c r="F784" s="56" t="s">
        <v>1216</v>
      </c>
      <c r="G784" s="349">
        <f>16*76</f>
        <v>1216</v>
      </c>
      <c r="H784" s="349">
        <v>2.5499999999999998</v>
      </c>
      <c r="I784" s="349">
        <f t="shared" ref="I784" si="105">G784*H784</f>
        <v>3100.7999999999997</v>
      </c>
      <c r="J784" s="132"/>
      <c r="K784" s="54">
        <f t="shared" si="103"/>
        <v>42972.600000000006</v>
      </c>
      <c r="L784" s="1">
        <v>3100.8</v>
      </c>
    </row>
    <row r="785" spans="3:12" ht="14" x14ac:dyDescent="0.3">
      <c r="C785" s="88"/>
      <c r="D785" s="89"/>
      <c r="E785" s="89"/>
      <c r="F785" s="56"/>
      <c r="G785" s="349"/>
      <c r="H785" s="349"/>
      <c r="I785" s="349"/>
      <c r="J785" s="132"/>
      <c r="K785" s="54">
        <f t="shared" si="103"/>
        <v>42972.600000000006</v>
      </c>
    </row>
    <row r="786" spans="3:12" ht="14" x14ac:dyDescent="0.3">
      <c r="C786" s="88"/>
      <c r="D786" s="89"/>
      <c r="E786" s="89"/>
      <c r="F786" s="56" t="s">
        <v>1358</v>
      </c>
      <c r="G786" s="349">
        <f>-16852/11</f>
        <v>-1532</v>
      </c>
      <c r="H786" s="349">
        <v>2.5499999999999998</v>
      </c>
      <c r="I786" s="349">
        <f t="shared" ref="I786" si="106">G786*H786</f>
        <v>-3906.6</v>
      </c>
      <c r="J786" s="132"/>
      <c r="K786" s="54">
        <f t="shared" si="103"/>
        <v>39066.000000000007</v>
      </c>
    </row>
    <row r="787" spans="3:12" ht="14" x14ac:dyDescent="0.3">
      <c r="C787" s="88"/>
      <c r="D787" s="89"/>
      <c r="E787" s="89"/>
      <c r="F787" s="56"/>
      <c r="G787" s="54"/>
      <c r="H787" s="54"/>
      <c r="I787" s="54"/>
      <c r="J787" s="132"/>
      <c r="K787" s="54">
        <f t="shared" si="103"/>
        <v>39066.000000000007</v>
      </c>
    </row>
    <row r="788" spans="3:12" ht="15" x14ac:dyDescent="0.3">
      <c r="C788" s="88"/>
      <c r="D788" s="89"/>
      <c r="E788" s="89"/>
      <c r="F788" s="109" t="s">
        <v>1227</v>
      </c>
      <c r="G788" s="54"/>
      <c r="H788" s="54"/>
      <c r="I788" s="54"/>
      <c r="J788" s="132"/>
      <c r="K788" s="54">
        <f t="shared" si="103"/>
        <v>39066.000000000007</v>
      </c>
    </row>
    <row r="790" spans="3:12" ht="15" x14ac:dyDescent="0.3">
      <c r="C790" s="24" t="s">
        <v>0</v>
      </c>
      <c r="D790" s="24" t="s">
        <v>49</v>
      </c>
      <c r="E790" s="24" t="s">
        <v>53</v>
      </c>
      <c r="F790" s="19" t="s">
        <v>5</v>
      </c>
      <c r="G790" s="20" t="s">
        <v>6</v>
      </c>
      <c r="H790" s="20" t="s">
        <v>7</v>
      </c>
      <c r="I790" s="24" t="s">
        <v>13</v>
      </c>
      <c r="J790" s="24" t="s">
        <v>69</v>
      </c>
      <c r="K790" s="24" t="s">
        <v>57</v>
      </c>
    </row>
    <row r="791" spans="3:12" ht="14" x14ac:dyDescent="0.3">
      <c r="C791" s="88"/>
      <c r="D791" s="89"/>
      <c r="E791" s="89"/>
      <c r="F791" s="56"/>
      <c r="G791" s="54"/>
      <c r="H791" s="54"/>
      <c r="I791" s="54"/>
      <c r="J791" s="132"/>
      <c r="K791" s="54"/>
    </row>
    <row r="792" spans="3:12" ht="14" x14ac:dyDescent="0.3">
      <c r="C792" s="88">
        <v>45575</v>
      </c>
      <c r="D792" s="89" t="s">
        <v>792</v>
      </c>
      <c r="E792" s="89"/>
      <c r="F792" s="56" t="s">
        <v>1228</v>
      </c>
      <c r="G792" s="54">
        <f>299.17*23</f>
        <v>6880.9100000000008</v>
      </c>
      <c r="H792" s="349">
        <v>2.5499999999999998</v>
      </c>
      <c r="I792" s="349">
        <f>G792*H792</f>
        <v>17546.320500000002</v>
      </c>
      <c r="J792" s="132"/>
      <c r="K792" s="54">
        <f t="shared" ref="K792:K799" si="107">K791+I792-J792</f>
        <v>17546.320500000002</v>
      </c>
      <c r="L792" s="1">
        <v>17546.32</v>
      </c>
    </row>
    <row r="793" spans="3:12" ht="14" x14ac:dyDescent="0.3">
      <c r="C793" s="88">
        <v>45575</v>
      </c>
      <c r="D793" s="89" t="s">
        <v>792</v>
      </c>
      <c r="E793" s="89"/>
      <c r="F793" s="56" t="s">
        <v>1229</v>
      </c>
      <c r="G793" s="54">
        <v>299</v>
      </c>
      <c r="H793" s="349">
        <v>2.5499999999999998</v>
      </c>
      <c r="I793" s="349">
        <f t="shared" ref="I793:I795" si="108">G793*H793</f>
        <v>762.44999999999993</v>
      </c>
      <c r="J793" s="132"/>
      <c r="K793" s="54">
        <f t="shared" si="107"/>
        <v>18308.770500000002</v>
      </c>
      <c r="L793" s="1">
        <v>762.45</v>
      </c>
    </row>
    <row r="794" spans="3:12" ht="14" x14ac:dyDescent="0.3">
      <c r="C794" s="88">
        <v>45575</v>
      </c>
      <c r="D794" s="89" t="s">
        <v>808</v>
      </c>
      <c r="E794" s="89"/>
      <c r="F794" s="56" t="s">
        <v>1230</v>
      </c>
      <c r="G794" s="349">
        <v>759</v>
      </c>
      <c r="H794" s="349">
        <v>2.5499999999999998</v>
      </c>
      <c r="I794" s="349">
        <f t="shared" si="108"/>
        <v>1935.4499999999998</v>
      </c>
      <c r="J794" s="132"/>
      <c r="K794" s="54">
        <f t="shared" si="107"/>
        <v>20244.220500000003</v>
      </c>
      <c r="L794" s="1">
        <v>1935.45</v>
      </c>
    </row>
    <row r="795" spans="3:12" ht="14" x14ac:dyDescent="0.3">
      <c r="C795" s="88">
        <v>45575</v>
      </c>
      <c r="D795" s="89" t="s">
        <v>1231</v>
      </c>
      <c r="E795" s="89"/>
      <c r="F795" s="56" t="s">
        <v>1232</v>
      </c>
      <c r="G795" s="349">
        <v>99</v>
      </c>
      <c r="H795" s="349">
        <v>2.5499999999999998</v>
      </c>
      <c r="I795" s="349">
        <f t="shared" si="108"/>
        <v>252.45</v>
      </c>
      <c r="J795" s="132"/>
      <c r="K795" s="54">
        <f t="shared" si="107"/>
        <v>20496.670500000004</v>
      </c>
      <c r="L795" s="1">
        <v>252.45</v>
      </c>
    </row>
    <row r="796" spans="3:12" ht="14" x14ac:dyDescent="0.3">
      <c r="C796" s="88"/>
      <c r="D796" s="89"/>
      <c r="E796" s="89"/>
      <c r="F796" s="56"/>
      <c r="G796" s="349"/>
      <c r="H796" s="349"/>
      <c r="I796" s="349"/>
      <c r="J796" s="132"/>
      <c r="K796" s="54">
        <f t="shared" si="107"/>
        <v>20496.670500000004</v>
      </c>
    </row>
    <row r="797" spans="3:12" ht="14" x14ac:dyDescent="0.3">
      <c r="C797" s="88"/>
      <c r="D797" s="89"/>
      <c r="E797" s="89"/>
      <c r="F797" s="56" t="s">
        <v>1359</v>
      </c>
      <c r="G797" s="349">
        <f>-8037.91/11</f>
        <v>-730.71909090909094</v>
      </c>
      <c r="H797" s="349">
        <v>2.5499999999999998</v>
      </c>
      <c r="I797" s="349">
        <f t="shared" ref="I797" si="109">G797*H797</f>
        <v>-1863.3336818181817</v>
      </c>
      <c r="J797" s="132"/>
      <c r="K797" s="54">
        <f t="shared" si="107"/>
        <v>18633.336818181822</v>
      </c>
    </row>
    <row r="798" spans="3:12" ht="14" x14ac:dyDescent="0.3">
      <c r="C798" s="88"/>
      <c r="D798" s="89"/>
      <c r="E798" s="89"/>
      <c r="F798" s="56"/>
      <c r="G798" s="54"/>
      <c r="H798" s="54"/>
      <c r="I798" s="54"/>
      <c r="J798" s="132"/>
      <c r="K798" s="54">
        <f t="shared" si="107"/>
        <v>18633.336818181822</v>
      </c>
    </row>
    <row r="799" spans="3:12" ht="15" x14ac:dyDescent="0.3">
      <c r="C799" s="88"/>
      <c r="D799" s="89"/>
      <c r="E799" s="89"/>
      <c r="F799" s="109" t="s">
        <v>1226</v>
      </c>
      <c r="G799" s="54"/>
      <c r="H799" s="54"/>
      <c r="I799" s="54"/>
      <c r="J799" s="132"/>
      <c r="K799" s="54">
        <f t="shared" si="107"/>
        <v>18633.336818181822</v>
      </c>
    </row>
    <row r="802" spans="3:12" ht="15" x14ac:dyDescent="0.3">
      <c r="C802" s="24" t="s">
        <v>0</v>
      </c>
      <c r="D802" s="24" t="s">
        <v>49</v>
      </c>
      <c r="E802" s="24" t="s">
        <v>53</v>
      </c>
      <c r="F802" s="19" t="s">
        <v>5</v>
      </c>
      <c r="G802" s="20" t="s">
        <v>6</v>
      </c>
      <c r="H802" s="20" t="s">
        <v>7</v>
      </c>
      <c r="I802" s="24" t="s">
        <v>13</v>
      </c>
      <c r="J802" s="24" t="s">
        <v>69</v>
      </c>
      <c r="K802" s="24" t="s">
        <v>57</v>
      </c>
    </row>
    <row r="803" spans="3:12" ht="14" x14ac:dyDescent="0.3">
      <c r="C803" s="88"/>
      <c r="D803" s="89"/>
      <c r="E803" s="89"/>
      <c r="F803" s="56"/>
      <c r="G803" s="54"/>
      <c r="H803" s="54"/>
      <c r="I803" s="54"/>
      <c r="J803" s="132"/>
      <c r="K803" s="54"/>
    </row>
    <row r="804" spans="3:12" ht="14" x14ac:dyDescent="0.3">
      <c r="C804" s="88">
        <v>45575</v>
      </c>
      <c r="D804" s="89" t="s">
        <v>791</v>
      </c>
      <c r="E804" s="89"/>
      <c r="F804" s="56" t="s">
        <v>1234</v>
      </c>
      <c r="G804" s="54">
        <f>2149*14</f>
        <v>30086</v>
      </c>
      <c r="H804" s="349">
        <v>2.5499999999999998</v>
      </c>
      <c r="I804" s="349">
        <f>G804*H804</f>
        <v>76719.299999999988</v>
      </c>
      <c r="J804" s="132"/>
      <c r="K804" s="54">
        <f t="shared" ref="K804:K808" si="110">K803+I804-J804</f>
        <v>76719.299999999988</v>
      </c>
    </row>
    <row r="805" spans="3:12" ht="14" x14ac:dyDescent="0.3">
      <c r="C805" s="88">
        <v>45575</v>
      </c>
      <c r="D805" s="89" t="s">
        <v>791</v>
      </c>
      <c r="E805" s="89"/>
      <c r="F805" s="56" t="s">
        <v>1233</v>
      </c>
      <c r="G805" s="54">
        <f>2149*4</f>
        <v>8596</v>
      </c>
      <c r="H805" s="349">
        <v>2.5499999999999998</v>
      </c>
      <c r="I805" s="349">
        <f t="shared" ref="I805:I806" si="111">G805*H805</f>
        <v>21919.8</v>
      </c>
      <c r="J805" s="132"/>
      <c r="K805" s="54">
        <f t="shared" si="110"/>
        <v>98639.099999999991</v>
      </c>
      <c r="L805" s="1">
        <v>21919.8</v>
      </c>
    </row>
    <row r="806" spans="3:12" ht="14" x14ac:dyDescent="0.3">
      <c r="C806" s="88">
        <v>45575</v>
      </c>
      <c r="D806" s="89" t="s">
        <v>791</v>
      </c>
      <c r="E806" s="89"/>
      <c r="F806" s="56" t="s">
        <v>1319</v>
      </c>
      <c r="G806" s="349">
        <f>2849*2</f>
        <v>5698</v>
      </c>
      <c r="H806" s="349">
        <v>2.5499999999999998</v>
      </c>
      <c r="I806" s="349">
        <f t="shared" si="111"/>
        <v>14529.9</v>
      </c>
      <c r="J806" s="132"/>
      <c r="K806" s="54">
        <f t="shared" si="110"/>
        <v>113168.99999999999</v>
      </c>
    </row>
    <row r="807" spans="3:12" ht="14" x14ac:dyDescent="0.3">
      <c r="C807" s="88"/>
      <c r="D807" s="89"/>
      <c r="E807" s="89"/>
      <c r="F807" s="56" t="s">
        <v>1369</v>
      </c>
      <c r="G807" s="54">
        <f>-44380/11</f>
        <v>-4034.5454545454545</v>
      </c>
      <c r="H807" s="349">
        <v>2.5499999999999998</v>
      </c>
      <c r="I807" s="349">
        <f t="shared" ref="I807" si="112">G807*H807</f>
        <v>-10288.090909090908</v>
      </c>
      <c r="J807" s="132"/>
      <c r="K807" s="54">
        <f t="shared" si="110"/>
        <v>102880.90909090907</v>
      </c>
    </row>
    <row r="808" spans="3:12" ht="15" x14ac:dyDescent="0.3">
      <c r="C808" s="88"/>
      <c r="D808" s="89"/>
      <c r="E808" s="89"/>
      <c r="F808" s="109" t="s">
        <v>1235</v>
      </c>
      <c r="G808" s="54"/>
      <c r="H808" s="54"/>
      <c r="I808" s="54"/>
      <c r="J808" s="132"/>
      <c r="K808" s="54">
        <f t="shared" si="110"/>
        <v>102880.90909090907</v>
      </c>
    </row>
    <row r="811" spans="3:12" ht="15" x14ac:dyDescent="0.3">
      <c r="C811" s="24" t="s">
        <v>0</v>
      </c>
      <c r="D811" s="24" t="s">
        <v>49</v>
      </c>
      <c r="E811" s="24" t="s">
        <v>53</v>
      </c>
      <c r="F811" s="19" t="s">
        <v>5</v>
      </c>
      <c r="G811" s="20" t="s">
        <v>6</v>
      </c>
      <c r="H811" s="20" t="s">
        <v>7</v>
      </c>
      <c r="I811" s="24" t="s">
        <v>13</v>
      </c>
      <c r="J811" s="24" t="s">
        <v>69</v>
      </c>
      <c r="K811" s="24" t="s">
        <v>57</v>
      </c>
    </row>
    <row r="812" spans="3:12" ht="14" x14ac:dyDescent="0.3">
      <c r="C812" s="88"/>
      <c r="D812" s="89"/>
      <c r="E812" s="89"/>
      <c r="F812" s="56"/>
      <c r="G812" s="54"/>
      <c r="H812" s="54"/>
      <c r="I812" s="54"/>
      <c r="J812" s="132"/>
      <c r="K812" s="54"/>
    </row>
    <row r="813" spans="3:12" ht="14" x14ac:dyDescent="0.3">
      <c r="C813" s="88">
        <v>45576</v>
      </c>
      <c r="D813" s="89" t="s">
        <v>808</v>
      </c>
      <c r="E813" s="89"/>
      <c r="F813" s="56" t="s">
        <v>1236</v>
      </c>
      <c r="G813" s="54">
        <f>755*7</f>
        <v>5285</v>
      </c>
      <c r="H813" s="349">
        <v>2.5499999999999998</v>
      </c>
      <c r="I813" s="349">
        <f>G813*H813</f>
        <v>13476.749999999998</v>
      </c>
      <c r="J813" s="132"/>
      <c r="K813" s="54">
        <f t="shared" ref="K813:K817" si="113">K812+I813-J813</f>
        <v>13476.749999999998</v>
      </c>
      <c r="L813" s="1">
        <v>5285</v>
      </c>
    </row>
    <row r="814" spans="3:12" ht="14" x14ac:dyDescent="0.3">
      <c r="C814" s="88">
        <v>45577</v>
      </c>
      <c r="D814" s="89" t="s">
        <v>808</v>
      </c>
      <c r="E814" s="89"/>
      <c r="F814" s="56" t="s">
        <v>1243</v>
      </c>
      <c r="G814" s="54">
        <f>750*50</f>
        <v>37500</v>
      </c>
      <c r="H814" s="349">
        <v>2.5499999999999998</v>
      </c>
      <c r="I814" s="349">
        <f>G814*H814</f>
        <v>95625</v>
      </c>
      <c r="J814" s="132"/>
      <c r="K814" s="54">
        <f t="shared" si="113"/>
        <v>109101.75</v>
      </c>
      <c r="L814" s="1">
        <v>37500</v>
      </c>
    </row>
    <row r="815" spans="3:12" ht="14" x14ac:dyDescent="0.3">
      <c r="C815" s="88">
        <v>45579</v>
      </c>
      <c r="D815" s="89" t="s">
        <v>808</v>
      </c>
      <c r="E815" s="89"/>
      <c r="F815" s="56" t="s">
        <v>1268</v>
      </c>
      <c r="G815" s="349">
        <f>768*10</f>
        <v>7680</v>
      </c>
      <c r="H815" s="349">
        <v>2.5499999999999998</v>
      </c>
      <c r="I815" s="349">
        <f>G815*H815</f>
        <v>19584</v>
      </c>
      <c r="J815" s="132"/>
      <c r="K815" s="54">
        <f t="shared" si="113"/>
        <v>128685.75</v>
      </c>
      <c r="L815" s="1">
        <v>7680</v>
      </c>
    </row>
    <row r="816" spans="3:12" ht="14" x14ac:dyDescent="0.3">
      <c r="C816" s="88"/>
      <c r="D816" s="89"/>
      <c r="E816" s="89"/>
      <c r="F816" s="56" t="s">
        <v>1360</v>
      </c>
      <c r="G816" s="54">
        <f>-50465/11</f>
        <v>-4587.727272727273</v>
      </c>
      <c r="H816" s="349">
        <v>2.5499999999999998</v>
      </c>
      <c r="I816" s="349">
        <f>G816*H816</f>
        <v>-11698.704545454546</v>
      </c>
      <c r="J816" s="132"/>
      <c r="K816" s="54">
        <f t="shared" si="113"/>
        <v>116987.04545454546</v>
      </c>
    </row>
    <row r="817" spans="3:13" ht="15" x14ac:dyDescent="0.3">
      <c r="C817" s="88"/>
      <c r="D817" s="89"/>
      <c r="E817" s="89"/>
      <c r="F817" s="109" t="s">
        <v>1361</v>
      </c>
      <c r="G817" s="54"/>
      <c r="H817" s="54"/>
      <c r="I817" s="54"/>
      <c r="J817" s="132"/>
      <c r="K817" s="54">
        <f t="shared" si="113"/>
        <v>116987.04545454546</v>
      </c>
    </row>
    <row r="820" spans="3:13" ht="15" x14ac:dyDescent="0.3">
      <c r="C820" s="24" t="s">
        <v>0</v>
      </c>
      <c r="D820" s="24" t="s">
        <v>49</v>
      </c>
      <c r="E820" s="24" t="s">
        <v>53</v>
      </c>
      <c r="F820" s="19" t="s">
        <v>5</v>
      </c>
      <c r="G820" s="20" t="s">
        <v>6</v>
      </c>
      <c r="H820" s="20" t="s">
        <v>7</v>
      </c>
      <c r="I820" s="24" t="s">
        <v>13</v>
      </c>
      <c r="J820" s="24" t="s">
        <v>69</v>
      </c>
      <c r="K820" s="24" t="s">
        <v>57</v>
      </c>
    </row>
    <row r="821" spans="3:13" ht="14" x14ac:dyDescent="0.3">
      <c r="C821" s="88"/>
      <c r="D821" s="89"/>
      <c r="E821" s="89"/>
      <c r="F821" s="56"/>
      <c r="G821" s="54"/>
      <c r="H821" s="54"/>
      <c r="I821" s="54"/>
      <c r="J821" s="132"/>
      <c r="K821" s="54"/>
    </row>
    <row r="822" spans="3:13" ht="14" x14ac:dyDescent="0.3">
      <c r="C822" s="88">
        <v>45580</v>
      </c>
      <c r="D822" s="89" t="s">
        <v>792</v>
      </c>
      <c r="E822" s="89"/>
      <c r="F822" s="56" t="s">
        <v>1340</v>
      </c>
      <c r="G822" s="54">
        <f>318*55</f>
        <v>17490</v>
      </c>
      <c r="H822" s="349">
        <v>2.5499999999999998</v>
      </c>
      <c r="I822" s="349">
        <f>G822*H822</f>
        <v>44599.5</v>
      </c>
      <c r="J822" s="132"/>
      <c r="K822" s="54">
        <f t="shared" ref="K822:K826" si="114">K821+I822-J822</f>
        <v>44599.5</v>
      </c>
      <c r="L822" s="1">
        <v>44599.5</v>
      </c>
    </row>
    <row r="823" spans="3:13" ht="14" x14ac:dyDescent="0.3">
      <c r="C823" s="88">
        <v>45580</v>
      </c>
      <c r="D823" s="89" t="s">
        <v>808</v>
      </c>
      <c r="E823" s="89"/>
      <c r="F823" s="56" t="s">
        <v>1341</v>
      </c>
      <c r="G823" s="54">
        <f>799*10</f>
        <v>7990</v>
      </c>
      <c r="H823" s="349">
        <v>2.5499999999999998</v>
      </c>
      <c r="I823" s="349">
        <f>G823*H823</f>
        <v>20374.5</v>
      </c>
      <c r="J823" s="132"/>
      <c r="K823" s="54">
        <f t="shared" si="114"/>
        <v>64974</v>
      </c>
      <c r="L823" s="1">
        <v>20374.5</v>
      </c>
    </row>
    <row r="824" spans="3:13" ht="14" x14ac:dyDescent="0.3">
      <c r="C824" s="88"/>
      <c r="D824" s="89"/>
      <c r="E824" s="89"/>
      <c r="F824" s="56" t="s">
        <v>1363</v>
      </c>
      <c r="G824" s="349">
        <f>-25480/11</f>
        <v>-2316.3636363636365</v>
      </c>
      <c r="H824" s="349">
        <v>2.5499999999999998</v>
      </c>
      <c r="I824" s="349">
        <f>G824*H824</f>
        <v>-5906.727272727273</v>
      </c>
      <c r="J824" s="132"/>
      <c r="K824" s="54">
        <f t="shared" si="114"/>
        <v>59067.272727272728</v>
      </c>
    </row>
    <row r="825" spans="3:13" ht="14" x14ac:dyDescent="0.3">
      <c r="C825" s="88"/>
      <c r="D825" s="89"/>
      <c r="E825" s="89"/>
      <c r="F825" s="56"/>
      <c r="G825" s="54"/>
      <c r="H825" s="54"/>
      <c r="I825" s="54"/>
      <c r="J825" s="132"/>
      <c r="K825" s="54">
        <f t="shared" si="114"/>
        <v>59067.272727272728</v>
      </c>
    </row>
    <row r="826" spans="3:13" ht="15" x14ac:dyDescent="0.3">
      <c r="C826" s="88"/>
      <c r="D826" s="89"/>
      <c r="E826" s="89"/>
      <c r="F826" s="109" t="s">
        <v>1362</v>
      </c>
      <c r="G826" s="54"/>
      <c r="H826" s="54"/>
      <c r="I826" s="54"/>
      <c r="J826" s="132"/>
      <c r="K826" s="54">
        <f t="shared" si="114"/>
        <v>59067.272727272728</v>
      </c>
    </row>
    <row r="828" spans="3:13" s="318" customFormat="1" x14ac:dyDescent="0.3">
      <c r="C828" s="453"/>
      <c r="D828" s="453"/>
      <c r="E828" s="453"/>
      <c r="G828" s="453"/>
      <c r="H828" s="453"/>
      <c r="I828" s="453"/>
      <c r="J828" s="454"/>
      <c r="K828" s="453"/>
      <c r="M828" s="454"/>
    </row>
    <row r="829" spans="3:13" ht="15" x14ac:dyDescent="0.3">
      <c r="C829" s="24" t="s">
        <v>0</v>
      </c>
      <c r="D829" s="24" t="s">
        <v>49</v>
      </c>
      <c r="E829" s="24" t="s">
        <v>53</v>
      </c>
      <c r="F829" s="19" t="s">
        <v>5</v>
      </c>
      <c r="G829" s="20" t="s">
        <v>6</v>
      </c>
      <c r="H829" s="20" t="s">
        <v>7</v>
      </c>
      <c r="I829" s="24" t="s">
        <v>13</v>
      </c>
      <c r="J829" s="24" t="s">
        <v>69</v>
      </c>
      <c r="K829" s="24" t="s">
        <v>57</v>
      </c>
    </row>
    <row r="830" spans="3:13" ht="14" x14ac:dyDescent="0.3">
      <c r="C830" s="88"/>
      <c r="D830" s="89"/>
      <c r="E830" s="89"/>
      <c r="F830" s="56"/>
      <c r="G830" s="54"/>
      <c r="H830" s="54"/>
      <c r="I830" s="54"/>
      <c r="J830" s="132"/>
      <c r="K830" s="54"/>
    </row>
    <row r="831" spans="3:13" ht="14" x14ac:dyDescent="0.3">
      <c r="C831" s="88">
        <v>45584</v>
      </c>
      <c r="D831" s="89" t="s">
        <v>808</v>
      </c>
      <c r="E831" s="89" t="s">
        <v>467</v>
      </c>
      <c r="F831" s="56" t="s">
        <v>1392</v>
      </c>
      <c r="G831" s="54">
        <f>745*20</f>
        <v>14900</v>
      </c>
      <c r="H831" s="349">
        <v>2.5299999999999998</v>
      </c>
      <c r="I831" s="54">
        <f>G831*H831</f>
        <v>37697</v>
      </c>
      <c r="J831" s="132"/>
      <c r="K831" s="54">
        <f t="shared" ref="K831:K836" si="115">K830+I831-J831</f>
        <v>37697</v>
      </c>
    </row>
    <row r="832" spans="3:13" ht="14" x14ac:dyDescent="0.3">
      <c r="C832" s="88"/>
      <c r="D832" s="89"/>
      <c r="E832" s="89"/>
      <c r="F832" s="56" t="s">
        <v>1393</v>
      </c>
      <c r="G832" s="54"/>
      <c r="H832" s="349"/>
      <c r="I832" s="349"/>
      <c r="J832" s="132"/>
      <c r="K832" s="54">
        <f t="shared" si="115"/>
        <v>37697</v>
      </c>
    </row>
    <row r="833" spans="3:11" ht="14" x14ac:dyDescent="0.3">
      <c r="C833" s="88"/>
      <c r="D833" s="89"/>
      <c r="E833" s="89"/>
      <c r="F833" s="56" t="s">
        <v>1394</v>
      </c>
      <c r="G833" s="349"/>
      <c r="H833" s="349"/>
      <c r="I833" s="349"/>
      <c r="J833" s="132"/>
      <c r="K833" s="54">
        <f t="shared" si="115"/>
        <v>37697</v>
      </c>
    </row>
    <row r="834" spans="3:11" ht="14" x14ac:dyDescent="0.3">
      <c r="C834" s="88"/>
      <c r="D834" s="89"/>
      <c r="E834" s="89"/>
      <c r="F834" s="56"/>
      <c r="G834" s="349"/>
      <c r="H834" s="349"/>
      <c r="I834" s="349"/>
      <c r="J834" s="132"/>
      <c r="K834" s="54">
        <f t="shared" si="115"/>
        <v>37697</v>
      </c>
    </row>
    <row r="835" spans="3:11" ht="14" x14ac:dyDescent="0.3">
      <c r="C835" s="88"/>
      <c r="D835" s="89"/>
      <c r="E835" s="89"/>
      <c r="F835" s="56"/>
      <c r="G835" s="54"/>
      <c r="H835" s="54"/>
      <c r="I835" s="54"/>
      <c r="J835" s="132"/>
      <c r="K835" s="54">
        <f t="shared" si="115"/>
        <v>37697</v>
      </c>
    </row>
    <row r="836" spans="3:11" ht="15" x14ac:dyDescent="0.3">
      <c r="C836" s="88"/>
      <c r="D836" s="89"/>
      <c r="E836" s="89"/>
      <c r="F836" s="109" t="s">
        <v>1395</v>
      </c>
      <c r="G836" s="54"/>
      <c r="H836" s="54"/>
      <c r="I836" s="54"/>
      <c r="J836" s="132"/>
      <c r="K836" s="54">
        <f t="shared" si="115"/>
        <v>37697</v>
      </c>
    </row>
    <row r="839" spans="3:11" ht="15" x14ac:dyDescent="0.3">
      <c r="C839" s="24" t="s">
        <v>0</v>
      </c>
      <c r="D839" s="24" t="s">
        <v>49</v>
      </c>
      <c r="E839" s="24" t="s">
        <v>53</v>
      </c>
      <c r="F839" s="19" t="s">
        <v>5</v>
      </c>
      <c r="G839" s="20" t="s">
        <v>6</v>
      </c>
      <c r="H839" s="20" t="s">
        <v>7</v>
      </c>
      <c r="I839" s="24" t="s">
        <v>13</v>
      </c>
      <c r="J839" s="24" t="s">
        <v>69</v>
      </c>
      <c r="K839" s="24" t="s">
        <v>57</v>
      </c>
    </row>
    <row r="840" spans="3:11" ht="14" x14ac:dyDescent="0.3">
      <c r="C840" s="88"/>
      <c r="D840" s="89"/>
      <c r="E840" s="89"/>
      <c r="F840" s="56"/>
      <c r="G840" s="54"/>
      <c r="H840" s="54"/>
      <c r="I840" s="54"/>
      <c r="J840" s="132"/>
      <c r="K840" s="54"/>
    </row>
    <row r="841" spans="3:11" ht="14" x14ac:dyDescent="0.3">
      <c r="C841" s="88">
        <v>45588</v>
      </c>
      <c r="D841" s="89" t="s">
        <v>808</v>
      </c>
      <c r="E841" s="89" t="s">
        <v>467</v>
      </c>
      <c r="F841" s="56" t="s">
        <v>1401</v>
      </c>
      <c r="G841" s="54">
        <f>745*8</f>
        <v>5960</v>
      </c>
      <c r="H841" s="349">
        <v>2.5299999999999998</v>
      </c>
      <c r="I841" s="54">
        <f>G841*H841</f>
        <v>15078.8</v>
      </c>
      <c r="J841" s="132"/>
      <c r="K841" s="54">
        <f t="shared" ref="K841:K846" si="116">K840+I841-J841</f>
        <v>15078.8</v>
      </c>
    </row>
    <row r="842" spans="3:11" ht="14" x14ac:dyDescent="0.3">
      <c r="C842" s="88"/>
      <c r="D842" s="89"/>
      <c r="E842" s="89"/>
      <c r="F842" s="56"/>
      <c r="G842" s="54"/>
      <c r="H842" s="349"/>
      <c r="I842" s="349"/>
      <c r="J842" s="132"/>
      <c r="K842" s="54">
        <f t="shared" si="116"/>
        <v>15078.8</v>
      </c>
    </row>
    <row r="843" spans="3:11" ht="14" x14ac:dyDescent="0.3">
      <c r="C843" s="88"/>
      <c r="D843" s="89"/>
      <c r="E843" s="89"/>
      <c r="F843" s="56"/>
      <c r="G843" s="349"/>
      <c r="H843" s="349"/>
      <c r="I843" s="349"/>
      <c r="J843" s="132"/>
      <c r="K843" s="54">
        <f t="shared" si="116"/>
        <v>15078.8</v>
      </c>
    </row>
    <row r="844" spans="3:11" ht="14" x14ac:dyDescent="0.3">
      <c r="C844" s="88"/>
      <c r="D844" s="89"/>
      <c r="E844" s="89"/>
      <c r="F844" s="56"/>
      <c r="G844" s="349"/>
      <c r="H844" s="349"/>
      <c r="I844" s="349"/>
      <c r="J844" s="132"/>
      <c r="K844" s="54">
        <f t="shared" si="116"/>
        <v>15078.8</v>
      </c>
    </row>
    <row r="845" spans="3:11" ht="14" x14ac:dyDescent="0.3">
      <c r="C845" s="88"/>
      <c r="D845" s="89"/>
      <c r="E845" s="89"/>
      <c r="F845" s="56"/>
      <c r="G845" s="54"/>
      <c r="H845" s="54"/>
      <c r="I845" s="54"/>
      <c r="J845" s="132"/>
      <c r="K845" s="54">
        <f t="shared" si="116"/>
        <v>15078.8</v>
      </c>
    </row>
    <row r="846" spans="3:11" ht="15" x14ac:dyDescent="0.3">
      <c r="C846" s="88"/>
      <c r="D846" s="89"/>
      <c r="E846" s="89"/>
      <c r="F846" s="109" t="s">
        <v>1395</v>
      </c>
      <c r="G846" s="54"/>
      <c r="H846" s="54"/>
      <c r="I846" s="54"/>
      <c r="J846" s="132"/>
      <c r="K846" s="54">
        <f t="shared" si="116"/>
        <v>15078.8</v>
      </c>
    </row>
    <row r="849" spans="2:13" ht="15" x14ac:dyDescent="0.3">
      <c r="C849" s="24" t="s">
        <v>0</v>
      </c>
      <c r="D849" s="24" t="s">
        <v>49</v>
      </c>
      <c r="E849" s="24"/>
      <c r="F849" s="19"/>
      <c r="G849" s="20" t="s">
        <v>528</v>
      </c>
      <c r="H849" s="20" t="s">
        <v>1408</v>
      </c>
      <c r="I849" s="20" t="s">
        <v>1460</v>
      </c>
      <c r="J849" s="24" t="s">
        <v>40</v>
      </c>
      <c r="K849" s="24" t="s">
        <v>1409</v>
      </c>
      <c r="L849" s="24" t="s">
        <v>7</v>
      </c>
      <c r="M849" s="24" t="s">
        <v>13</v>
      </c>
    </row>
    <row r="850" spans="2:13" ht="14" x14ac:dyDescent="0.3">
      <c r="B850" s="181">
        <v>5228.18</v>
      </c>
      <c r="C850" s="88">
        <v>45591</v>
      </c>
      <c r="D850" s="89"/>
      <c r="E850" s="89"/>
      <c r="F850" s="56" t="s">
        <v>1461</v>
      </c>
      <c r="G850" s="54">
        <f>142*45</f>
        <v>6390</v>
      </c>
      <c r="H850" s="54">
        <f>G850*0.1</f>
        <v>639</v>
      </c>
      <c r="I850" s="54">
        <f>G850-H850</f>
        <v>5751</v>
      </c>
      <c r="J850" s="54">
        <f>I850/11</f>
        <v>522.81818181818187</v>
      </c>
      <c r="K850" s="132">
        <f t="shared" ref="K850:K861" si="117">G850-H850-J850</f>
        <v>5228.181818181818</v>
      </c>
      <c r="L850" s="54">
        <v>2.46</v>
      </c>
      <c r="M850" s="132">
        <f>K850*L850</f>
        <v>12861.327272727272</v>
      </c>
    </row>
    <row r="851" spans="2:13" ht="14" x14ac:dyDescent="0.3">
      <c r="C851" s="88">
        <v>45591</v>
      </c>
      <c r="D851" s="89"/>
      <c r="E851" s="89"/>
      <c r="F851" s="56" t="s">
        <v>1462</v>
      </c>
      <c r="G851" s="54">
        <f>68*14</f>
        <v>952</v>
      </c>
      <c r="H851" s="54">
        <f t="shared" ref="H851:H861" si="118">G851*0.1</f>
        <v>95.2</v>
      </c>
      <c r="I851" s="54">
        <f t="shared" ref="I851:I861" si="119">G851-H851</f>
        <v>856.8</v>
      </c>
      <c r="J851" s="54">
        <f t="shared" ref="J851:J861" si="120">I851/11</f>
        <v>77.890909090909091</v>
      </c>
      <c r="K851" s="132">
        <f t="shared" si="117"/>
        <v>778.90909090909088</v>
      </c>
      <c r="L851" s="54">
        <v>2.46</v>
      </c>
      <c r="M851" s="132">
        <f t="shared" ref="M851:M861" si="121">K851*L851</f>
        <v>1916.1163636363635</v>
      </c>
    </row>
    <row r="852" spans="2:13" ht="14" x14ac:dyDescent="0.3">
      <c r="C852" s="88">
        <v>45591</v>
      </c>
      <c r="D852" s="89"/>
      <c r="E852" s="89"/>
      <c r="F852" s="56" t="s">
        <v>1463</v>
      </c>
      <c r="G852" s="54">
        <f>669*10</f>
        <v>6690</v>
      </c>
      <c r="H852" s="54">
        <f t="shared" si="118"/>
        <v>669</v>
      </c>
      <c r="I852" s="54">
        <f t="shared" si="119"/>
        <v>6021</v>
      </c>
      <c r="J852" s="54">
        <f t="shared" si="120"/>
        <v>547.36363636363637</v>
      </c>
      <c r="K852" s="132">
        <f t="shared" si="117"/>
        <v>5473.636363636364</v>
      </c>
      <c r="L852" s="54">
        <v>2.46</v>
      </c>
      <c r="M852" s="132">
        <f t="shared" si="121"/>
        <v>13465.145454545454</v>
      </c>
    </row>
    <row r="853" spans="2:13" ht="14" x14ac:dyDescent="0.3">
      <c r="B853" s="447"/>
      <c r="C853" s="88">
        <v>45591</v>
      </c>
      <c r="D853" s="89"/>
      <c r="E853" s="89"/>
      <c r="F853" s="56" t="s">
        <v>1464</v>
      </c>
      <c r="G853" s="54">
        <f>1*2147</f>
        <v>2147</v>
      </c>
      <c r="H853" s="54">
        <f t="shared" si="118"/>
        <v>214.70000000000002</v>
      </c>
      <c r="I853" s="54">
        <f t="shared" si="119"/>
        <v>1932.3</v>
      </c>
      <c r="J853" s="54">
        <f t="shared" si="120"/>
        <v>175.66363636363636</v>
      </c>
      <c r="K853" s="132">
        <f t="shared" si="117"/>
        <v>1756.6363636363635</v>
      </c>
      <c r="L853" s="54">
        <v>2.46</v>
      </c>
      <c r="M853" s="132">
        <f t="shared" si="121"/>
        <v>4321.3254545454538</v>
      </c>
    </row>
    <row r="854" spans="2:13" ht="14" x14ac:dyDescent="0.3">
      <c r="C854" s="88">
        <v>45591</v>
      </c>
      <c r="D854" s="89"/>
      <c r="E854" s="89"/>
      <c r="F854" s="56" t="s">
        <v>1465</v>
      </c>
      <c r="G854" s="54">
        <f>745*30</f>
        <v>22350</v>
      </c>
      <c r="H854" s="54">
        <f t="shared" si="118"/>
        <v>2235</v>
      </c>
      <c r="I854" s="54">
        <f t="shared" si="119"/>
        <v>20115</v>
      </c>
      <c r="J854" s="54">
        <f t="shared" si="120"/>
        <v>1828.6363636363637</v>
      </c>
      <c r="K854" s="132">
        <f t="shared" si="117"/>
        <v>18286.363636363636</v>
      </c>
      <c r="L854" s="54">
        <v>2.46</v>
      </c>
      <c r="M854" s="132">
        <f t="shared" si="121"/>
        <v>44984.454545454544</v>
      </c>
    </row>
    <row r="855" spans="2:13" ht="14" x14ac:dyDescent="0.3">
      <c r="B855" s="1" t="s">
        <v>1570</v>
      </c>
      <c r="C855" s="88">
        <v>45591</v>
      </c>
      <c r="D855" s="89"/>
      <c r="E855" s="89"/>
      <c r="F855" s="56" t="s">
        <v>1466</v>
      </c>
      <c r="G855" s="54"/>
      <c r="H855" s="54">
        <f t="shared" si="118"/>
        <v>0</v>
      </c>
      <c r="I855" s="54">
        <f t="shared" si="119"/>
        <v>0</v>
      </c>
      <c r="J855" s="54">
        <f t="shared" si="120"/>
        <v>0</v>
      </c>
      <c r="K855" s="132">
        <f t="shared" si="117"/>
        <v>0</v>
      </c>
      <c r="L855" s="54">
        <v>2.46</v>
      </c>
      <c r="M855" s="132">
        <f t="shared" si="121"/>
        <v>0</v>
      </c>
    </row>
    <row r="856" spans="2:13" ht="14" x14ac:dyDescent="0.3">
      <c r="B856" s="1" t="s">
        <v>1570</v>
      </c>
      <c r="C856" s="88">
        <v>45591</v>
      </c>
      <c r="D856" s="89"/>
      <c r="E856" s="89"/>
      <c r="F856" s="56" t="s">
        <v>1467</v>
      </c>
      <c r="G856" s="54"/>
      <c r="H856" s="54">
        <f t="shared" si="118"/>
        <v>0</v>
      </c>
      <c r="I856" s="54">
        <f t="shared" si="119"/>
        <v>0</v>
      </c>
      <c r="J856" s="54">
        <f t="shared" si="120"/>
        <v>0</v>
      </c>
      <c r="K856" s="132">
        <f t="shared" si="117"/>
        <v>0</v>
      </c>
      <c r="L856" s="54">
        <v>2.46</v>
      </c>
      <c r="M856" s="132">
        <f t="shared" si="121"/>
        <v>0</v>
      </c>
    </row>
    <row r="857" spans="2:13" ht="14" x14ac:dyDescent="0.3">
      <c r="C857" s="88">
        <v>45591</v>
      </c>
      <c r="D857" s="89"/>
      <c r="E857" s="89"/>
      <c r="F857" s="56" t="s">
        <v>1468</v>
      </c>
      <c r="G857" s="54">
        <f>675*2</f>
        <v>1350</v>
      </c>
      <c r="H857" s="54">
        <f t="shared" si="118"/>
        <v>135</v>
      </c>
      <c r="I857" s="54">
        <f t="shared" si="119"/>
        <v>1215</v>
      </c>
      <c r="J857" s="54">
        <f t="shared" si="120"/>
        <v>110.45454545454545</v>
      </c>
      <c r="K857" s="132">
        <f t="shared" si="117"/>
        <v>1104.5454545454545</v>
      </c>
      <c r="L857" s="54">
        <v>2.46</v>
      </c>
      <c r="M857" s="132">
        <f t="shared" si="121"/>
        <v>2717.181818181818</v>
      </c>
    </row>
    <row r="858" spans="2:13" ht="14" x14ac:dyDescent="0.3">
      <c r="C858" s="88">
        <v>45591</v>
      </c>
      <c r="D858" s="89"/>
      <c r="E858" s="89"/>
      <c r="F858" s="56" t="s">
        <v>1416</v>
      </c>
      <c r="G858" s="54">
        <f>100*133.3</f>
        <v>13330.000000000002</v>
      </c>
      <c r="H858" s="54"/>
      <c r="I858" s="54">
        <f t="shared" si="119"/>
        <v>13330.000000000002</v>
      </c>
      <c r="J858" s="54">
        <f t="shared" si="120"/>
        <v>1211.818181818182</v>
      </c>
      <c r="K858" s="132">
        <f t="shared" si="117"/>
        <v>12118.18181818182</v>
      </c>
      <c r="L858" s="54">
        <v>2.46</v>
      </c>
      <c r="M858" s="132">
        <f t="shared" si="121"/>
        <v>29810.727272727276</v>
      </c>
    </row>
    <row r="859" spans="2:13" ht="14" x14ac:dyDescent="0.3">
      <c r="C859" s="88">
        <v>45591</v>
      </c>
      <c r="D859" s="89"/>
      <c r="E859" s="89"/>
      <c r="F859" s="56" t="s">
        <v>1417</v>
      </c>
      <c r="G859" s="54">
        <f>34*133.3</f>
        <v>4532.2000000000007</v>
      </c>
      <c r="H859" s="54"/>
      <c r="I859" s="54">
        <f t="shared" si="119"/>
        <v>4532.2000000000007</v>
      </c>
      <c r="J859" s="54">
        <f t="shared" si="120"/>
        <v>412.01818181818186</v>
      </c>
      <c r="K859" s="132">
        <f t="shared" si="117"/>
        <v>4120.1818181818189</v>
      </c>
      <c r="L859" s="54">
        <v>2.46</v>
      </c>
      <c r="M859" s="132">
        <f t="shared" si="121"/>
        <v>10135.647272727274</v>
      </c>
    </row>
    <row r="860" spans="2:13" ht="14" x14ac:dyDescent="0.3">
      <c r="B860" s="1" t="s">
        <v>1512</v>
      </c>
      <c r="C860" s="88">
        <v>45591</v>
      </c>
      <c r="D860" s="89"/>
      <c r="E860" s="89"/>
      <c r="F860" s="77" t="s">
        <v>1469</v>
      </c>
      <c r="G860" s="54">
        <v>0</v>
      </c>
      <c r="H860" s="54">
        <f t="shared" si="118"/>
        <v>0</v>
      </c>
      <c r="I860" s="54">
        <f t="shared" si="119"/>
        <v>0</v>
      </c>
      <c r="J860" s="54">
        <f t="shared" si="120"/>
        <v>0</v>
      </c>
      <c r="K860" s="132">
        <f t="shared" si="117"/>
        <v>0</v>
      </c>
      <c r="L860" s="54">
        <v>2.46</v>
      </c>
      <c r="M860" s="132">
        <f t="shared" si="121"/>
        <v>0</v>
      </c>
    </row>
    <row r="861" spans="2:13" ht="14" x14ac:dyDescent="0.3">
      <c r="C861" s="88">
        <v>45591</v>
      </c>
      <c r="D861" s="89"/>
      <c r="E861" s="89"/>
      <c r="F861" s="56" t="s">
        <v>1470</v>
      </c>
      <c r="G861" s="54">
        <f>7*95</f>
        <v>665</v>
      </c>
      <c r="H861" s="54">
        <f t="shared" si="118"/>
        <v>66.5</v>
      </c>
      <c r="I861" s="54">
        <f t="shared" si="119"/>
        <v>598.5</v>
      </c>
      <c r="J861" s="54">
        <f t="shared" si="120"/>
        <v>54.409090909090907</v>
      </c>
      <c r="K861" s="132">
        <f t="shared" si="117"/>
        <v>544.09090909090912</v>
      </c>
      <c r="L861" s="54">
        <v>2.46</v>
      </c>
      <c r="M861" s="132">
        <f t="shared" si="121"/>
        <v>1338.4636363636364</v>
      </c>
    </row>
    <row r="862" spans="2:13" ht="14" x14ac:dyDescent="0.3">
      <c r="C862" s="88"/>
      <c r="D862" s="89"/>
      <c r="E862" s="89"/>
      <c r="F862" s="448" t="s">
        <v>230</v>
      </c>
      <c r="G862" s="54"/>
      <c r="H862" s="303">
        <f>SUM(H850:H861)</f>
        <v>4054.4</v>
      </c>
      <c r="I862" s="303">
        <f>SUM(I850:I861)</f>
        <v>54351.8</v>
      </c>
      <c r="J862" s="303">
        <f>SUM(J850:J861)</f>
        <v>4941.0727272727272</v>
      </c>
      <c r="K862" s="290"/>
      <c r="L862" s="303"/>
      <c r="M862" s="290">
        <f>SUM(M850:M861)</f>
        <v>121550.3890909091</v>
      </c>
    </row>
    <row r="865" spans="2:13" ht="15" x14ac:dyDescent="0.3">
      <c r="C865" s="24" t="s">
        <v>0</v>
      </c>
      <c r="D865" s="24" t="s">
        <v>49</v>
      </c>
      <c r="E865" s="24"/>
      <c r="F865" s="19"/>
      <c r="G865" s="20" t="s">
        <v>528</v>
      </c>
      <c r="H865" s="20" t="s">
        <v>1408</v>
      </c>
      <c r="I865" s="20" t="s">
        <v>1460</v>
      </c>
      <c r="J865" s="24" t="s">
        <v>40</v>
      </c>
      <c r="K865" s="24" t="s">
        <v>1409</v>
      </c>
      <c r="L865" s="24" t="s">
        <v>7</v>
      </c>
      <c r="M865" s="24" t="s">
        <v>13</v>
      </c>
    </row>
    <row r="866" spans="2:13" ht="14" x14ac:dyDescent="0.3">
      <c r="B866" s="1" t="s">
        <v>1508</v>
      </c>
      <c r="C866" s="88">
        <v>45593</v>
      </c>
      <c r="D866" s="89"/>
      <c r="E866" s="89"/>
      <c r="F866" s="77" t="s">
        <v>1471</v>
      </c>
      <c r="G866" s="54">
        <v>0</v>
      </c>
      <c r="H866" s="54">
        <f>G866*0.1</f>
        <v>0</v>
      </c>
      <c r="I866" s="54">
        <f>G866-H866</f>
        <v>0</v>
      </c>
      <c r="J866" s="54">
        <f>(G866-H866)/11</f>
        <v>0</v>
      </c>
      <c r="K866" s="132">
        <f>G866-H866-J866</f>
        <v>0</v>
      </c>
      <c r="L866" s="54">
        <v>2.46</v>
      </c>
      <c r="M866" s="132">
        <f>K866*L866</f>
        <v>0</v>
      </c>
    </row>
    <row r="867" spans="2:13" ht="14" x14ac:dyDescent="0.3">
      <c r="B867" s="1" t="s">
        <v>1514</v>
      </c>
      <c r="C867" s="88">
        <v>45593</v>
      </c>
      <c r="D867" s="89"/>
      <c r="E867" s="89"/>
      <c r="F867" s="56" t="s">
        <v>1472</v>
      </c>
      <c r="G867" s="54">
        <f>2*2500</f>
        <v>5000</v>
      </c>
      <c r="H867" s="54">
        <f t="shared" ref="H867:H868" si="122">G867*0.1</f>
        <v>500</v>
      </c>
      <c r="I867" s="54">
        <f t="shared" ref="I867:I868" si="123">G867-H867</f>
        <v>4500</v>
      </c>
      <c r="J867" s="54">
        <f>(G867-H867)/11</f>
        <v>409.09090909090907</v>
      </c>
      <c r="K867" s="132">
        <f>G867-H867-J867</f>
        <v>4090.909090909091</v>
      </c>
      <c r="L867" s="54">
        <v>2.46</v>
      </c>
      <c r="M867" s="132">
        <f t="shared" ref="M867:M868" si="124">K867*L867</f>
        <v>10063.636363636364</v>
      </c>
    </row>
    <row r="868" spans="2:13" ht="14" x14ac:dyDescent="0.3">
      <c r="C868" s="88">
        <v>45593</v>
      </c>
      <c r="D868" s="89"/>
      <c r="E868" s="89"/>
      <c r="F868" s="56" t="s">
        <v>1473</v>
      </c>
      <c r="G868" s="54">
        <f>2*669</f>
        <v>1338</v>
      </c>
      <c r="H868" s="54">
        <f t="shared" si="122"/>
        <v>133.80000000000001</v>
      </c>
      <c r="I868" s="54">
        <f t="shared" si="123"/>
        <v>1204.2</v>
      </c>
      <c r="J868" s="54">
        <f>(G868-H868)/11</f>
        <v>109.47272727272728</v>
      </c>
      <c r="K868" s="132">
        <f>G868-H868-J868</f>
        <v>1094.7272727272727</v>
      </c>
      <c r="L868" s="54">
        <v>2.46</v>
      </c>
      <c r="M868" s="132">
        <f t="shared" si="124"/>
        <v>2693.0290909090909</v>
      </c>
    </row>
    <row r="869" spans="2:13" ht="14" x14ac:dyDescent="0.3">
      <c r="C869" s="88"/>
      <c r="D869" s="89"/>
      <c r="E869" s="89"/>
      <c r="F869" s="56"/>
      <c r="G869" s="54"/>
      <c r="H869" s="54"/>
      <c r="J869" s="54"/>
      <c r="K869" s="132"/>
      <c r="L869" s="54"/>
      <c r="M869" s="132"/>
    </row>
    <row r="870" spans="2:13" ht="14" x14ac:dyDescent="0.3">
      <c r="C870" s="88"/>
      <c r="D870" s="89"/>
      <c r="E870" s="89"/>
      <c r="F870" s="448" t="s">
        <v>230</v>
      </c>
      <c r="G870" s="54"/>
      <c r="H870" s="303">
        <f>SUM(H866:H869)</f>
        <v>633.79999999999995</v>
      </c>
      <c r="I870" s="303">
        <f>SUM(I866:I869)</f>
        <v>5704.2</v>
      </c>
      <c r="J870" s="303">
        <f>SUM(J866:J869)</f>
        <v>518.56363636363631</v>
      </c>
      <c r="K870" s="290"/>
      <c r="L870" s="303"/>
      <c r="M870" s="290">
        <f>SUM(M866:M869)</f>
        <v>12756.665454545455</v>
      </c>
    </row>
    <row r="873" spans="2:13" ht="15" x14ac:dyDescent="0.3">
      <c r="C873" s="24" t="s">
        <v>0</v>
      </c>
      <c r="D873" s="24" t="s">
        <v>49</v>
      </c>
      <c r="E873" s="24" t="s">
        <v>53</v>
      </c>
      <c r="F873" s="19" t="s">
        <v>5</v>
      </c>
      <c r="G873" s="20" t="s">
        <v>6</v>
      </c>
      <c r="H873" s="20" t="s">
        <v>7</v>
      </c>
      <c r="I873" s="24" t="s">
        <v>13</v>
      </c>
      <c r="J873" s="24" t="s">
        <v>69</v>
      </c>
      <c r="K873" s="24" t="s">
        <v>57</v>
      </c>
    </row>
    <row r="874" spans="2:13" ht="14" x14ac:dyDescent="0.3">
      <c r="C874" s="88"/>
      <c r="D874" s="89"/>
      <c r="E874" s="89"/>
      <c r="F874" s="56"/>
      <c r="G874" s="54"/>
      <c r="H874" s="54"/>
      <c r="I874" s="54"/>
      <c r="J874" s="132"/>
      <c r="K874" s="54"/>
    </row>
    <row r="875" spans="2:13" ht="14" x14ac:dyDescent="0.3">
      <c r="C875" s="88">
        <v>45601</v>
      </c>
      <c r="D875" s="89"/>
      <c r="E875" s="89" t="s">
        <v>467</v>
      </c>
      <c r="F875" s="56" t="s">
        <v>1453</v>
      </c>
      <c r="G875" s="54">
        <f>189*8</f>
        <v>1512</v>
      </c>
      <c r="H875" s="349">
        <v>2.46</v>
      </c>
      <c r="I875" s="54">
        <f>G875*H875</f>
        <v>3719.52</v>
      </c>
      <c r="J875" s="132"/>
      <c r="K875" s="54">
        <f t="shared" ref="K875:K880" si="125">K874+I875-J875</f>
        <v>3719.52</v>
      </c>
    </row>
    <row r="876" spans="2:13" ht="14" x14ac:dyDescent="0.3">
      <c r="C876" s="88">
        <v>45601</v>
      </c>
      <c r="D876" s="89"/>
      <c r="E876" s="89" t="s">
        <v>467</v>
      </c>
      <c r="F876" s="56" t="s">
        <v>1454</v>
      </c>
      <c r="G876" s="54">
        <f>230*10</f>
        <v>2300</v>
      </c>
      <c r="H876" s="349">
        <v>2.46</v>
      </c>
      <c r="I876" s="54">
        <f>G876*H876</f>
        <v>5658</v>
      </c>
      <c r="J876" s="132"/>
      <c r="K876" s="54">
        <f t="shared" si="125"/>
        <v>9377.52</v>
      </c>
    </row>
    <row r="877" spans="2:13" ht="14" x14ac:dyDescent="0.3">
      <c r="C877" s="88"/>
      <c r="D877" s="89"/>
      <c r="E877" s="89"/>
      <c r="F877" s="56"/>
      <c r="G877" s="349"/>
      <c r="H877" s="349"/>
      <c r="I877" s="349"/>
      <c r="J877" s="132"/>
      <c r="K877" s="54">
        <f t="shared" si="125"/>
        <v>9377.52</v>
      </c>
    </row>
    <row r="878" spans="2:13" ht="14" x14ac:dyDescent="0.3">
      <c r="C878" s="88"/>
      <c r="D878" s="89"/>
      <c r="E878" s="89"/>
      <c r="F878" s="56"/>
      <c r="G878" s="349"/>
      <c r="H878" s="349"/>
      <c r="I878" s="349"/>
      <c r="J878" s="132"/>
      <c r="K878" s="54">
        <f t="shared" si="125"/>
        <v>9377.52</v>
      </c>
    </row>
    <row r="879" spans="2:13" ht="14" x14ac:dyDescent="0.3">
      <c r="C879" s="88"/>
      <c r="D879" s="89"/>
      <c r="E879" s="89"/>
      <c r="F879" s="56"/>
      <c r="G879" s="54"/>
      <c r="H879" s="54"/>
      <c r="I879" s="54"/>
      <c r="J879" s="132"/>
      <c r="K879" s="54">
        <f t="shared" si="125"/>
        <v>9377.52</v>
      </c>
    </row>
    <row r="880" spans="2:13" ht="15" x14ac:dyDescent="0.3">
      <c r="C880" s="88"/>
      <c r="D880" s="89"/>
      <c r="E880" s="89"/>
      <c r="F880" s="109"/>
      <c r="G880" s="54"/>
      <c r="H880" s="54"/>
      <c r="I880" s="54"/>
      <c r="J880" s="132"/>
      <c r="K880" s="54">
        <f t="shared" si="125"/>
        <v>9377.52</v>
      </c>
    </row>
    <row r="883" spans="1:11" ht="15" x14ac:dyDescent="0.3">
      <c r="C883" s="24" t="s">
        <v>0</v>
      </c>
      <c r="D883" s="24" t="s">
        <v>49</v>
      </c>
      <c r="E883" s="24" t="s">
        <v>53</v>
      </c>
      <c r="F883" s="19" t="s">
        <v>5</v>
      </c>
      <c r="G883" s="20" t="s">
        <v>6</v>
      </c>
      <c r="H883" s="20" t="s">
        <v>7</v>
      </c>
      <c r="I883" s="24" t="s">
        <v>13</v>
      </c>
      <c r="J883" s="24" t="s">
        <v>69</v>
      </c>
      <c r="K883" s="24" t="s">
        <v>57</v>
      </c>
    </row>
    <row r="884" spans="1:11" ht="14" x14ac:dyDescent="0.3">
      <c r="C884" s="88"/>
      <c r="D884" s="89"/>
      <c r="E884" s="89"/>
      <c r="F884" s="56"/>
      <c r="G884" s="54"/>
      <c r="H884" s="54"/>
      <c r="I884" s="54"/>
      <c r="J884" s="132"/>
      <c r="K884" s="54"/>
    </row>
    <row r="885" spans="1:11" ht="14" x14ac:dyDescent="0.3">
      <c r="C885" s="88">
        <v>45605</v>
      </c>
      <c r="D885" s="89"/>
      <c r="E885" s="89" t="s">
        <v>467</v>
      </c>
      <c r="F885" s="56" t="s">
        <v>1459</v>
      </c>
      <c r="G885" s="54">
        <f>500*20</f>
        <v>10000</v>
      </c>
      <c r="H885" s="349">
        <v>2.46</v>
      </c>
      <c r="I885" s="54">
        <f>G885*H885</f>
        <v>24600</v>
      </c>
      <c r="J885" s="132"/>
      <c r="K885" s="54">
        <f t="shared" ref="K885:K889" si="126">K884+I885-J885</f>
        <v>24600</v>
      </c>
    </row>
    <row r="886" spans="1:11" ht="14" x14ac:dyDescent="0.3">
      <c r="C886" s="88"/>
      <c r="D886" s="89"/>
      <c r="E886" s="89"/>
      <c r="F886" s="56" t="s">
        <v>1475</v>
      </c>
      <c r="G886" s="349"/>
      <c r="H886" s="349"/>
      <c r="I886" s="349"/>
      <c r="J886" s="132"/>
      <c r="K886" s="54">
        <f t="shared" si="126"/>
        <v>24600</v>
      </c>
    </row>
    <row r="887" spans="1:11" ht="14" x14ac:dyDescent="0.3">
      <c r="C887" s="88"/>
      <c r="D887" s="89"/>
      <c r="E887" s="89"/>
      <c r="F887" s="56"/>
      <c r="G887" s="349"/>
      <c r="H887" s="349"/>
      <c r="I887" s="349"/>
      <c r="J887" s="132"/>
      <c r="K887" s="54">
        <f t="shared" si="126"/>
        <v>24600</v>
      </c>
    </row>
    <row r="888" spans="1:11" ht="14" x14ac:dyDescent="0.3">
      <c r="C888" s="88"/>
      <c r="D888" s="89"/>
      <c r="E888" s="89"/>
      <c r="F888" s="56"/>
      <c r="G888" s="54"/>
      <c r="H888" s="54"/>
      <c r="I888" s="54"/>
      <c r="J888" s="132"/>
      <c r="K888" s="54">
        <f t="shared" si="126"/>
        <v>24600</v>
      </c>
    </row>
    <row r="889" spans="1:11" ht="15" x14ac:dyDescent="0.3">
      <c r="C889" s="88"/>
      <c r="D889" s="89"/>
      <c r="E889" s="89"/>
      <c r="F889" s="109"/>
      <c r="G889" s="54"/>
      <c r="H889" s="54"/>
      <c r="I889" s="54"/>
      <c r="J889" s="132"/>
      <c r="K889" s="54">
        <f t="shared" si="126"/>
        <v>24600</v>
      </c>
    </row>
    <row r="891" spans="1:11" ht="15" x14ac:dyDescent="0.3">
      <c r="C891" s="24" t="s">
        <v>0</v>
      </c>
      <c r="D891" s="24" t="s">
        <v>49</v>
      </c>
      <c r="E891" s="24" t="s">
        <v>53</v>
      </c>
      <c r="F891" s="19" t="s">
        <v>5</v>
      </c>
      <c r="G891" s="20" t="s">
        <v>6</v>
      </c>
      <c r="H891" s="20" t="s">
        <v>7</v>
      </c>
      <c r="I891" s="24" t="s">
        <v>13</v>
      </c>
      <c r="J891" s="24" t="s">
        <v>69</v>
      </c>
      <c r="K891" s="24" t="s">
        <v>57</v>
      </c>
    </row>
    <row r="892" spans="1:11" ht="14" x14ac:dyDescent="0.3">
      <c r="C892" s="88"/>
      <c r="D892" s="89"/>
      <c r="E892" s="89"/>
      <c r="F892" s="56"/>
      <c r="G892" s="54"/>
      <c r="H892" s="54"/>
      <c r="I892" s="54"/>
      <c r="J892" s="132"/>
      <c r="K892" s="54"/>
    </row>
    <row r="893" spans="1:11" ht="14" x14ac:dyDescent="0.3">
      <c r="A893" s="1" t="s">
        <v>1474</v>
      </c>
      <c r="C893" s="88">
        <v>45608</v>
      </c>
      <c r="D893" s="89"/>
      <c r="E893" s="89"/>
      <c r="F893" s="56" t="s">
        <v>1476</v>
      </c>
      <c r="G893" s="54">
        <f>39*549</f>
        <v>21411</v>
      </c>
      <c r="H893" s="349">
        <v>2.46</v>
      </c>
      <c r="I893" s="54">
        <f>G893*H893</f>
        <v>52671.06</v>
      </c>
      <c r="J893" s="132"/>
      <c r="K893" s="54">
        <f t="shared" ref="K893:K897" si="127">K892+I893-J893</f>
        <v>52671.06</v>
      </c>
    </row>
    <row r="894" spans="1:11" ht="14" x14ac:dyDescent="0.3">
      <c r="C894" s="88">
        <v>45608</v>
      </c>
      <c r="D894" s="89"/>
      <c r="E894" s="89"/>
      <c r="F894" s="56" t="s">
        <v>1477</v>
      </c>
      <c r="G894" s="349">
        <v>60</v>
      </c>
      <c r="H894" s="349">
        <v>2.46</v>
      </c>
      <c r="I894" s="54">
        <f>G894*H894</f>
        <v>147.6</v>
      </c>
      <c r="J894" s="132"/>
      <c r="K894" s="54">
        <f t="shared" si="127"/>
        <v>52818.659999999996</v>
      </c>
    </row>
    <row r="895" spans="1:11" ht="14" x14ac:dyDescent="0.3">
      <c r="C895" s="88">
        <v>45609</v>
      </c>
      <c r="D895" s="89"/>
      <c r="E895" s="89"/>
      <c r="F895" s="56" t="s">
        <v>1478</v>
      </c>
      <c r="G895" s="349">
        <f>10*549</f>
        <v>5490</v>
      </c>
      <c r="H895" s="349">
        <v>2.46</v>
      </c>
      <c r="I895" s="54">
        <f>G895*H895</f>
        <v>13505.4</v>
      </c>
      <c r="J895" s="132"/>
      <c r="K895" s="54">
        <f t="shared" si="127"/>
        <v>66324.06</v>
      </c>
    </row>
    <row r="896" spans="1:11" ht="14" x14ac:dyDescent="0.3">
      <c r="C896" s="88"/>
      <c r="D896" s="89"/>
      <c r="E896" s="89"/>
      <c r="F896" s="56"/>
      <c r="G896" s="54"/>
      <c r="H896" s="54"/>
      <c r="I896" s="54"/>
      <c r="J896" s="132"/>
      <c r="K896" s="54">
        <f t="shared" si="127"/>
        <v>66324.06</v>
      </c>
    </row>
    <row r="897" spans="2:11" ht="15" x14ac:dyDescent="0.3">
      <c r="C897" s="88"/>
      <c r="D897" s="89"/>
      <c r="E897" s="89"/>
      <c r="F897" s="109"/>
      <c r="G897" s="54"/>
      <c r="H897" s="54"/>
      <c r="I897" s="54"/>
      <c r="J897" s="132"/>
      <c r="K897" s="54">
        <f t="shared" si="127"/>
        <v>66324.06</v>
      </c>
    </row>
    <row r="900" spans="2:11" ht="15" x14ac:dyDescent="0.3">
      <c r="C900" s="24" t="s">
        <v>0</v>
      </c>
      <c r="D900" s="24" t="s">
        <v>49</v>
      </c>
      <c r="E900" s="24" t="s">
        <v>53</v>
      </c>
      <c r="F900" s="19" t="s">
        <v>5</v>
      </c>
      <c r="G900" s="20" t="s">
        <v>6</v>
      </c>
      <c r="H900" s="20" t="s">
        <v>7</v>
      </c>
      <c r="I900" s="24" t="s">
        <v>13</v>
      </c>
      <c r="J900" s="24" t="s">
        <v>69</v>
      </c>
      <c r="K900" s="24" t="s">
        <v>57</v>
      </c>
    </row>
    <row r="901" spans="2:11" ht="14" x14ac:dyDescent="0.3">
      <c r="C901" s="88"/>
      <c r="D901" s="89"/>
      <c r="E901" s="89"/>
      <c r="F901" s="56"/>
      <c r="G901" s="54"/>
      <c r="H901" s="54"/>
      <c r="I901" s="54"/>
      <c r="J901" s="132"/>
      <c r="K901" s="54"/>
    </row>
    <row r="902" spans="2:11" ht="14" x14ac:dyDescent="0.3">
      <c r="C902" s="88">
        <v>45610</v>
      </c>
      <c r="D902" s="89"/>
      <c r="E902" s="89"/>
      <c r="F902" s="56" t="s">
        <v>1479</v>
      </c>
      <c r="G902" s="54">
        <f>548*120</f>
        <v>65760</v>
      </c>
      <c r="H902" s="349">
        <v>2.4300000000000002</v>
      </c>
      <c r="I902" s="54">
        <f>G902*H902</f>
        <v>159796.80000000002</v>
      </c>
      <c r="J902" s="132"/>
      <c r="K902" s="54">
        <f t="shared" ref="K902:K907" si="128">K901+I902-J902</f>
        <v>159796.80000000002</v>
      </c>
    </row>
    <row r="903" spans="2:11" ht="14" x14ac:dyDescent="0.3">
      <c r="C903" s="88">
        <v>45610</v>
      </c>
      <c r="D903" s="89"/>
      <c r="E903" s="89"/>
      <c r="F903" s="56" t="s">
        <v>1480</v>
      </c>
      <c r="G903" s="349"/>
      <c r="H903" s="349">
        <v>2.4300000000000002</v>
      </c>
      <c r="I903" s="54">
        <f>G903*H903</f>
        <v>0</v>
      </c>
      <c r="J903" s="132"/>
      <c r="K903" s="54">
        <f t="shared" si="128"/>
        <v>159796.80000000002</v>
      </c>
    </row>
    <row r="904" spans="2:11" ht="14" x14ac:dyDescent="0.3">
      <c r="C904" s="88">
        <v>45610</v>
      </c>
      <c r="D904" s="89"/>
      <c r="E904" s="89"/>
      <c r="F904" s="56" t="s">
        <v>1481</v>
      </c>
      <c r="G904" s="349">
        <f>579*6</f>
        <v>3474</v>
      </c>
      <c r="H904" s="349">
        <v>2.4300000000000002</v>
      </c>
      <c r="I904" s="54">
        <f>G904*H904</f>
        <v>8441.82</v>
      </c>
      <c r="J904" s="132"/>
      <c r="K904" s="54">
        <f t="shared" si="128"/>
        <v>168238.62000000002</v>
      </c>
    </row>
    <row r="905" spans="2:11" ht="14" x14ac:dyDescent="0.3">
      <c r="C905" s="88"/>
      <c r="D905" s="89"/>
      <c r="E905" s="89"/>
      <c r="F905" s="56"/>
      <c r="G905" s="349"/>
      <c r="H905" s="349"/>
      <c r="I905" s="54"/>
      <c r="J905" s="132"/>
      <c r="K905" s="54">
        <f t="shared" si="128"/>
        <v>168238.62000000002</v>
      </c>
    </row>
    <row r="906" spans="2:11" ht="14" x14ac:dyDescent="0.3">
      <c r="C906" s="88"/>
      <c r="D906" s="89"/>
      <c r="E906" s="89"/>
      <c r="F906" s="56"/>
      <c r="G906" s="54"/>
      <c r="H906" s="54"/>
      <c r="I906" s="54"/>
      <c r="J906" s="132"/>
      <c r="K906" s="54">
        <f t="shared" si="128"/>
        <v>168238.62000000002</v>
      </c>
    </row>
    <row r="907" spans="2:11" ht="15" x14ac:dyDescent="0.3">
      <c r="C907" s="88"/>
      <c r="D907" s="89"/>
      <c r="E907" s="89"/>
      <c r="F907" s="109"/>
      <c r="G907" s="54"/>
      <c r="H907" s="54"/>
      <c r="I907" s="54"/>
      <c r="J907" s="132"/>
      <c r="K907" s="54">
        <f t="shared" si="128"/>
        <v>168238.62000000002</v>
      </c>
    </row>
    <row r="910" spans="2:11" ht="15" x14ac:dyDescent="0.3">
      <c r="C910" s="24" t="s">
        <v>0</v>
      </c>
      <c r="D910" s="24" t="s">
        <v>49</v>
      </c>
      <c r="E910" s="24" t="s">
        <v>53</v>
      </c>
      <c r="F910" s="19" t="s">
        <v>5</v>
      </c>
      <c r="G910" s="20" t="s">
        <v>6</v>
      </c>
      <c r="H910" s="20" t="s">
        <v>7</v>
      </c>
      <c r="I910" s="24" t="s">
        <v>13</v>
      </c>
      <c r="J910" s="24" t="s">
        <v>69</v>
      </c>
      <c r="K910" s="24" t="s">
        <v>57</v>
      </c>
    </row>
    <row r="911" spans="2:11" ht="14" x14ac:dyDescent="0.3">
      <c r="C911" s="88"/>
      <c r="D911" s="89"/>
      <c r="E911" s="89"/>
      <c r="F911" s="56"/>
      <c r="G911" s="54"/>
      <c r="H911" s="54"/>
      <c r="I911" s="54"/>
      <c r="J911" s="132"/>
      <c r="K911" s="54"/>
    </row>
    <row r="912" spans="2:11" ht="14" x14ac:dyDescent="0.3">
      <c r="B912" s="1" t="s">
        <v>1515</v>
      </c>
      <c r="C912" s="385">
        <v>45611</v>
      </c>
      <c r="D912" s="106"/>
      <c r="E912" s="106"/>
      <c r="F912" s="77" t="s">
        <v>1483</v>
      </c>
      <c r="G912" s="136"/>
      <c r="H912" s="459">
        <v>2.4300000000000002</v>
      </c>
      <c r="I912" s="136">
        <f>G912*H912</f>
        <v>0</v>
      </c>
      <c r="J912" s="132"/>
      <c r="K912" s="54">
        <f t="shared" ref="K912:K920" si="129">K911+I912-J912</f>
        <v>0</v>
      </c>
    </row>
    <row r="913" spans="3:11" ht="14" x14ac:dyDescent="0.3">
      <c r="C913" s="88">
        <v>45611</v>
      </c>
      <c r="D913" s="89"/>
      <c r="E913" s="89"/>
      <c r="F913" s="56" t="s">
        <v>1484</v>
      </c>
      <c r="G913" s="349">
        <f>133.3*50</f>
        <v>6665.0000000000009</v>
      </c>
      <c r="H913" s="349">
        <v>2.4300000000000002</v>
      </c>
      <c r="I913" s="54">
        <f>G913*H913</f>
        <v>16195.950000000003</v>
      </c>
      <c r="J913" s="132"/>
      <c r="K913" s="54">
        <f t="shared" si="129"/>
        <v>16195.950000000003</v>
      </c>
    </row>
    <row r="914" spans="3:11" ht="14" x14ac:dyDescent="0.3">
      <c r="C914" s="88">
        <v>45611</v>
      </c>
      <c r="D914" s="89"/>
      <c r="E914" s="89"/>
      <c r="F914" s="56" t="s">
        <v>1485</v>
      </c>
      <c r="G914" s="349">
        <f>598*10</f>
        <v>5980</v>
      </c>
      <c r="H914" s="349">
        <v>2.4300000000000002</v>
      </c>
      <c r="I914" s="54">
        <f>G914*H914</f>
        <v>14531.400000000001</v>
      </c>
      <c r="J914" s="132"/>
      <c r="K914" s="54">
        <f t="shared" si="129"/>
        <v>30727.350000000006</v>
      </c>
    </row>
    <row r="915" spans="3:11" ht="14" x14ac:dyDescent="0.3">
      <c r="C915" s="88">
        <v>45611</v>
      </c>
      <c r="D915" s="89"/>
      <c r="E915" s="89"/>
      <c r="F915" s="56" t="s">
        <v>1486</v>
      </c>
      <c r="G915" s="349">
        <f>500*7</f>
        <v>3500</v>
      </c>
      <c r="H915" s="349">
        <v>2.4300000000000002</v>
      </c>
      <c r="I915" s="54">
        <f t="shared" ref="I915:I918" si="130">G915*H915</f>
        <v>8505</v>
      </c>
      <c r="J915" s="132"/>
      <c r="K915" s="54">
        <f t="shared" si="129"/>
        <v>39232.350000000006</v>
      </c>
    </row>
    <row r="916" spans="3:11" ht="14" x14ac:dyDescent="0.3">
      <c r="C916" s="88">
        <v>45611</v>
      </c>
      <c r="D916" s="89"/>
      <c r="E916" s="89"/>
      <c r="F916" s="56" t="s">
        <v>1487</v>
      </c>
      <c r="G916" s="349">
        <f>579*4</f>
        <v>2316</v>
      </c>
      <c r="H916" s="349">
        <v>2.4300000000000002</v>
      </c>
      <c r="I916" s="54">
        <f t="shared" si="130"/>
        <v>5627.88</v>
      </c>
      <c r="J916" s="132"/>
      <c r="K916" s="54">
        <f t="shared" si="129"/>
        <v>44860.23</v>
      </c>
    </row>
    <row r="917" spans="3:11" ht="14" x14ac:dyDescent="0.3">
      <c r="C917" s="88">
        <v>45611</v>
      </c>
      <c r="D917" s="89"/>
      <c r="E917" s="89"/>
      <c r="F917" s="56" t="s">
        <v>1524</v>
      </c>
      <c r="G917" s="349">
        <f>269*4</f>
        <v>1076</v>
      </c>
      <c r="H917" s="349">
        <v>2.4300000000000002</v>
      </c>
      <c r="I917" s="54">
        <f t="shared" si="130"/>
        <v>2614.6800000000003</v>
      </c>
      <c r="J917" s="132"/>
      <c r="K917" s="54">
        <f t="shared" si="129"/>
        <v>47474.91</v>
      </c>
    </row>
    <row r="918" spans="3:11" ht="14" x14ac:dyDescent="0.3">
      <c r="C918" s="88">
        <v>45611</v>
      </c>
      <c r="D918" s="89"/>
      <c r="E918" s="89"/>
      <c r="F918" s="56" t="s">
        <v>1489</v>
      </c>
      <c r="G918" s="349">
        <f>126*100</f>
        <v>12600</v>
      </c>
      <c r="H918" s="349">
        <v>2.4300000000000002</v>
      </c>
      <c r="I918" s="54">
        <f t="shared" si="130"/>
        <v>30618.000000000004</v>
      </c>
      <c r="J918" s="132"/>
      <c r="K918" s="54">
        <f t="shared" si="129"/>
        <v>78092.91</v>
      </c>
    </row>
    <row r="919" spans="3:11" ht="14" x14ac:dyDescent="0.3">
      <c r="C919" s="88"/>
      <c r="D919" s="89"/>
      <c r="E919" s="89"/>
      <c r="F919" s="56"/>
      <c r="G919" s="54"/>
      <c r="H919" s="54"/>
      <c r="I919" s="54"/>
      <c r="J919" s="132"/>
      <c r="K919" s="54">
        <f t="shared" si="129"/>
        <v>78092.91</v>
      </c>
    </row>
    <row r="920" spans="3:11" ht="15" x14ac:dyDescent="0.3">
      <c r="C920" s="88"/>
      <c r="D920" s="89"/>
      <c r="E920" s="89"/>
      <c r="F920" s="109"/>
      <c r="G920" s="54"/>
      <c r="H920" s="54"/>
      <c r="I920" s="54"/>
      <c r="J920" s="132"/>
      <c r="K920" s="54">
        <f t="shared" si="129"/>
        <v>78092.91</v>
      </c>
    </row>
    <row r="923" spans="3:11" ht="15" x14ac:dyDescent="0.3">
      <c r="C923" s="24" t="s">
        <v>0</v>
      </c>
      <c r="D923" s="24" t="s">
        <v>49</v>
      </c>
      <c r="E923" s="24" t="s">
        <v>53</v>
      </c>
      <c r="F923" s="19" t="s">
        <v>5</v>
      </c>
      <c r="G923" s="20" t="s">
        <v>6</v>
      </c>
      <c r="H923" s="20" t="s">
        <v>7</v>
      </c>
      <c r="I923" s="24" t="s">
        <v>13</v>
      </c>
      <c r="J923" s="24" t="s">
        <v>69</v>
      </c>
      <c r="K923" s="24" t="s">
        <v>57</v>
      </c>
    </row>
    <row r="924" spans="3:11" ht="14" x14ac:dyDescent="0.3">
      <c r="C924" s="88"/>
      <c r="D924" s="89"/>
      <c r="E924" s="89"/>
      <c r="F924" s="56"/>
      <c r="G924" s="54"/>
      <c r="H924" s="54"/>
      <c r="I924" s="54"/>
      <c r="J924" s="132"/>
      <c r="K924" s="54"/>
    </row>
    <row r="925" spans="3:11" ht="14" x14ac:dyDescent="0.3">
      <c r="C925" s="88">
        <v>45612</v>
      </c>
      <c r="D925" s="89"/>
      <c r="E925" s="89"/>
      <c r="F925" s="56" t="s">
        <v>1490</v>
      </c>
      <c r="G925" s="54">
        <f>598*12</f>
        <v>7176</v>
      </c>
      <c r="H925" s="349">
        <v>2.4300000000000002</v>
      </c>
      <c r="I925" s="54">
        <f>G925*H925</f>
        <v>17437.68</v>
      </c>
      <c r="J925" s="132"/>
      <c r="K925" s="54">
        <f t="shared" ref="K925:K930" si="131">K924+I925-J925</f>
        <v>17437.68</v>
      </c>
    </row>
    <row r="926" spans="3:11" ht="14" x14ac:dyDescent="0.3">
      <c r="C926" s="88">
        <v>45612</v>
      </c>
      <c r="D926" s="89"/>
      <c r="E926" s="89"/>
      <c r="F926" s="56" t="s">
        <v>1491</v>
      </c>
      <c r="G926" s="349">
        <f>131*30</f>
        <v>3930</v>
      </c>
      <c r="H926" s="349">
        <v>2.4300000000000002</v>
      </c>
      <c r="I926" s="54">
        <f>G926*H926</f>
        <v>9549.9000000000015</v>
      </c>
      <c r="J926" s="132"/>
      <c r="K926" s="54">
        <f t="shared" si="131"/>
        <v>26987.58</v>
      </c>
    </row>
    <row r="927" spans="3:11" ht="14" x14ac:dyDescent="0.3">
      <c r="C927" s="88">
        <v>45612</v>
      </c>
      <c r="D927" s="89"/>
      <c r="E927" s="89"/>
      <c r="F927" s="56" t="s">
        <v>1492</v>
      </c>
      <c r="G927" s="349">
        <f>131*10</f>
        <v>1310</v>
      </c>
      <c r="H927" s="349">
        <v>2.4300000000000002</v>
      </c>
      <c r="I927" s="54">
        <f>G927*H927</f>
        <v>3183.3</v>
      </c>
      <c r="J927" s="132"/>
      <c r="K927" s="54">
        <f t="shared" si="131"/>
        <v>30170.880000000001</v>
      </c>
    </row>
    <row r="928" spans="3:11" ht="14" x14ac:dyDescent="0.3">
      <c r="C928" s="88">
        <v>45612</v>
      </c>
      <c r="D928" s="89"/>
      <c r="E928" s="89"/>
      <c r="F928" s="56" t="s">
        <v>1493</v>
      </c>
      <c r="G928" s="349">
        <v>326</v>
      </c>
      <c r="H928" s="349">
        <v>2.4300000000000002</v>
      </c>
      <c r="I928" s="54">
        <f t="shared" ref="I928" si="132">G928*H928</f>
        <v>792.18000000000006</v>
      </c>
      <c r="J928" s="132"/>
      <c r="K928" s="54">
        <f t="shared" si="131"/>
        <v>30963.06</v>
      </c>
    </row>
    <row r="929" spans="2:11" ht="14" x14ac:dyDescent="0.3">
      <c r="C929" s="88"/>
      <c r="D929" s="89"/>
      <c r="E929" s="89"/>
      <c r="F929" s="56"/>
      <c r="G929" s="54"/>
      <c r="H929" s="54"/>
      <c r="I929" s="54"/>
      <c r="J929" s="132"/>
      <c r="K929" s="54">
        <f t="shared" si="131"/>
        <v>30963.06</v>
      </c>
    </row>
    <row r="930" spans="2:11" ht="15" x14ac:dyDescent="0.3">
      <c r="C930" s="88"/>
      <c r="D930" s="89"/>
      <c r="E930" s="89"/>
      <c r="F930" s="109"/>
      <c r="G930" s="54"/>
      <c r="H930" s="54"/>
      <c r="I930" s="54"/>
      <c r="J930" s="132"/>
      <c r="K930" s="54">
        <f t="shared" si="131"/>
        <v>30963.06</v>
      </c>
    </row>
    <row r="933" spans="2:11" ht="15" x14ac:dyDescent="0.3">
      <c r="C933" s="24" t="s">
        <v>0</v>
      </c>
      <c r="D933" s="24" t="s">
        <v>49</v>
      </c>
      <c r="E933" s="24" t="s">
        <v>53</v>
      </c>
      <c r="F933" s="19" t="s">
        <v>5</v>
      </c>
      <c r="G933" s="20" t="s">
        <v>6</v>
      </c>
      <c r="H933" s="20" t="s">
        <v>7</v>
      </c>
      <c r="I933" s="24" t="s">
        <v>13</v>
      </c>
      <c r="J933" s="24" t="s">
        <v>69</v>
      </c>
      <c r="K933" s="24" t="s">
        <v>57</v>
      </c>
    </row>
    <row r="934" spans="2:11" ht="14" x14ac:dyDescent="0.3">
      <c r="C934" s="88"/>
      <c r="D934" s="89"/>
      <c r="E934" s="89"/>
      <c r="F934" s="56"/>
      <c r="G934" s="54"/>
      <c r="H934" s="54"/>
      <c r="I934" s="54"/>
      <c r="J934" s="132"/>
      <c r="K934" s="54"/>
    </row>
    <row r="935" spans="2:11" ht="14" x14ac:dyDescent="0.3">
      <c r="C935" s="88">
        <v>45613</v>
      </c>
      <c r="D935" s="89"/>
      <c r="E935" s="89"/>
      <c r="F935" s="56" t="s">
        <v>1494</v>
      </c>
      <c r="G935" s="54">
        <f>13*598</f>
        <v>7774</v>
      </c>
      <c r="H935" s="349">
        <v>2.4300000000000002</v>
      </c>
      <c r="I935" s="54">
        <f>G935*H935</f>
        <v>18890.82</v>
      </c>
      <c r="J935" s="132"/>
      <c r="K935" s="54">
        <f t="shared" ref="K935:K943" si="133">K934+I935-J935</f>
        <v>18890.82</v>
      </c>
    </row>
    <row r="936" spans="2:11" ht="14" x14ac:dyDescent="0.3">
      <c r="B936" s="1" t="s">
        <v>1571</v>
      </c>
      <c r="C936" s="88">
        <v>45613</v>
      </c>
      <c r="D936" s="89"/>
      <c r="E936" s="89"/>
      <c r="F936" s="56" t="s">
        <v>1566</v>
      </c>
      <c r="G936" s="349">
        <f>14*619</f>
        <v>8666</v>
      </c>
      <c r="H936" s="349">
        <v>2.4300000000000002</v>
      </c>
      <c r="I936" s="54">
        <f>G936*H936</f>
        <v>21058.38</v>
      </c>
      <c r="J936" s="132"/>
      <c r="K936" s="54">
        <f t="shared" si="133"/>
        <v>39949.199999999997</v>
      </c>
    </row>
    <row r="937" spans="2:11" ht="14" x14ac:dyDescent="0.3">
      <c r="B937" s="1" t="s">
        <v>1571</v>
      </c>
      <c r="C937" s="88">
        <v>45613</v>
      </c>
      <c r="D937" s="89"/>
      <c r="E937" s="89"/>
      <c r="F937" s="56" t="s">
        <v>1567</v>
      </c>
      <c r="G937" s="349">
        <f>618*4</f>
        <v>2472</v>
      </c>
      <c r="H937" s="349">
        <v>2.4300000000000002</v>
      </c>
      <c r="I937" s="54">
        <f>G937*H937</f>
        <v>6006.96</v>
      </c>
      <c r="J937" s="132"/>
      <c r="K937" s="54">
        <f t="shared" si="133"/>
        <v>45956.159999999996</v>
      </c>
    </row>
    <row r="938" spans="2:11" ht="14" x14ac:dyDescent="0.3">
      <c r="C938" s="88">
        <v>45613</v>
      </c>
      <c r="D938" s="89"/>
      <c r="E938" s="89"/>
      <c r="F938" s="56" t="s">
        <v>1495</v>
      </c>
      <c r="G938" s="349">
        <f>598*4</f>
        <v>2392</v>
      </c>
      <c r="H938" s="349">
        <v>2.4300000000000002</v>
      </c>
      <c r="I938" s="54">
        <f t="shared" ref="I938" si="134">G938*H938</f>
        <v>5812.56</v>
      </c>
      <c r="J938" s="132"/>
      <c r="K938" s="54">
        <f t="shared" si="133"/>
        <v>51768.719999999994</v>
      </c>
    </row>
    <row r="939" spans="2:11" ht="14" x14ac:dyDescent="0.3">
      <c r="B939" s="1" t="s">
        <v>1572</v>
      </c>
      <c r="C939" s="88">
        <v>45613</v>
      </c>
      <c r="D939" s="89"/>
      <c r="E939" s="89"/>
      <c r="F939" s="56" t="s">
        <v>1496</v>
      </c>
      <c r="G939" s="349">
        <v>0</v>
      </c>
      <c r="H939" s="349">
        <v>2.4300000000000002</v>
      </c>
      <c r="I939" s="54">
        <f t="shared" ref="I939:I942" si="135">G939*H939</f>
        <v>0</v>
      </c>
      <c r="J939" s="132"/>
      <c r="K939" s="54">
        <f t="shared" si="133"/>
        <v>51768.719999999994</v>
      </c>
    </row>
    <row r="940" spans="2:11" ht="14" x14ac:dyDescent="0.3">
      <c r="B940" s="1" t="s">
        <v>1572</v>
      </c>
      <c r="C940" s="88">
        <v>45613</v>
      </c>
      <c r="D940" s="89"/>
      <c r="E940" s="89"/>
      <c r="F940" s="56" t="s">
        <v>1497</v>
      </c>
      <c r="G940" s="349">
        <v>0</v>
      </c>
      <c r="H940" s="349">
        <v>2.4300000000000002</v>
      </c>
      <c r="I940" s="54">
        <f t="shared" si="135"/>
        <v>0</v>
      </c>
      <c r="J940" s="132"/>
      <c r="K940" s="54">
        <f t="shared" si="133"/>
        <v>51768.719999999994</v>
      </c>
    </row>
    <row r="941" spans="2:11" ht="14" x14ac:dyDescent="0.3">
      <c r="B941" s="1" t="s">
        <v>1573</v>
      </c>
      <c r="C941" s="88">
        <v>45613</v>
      </c>
      <c r="D941" s="89"/>
      <c r="E941" s="89"/>
      <c r="F941" s="56" t="s">
        <v>1574</v>
      </c>
      <c r="G941" s="349">
        <f>2*2500</f>
        <v>5000</v>
      </c>
      <c r="H941" s="349">
        <v>2.4300000000000002</v>
      </c>
      <c r="I941" s="54">
        <f t="shared" si="135"/>
        <v>12150</v>
      </c>
      <c r="J941" s="132"/>
      <c r="K941" s="54">
        <f t="shared" si="133"/>
        <v>63918.719999999994</v>
      </c>
    </row>
    <row r="942" spans="2:11" ht="14" x14ac:dyDescent="0.3">
      <c r="C942" s="88">
        <v>45613</v>
      </c>
      <c r="D942" s="89"/>
      <c r="E942" s="89"/>
      <c r="F942" s="56" t="s">
        <v>1498</v>
      </c>
      <c r="G942" s="54">
        <f>30*126</f>
        <v>3780</v>
      </c>
      <c r="H942" s="349">
        <v>2.4300000000000002</v>
      </c>
      <c r="I942" s="54">
        <f t="shared" si="135"/>
        <v>9185.4000000000015</v>
      </c>
      <c r="J942" s="132"/>
      <c r="K942" s="54">
        <f t="shared" si="133"/>
        <v>73104.12</v>
      </c>
    </row>
    <row r="943" spans="2:11" ht="15" x14ac:dyDescent="0.3">
      <c r="C943" s="88"/>
      <c r="D943" s="89"/>
      <c r="E943" s="89"/>
      <c r="F943" s="109"/>
      <c r="G943" s="54"/>
      <c r="H943" s="54"/>
      <c r="I943" s="54"/>
      <c r="J943" s="132"/>
      <c r="K943" s="54">
        <f t="shared" si="133"/>
        <v>73104.12</v>
      </c>
    </row>
    <row r="945" spans="3:11" ht="15" x14ac:dyDescent="0.3">
      <c r="C945" s="24" t="s">
        <v>0</v>
      </c>
      <c r="D945" s="24" t="s">
        <v>49</v>
      </c>
      <c r="E945" s="24" t="s">
        <v>53</v>
      </c>
      <c r="F945" s="19" t="s">
        <v>5</v>
      </c>
      <c r="G945" s="20" t="s">
        <v>6</v>
      </c>
      <c r="H945" s="20" t="s">
        <v>7</v>
      </c>
      <c r="I945" s="24" t="s">
        <v>13</v>
      </c>
      <c r="J945" s="24" t="s">
        <v>69</v>
      </c>
      <c r="K945" s="24" t="s">
        <v>57</v>
      </c>
    </row>
    <row r="946" spans="3:11" ht="14" x14ac:dyDescent="0.3">
      <c r="C946" s="88"/>
      <c r="D946" s="89"/>
      <c r="E946" s="89"/>
      <c r="F946" s="56"/>
      <c r="G946" s="54"/>
      <c r="H946" s="54"/>
      <c r="I946" s="54"/>
      <c r="J946" s="132"/>
      <c r="K946" s="54"/>
    </row>
    <row r="947" spans="3:11" ht="14" x14ac:dyDescent="0.3">
      <c r="C947" s="88">
        <v>45615</v>
      </c>
      <c r="D947" s="89"/>
      <c r="E947" s="89"/>
      <c r="F947" s="56" t="s">
        <v>1516</v>
      </c>
      <c r="G947" s="54">
        <f>10*598</f>
        <v>5980</v>
      </c>
      <c r="H947" s="349">
        <v>2.4300000000000002</v>
      </c>
      <c r="I947" s="54">
        <f>G947*H947</f>
        <v>14531.400000000001</v>
      </c>
      <c r="J947" s="132"/>
      <c r="K947" s="54">
        <f t="shared" ref="K947:K958" si="136">K946+I947-J947</f>
        <v>14531.400000000001</v>
      </c>
    </row>
    <row r="948" spans="3:11" ht="14" x14ac:dyDescent="0.3">
      <c r="C948" s="88">
        <v>45615</v>
      </c>
      <c r="D948" s="89"/>
      <c r="E948" s="89"/>
      <c r="F948" s="56" t="s">
        <v>1517</v>
      </c>
      <c r="G948" s="349">
        <f>9*549</f>
        <v>4941</v>
      </c>
      <c r="H948" s="349">
        <v>2.4300000000000002</v>
      </c>
      <c r="I948" s="54">
        <f>G948*H948</f>
        <v>12006.630000000001</v>
      </c>
      <c r="J948" s="132"/>
      <c r="K948" s="54">
        <f t="shared" si="136"/>
        <v>26538.030000000002</v>
      </c>
    </row>
    <row r="949" spans="3:11" ht="14" x14ac:dyDescent="0.3">
      <c r="C949" s="88">
        <v>45616</v>
      </c>
      <c r="D949" s="89"/>
      <c r="E949" s="89"/>
      <c r="F949" s="56" t="s">
        <v>1516</v>
      </c>
      <c r="G949" s="349">
        <f>10*598</f>
        <v>5980</v>
      </c>
      <c r="H949" s="349">
        <v>2.4300000000000002</v>
      </c>
      <c r="I949" s="54">
        <f>G949*H949</f>
        <v>14531.400000000001</v>
      </c>
      <c r="J949" s="132"/>
      <c r="K949" s="54">
        <f t="shared" si="136"/>
        <v>41069.430000000008</v>
      </c>
    </row>
    <row r="950" spans="3:11" ht="14" x14ac:dyDescent="0.3">
      <c r="C950" s="88">
        <v>45616</v>
      </c>
      <c r="D950" s="89"/>
      <c r="E950" s="89"/>
      <c r="F950" s="56" t="s">
        <v>1518</v>
      </c>
      <c r="G950" s="349">
        <f>14*549</f>
        <v>7686</v>
      </c>
      <c r="H950" s="349">
        <v>2.4300000000000002</v>
      </c>
      <c r="I950" s="54">
        <f t="shared" ref="I950:I953" si="137">G950*H950</f>
        <v>18676.98</v>
      </c>
      <c r="J950" s="132"/>
      <c r="K950" s="54">
        <f t="shared" si="136"/>
        <v>59746.41</v>
      </c>
    </row>
    <row r="951" spans="3:11" ht="14" x14ac:dyDescent="0.3">
      <c r="C951" s="88"/>
      <c r="D951" s="89"/>
      <c r="E951" s="89"/>
      <c r="F951" s="56"/>
      <c r="G951" s="349"/>
      <c r="H951" s="349">
        <v>2.4300000000000002</v>
      </c>
      <c r="I951" s="54">
        <f t="shared" si="137"/>
        <v>0</v>
      </c>
      <c r="J951" s="132"/>
      <c r="K951" s="54">
        <f t="shared" si="136"/>
        <v>59746.41</v>
      </c>
    </row>
    <row r="952" spans="3:11" ht="14" x14ac:dyDescent="0.3">
      <c r="C952" s="88">
        <v>45617</v>
      </c>
      <c r="D952" s="89"/>
      <c r="E952" s="89"/>
      <c r="F952" s="56" t="s">
        <v>1519</v>
      </c>
      <c r="G952" s="349">
        <f>598*4</f>
        <v>2392</v>
      </c>
      <c r="H952" s="349">
        <v>2.4300000000000002</v>
      </c>
      <c r="I952" s="54">
        <f t="shared" si="137"/>
        <v>5812.56</v>
      </c>
      <c r="J952" s="132"/>
      <c r="K952" s="54">
        <f t="shared" si="136"/>
        <v>65558.97</v>
      </c>
    </row>
    <row r="953" spans="3:11" ht="14" x14ac:dyDescent="0.3">
      <c r="C953" s="88">
        <v>45617</v>
      </c>
      <c r="D953" s="89"/>
      <c r="E953" s="89"/>
      <c r="F953" s="56" t="s">
        <v>1520</v>
      </c>
      <c r="G953" s="349">
        <f>549*6</f>
        <v>3294</v>
      </c>
      <c r="H953" s="349">
        <v>2.4300000000000002</v>
      </c>
      <c r="I953" s="54">
        <f t="shared" si="137"/>
        <v>8004.42</v>
      </c>
      <c r="J953" s="132"/>
      <c r="K953" s="54">
        <f t="shared" si="136"/>
        <v>73563.39</v>
      </c>
    </row>
    <row r="954" spans="3:11" ht="14" x14ac:dyDescent="0.3">
      <c r="C954" s="88">
        <v>45617</v>
      </c>
      <c r="D954" s="89"/>
      <c r="E954" s="89"/>
      <c r="F954" s="56" t="s">
        <v>1521</v>
      </c>
      <c r="G954" s="349">
        <f>599</f>
        <v>599</v>
      </c>
      <c r="H954" s="349">
        <v>2.4300000000000002</v>
      </c>
      <c r="I954" s="54">
        <f t="shared" ref="I954:I956" si="138">G954*H954</f>
        <v>1455.5700000000002</v>
      </c>
      <c r="J954" s="132"/>
      <c r="K954" s="54">
        <f t="shared" si="136"/>
        <v>75018.960000000006</v>
      </c>
    </row>
    <row r="955" spans="3:11" ht="14" x14ac:dyDescent="0.3">
      <c r="C955" s="88">
        <v>45617</v>
      </c>
      <c r="D955" s="89"/>
      <c r="E955" s="89"/>
      <c r="F955" s="56" t="s">
        <v>1521</v>
      </c>
      <c r="G955" s="349">
        <f>599</f>
        <v>599</v>
      </c>
      <c r="H955" s="349">
        <v>2.4300000000000002</v>
      </c>
      <c r="I955" s="54">
        <f t="shared" si="138"/>
        <v>1455.5700000000002</v>
      </c>
      <c r="J955" s="132"/>
      <c r="K955" s="54">
        <f t="shared" si="136"/>
        <v>76474.530000000013</v>
      </c>
    </row>
    <row r="956" spans="3:11" ht="14" x14ac:dyDescent="0.3">
      <c r="C956" s="88">
        <v>45617</v>
      </c>
      <c r="D956" s="89"/>
      <c r="E956" s="89"/>
      <c r="F956" s="56" t="s">
        <v>1522</v>
      </c>
      <c r="G956" s="349">
        <f>180*2</f>
        <v>360</v>
      </c>
      <c r="H956" s="349">
        <v>2.4300000000000002</v>
      </c>
      <c r="I956" s="54">
        <f t="shared" si="138"/>
        <v>874.80000000000007</v>
      </c>
      <c r="J956" s="132"/>
      <c r="K956" s="54">
        <f t="shared" si="136"/>
        <v>77349.330000000016</v>
      </c>
    </row>
    <row r="957" spans="3:11" ht="14" x14ac:dyDescent="0.3">
      <c r="C957" s="88"/>
      <c r="D957" s="89"/>
      <c r="E957" s="89"/>
      <c r="F957" s="56"/>
      <c r="G957" s="54"/>
      <c r="H957" s="349"/>
      <c r="I957" s="54"/>
      <c r="J957" s="132"/>
      <c r="K957" s="54">
        <f t="shared" si="136"/>
        <v>77349.330000000016</v>
      </c>
    </row>
    <row r="958" spans="3:11" ht="15" x14ac:dyDescent="0.3">
      <c r="C958" s="88"/>
      <c r="D958" s="89"/>
      <c r="E958" s="89"/>
      <c r="F958" s="109"/>
      <c r="G958" s="54"/>
      <c r="H958" s="54"/>
      <c r="I958" s="54"/>
      <c r="J958" s="132"/>
      <c r="K958" s="54">
        <f t="shared" si="136"/>
        <v>77349.330000000016</v>
      </c>
    </row>
    <row r="961" spans="3:11" ht="15" x14ac:dyDescent="0.3">
      <c r="C961" s="24" t="s">
        <v>0</v>
      </c>
      <c r="D961" s="24" t="s">
        <v>49</v>
      </c>
      <c r="E961" s="24" t="s">
        <v>53</v>
      </c>
      <c r="F961" s="19" t="s">
        <v>5</v>
      </c>
      <c r="G961" s="20" t="s">
        <v>6</v>
      </c>
      <c r="H961" s="20" t="s">
        <v>7</v>
      </c>
      <c r="I961" s="24" t="s">
        <v>13</v>
      </c>
      <c r="J961" s="24" t="s">
        <v>69</v>
      </c>
      <c r="K961" s="24" t="s">
        <v>57</v>
      </c>
    </row>
    <row r="962" spans="3:11" ht="14" x14ac:dyDescent="0.3">
      <c r="C962" s="88"/>
      <c r="D962" s="89"/>
      <c r="E962" s="89"/>
      <c r="F962" s="56"/>
      <c r="G962" s="54"/>
      <c r="H962" s="54"/>
      <c r="I962" s="54"/>
      <c r="J962" s="132"/>
      <c r="K962" s="54"/>
    </row>
    <row r="963" spans="3:11" ht="14" x14ac:dyDescent="0.3">
      <c r="C963" s="88">
        <v>45618</v>
      </c>
      <c r="D963" s="89"/>
      <c r="E963" s="89"/>
      <c r="F963" s="56" t="s">
        <v>1525</v>
      </c>
      <c r="G963" s="54">
        <f>599*5</f>
        <v>2995</v>
      </c>
      <c r="H963" s="349">
        <v>2.4300000000000002</v>
      </c>
      <c r="I963" s="54">
        <f>G963*H963</f>
        <v>7277.85</v>
      </c>
      <c r="J963" s="132"/>
      <c r="K963" s="54">
        <f t="shared" ref="K963:K968" si="139">K962+I963-J963</f>
        <v>7277.85</v>
      </c>
    </row>
    <row r="964" spans="3:11" ht="14" x14ac:dyDescent="0.3">
      <c r="C964" s="88">
        <v>45618</v>
      </c>
      <c r="D964" s="89"/>
      <c r="E964" s="89"/>
      <c r="F964" s="56" t="s">
        <v>1526</v>
      </c>
      <c r="G964" s="349">
        <f>500*3</f>
        <v>1500</v>
      </c>
      <c r="H964" s="349">
        <v>2.4300000000000002</v>
      </c>
      <c r="I964" s="54">
        <f>G964*H964</f>
        <v>3645.0000000000005</v>
      </c>
      <c r="J964" s="132"/>
      <c r="K964" s="54">
        <f t="shared" si="139"/>
        <v>10922.85</v>
      </c>
    </row>
    <row r="965" spans="3:11" ht="14" x14ac:dyDescent="0.3">
      <c r="C965" s="88">
        <v>45619</v>
      </c>
      <c r="D965" s="89"/>
      <c r="E965" s="89"/>
      <c r="F965" s="56" t="s">
        <v>1527</v>
      </c>
      <c r="G965" s="349">
        <f>2*549</f>
        <v>1098</v>
      </c>
      <c r="H965" s="349">
        <v>2.4300000000000002</v>
      </c>
      <c r="I965" s="54">
        <f>G965*H965</f>
        <v>2668.1400000000003</v>
      </c>
      <c r="J965" s="132"/>
      <c r="K965" s="54">
        <f t="shared" si="139"/>
        <v>13590.990000000002</v>
      </c>
    </row>
    <row r="966" spans="3:11" ht="14" x14ac:dyDescent="0.3">
      <c r="C966" s="88"/>
      <c r="D966" s="89"/>
      <c r="E966" s="89"/>
      <c r="F966" s="56"/>
      <c r="G966" s="349"/>
      <c r="H966" s="349"/>
      <c r="I966" s="54"/>
      <c r="J966" s="132"/>
      <c r="K966" s="54">
        <f t="shared" si="139"/>
        <v>13590.990000000002</v>
      </c>
    </row>
    <row r="967" spans="3:11" ht="14" x14ac:dyDescent="0.3">
      <c r="C967" s="88"/>
      <c r="D967" s="89"/>
      <c r="E967" s="89"/>
      <c r="F967" s="56"/>
      <c r="G967" s="54"/>
      <c r="H967" s="349"/>
      <c r="I967" s="54"/>
      <c r="J967" s="132"/>
      <c r="K967" s="54">
        <f t="shared" si="139"/>
        <v>13590.990000000002</v>
      </c>
    </row>
    <row r="968" spans="3:11" ht="15" x14ac:dyDescent="0.3">
      <c r="C968" s="88"/>
      <c r="D968" s="89"/>
      <c r="E968" s="89"/>
      <c r="F968" s="109"/>
      <c r="G968" s="54"/>
      <c r="H968" s="54"/>
      <c r="I968" s="54"/>
      <c r="J968" s="132"/>
      <c r="K968" s="54">
        <f t="shared" si="139"/>
        <v>13590.990000000002</v>
      </c>
    </row>
    <row r="971" spans="3:11" ht="15" x14ac:dyDescent="0.3">
      <c r="C971" s="24" t="s">
        <v>0</v>
      </c>
      <c r="D971" s="24" t="s">
        <v>49</v>
      </c>
      <c r="E971" s="24" t="s">
        <v>53</v>
      </c>
      <c r="F971" s="19" t="s">
        <v>1528</v>
      </c>
      <c r="G971" s="20" t="s">
        <v>6</v>
      </c>
      <c r="H971" s="20" t="s">
        <v>7</v>
      </c>
      <c r="I971" s="24" t="s">
        <v>13</v>
      </c>
      <c r="J971" s="24" t="s">
        <v>69</v>
      </c>
      <c r="K971" s="24" t="s">
        <v>57</v>
      </c>
    </row>
    <row r="972" spans="3:11" ht="14" x14ac:dyDescent="0.3">
      <c r="C972" s="88"/>
      <c r="D972" s="89"/>
      <c r="E972" s="89"/>
      <c r="F972" s="56"/>
      <c r="G972" s="54"/>
      <c r="H972" s="54"/>
      <c r="I972" s="54"/>
      <c r="J972" s="132"/>
      <c r="K972" s="54"/>
    </row>
    <row r="973" spans="3:11" ht="14" x14ac:dyDescent="0.3">
      <c r="C973" s="88">
        <v>45621</v>
      </c>
      <c r="D973" s="89"/>
      <c r="E973" s="89"/>
      <c r="F973" s="56" t="s">
        <v>1529</v>
      </c>
      <c r="G973" s="54">
        <f>649*3</f>
        <v>1947</v>
      </c>
      <c r="H973" s="349">
        <v>2.19</v>
      </c>
      <c r="I973" s="54">
        <f>G973*H973</f>
        <v>4263.93</v>
      </c>
      <c r="J973" s="132"/>
      <c r="K973" s="54">
        <f t="shared" ref="K973:K984" si="140">K972+I973-J973</f>
        <v>4263.93</v>
      </c>
    </row>
    <row r="974" spans="3:11" ht="14" x14ac:dyDescent="0.3">
      <c r="C974" s="88">
        <v>45621</v>
      </c>
      <c r="D974" s="89"/>
      <c r="E974" s="89"/>
      <c r="F974" s="56" t="s">
        <v>1530</v>
      </c>
      <c r="G974" s="349">
        <f>145*2</f>
        <v>290</v>
      </c>
      <c r="H974" s="349">
        <v>2.19</v>
      </c>
      <c r="I974" s="54">
        <f>G974*H974</f>
        <v>635.1</v>
      </c>
      <c r="J974" s="132"/>
      <c r="K974" s="54">
        <f t="shared" si="140"/>
        <v>4899.0300000000007</v>
      </c>
    </row>
    <row r="975" spans="3:11" ht="14" x14ac:dyDescent="0.3">
      <c r="C975" s="88">
        <v>45621</v>
      </c>
      <c r="D975" s="89"/>
      <c r="E975" s="89"/>
      <c r="F975" s="56" t="s">
        <v>1531</v>
      </c>
      <c r="G975" s="349">
        <f>692*2</f>
        <v>1384</v>
      </c>
      <c r="H975" s="349">
        <v>2.19</v>
      </c>
      <c r="I975" s="54">
        <f>G975*H975</f>
        <v>3030.96</v>
      </c>
      <c r="J975" s="132"/>
      <c r="K975" s="54">
        <f t="shared" si="140"/>
        <v>7929.9900000000007</v>
      </c>
    </row>
    <row r="976" spans="3:11" ht="14" x14ac:dyDescent="0.3">
      <c r="C976" s="88">
        <v>45621</v>
      </c>
      <c r="D976" s="89"/>
      <c r="E976" s="89"/>
      <c r="F976" s="56" t="s">
        <v>1532</v>
      </c>
      <c r="G976" s="349">
        <f>10*692</f>
        <v>6920</v>
      </c>
      <c r="H976" s="349">
        <v>2.19</v>
      </c>
      <c r="I976" s="54">
        <f t="shared" ref="I976:I982" si="141">G976*H976</f>
        <v>15154.8</v>
      </c>
      <c r="J976" s="132"/>
      <c r="K976" s="54">
        <f t="shared" si="140"/>
        <v>23084.79</v>
      </c>
    </row>
    <row r="977" spans="3:11" ht="14" x14ac:dyDescent="0.3">
      <c r="C977" s="88">
        <v>45621</v>
      </c>
      <c r="D977" s="89"/>
      <c r="E977" s="89"/>
      <c r="F977" s="56" t="s">
        <v>1531</v>
      </c>
      <c r="G977" s="54">
        <f>2*692</f>
        <v>1384</v>
      </c>
      <c r="H977" s="349">
        <v>2.19</v>
      </c>
      <c r="I977" s="54">
        <f t="shared" si="141"/>
        <v>3030.96</v>
      </c>
      <c r="J977" s="132"/>
      <c r="K977" s="54">
        <f t="shared" si="140"/>
        <v>26115.75</v>
      </c>
    </row>
    <row r="978" spans="3:11" ht="14" x14ac:dyDescent="0.3">
      <c r="C978" s="88">
        <v>45621</v>
      </c>
      <c r="D978" s="89"/>
      <c r="E978" s="89"/>
      <c r="F978" s="56" t="s">
        <v>1533</v>
      </c>
      <c r="G978" s="54">
        <f>1*649</f>
        <v>649</v>
      </c>
      <c r="H978" s="349">
        <v>2.19</v>
      </c>
      <c r="I978" s="54">
        <f t="shared" si="141"/>
        <v>1421.31</v>
      </c>
      <c r="J978" s="132"/>
      <c r="K978" s="54">
        <f t="shared" si="140"/>
        <v>27537.06</v>
      </c>
    </row>
    <row r="979" spans="3:11" ht="14" x14ac:dyDescent="0.3">
      <c r="C979" s="88">
        <v>45621</v>
      </c>
      <c r="D979" s="89"/>
      <c r="E979" s="89"/>
      <c r="F979" s="56" t="s">
        <v>1534</v>
      </c>
      <c r="G979" s="54">
        <f>10*649</f>
        <v>6490</v>
      </c>
      <c r="H979" s="349">
        <v>2.19</v>
      </c>
      <c r="I979" s="54">
        <f t="shared" si="141"/>
        <v>14213.1</v>
      </c>
      <c r="J979" s="132"/>
      <c r="K979" s="54">
        <f t="shared" si="140"/>
        <v>41750.160000000003</v>
      </c>
    </row>
    <row r="980" spans="3:11" ht="14" x14ac:dyDescent="0.3">
      <c r="C980" s="88">
        <v>45621</v>
      </c>
      <c r="D980" s="89"/>
      <c r="E980" s="89"/>
      <c r="F980" s="56" t="s">
        <v>1535</v>
      </c>
      <c r="G980" s="54">
        <f>5*529</f>
        <v>2645</v>
      </c>
      <c r="H980" s="349">
        <v>2.19</v>
      </c>
      <c r="I980" s="54">
        <f t="shared" si="141"/>
        <v>5792.55</v>
      </c>
      <c r="J980" s="132"/>
      <c r="K980" s="54">
        <f t="shared" si="140"/>
        <v>47542.710000000006</v>
      </c>
    </row>
    <row r="981" spans="3:11" ht="14" x14ac:dyDescent="0.3">
      <c r="C981" s="88">
        <v>45621</v>
      </c>
      <c r="D981" s="89"/>
      <c r="E981" s="89"/>
      <c r="F981" s="56" t="s">
        <v>1536</v>
      </c>
      <c r="G981" s="54">
        <f>644*5</f>
        <v>3220</v>
      </c>
      <c r="H981" s="349">
        <v>2.19</v>
      </c>
      <c r="I981" s="54">
        <f t="shared" si="141"/>
        <v>7051.8</v>
      </c>
      <c r="J981" s="132"/>
      <c r="K981" s="54">
        <f t="shared" si="140"/>
        <v>54594.510000000009</v>
      </c>
    </row>
    <row r="982" spans="3:11" ht="14" x14ac:dyDescent="0.3">
      <c r="C982" s="88">
        <v>45621</v>
      </c>
      <c r="D982" s="89"/>
      <c r="E982" s="89"/>
      <c r="F982" s="56" t="s">
        <v>1537</v>
      </c>
      <c r="G982" s="54">
        <f>598*6</f>
        <v>3588</v>
      </c>
      <c r="H982" s="349">
        <v>2.19</v>
      </c>
      <c r="I982" s="54">
        <f t="shared" si="141"/>
        <v>7857.72</v>
      </c>
      <c r="J982" s="132"/>
      <c r="K982" s="54">
        <f t="shared" si="140"/>
        <v>62452.23000000001</v>
      </c>
    </row>
    <row r="983" spans="3:11" ht="14" x14ac:dyDescent="0.3">
      <c r="C983" s="88"/>
      <c r="D983" s="89"/>
      <c r="E983" s="89"/>
      <c r="F983" s="56"/>
      <c r="G983" s="54"/>
      <c r="H983" s="349"/>
      <c r="I983" s="54"/>
      <c r="J983" s="132"/>
      <c r="K983" s="54">
        <f t="shared" si="140"/>
        <v>62452.23000000001</v>
      </c>
    </row>
    <row r="984" spans="3:11" ht="15" x14ac:dyDescent="0.3">
      <c r="C984" s="88"/>
      <c r="D984" s="89"/>
      <c r="E984" s="89"/>
      <c r="F984" s="109"/>
      <c r="G984" s="54"/>
      <c r="H984" s="54"/>
      <c r="I984" s="54"/>
      <c r="J984" s="132"/>
      <c r="K984" s="54">
        <f t="shared" si="140"/>
        <v>62452.23000000001</v>
      </c>
    </row>
    <row r="987" spans="3:11" ht="15" x14ac:dyDescent="0.3">
      <c r="C987" s="24" t="s">
        <v>0</v>
      </c>
      <c r="D987" s="24" t="s">
        <v>49</v>
      </c>
      <c r="E987" s="24" t="s">
        <v>53</v>
      </c>
      <c r="F987" s="19" t="s">
        <v>1528</v>
      </c>
      <c r="G987" s="20" t="s">
        <v>6</v>
      </c>
      <c r="H987" s="20" t="s">
        <v>7</v>
      </c>
      <c r="I987" s="24" t="s">
        <v>13</v>
      </c>
      <c r="J987" s="24" t="s">
        <v>69</v>
      </c>
      <c r="K987" s="24" t="s">
        <v>57</v>
      </c>
    </row>
    <row r="988" spans="3:11" ht="14" x14ac:dyDescent="0.3">
      <c r="C988" s="88"/>
      <c r="D988" s="89"/>
      <c r="E988" s="89"/>
      <c r="F988" s="56"/>
      <c r="G988" s="54"/>
      <c r="H988" s="54"/>
      <c r="I988" s="54"/>
      <c r="J988" s="132"/>
      <c r="K988" s="54"/>
    </row>
    <row r="989" spans="3:11" ht="14" x14ac:dyDescent="0.3">
      <c r="C989" s="88">
        <v>45622</v>
      </c>
      <c r="D989" s="89"/>
      <c r="E989" s="89"/>
      <c r="F989" s="56" t="s">
        <v>1538</v>
      </c>
      <c r="G989" s="54">
        <f>598*10</f>
        <v>5980</v>
      </c>
      <c r="H989" s="349">
        <v>2.19</v>
      </c>
      <c r="I989" s="54">
        <f>G989*H989</f>
        <v>13096.199999999999</v>
      </c>
      <c r="J989" s="132"/>
      <c r="K989" s="54">
        <f t="shared" ref="K989:K1000" si="142">K988+I989-J989</f>
        <v>13096.199999999999</v>
      </c>
    </row>
    <row r="990" spans="3:11" ht="14" x14ac:dyDescent="0.3">
      <c r="C990" s="88">
        <v>45622</v>
      </c>
      <c r="D990" s="89"/>
      <c r="E990" s="89"/>
      <c r="F990" s="56" t="s">
        <v>1540</v>
      </c>
      <c r="G990" s="349">
        <f>649*1</f>
        <v>649</v>
      </c>
      <c r="H990" s="349">
        <v>2.19</v>
      </c>
      <c r="I990" s="54">
        <f>G990*H990</f>
        <v>1421.31</v>
      </c>
      <c r="J990" s="132"/>
      <c r="K990" s="54">
        <f t="shared" si="142"/>
        <v>14517.509999999998</v>
      </c>
    </row>
    <row r="991" spans="3:11" ht="14" x14ac:dyDescent="0.3">
      <c r="C991" s="88">
        <v>45622</v>
      </c>
      <c r="D991" s="89"/>
      <c r="E991" s="89"/>
      <c r="F991" s="56" t="s">
        <v>1541</v>
      </c>
      <c r="G991" s="349">
        <f>649*4</f>
        <v>2596</v>
      </c>
      <c r="H991" s="349">
        <v>2.19</v>
      </c>
      <c r="I991" s="54">
        <f>G991*H991</f>
        <v>5685.24</v>
      </c>
      <c r="J991" s="132"/>
      <c r="K991" s="54">
        <f t="shared" si="142"/>
        <v>20202.75</v>
      </c>
    </row>
    <row r="992" spans="3:11" ht="14" x14ac:dyDescent="0.3">
      <c r="C992" s="88">
        <v>45622</v>
      </c>
      <c r="D992" s="89"/>
      <c r="E992" s="89"/>
      <c r="F992" s="56" t="s">
        <v>1542</v>
      </c>
      <c r="G992" s="349">
        <f>128*25</f>
        <v>3200</v>
      </c>
      <c r="H992" s="349">
        <v>2.19</v>
      </c>
      <c r="I992" s="54">
        <f t="shared" ref="I992:I996" si="143">G992*H992</f>
        <v>7008</v>
      </c>
      <c r="J992" s="132"/>
      <c r="K992" s="54">
        <f t="shared" si="142"/>
        <v>27210.75</v>
      </c>
    </row>
    <row r="993" spans="3:11" ht="14" x14ac:dyDescent="0.3">
      <c r="C993" s="88">
        <v>45622</v>
      </c>
      <c r="D993" s="89"/>
      <c r="E993" s="89"/>
      <c r="F993" s="56" t="s">
        <v>1543</v>
      </c>
      <c r="G993" s="54">
        <f>2*649</f>
        <v>1298</v>
      </c>
      <c r="H993" s="349">
        <v>2.19</v>
      </c>
      <c r="I993" s="54">
        <f t="shared" si="143"/>
        <v>2842.62</v>
      </c>
      <c r="J993" s="132"/>
      <c r="K993" s="54">
        <f t="shared" si="142"/>
        <v>30053.37</v>
      </c>
    </row>
    <row r="994" spans="3:11" ht="14" x14ac:dyDescent="0.3">
      <c r="C994" s="88"/>
      <c r="D994" s="89"/>
      <c r="E994" s="89"/>
      <c r="F994" s="56"/>
      <c r="G994" s="54"/>
      <c r="H994" s="349"/>
      <c r="I994" s="54"/>
      <c r="J994" s="132"/>
      <c r="K994" s="54">
        <f t="shared" si="142"/>
        <v>30053.37</v>
      </c>
    </row>
    <row r="995" spans="3:11" ht="14" x14ac:dyDescent="0.3">
      <c r="C995" s="88">
        <v>45622</v>
      </c>
      <c r="D995" s="89"/>
      <c r="E995" s="89"/>
      <c r="F995" s="56" t="s">
        <v>1540</v>
      </c>
      <c r="G995" s="54">
        <f>649*1</f>
        <v>649</v>
      </c>
      <c r="H995" s="349">
        <v>2.19</v>
      </c>
      <c r="I995" s="54">
        <f t="shared" si="143"/>
        <v>1421.31</v>
      </c>
      <c r="J995" s="132"/>
      <c r="K995" s="54">
        <f t="shared" si="142"/>
        <v>31474.68</v>
      </c>
    </row>
    <row r="996" spans="3:11" ht="14" x14ac:dyDescent="0.3">
      <c r="C996" s="88">
        <v>45622</v>
      </c>
      <c r="D996" s="89"/>
      <c r="E996" s="89"/>
      <c r="F996" s="56" t="s">
        <v>1544</v>
      </c>
      <c r="G996" s="54">
        <f>598*50</f>
        <v>29900</v>
      </c>
      <c r="H996" s="349">
        <v>2.19</v>
      </c>
      <c r="I996" s="54">
        <f t="shared" si="143"/>
        <v>65481</v>
      </c>
      <c r="J996" s="132"/>
      <c r="K996" s="54">
        <f t="shared" si="142"/>
        <v>96955.68</v>
      </c>
    </row>
    <row r="997" spans="3:11" ht="14" x14ac:dyDescent="0.3">
      <c r="C997" s="88"/>
      <c r="D997" s="89"/>
      <c r="E997" s="89"/>
      <c r="F997" s="56"/>
      <c r="G997" s="54"/>
      <c r="H997" s="349"/>
      <c r="I997" s="54"/>
      <c r="J997" s="132"/>
      <c r="K997" s="54">
        <f t="shared" si="142"/>
        <v>96955.68</v>
      </c>
    </row>
    <row r="998" spans="3:11" ht="14" x14ac:dyDescent="0.3">
      <c r="C998" s="88"/>
      <c r="D998" s="89"/>
      <c r="E998" s="89"/>
      <c r="F998" s="56"/>
      <c r="G998" s="54"/>
      <c r="H998" s="349"/>
      <c r="I998" s="54"/>
      <c r="J998" s="132"/>
      <c r="K998" s="54">
        <f t="shared" si="142"/>
        <v>96955.68</v>
      </c>
    </row>
    <row r="999" spans="3:11" ht="14" x14ac:dyDescent="0.3">
      <c r="C999" s="88"/>
      <c r="D999" s="89"/>
      <c r="E999" s="89"/>
      <c r="F999" s="56"/>
      <c r="G999" s="54"/>
      <c r="H999" s="349"/>
      <c r="I999" s="54"/>
      <c r="J999" s="132"/>
      <c r="K999" s="54">
        <f t="shared" si="142"/>
        <v>96955.68</v>
      </c>
    </row>
    <row r="1000" spans="3:11" ht="15" x14ac:dyDescent="0.3">
      <c r="C1000" s="88"/>
      <c r="D1000" s="89"/>
      <c r="E1000" s="89"/>
      <c r="F1000" s="109"/>
      <c r="G1000" s="54"/>
      <c r="H1000" s="54"/>
      <c r="I1000" s="54"/>
      <c r="J1000" s="132"/>
      <c r="K1000" s="54">
        <f t="shared" si="142"/>
        <v>96955.68</v>
      </c>
    </row>
    <row r="1003" spans="3:11" ht="15" x14ac:dyDescent="0.3">
      <c r="C1003" s="24" t="s">
        <v>0</v>
      </c>
      <c r="D1003" s="24" t="s">
        <v>49</v>
      </c>
      <c r="E1003" s="24" t="s">
        <v>53</v>
      </c>
      <c r="F1003" s="19" t="s">
        <v>1528</v>
      </c>
      <c r="G1003" s="20" t="s">
        <v>6</v>
      </c>
      <c r="H1003" s="20" t="s">
        <v>7</v>
      </c>
      <c r="I1003" s="24" t="s">
        <v>13</v>
      </c>
      <c r="J1003" s="24" t="s">
        <v>69</v>
      </c>
      <c r="K1003" s="24" t="s">
        <v>57</v>
      </c>
    </row>
    <row r="1004" spans="3:11" ht="14" x14ac:dyDescent="0.3">
      <c r="C1004" s="88"/>
      <c r="D1004" s="89"/>
      <c r="E1004" s="89"/>
      <c r="F1004" s="56"/>
      <c r="G1004" s="54"/>
      <c r="H1004" s="54"/>
      <c r="I1004" s="54"/>
      <c r="J1004" s="132"/>
      <c r="K1004" s="54"/>
    </row>
    <row r="1005" spans="3:11" ht="14" x14ac:dyDescent="0.3">
      <c r="C1005" s="88">
        <v>45623</v>
      </c>
      <c r="D1005" s="89"/>
      <c r="E1005" s="89"/>
      <c r="F1005" s="56" t="s">
        <v>1545</v>
      </c>
      <c r="G1005" s="54">
        <f>46*644</f>
        <v>29624</v>
      </c>
      <c r="H1005" s="349">
        <v>2.19</v>
      </c>
      <c r="I1005" s="54">
        <f>G1005*H1005</f>
        <v>64876.56</v>
      </c>
      <c r="J1005" s="132"/>
      <c r="K1005" s="54">
        <f t="shared" ref="K1005:K1012" si="144">K1004+I1005-J1005</f>
        <v>64876.56</v>
      </c>
    </row>
    <row r="1006" spans="3:11" ht="14" x14ac:dyDescent="0.3">
      <c r="C1006" s="88">
        <v>45623</v>
      </c>
      <c r="D1006" s="89"/>
      <c r="E1006" s="89"/>
      <c r="F1006" s="56" t="s">
        <v>1546</v>
      </c>
      <c r="G1006" s="349">
        <f>10*530</f>
        <v>5300</v>
      </c>
      <c r="H1006" s="349">
        <v>2.19</v>
      </c>
      <c r="I1006" s="54">
        <f>G1006*H1006</f>
        <v>11607</v>
      </c>
      <c r="J1006" s="132"/>
      <c r="K1006" s="54">
        <f t="shared" si="144"/>
        <v>76483.56</v>
      </c>
    </row>
    <row r="1007" spans="3:11" ht="14" x14ac:dyDescent="0.3">
      <c r="C1007" s="88">
        <v>45623</v>
      </c>
      <c r="D1007" s="89"/>
      <c r="E1007" s="89"/>
      <c r="F1007" s="56" t="s">
        <v>1547</v>
      </c>
      <c r="G1007" s="349">
        <f>5*649</f>
        <v>3245</v>
      </c>
      <c r="H1007" s="349">
        <v>2.19</v>
      </c>
      <c r="I1007" s="54">
        <f>G1007*H1007</f>
        <v>7106.55</v>
      </c>
      <c r="J1007" s="132"/>
      <c r="K1007" s="54">
        <f t="shared" si="144"/>
        <v>83590.11</v>
      </c>
    </row>
    <row r="1008" spans="3:11" ht="14" x14ac:dyDescent="0.3">
      <c r="C1008" s="88">
        <v>45623</v>
      </c>
      <c r="D1008" s="89"/>
      <c r="E1008" s="89"/>
      <c r="F1008" s="56" t="s">
        <v>1548</v>
      </c>
      <c r="G1008" s="349">
        <f>4*649</f>
        <v>2596</v>
      </c>
      <c r="H1008" s="349">
        <v>2.19</v>
      </c>
      <c r="I1008" s="54">
        <f t="shared" ref="I1008:I1009" si="145">G1008*H1008</f>
        <v>5685.24</v>
      </c>
      <c r="J1008" s="132"/>
      <c r="K1008" s="54">
        <f t="shared" si="144"/>
        <v>89275.35</v>
      </c>
    </row>
    <row r="1009" spans="3:11" ht="14" x14ac:dyDescent="0.3">
      <c r="C1009" s="88">
        <v>45623</v>
      </c>
      <c r="D1009" s="89"/>
      <c r="E1009" s="89"/>
      <c r="F1009" s="56" t="s">
        <v>1549</v>
      </c>
      <c r="G1009" s="54">
        <f>2*529</f>
        <v>1058</v>
      </c>
      <c r="H1009" s="349">
        <v>2.19</v>
      </c>
      <c r="I1009" s="54">
        <f t="shared" si="145"/>
        <v>2317.02</v>
      </c>
      <c r="J1009" s="132"/>
      <c r="K1009" s="54">
        <f t="shared" si="144"/>
        <v>91592.37000000001</v>
      </c>
    </row>
    <row r="1010" spans="3:11" ht="14" x14ac:dyDescent="0.3">
      <c r="C1010" s="88">
        <v>45623</v>
      </c>
      <c r="D1010" s="89"/>
      <c r="E1010" s="89"/>
      <c r="F1010" s="56" t="s">
        <v>1550</v>
      </c>
      <c r="G1010" s="54">
        <f>3*649</f>
        <v>1947</v>
      </c>
      <c r="H1010" s="349">
        <v>2.19</v>
      </c>
      <c r="I1010" s="54">
        <f t="shared" ref="I1010" si="146">G1010*H1010</f>
        <v>4263.93</v>
      </c>
      <c r="J1010" s="132"/>
      <c r="K1010" s="54">
        <f t="shared" si="144"/>
        <v>95856.300000000017</v>
      </c>
    </row>
    <row r="1011" spans="3:11" ht="14" x14ac:dyDescent="0.3">
      <c r="C1011" s="88"/>
      <c r="D1011" s="89"/>
      <c r="E1011" s="89"/>
      <c r="F1011" s="56"/>
      <c r="G1011" s="54"/>
      <c r="H1011" s="349"/>
      <c r="I1011" s="54"/>
      <c r="J1011" s="132"/>
      <c r="K1011" s="54">
        <f t="shared" si="144"/>
        <v>95856.300000000017</v>
      </c>
    </row>
    <row r="1012" spans="3:11" ht="15" x14ac:dyDescent="0.3">
      <c r="C1012" s="88"/>
      <c r="D1012" s="89"/>
      <c r="E1012" s="89"/>
      <c r="F1012" s="109"/>
      <c r="G1012" s="54"/>
      <c r="H1012" s="54"/>
      <c r="I1012" s="54"/>
      <c r="J1012" s="132"/>
      <c r="K1012" s="54">
        <f t="shared" si="144"/>
        <v>95856.300000000017</v>
      </c>
    </row>
    <row r="1015" spans="3:11" ht="15" x14ac:dyDescent="0.3">
      <c r="C1015" s="24" t="s">
        <v>0</v>
      </c>
      <c r="D1015" s="24" t="s">
        <v>49</v>
      </c>
      <c r="E1015" s="24" t="s">
        <v>53</v>
      </c>
      <c r="F1015" s="19" t="s">
        <v>1528</v>
      </c>
      <c r="G1015" s="20" t="s">
        <v>6</v>
      </c>
      <c r="H1015" s="20" t="s">
        <v>7</v>
      </c>
      <c r="I1015" s="24" t="s">
        <v>13</v>
      </c>
      <c r="J1015" s="24" t="s">
        <v>69</v>
      </c>
      <c r="K1015" s="24" t="s">
        <v>57</v>
      </c>
    </row>
    <row r="1016" spans="3:11" ht="14" x14ac:dyDescent="0.3">
      <c r="C1016" s="88"/>
      <c r="D1016" s="89"/>
      <c r="E1016" s="89"/>
      <c r="F1016" s="56"/>
      <c r="G1016" s="54"/>
      <c r="H1016" s="54"/>
      <c r="I1016" s="54"/>
      <c r="J1016" s="132"/>
      <c r="K1016" s="54"/>
    </row>
    <row r="1017" spans="3:11" ht="14" x14ac:dyDescent="0.3">
      <c r="C1017" s="88">
        <v>45624</v>
      </c>
      <c r="D1017" s="89"/>
      <c r="E1017" s="89"/>
      <c r="F1017" s="56" t="s">
        <v>1551</v>
      </c>
      <c r="G1017" s="54">
        <f>649*1</f>
        <v>649</v>
      </c>
      <c r="H1017" s="349">
        <v>2.19</v>
      </c>
      <c r="I1017" s="54">
        <f>G1017*H1017</f>
        <v>1421.31</v>
      </c>
      <c r="J1017" s="132"/>
      <c r="K1017" s="54">
        <f t="shared" ref="K1017:K1024" si="147">K1016+I1017-J1017</f>
        <v>1421.31</v>
      </c>
    </row>
    <row r="1018" spans="3:11" ht="14" x14ac:dyDescent="0.3">
      <c r="C1018" s="88">
        <v>45624</v>
      </c>
      <c r="D1018" s="89"/>
      <c r="E1018" s="89"/>
      <c r="F1018" s="56" t="s">
        <v>1552</v>
      </c>
      <c r="G1018" s="54">
        <f>649*2</f>
        <v>1298</v>
      </c>
      <c r="H1018" s="349">
        <v>2.19</v>
      </c>
      <c r="I1018" s="54">
        <f>G1018*H1018</f>
        <v>2842.62</v>
      </c>
      <c r="J1018" s="132"/>
      <c r="K1018" s="54">
        <f t="shared" si="147"/>
        <v>4263.93</v>
      </c>
    </row>
    <row r="1019" spans="3:11" ht="14" x14ac:dyDescent="0.3">
      <c r="C1019" s="88">
        <v>45624</v>
      </c>
      <c r="D1019" s="89"/>
      <c r="E1019" s="89"/>
      <c r="F1019" s="56" t="s">
        <v>1553</v>
      </c>
      <c r="G1019" s="54">
        <f>649*10</f>
        <v>6490</v>
      </c>
      <c r="H1019" s="349">
        <v>2.19</v>
      </c>
      <c r="I1019" s="54">
        <f>G1019*H1019</f>
        <v>14213.1</v>
      </c>
      <c r="J1019" s="132"/>
      <c r="K1019" s="54">
        <f t="shared" si="147"/>
        <v>18477.03</v>
      </c>
    </row>
    <row r="1020" spans="3:11" ht="14" x14ac:dyDescent="0.3">
      <c r="C1020" s="88">
        <v>45624</v>
      </c>
      <c r="D1020" s="89"/>
      <c r="E1020" s="89"/>
      <c r="F1020" s="56" t="s">
        <v>1554</v>
      </c>
      <c r="G1020" s="54">
        <f>530*23</f>
        <v>12190</v>
      </c>
      <c r="H1020" s="349">
        <v>2.19</v>
      </c>
      <c r="I1020" s="54">
        <f t="shared" ref="I1020:I1021" si="148">G1020*H1020</f>
        <v>26696.1</v>
      </c>
      <c r="J1020" s="132"/>
      <c r="K1020" s="54">
        <f t="shared" si="147"/>
        <v>45173.13</v>
      </c>
    </row>
    <row r="1021" spans="3:11" ht="14" x14ac:dyDescent="0.3">
      <c r="C1021" s="88">
        <v>45624</v>
      </c>
      <c r="D1021" s="89"/>
      <c r="E1021" s="89"/>
      <c r="F1021" s="56" t="s">
        <v>1555</v>
      </c>
      <c r="G1021" s="54">
        <f>649*20</f>
        <v>12980</v>
      </c>
      <c r="H1021" s="349">
        <v>2.19</v>
      </c>
      <c r="I1021" s="54">
        <f t="shared" si="148"/>
        <v>28426.2</v>
      </c>
      <c r="J1021" s="132"/>
      <c r="K1021" s="54">
        <f t="shared" si="147"/>
        <v>73599.33</v>
      </c>
    </row>
    <row r="1022" spans="3:11" ht="14" x14ac:dyDescent="0.3">
      <c r="C1022" s="88"/>
      <c r="D1022" s="89"/>
      <c r="E1022" s="89"/>
      <c r="F1022" s="56"/>
      <c r="G1022" s="54"/>
      <c r="H1022" s="349"/>
      <c r="I1022" s="54"/>
      <c r="J1022" s="132"/>
      <c r="K1022" s="54">
        <f t="shared" si="147"/>
        <v>73599.33</v>
      </c>
    </row>
    <row r="1023" spans="3:11" ht="14" x14ac:dyDescent="0.3">
      <c r="C1023" s="88"/>
      <c r="D1023" s="89"/>
      <c r="E1023" s="89"/>
      <c r="F1023" s="56"/>
      <c r="G1023" s="54"/>
      <c r="H1023" s="349"/>
      <c r="I1023" s="54"/>
      <c r="J1023" s="132"/>
      <c r="K1023" s="54">
        <f t="shared" si="147"/>
        <v>73599.33</v>
      </c>
    </row>
    <row r="1024" spans="3:11" ht="15" x14ac:dyDescent="0.3">
      <c r="C1024" s="88"/>
      <c r="D1024" s="89"/>
      <c r="E1024" s="89"/>
      <c r="F1024" s="109"/>
      <c r="G1024" s="54"/>
      <c r="H1024" s="54"/>
      <c r="I1024" s="54"/>
      <c r="J1024" s="132"/>
      <c r="K1024" s="54">
        <f t="shared" si="147"/>
        <v>73599.33</v>
      </c>
    </row>
    <row r="1027" spans="3:11" ht="15" x14ac:dyDescent="0.3">
      <c r="C1027" s="24" t="s">
        <v>0</v>
      </c>
      <c r="D1027" s="24" t="s">
        <v>49</v>
      </c>
      <c r="E1027" s="24" t="s">
        <v>53</v>
      </c>
      <c r="F1027" s="19" t="s">
        <v>1528</v>
      </c>
      <c r="G1027" s="20" t="s">
        <v>6</v>
      </c>
      <c r="H1027" s="20" t="s">
        <v>7</v>
      </c>
      <c r="I1027" s="24" t="s">
        <v>13</v>
      </c>
      <c r="J1027" s="24" t="s">
        <v>69</v>
      </c>
      <c r="K1027" s="24" t="s">
        <v>57</v>
      </c>
    </row>
    <row r="1028" spans="3:11" ht="14" x14ac:dyDescent="0.3">
      <c r="C1028" s="88"/>
      <c r="D1028" s="89"/>
      <c r="E1028" s="89"/>
      <c r="F1028" s="56"/>
      <c r="G1028" s="54"/>
      <c r="H1028" s="54"/>
      <c r="I1028" s="54"/>
      <c r="J1028" s="132"/>
      <c r="K1028" s="54"/>
    </row>
    <row r="1029" spans="3:11" ht="14" x14ac:dyDescent="0.3">
      <c r="C1029" s="88">
        <v>45625</v>
      </c>
      <c r="D1029" s="89"/>
      <c r="E1029" s="89"/>
      <c r="F1029" s="56" t="s">
        <v>1558</v>
      </c>
      <c r="G1029" s="54">
        <f>530*22</f>
        <v>11660</v>
      </c>
      <c r="H1029" s="349">
        <v>2.19</v>
      </c>
      <c r="I1029" s="54">
        <f>G1029*H1029</f>
        <v>25535.399999999998</v>
      </c>
      <c r="J1029" s="132"/>
      <c r="K1029" s="54">
        <f t="shared" ref="K1029:K1035" si="149">K1028+I1029-J1029</f>
        <v>25535.399999999998</v>
      </c>
    </row>
    <row r="1030" spans="3:11" ht="14" x14ac:dyDescent="0.3">
      <c r="C1030" s="88">
        <v>45625</v>
      </c>
      <c r="D1030" s="89"/>
      <c r="E1030" s="89"/>
      <c r="F1030" s="56" t="s">
        <v>1559</v>
      </c>
      <c r="G1030" s="54">
        <f>649*100</f>
        <v>64900</v>
      </c>
      <c r="H1030" s="349">
        <v>2.19</v>
      </c>
      <c r="I1030" s="54">
        <f>G1030*H1030</f>
        <v>142131</v>
      </c>
      <c r="J1030" s="132"/>
      <c r="K1030" s="54">
        <f t="shared" si="149"/>
        <v>167666.4</v>
      </c>
    </row>
    <row r="1031" spans="3:11" ht="14" x14ac:dyDescent="0.3">
      <c r="C1031" s="88"/>
      <c r="D1031" s="89"/>
      <c r="E1031" s="89"/>
      <c r="F1031" s="56"/>
      <c r="G1031" s="54"/>
      <c r="H1031" s="349"/>
      <c r="I1031" s="54"/>
      <c r="J1031" s="132"/>
      <c r="K1031" s="54">
        <f t="shared" si="149"/>
        <v>167666.4</v>
      </c>
    </row>
    <row r="1032" spans="3:11" ht="14" x14ac:dyDescent="0.3">
      <c r="C1032" s="88"/>
      <c r="D1032" s="89"/>
      <c r="E1032" s="89"/>
      <c r="F1032" s="56"/>
      <c r="G1032" s="54"/>
      <c r="H1032" s="349"/>
      <c r="I1032" s="54"/>
      <c r="J1032" s="132"/>
      <c r="K1032" s="54">
        <f t="shared" si="149"/>
        <v>167666.4</v>
      </c>
    </row>
    <row r="1033" spans="3:11" ht="14" x14ac:dyDescent="0.3">
      <c r="C1033" s="88"/>
      <c r="D1033" s="89"/>
      <c r="E1033" s="89"/>
      <c r="F1033" s="56"/>
      <c r="G1033" s="54"/>
      <c r="H1033" s="349"/>
      <c r="I1033" s="54"/>
      <c r="J1033" s="132"/>
      <c r="K1033" s="54">
        <f t="shared" si="149"/>
        <v>167666.4</v>
      </c>
    </row>
    <row r="1034" spans="3:11" ht="14" x14ac:dyDescent="0.3">
      <c r="C1034" s="88"/>
      <c r="D1034" s="89"/>
      <c r="E1034" s="89"/>
      <c r="F1034" s="56"/>
      <c r="G1034" s="54"/>
      <c r="H1034" s="349"/>
      <c r="I1034" s="54"/>
      <c r="J1034" s="132"/>
      <c r="K1034" s="54">
        <f t="shared" si="149"/>
        <v>167666.4</v>
      </c>
    </row>
    <row r="1035" spans="3:11" ht="15" x14ac:dyDescent="0.3">
      <c r="C1035" s="88"/>
      <c r="D1035" s="89"/>
      <c r="E1035" s="89"/>
      <c r="F1035" s="109"/>
      <c r="G1035" s="54"/>
      <c r="H1035" s="54"/>
      <c r="I1035" s="54"/>
      <c r="J1035" s="132"/>
      <c r="K1035" s="54">
        <f t="shared" si="149"/>
        <v>167666.4</v>
      </c>
    </row>
    <row r="1038" spans="3:11" ht="15" x14ac:dyDescent="0.3">
      <c r="C1038" s="24" t="s">
        <v>0</v>
      </c>
      <c r="D1038" s="24" t="s">
        <v>49</v>
      </c>
      <c r="E1038" s="24" t="s">
        <v>53</v>
      </c>
      <c r="F1038" s="19" t="s">
        <v>1539</v>
      </c>
      <c r="G1038" s="20" t="s">
        <v>6</v>
      </c>
      <c r="H1038" s="20" t="s">
        <v>7</v>
      </c>
      <c r="I1038" s="24" t="s">
        <v>13</v>
      </c>
      <c r="J1038" s="24" t="s">
        <v>69</v>
      </c>
      <c r="K1038" s="24" t="s">
        <v>57</v>
      </c>
    </row>
    <row r="1039" spans="3:11" ht="14" x14ac:dyDescent="0.3">
      <c r="C1039" s="88"/>
      <c r="D1039" s="89"/>
      <c r="E1039" s="89"/>
      <c r="F1039" s="56"/>
      <c r="G1039" s="54"/>
      <c r="H1039" s="54"/>
      <c r="I1039" s="54"/>
      <c r="J1039" s="132"/>
      <c r="K1039" s="54"/>
    </row>
    <row r="1040" spans="3:11" ht="14" x14ac:dyDescent="0.3">
      <c r="C1040" s="88">
        <v>45627</v>
      </c>
      <c r="D1040" s="89"/>
      <c r="E1040" s="89"/>
      <c r="F1040" s="56" t="s">
        <v>1563</v>
      </c>
      <c r="G1040" s="54">
        <f>13*549</f>
        <v>7137</v>
      </c>
      <c r="H1040" s="466">
        <v>2.375</v>
      </c>
      <c r="I1040" s="54">
        <f>G1040*H1040</f>
        <v>16950.375</v>
      </c>
      <c r="J1040" s="132"/>
      <c r="K1040" s="54">
        <f t="shared" ref="K1040:K1045" si="150">K1039+I1040-J1040</f>
        <v>16950.375</v>
      </c>
    </row>
    <row r="1041" spans="2:11" ht="14" x14ac:dyDescent="0.3">
      <c r="C1041" s="88">
        <v>45627</v>
      </c>
      <c r="D1041" s="89"/>
      <c r="E1041" s="89"/>
      <c r="F1041" s="56" t="s">
        <v>1564</v>
      </c>
      <c r="G1041" s="54">
        <f>2*520</f>
        <v>1040</v>
      </c>
      <c r="H1041" s="466">
        <v>2.375</v>
      </c>
      <c r="I1041" s="54">
        <f>G1041*H1041</f>
        <v>2470</v>
      </c>
      <c r="J1041" s="132"/>
      <c r="K1041" s="54">
        <f t="shared" si="150"/>
        <v>19420.375</v>
      </c>
    </row>
    <row r="1042" spans="2:11" ht="14" x14ac:dyDescent="0.3">
      <c r="C1042" s="88"/>
      <c r="D1042" s="89"/>
      <c r="E1042" s="89"/>
      <c r="F1042" s="56"/>
      <c r="G1042" s="54"/>
      <c r="H1042" s="349"/>
      <c r="I1042" s="54"/>
      <c r="J1042" s="132"/>
      <c r="K1042" s="54">
        <f t="shared" si="150"/>
        <v>19420.375</v>
      </c>
    </row>
    <row r="1043" spans="2:11" ht="14" x14ac:dyDescent="0.3">
      <c r="C1043" s="88">
        <v>45626</v>
      </c>
      <c r="D1043" s="89"/>
      <c r="E1043" s="89"/>
      <c r="F1043" s="56" t="s">
        <v>1560</v>
      </c>
      <c r="G1043" s="54">
        <f>6*549</f>
        <v>3294</v>
      </c>
      <c r="H1043" s="466">
        <v>2.375</v>
      </c>
      <c r="I1043" s="54">
        <f t="shared" ref="I1043" si="151">G1043*H1043</f>
        <v>7823.25</v>
      </c>
      <c r="J1043" s="132"/>
      <c r="K1043" s="54">
        <f t="shared" si="150"/>
        <v>27243.625</v>
      </c>
    </row>
    <row r="1044" spans="2:11" ht="14" x14ac:dyDescent="0.3">
      <c r="C1044" s="88"/>
      <c r="D1044" s="89"/>
      <c r="E1044" s="89"/>
      <c r="F1044" s="56"/>
      <c r="G1044" s="54"/>
      <c r="H1044" s="349"/>
      <c r="I1044" s="54"/>
      <c r="J1044" s="132"/>
      <c r="K1044" s="54">
        <f t="shared" si="150"/>
        <v>27243.625</v>
      </c>
    </row>
    <row r="1045" spans="2:11" ht="15" x14ac:dyDescent="0.3">
      <c r="C1045" s="88"/>
      <c r="D1045" s="89"/>
      <c r="E1045" s="89"/>
      <c r="F1045" s="109"/>
      <c r="G1045" s="54"/>
      <c r="H1045" s="54"/>
      <c r="I1045" s="54"/>
      <c r="J1045" s="132"/>
      <c r="K1045" s="54">
        <f t="shared" si="150"/>
        <v>27243.625</v>
      </c>
    </row>
    <row r="1048" spans="2:11" ht="15" x14ac:dyDescent="0.3">
      <c r="C1048" s="24" t="s">
        <v>0</v>
      </c>
      <c r="D1048" s="24" t="s">
        <v>49</v>
      </c>
      <c r="E1048" s="24" t="s">
        <v>53</v>
      </c>
      <c r="F1048" s="19" t="s">
        <v>1539</v>
      </c>
      <c r="G1048" s="20" t="s">
        <v>6</v>
      </c>
      <c r="H1048" s="20" t="s">
        <v>7</v>
      </c>
      <c r="I1048" s="24" t="s">
        <v>13</v>
      </c>
      <c r="J1048" s="24" t="s">
        <v>69</v>
      </c>
      <c r="K1048" s="24" t="s">
        <v>57</v>
      </c>
    </row>
    <row r="1049" spans="2:11" ht="14" x14ac:dyDescent="0.3">
      <c r="C1049" s="88"/>
      <c r="D1049" s="89"/>
      <c r="E1049" s="89"/>
      <c r="F1049" s="56"/>
      <c r="G1049" s="54"/>
      <c r="H1049" s="54"/>
      <c r="I1049" s="54"/>
      <c r="J1049" s="132"/>
      <c r="K1049" s="54"/>
    </row>
    <row r="1050" spans="2:11" ht="14" x14ac:dyDescent="0.3">
      <c r="C1050" s="88">
        <v>45631</v>
      </c>
      <c r="D1050" s="89"/>
      <c r="E1050" s="89"/>
      <c r="F1050" s="56" t="s">
        <v>1575</v>
      </c>
      <c r="G1050" s="54">
        <f>513*4</f>
        <v>2052</v>
      </c>
      <c r="H1050" s="466">
        <v>2.375</v>
      </c>
      <c r="I1050" s="54">
        <f>G1050*H1050</f>
        <v>4873.5</v>
      </c>
      <c r="J1050" s="132"/>
      <c r="K1050" s="54">
        <f t="shared" ref="K1050:K1057" si="152">K1049+I1050-J1050</f>
        <v>4873.5</v>
      </c>
    </row>
    <row r="1051" spans="2:11" ht="14" x14ac:dyDescent="0.3">
      <c r="C1051" s="88">
        <v>45631</v>
      </c>
      <c r="D1051" s="89"/>
      <c r="E1051" s="89"/>
      <c r="F1051" s="56" t="s">
        <v>1576</v>
      </c>
      <c r="G1051" s="54">
        <f>486*4</f>
        <v>1944</v>
      </c>
      <c r="H1051" s="466">
        <v>2.375</v>
      </c>
      <c r="I1051" s="54">
        <f t="shared" ref="I1051:I1053" si="153">G1051*H1051</f>
        <v>4617</v>
      </c>
      <c r="J1051" s="132"/>
      <c r="K1051" s="54">
        <f t="shared" si="152"/>
        <v>9490.5</v>
      </c>
    </row>
    <row r="1052" spans="2:11" ht="14" x14ac:dyDescent="0.3">
      <c r="C1052" s="88">
        <v>45631</v>
      </c>
      <c r="D1052" s="89"/>
      <c r="E1052" s="89"/>
      <c r="F1052" s="56" t="s">
        <v>1577</v>
      </c>
      <c r="G1052" s="54">
        <f>4*513</f>
        <v>2052</v>
      </c>
      <c r="H1052" s="466">
        <v>2.375</v>
      </c>
      <c r="I1052" s="54">
        <f t="shared" si="153"/>
        <v>4873.5</v>
      </c>
      <c r="J1052" s="132"/>
      <c r="K1052" s="54">
        <f t="shared" si="152"/>
        <v>14364</v>
      </c>
    </row>
    <row r="1053" spans="2:11" ht="14" x14ac:dyDescent="0.3">
      <c r="C1053" s="88">
        <v>45631</v>
      </c>
      <c r="D1053" s="89"/>
      <c r="E1053" s="89"/>
      <c r="F1053" s="56" t="s">
        <v>1578</v>
      </c>
      <c r="G1053" s="54">
        <f>6*513</f>
        <v>3078</v>
      </c>
      <c r="H1053" s="466">
        <v>2.375</v>
      </c>
      <c r="I1053" s="54">
        <f t="shared" si="153"/>
        <v>7310.25</v>
      </c>
      <c r="J1053" s="132"/>
      <c r="K1053" s="54">
        <f t="shared" si="152"/>
        <v>21674.25</v>
      </c>
    </row>
    <row r="1054" spans="2:11" ht="14" x14ac:dyDescent="0.3">
      <c r="C1054" s="88"/>
      <c r="D1054" s="89"/>
      <c r="E1054" s="89"/>
      <c r="F1054" s="56"/>
      <c r="G1054" s="54"/>
      <c r="H1054" s="349"/>
      <c r="I1054" s="54"/>
      <c r="J1054" s="132"/>
      <c r="K1054" s="54">
        <f t="shared" si="152"/>
        <v>21674.25</v>
      </c>
    </row>
    <row r="1055" spans="2:11" ht="14" x14ac:dyDescent="0.3">
      <c r="B1055" s="1" t="s">
        <v>1618</v>
      </c>
      <c r="C1055" s="88">
        <v>45631</v>
      </c>
      <c r="D1055" s="89"/>
      <c r="E1055" s="89"/>
      <c r="F1055" s="56" t="s">
        <v>1619</v>
      </c>
      <c r="G1055" s="54">
        <f>39*133.3</f>
        <v>5198.7000000000007</v>
      </c>
      <c r="H1055" s="466">
        <v>2.375</v>
      </c>
      <c r="I1055" s="54">
        <f t="shared" ref="I1055" si="154">G1055*H1055</f>
        <v>12346.912500000002</v>
      </c>
      <c r="J1055" s="132"/>
      <c r="K1055" s="54">
        <f t="shared" si="152"/>
        <v>34021.162500000006</v>
      </c>
    </row>
    <row r="1056" spans="2:11" ht="14" x14ac:dyDescent="0.3">
      <c r="C1056" s="88"/>
      <c r="D1056" s="89"/>
      <c r="E1056" s="89"/>
      <c r="F1056" s="56"/>
      <c r="G1056" s="54"/>
      <c r="H1056" s="349"/>
      <c r="I1056" s="54"/>
      <c r="J1056" s="132"/>
      <c r="K1056" s="54">
        <f t="shared" si="152"/>
        <v>34021.162500000006</v>
      </c>
    </row>
    <row r="1057" spans="3:11" ht="15" x14ac:dyDescent="0.3">
      <c r="C1057" s="88"/>
      <c r="D1057" s="89"/>
      <c r="E1057" s="89"/>
      <c r="F1057" s="109"/>
      <c r="G1057" s="54"/>
      <c r="H1057" s="54"/>
      <c r="I1057" s="54"/>
      <c r="J1057" s="132"/>
      <c r="K1057" s="54">
        <f t="shared" si="152"/>
        <v>34021.162500000006</v>
      </c>
    </row>
    <row r="1060" spans="3:11" ht="15" x14ac:dyDescent="0.3">
      <c r="C1060" s="24" t="s">
        <v>0</v>
      </c>
      <c r="D1060" s="24" t="s">
        <v>49</v>
      </c>
      <c r="E1060" s="24" t="s">
        <v>53</v>
      </c>
      <c r="F1060" s="19" t="s">
        <v>1539</v>
      </c>
      <c r="G1060" s="20" t="s">
        <v>6</v>
      </c>
      <c r="H1060" s="20" t="s">
        <v>7</v>
      </c>
      <c r="I1060" s="24" t="s">
        <v>13</v>
      </c>
      <c r="J1060" s="24" t="s">
        <v>69</v>
      </c>
      <c r="K1060" s="24" t="s">
        <v>57</v>
      </c>
    </row>
    <row r="1061" spans="3:11" ht="14" x14ac:dyDescent="0.3">
      <c r="C1061" s="88"/>
      <c r="D1061" s="89"/>
      <c r="E1061" s="89"/>
      <c r="F1061" s="56"/>
      <c r="G1061" s="54"/>
      <c r="H1061" s="54"/>
      <c r="I1061" s="54"/>
      <c r="J1061" s="132"/>
      <c r="K1061" s="54"/>
    </row>
    <row r="1062" spans="3:11" ht="14" x14ac:dyDescent="0.3">
      <c r="C1062" s="88">
        <v>45632</v>
      </c>
      <c r="D1062" s="89"/>
      <c r="E1062" s="89"/>
      <c r="F1062" s="56" t="s">
        <v>1579</v>
      </c>
      <c r="G1062" s="54">
        <f>5*549</f>
        <v>2745</v>
      </c>
      <c r="H1062" s="466">
        <v>2.375</v>
      </c>
      <c r="I1062" s="54">
        <f>G1062*H1062</f>
        <v>6519.375</v>
      </c>
      <c r="J1062" s="132"/>
      <c r="K1062" s="54">
        <f t="shared" ref="K1062:K1066" si="155">K1061+I1062-J1062</f>
        <v>6519.375</v>
      </c>
    </row>
    <row r="1063" spans="3:11" ht="14" x14ac:dyDescent="0.3">
      <c r="C1063" s="88">
        <v>45632</v>
      </c>
      <c r="D1063" s="89"/>
      <c r="E1063" s="89"/>
      <c r="F1063" s="56" t="s">
        <v>1580</v>
      </c>
      <c r="G1063" s="54">
        <f>25*69.2</f>
        <v>1730</v>
      </c>
      <c r="H1063" s="466">
        <v>2.375</v>
      </c>
      <c r="I1063" s="54">
        <f t="shared" ref="I1063" si="156">G1063*H1063</f>
        <v>4108.75</v>
      </c>
      <c r="J1063" s="132"/>
      <c r="K1063" s="54">
        <f t="shared" si="155"/>
        <v>10628.125</v>
      </c>
    </row>
    <row r="1064" spans="3:11" ht="14" x14ac:dyDescent="0.3">
      <c r="C1064" s="88"/>
      <c r="D1064" s="89"/>
      <c r="E1064" s="89"/>
      <c r="F1064" s="56"/>
      <c r="G1064" s="54"/>
      <c r="H1064" s="349"/>
      <c r="I1064" s="54"/>
      <c r="J1064" s="132"/>
      <c r="K1064" s="54">
        <f t="shared" si="155"/>
        <v>10628.125</v>
      </c>
    </row>
    <row r="1065" spans="3:11" ht="14" x14ac:dyDescent="0.3">
      <c r="C1065" s="88"/>
      <c r="D1065" s="89"/>
      <c r="E1065" s="89"/>
      <c r="F1065" s="56"/>
      <c r="G1065" s="54"/>
      <c r="H1065" s="349"/>
      <c r="I1065" s="54"/>
      <c r="J1065" s="132"/>
      <c r="K1065" s="54">
        <f t="shared" si="155"/>
        <v>10628.125</v>
      </c>
    </row>
    <row r="1066" spans="3:11" ht="15" x14ac:dyDescent="0.3">
      <c r="C1066" s="88"/>
      <c r="D1066" s="89"/>
      <c r="E1066" s="89"/>
      <c r="F1066" s="109"/>
      <c r="G1066" s="54"/>
      <c r="H1066" s="54"/>
      <c r="I1066" s="54"/>
      <c r="J1066" s="132"/>
      <c r="K1066" s="54">
        <f t="shared" si="155"/>
        <v>10628.125</v>
      </c>
    </row>
    <row r="1069" spans="3:11" ht="15" x14ac:dyDescent="0.3">
      <c r="C1069" s="24" t="s">
        <v>0</v>
      </c>
      <c r="D1069" s="24" t="s">
        <v>49</v>
      </c>
      <c r="E1069" s="24" t="s">
        <v>53</v>
      </c>
      <c r="F1069" s="19" t="s">
        <v>1528</v>
      </c>
      <c r="G1069" s="20" t="s">
        <v>6</v>
      </c>
      <c r="H1069" s="20" t="s">
        <v>7</v>
      </c>
      <c r="I1069" s="24" t="s">
        <v>13</v>
      </c>
      <c r="J1069" s="24" t="s">
        <v>69</v>
      </c>
      <c r="K1069" s="24" t="s">
        <v>57</v>
      </c>
    </row>
    <row r="1070" spans="3:11" ht="14" x14ac:dyDescent="0.3">
      <c r="C1070" s="88"/>
      <c r="D1070" s="89"/>
      <c r="E1070" s="89"/>
      <c r="F1070" s="56"/>
      <c r="G1070" s="54"/>
      <c r="H1070" s="54"/>
      <c r="I1070" s="54"/>
      <c r="J1070" s="132"/>
      <c r="K1070" s="54"/>
    </row>
    <row r="1071" spans="3:11" ht="14" x14ac:dyDescent="0.3">
      <c r="C1071" s="88">
        <v>45635</v>
      </c>
      <c r="D1071" s="89"/>
      <c r="E1071" s="89"/>
      <c r="F1071" s="56" t="s">
        <v>1582</v>
      </c>
      <c r="G1071" s="54">
        <f>8*649</f>
        <v>5192</v>
      </c>
      <c r="H1071" s="349">
        <v>2.19</v>
      </c>
      <c r="I1071" s="54">
        <f>G1071*H1071</f>
        <v>11370.48</v>
      </c>
      <c r="J1071" s="132"/>
      <c r="K1071" s="54">
        <f t="shared" ref="K1071:K1076" si="157">K1070+I1071-J1071</f>
        <v>11370.48</v>
      </c>
    </row>
    <row r="1072" spans="3:11" ht="14" x14ac:dyDescent="0.3">
      <c r="C1072" s="88">
        <v>45635</v>
      </c>
      <c r="D1072" s="89"/>
      <c r="E1072" s="89"/>
      <c r="F1072" s="56" t="s">
        <v>1583</v>
      </c>
      <c r="G1072" s="54">
        <f>1*695</f>
        <v>695</v>
      </c>
      <c r="H1072" s="349">
        <v>2.19</v>
      </c>
      <c r="I1072" s="54">
        <f t="shared" ref="I1072:I1073" si="158">G1072*H1072</f>
        <v>1522.05</v>
      </c>
      <c r="J1072" s="132"/>
      <c r="K1072" s="54">
        <f t="shared" si="157"/>
        <v>12892.529999999999</v>
      </c>
    </row>
    <row r="1073" spans="2:11" ht="14" x14ac:dyDescent="0.3">
      <c r="C1073" s="88">
        <v>45635</v>
      </c>
      <c r="D1073" s="89"/>
      <c r="E1073" s="89"/>
      <c r="F1073" s="56" t="s">
        <v>1585</v>
      </c>
      <c r="G1073" s="54">
        <f>1*599</f>
        <v>599</v>
      </c>
      <c r="H1073" s="349">
        <v>2.19</v>
      </c>
      <c r="I1073" s="54">
        <f t="shared" si="158"/>
        <v>1311.81</v>
      </c>
      <c r="J1073" s="132"/>
      <c r="K1073" s="54">
        <f t="shared" si="157"/>
        <v>14204.339999999998</v>
      </c>
    </row>
    <row r="1074" spans="2:11" ht="14" x14ac:dyDescent="0.3">
      <c r="B1074" s="378" t="s">
        <v>1617</v>
      </c>
      <c r="C1074" s="385">
        <v>45635</v>
      </c>
      <c r="D1074" s="106"/>
      <c r="E1074" s="106"/>
      <c r="F1074" s="77" t="s">
        <v>1584</v>
      </c>
      <c r="G1074" s="136">
        <v>0</v>
      </c>
      <c r="H1074" s="459">
        <v>2.19</v>
      </c>
      <c r="I1074" s="136">
        <f t="shared" ref="I1074" si="159">G1074*H1074</f>
        <v>0</v>
      </c>
      <c r="J1074" s="137"/>
      <c r="K1074" s="136">
        <f t="shared" si="157"/>
        <v>14204.339999999998</v>
      </c>
    </row>
    <row r="1075" spans="2:11" ht="14" x14ac:dyDescent="0.3">
      <c r="C1075" s="88"/>
      <c r="D1075" s="89"/>
      <c r="E1075" s="89"/>
      <c r="F1075" s="56"/>
      <c r="G1075" s="54"/>
      <c r="H1075" s="349"/>
      <c r="I1075" s="54"/>
      <c r="J1075" s="132"/>
      <c r="K1075" s="54">
        <f t="shared" si="157"/>
        <v>14204.339999999998</v>
      </c>
    </row>
    <row r="1076" spans="2:11" ht="15" x14ac:dyDescent="0.3">
      <c r="C1076" s="88"/>
      <c r="D1076" s="89"/>
      <c r="E1076" s="89"/>
      <c r="F1076" s="109"/>
      <c r="G1076" s="54"/>
      <c r="H1076" s="54"/>
      <c r="I1076" s="54"/>
      <c r="J1076" s="132"/>
      <c r="K1076" s="54">
        <f t="shared" si="157"/>
        <v>14204.339999999998</v>
      </c>
    </row>
    <row r="1079" spans="2:11" ht="15" x14ac:dyDescent="0.3">
      <c r="C1079" s="24" t="s">
        <v>0</v>
      </c>
      <c r="D1079" s="24" t="s">
        <v>49</v>
      </c>
      <c r="E1079" s="24" t="s">
        <v>53</v>
      </c>
      <c r="F1079" s="19" t="s">
        <v>1528</v>
      </c>
      <c r="G1079" s="20" t="s">
        <v>6</v>
      </c>
      <c r="H1079" s="20" t="s">
        <v>7</v>
      </c>
      <c r="I1079" s="24" t="s">
        <v>13</v>
      </c>
      <c r="J1079" s="24" t="s">
        <v>69</v>
      </c>
      <c r="K1079" s="24" t="s">
        <v>57</v>
      </c>
    </row>
    <row r="1080" spans="2:11" ht="14" x14ac:dyDescent="0.3">
      <c r="C1080" s="88"/>
      <c r="D1080" s="89"/>
      <c r="E1080" s="89"/>
      <c r="F1080" s="56"/>
      <c r="G1080" s="54"/>
      <c r="H1080" s="54"/>
      <c r="I1080" s="54"/>
      <c r="J1080" s="132"/>
      <c r="K1080" s="54"/>
    </row>
    <row r="1081" spans="2:11" ht="14" x14ac:dyDescent="0.3">
      <c r="C1081" s="88">
        <v>45636</v>
      </c>
      <c r="D1081" s="89"/>
      <c r="E1081" s="89"/>
      <c r="F1081" s="56" t="s">
        <v>1585</v>
      </c>
      <c r="G1081" s="54">
        <f>1*599</f>
        <v>599</v>
      </c>
      <c r="H1081" s="349">
        <v>2.19</v>
      </c>
      <c r="I1081" s="54">
        <f>G1081*H1081</f>
        <v>1311.81</v>
      </c>
      <c r="J1081" s="132"/>
      <c r="K1081" s="54">
        <f t="shared" ref="K1081:K1086" si="160">K1080+I1081-J1081</f>
        <v>1311.81</v>
      </c>
    </row>
    <row r="1082" spans="2:11" ht="14" x14ac:dyDescent="0.3">
      <c r="C1082" s="88">
        <v>45636</v>
      </c>
      <c r="D1082" s="89"/>
      <c r="E1082" s="89"/>
      <c r="F1082" s="56" t="s">
        <v>1586</v>
      </c>
      <c r="G1082" s="54">
        <f>2*550</f>
        <v>1100</v>
      </c>
      <c r="H1082" s="349">
        <v>2.19</v>
      </c>
      <c r="I1082" s="54">
        <f t="shared" ref="I1082:I1084" si="161">G1082*H1082</f>
        <v>2409</v>
      </c>
      <c r="J1082" s="132"/>
      <c r="K1082" s="54">
        <f t="shared" si="160"/>
        <v>3720.81</v>
      </c>
    </row>
    <row r="1083" spans="2:11" ht="14" x14ac:dyDescent="0.3">
      <c r="C1083" s="88">
        <v>45636</v>
      </c>
      <c r="D1083" s="89"/>
      <c r="E1083" s="89"/>
      <c r="F1083" s="56" t="s">
        <v>1587</v>
      </c>
      <c r="G1083" s="54">
        <f>10*649</f>
        <v>6490</v>
      </c>
      <c r="H1083" s="349">
        <v>2.19</v>
      </c>
      <c r="I1083" s="54">
        <f t="shared" si="161"/>
        <v>14213.1</v>
      </c>
      <c r="J1083" s="132"/>
      <c r="K1083" s="54">
        <f t="shared" si="160"/>
        <v>17933.91</v>
      </c>
    </row>
    <row r="1084" spans="2:11" ht="14" x14ac:dyDescent="0.3">
      <c r="C1084" s="88">
        <v>45636</v>
      </c>
      <c r="D1084" s="89"/>
      <c r="E1084" s="89"/>
      <c r="F1084" s="56" t="s">
        <v>1588</v>
      </c>
      <c r="G1084" s="54">
        <f>36*620</f>
        <v>22320</v>
      </c>
      <c r="H1084" s="349">
        <v>2.19</v>
      </c>
      <c r="I1084" s="54">
        <f t="shared" si="161"/>
        <v>48880.799999999996</v>
      </c>
      <c r="J1084" s="132"/>
      <c r="K1084" s="54">
        <f t="shared" si="160"/>
        <v>66814.709999999992</v>
      </c>
    </row>
    <row r="1085" spans="2:11" ht="14" x14ac:dyDescent="0.3">
      <c r="C1085" s="88"/>
      <c r="D1085" s="89"/>
      <c r="E1085" s="89"/>
      <c r="F1085" s="56"/>
      <c r="G1085" s="54"/>
      <c r="H1085" s="349"/>
      <c r="I1085" s="54"/>
      <c r="J1085" s="132"/>
      <c r="K1085" s="54">
        <f t="shared" si="160"/>
        <v>66814.709999999992</v>
      </c>
    </row>
    <row r="1086" spans="2:11" ht="15" x14ac:dyDescent="0.3">
      <c r="C1086" s="88"/>
      <c r="D1086" s="89"/>
      <c r="E1086" s="89"/>
      <c r="F1086" s="109"/>
      <c r="G1086" s="54"/>
      <c r="H1086" s="54"/>
      <c r="I1086" s="54"/>
      <c r="J1086" s="132"/>
      <c r="K1086" s="54">
        <f t="shared" si="160"/>
        <v>66814.709999999992</v>
      </c>
    </row>
    <row r="1089" spans="3:11" ht="15" x14ac:dyDescent="0.3">
      <c r="C1089" s="24" t="s">
        <v>0</v>
      </c>
      <c r="D1089" s="24" t="s">
        <v>49</v>
      </c>
      <c r="E1089" s="24" t="s">
        <v>53</v>
      </c>
      <c r="F1089" s="19" t="s">
        <v>1528</v>
      </c>
      <c r="G1089" s="20" t="s">
        <v>6</v>
      </c>
      <c r="H1089" s="20" t="s">
        <v>7</v>
      </c>
      <c r="I1089" s="24" t="s">
        <v>13</v>
      </c>
      <c r="J1089" s="24" t="s">
        <v>69</v>
      </c>
      <c r="K1089" s="24" t="s">
        <v>57</v>
      </c>
    </row>
    <row r="1090" spans="3:11" ht="14" x14ac:dyDescent="0.3">
      <c r="C1090" s="88"/>
      <c r="D1090" s="89"/>
      <c r="E1090" s="89"/>
      <c r="F1090" s="56"/>
      <c r="G1090" s="54"/>
      <c r="H1090" s="54"/>
      <c r="I1090" s="54"/>
      <c r="J1090" s="132"/>
      <c r="K1090" s="54"/>
    </row>
    <row r="1091" spans="3:11" ht="14" x14ac:dyDescent="0.3">
      <c r="C1091" s="88">
        <v>45637</v>
      </c>
      <c r="D1091" s="89"/>
      <c r="E1091" s="89"/>
      <c r="F1091" s="56" t="s">
        <v>1590</v>
      </c>
      <c r="G1091" s="54">
        <f>35*620</f>
        <v>21700</v>
      </c>
      <c r="H1091" s="349">
        <v>2.19</v>
      </c>
      <c r="I1091" s="54">
        <f>G1091*H1091</f>
        <v>47523</v>
      </c>
      <c r="J1091" s="132"/>
      <c r="K1091" s="54">
        <f t="shared" ref="K1091:K1096" si="162">K1090+I1091-J1091</f>
        <v>47523</v>
      </c>
    </row>
    <row r="1092" spans="3:11" ht="14" x14ac:dyDescent="0.3">
      <c r="C1092" s="88">
        <v>45637</v>
      </c>
      <c r="D1092" s="89"/>
      <c r="E1092" s="89"/>
      <c r="F1092" s="56" t="s">
        <v>1591</v>
      </c>
      <c r="G1092" s="54">
        <f>620*32</f>
        <v>19840</v>
      </c>
      <c r="H1092" s="349">
        <v>2.19</v>
      </c>
      <c r="I1092" s="54">
        <f t="shared" ref="I1092:I1094" si="163">G1092*H1092</f>
        <v>43449.599999999999</v>
      </c>
      <c r="J1092" s="132"/>
      <c r="K1092" s="54">
        <f t="shared" si="162"/>
        <v>90972.6</v>
      </c>
    </row>
    <row r="1093" spans="3:11" ht="14" x14ac:dyDescent="0.3">
      <c r="C1093" s="88">
        <v>45637</v>
      </c>
      <c r="D1093" s="89"/>
      <c r="E1093" s="89"/>
      <c r="F1093" s="56" t="s">
        <v>1590</v>
      </c>
      <c r="G1093" s="54">
        <f>620*35</f>
        <v>21700</v>
      </c>
      <c r="H1093" s="349">
        <v>2.19</v>
      </c>
      <c r="I1093" s="54">
        <f t="shared" si="163"/>
        <v>47523</v>
      </c>
      <c r="J1093" s="132"/>
      <c r="K1093" s="54">
        <f t="shared" si="162"/>
        <v>138495.6</v>
      </c>
    </row>
    <row r="1094" spans="3:11" ht="14" x14ac:dyDescent="0.3">
      <c r="C1094" s="88">
        <v>45637</v>
      </c>
      <c r="D1094" s="89"/>
      <c r="E1094" s="89"/>
      <c r="F1094" s="56" t="s">
        <v>1592</v>
      </c>
      <c r="G1094" s="54">
        <f>33*620</f>
        <v>20460</v>
      </c>
      <c r="H1094" s="349">
        <v>2.19</v>
      </c>
      <c r="I1094" s="54">
        <f t="shared" si="163"/>
        <v>44807.4</v>
      </c>
      <c r="J1094" s="132"/>
      <c r="K1094" s="54">
        <f t="shared" si="162"/>
        <v>183303</v>
      </c>
    </row>
    <row r="1095" spans="3:11" ht="14" x14ac:dyDescent="0.3">
      <c r="C1095" s="88"/>
      <c r="D1095" s="89"/>
      <c r="E1095" s="89"/>
      <c r="F1095" s="56"/>
      <c r="G1095" s="54"/>
      <c r="H1095" s="349"/>
      <c r="I1095" s="54"/>
      <c r="J1095" s="132"/>
      <c r="K1095" s="54">
        <f t="shared" si="162"/>
        <v>183303</v>
      </c>
    </row>
    <row r="1096" spans="3:11" ht="15" x14ac:dyDescent="0.3">
      <c r="C1096" s="88"/>
      <c r="D1096" s="89"/>
      <c r="E1096" s="89"/>
      <c r="F1096" s="109"/>
      <c r="G1096" s="54"/>
      <c r="H1096" s="54"/>
      <c r="I1096" s="54"/>
      <c r="J1096" s="132"/>
      <c r="K1096" s="54">
        <f t="shared" si="162"/>
        <v>183303</v>
      </c>
    </row>
    <row r="1099" spans="3:11" ht="15" x14ac:dyDescent="0.3">
      <c r="C1099" s="24" t="s">
        <v>0</v>
      </c>
      <c r="D1099" s="24" t="s">
        <v>49</v>
      </c>
      <c r="E1099" s="24" t="s">
        <v>53</v>
      </c>
      <c r="F1099" s="19" t="s">
        <v>1528</v>
      </c>
      <c r="G1099" s="20" t="s">
        <v>6</v>
      </c>
      <c r="H1099" s="20" t="s">
        <v>7</v>
      </c>
      <c r="I1099" s="24" t="s">
        <v>13</v>
      </c>
      <c r="J1099" s="24" t="s">
        <v>69</v>
      </c>
      <c r="K1099" s="24" t="s">
        <v>57</v>
      </c>
    </row>
    <row r="1100" spans="3:11" ht="14" x14ac:dyDescent="0.3">
      <c r="C1100" s="88"/>
      <c r="D1100" s="89"/>
      <c r="E1100" s="89"/>
      <c r="F1100" s="56"/>
      <c r="G1100" s="54"/>
      <c r="H1100" s="54"/>
      <c r="I1100" s="54"/>
      <c r="J1100" s="132"/>
      <c r="K1100" s="54"/>
    </row>
    <row r="1101" spans="3:11" ht="14" x14ac:dyDescent="0.3">
      <c r="C1101" s="88">
        <v>45638</v>
      </c>
      <c r="D1101" s="89"/>
      <c r="E1101" s="89"/>
      <c r="F1101" s="56" t="s">
        <v>1593</v>
      </c>
      <c r="G1101" s="54">
        <f>8*620</f>
        <v>4960</v>
      </c>
      <c r="H1101" s="349">
        <v>2.19</v>
      </c>
      <c r="I1101" s="54">
        <f>G1101*H1101</f>
        <v>10862.4</v>
      </c>
      <c r="J1101" s="132"/>
      <c r="K1101" s="54">
        <f t="shared" ref="K1101:K1106" si="164">K1100+I1101-J1101</f>
        <v>10862.4</v>
      </c>
    </row>
    <row r="1102" spans="3:11" ht="14" x14ac:dyDescent="0.3">
      <c r="C1102" s="88">
        <v>45638</v>
      </c>
      <c r="D1102" s="89"/>
      <c r="E1102" s="89"/>
      <c r="F1102" s="56" t="s">
        <v>1594</v>
      </c>
      <c r="G1102" s="54">
        <f>200*649</f>
        <v>129800</v>
      </c>
      <c r="H1102" s="349">
        <v>2.19</v>
      </c>
      <c r="I1102" s="54">
        <f t="shared" ref="I1102:I1103" si="165">G1102*H1102</f>
        <v>284262</v>
      </c>
      <c r="J1102" s="132"/>
      <c r="K1102" s="54">
        <f t="shared" si="164"/>
        <v>295124.40000000002</v>
      </c>
    </row>
    <row r="1103" spans="3:11" ht="14" x14ac:dyDescent="0.3">
      <c r="C1103" s="88">
        <v>45638</v>
      </c>
      <c r="D1103" s="89"/>
      <c r="E1103" s="89"/>
      <c r="F1103" s="56" t="s">
        <v>1595</v>
      </c>
      <c r="G1103" s="54">
        <f>100*649</f>
        <v>64900</v>
      </c>
      <c r="H1103" s="349">
        <v>2.19</v>
      </c>
      <c r="I1103" s="54">
        <f t="shared" si="165"/>
        <v>142131</v>
      </c>
      <c r="J1103" s="132"/>
      <c r="K1103" s="54">
        <f t="shared" si="164"/>
        <v>437255.4</v>
      </c>
    </row>
    <row r="1104" spans="3:11" ht="14" x14ac:dyDescent="0.3">
      <c r="C1104" s="88">
        <v>45638</v>
      </c>
      <c r="D1104" s="89"/>
      <c r="E1104" s="89"/>
      <c r="F1104" s="56" t="s">
        <v>1596</v>
      </c>
      <c r="G1104" s="54">
        <f>35*695</f>
        <v>24325</v>
      </c>
      <c r="H1104" s="349">
        <v>2.19</v>
      </c>
      <c r="I1104" s="54">
        <f t="shared" ref="I1104:I1105" si="166">G1104*H1104</f>
        <v>53271.75</v>
      </c>
      <c r="J1104" s="132"/>
      <c r="K1104" s="54">
        <f t="shared" si="164"/>
        <v>490527.15</v>
      </c>
    </row>
    <row r="1105" spans="3:11" ht="14" x14ac:dyDescent="0.3">
      <c r="C1105" s="88">
        <v>45638</v>
      </c>
      <c r="D1105" s="89"/>
      <c r="E1105" s="89"/>
      <c r="F1105" s="56" t="s">
        <v>1597</v>
      </c>
      <c r="G1105" s="54">
        <f>45*620</f>
        <v>27900</v>
      </c>
      <c r="H1105" s="349">
        <v>2.19</v>
      </c>
      <c r="I1105" s="54">
        <f t="shared" si="166"/>
        <v>61101</v>
      </c>
      <c r="J1105" s="132"/>
      <c r="K1105" s="54">
        <f t="shared" si="164"/>
        <v>551628.15</v>
      </c>
    </row>
    <row r="1106" spans="3:11" ht="15" x14ac:dyDescent="0.3">
      <c r="C1106" s="88"/>
      <c r="D1106" s="89"/>
      <c r="E1106" s="89"/>
      <c r="F1106" s="109"/>
      <c r="G1106" s="54"/>
      <c r="H1106" s="54"/>
      <c r="I1106" s="54"/>
      <c r="J1106" s="132"/>
      <c r="K1106" s="54">
        <f t="shared" si="164"/>
        <v>551628.15</v>
      </c>
    </row>
    <row r="1109" spans="3:11" ht="15" x14ac:dyDescent="0.3">
      <c r="C1109" s="24" t="s">
        <v>0</v>
      </c>
      <c r="D1109" s="24" t="s">
        <v>49</v>
      </c>
      <c r="E1109" s="24" t="s">
        <v>53</v>
      </c>
      <c r="F1109" s="19" t="s">
        <v>1528</v>
      </c>
      <c r="G1109" s="20" t="s">
        <v>6</v>
      </c>
      <c r="H1109" s="20" t="s">
        <v>7</v>
      </c>
      <c r="I1109" s="24" t="s">
        <v>13</v>
      </c>
      <c r="J1109" s="24" t="s">
        <v>69</v>
      </c>
      <c r="K1109" s="24" t="s">
        <v>57</v>
      </c>
    </row>
    <row r="1110" spans="3:11" ht="14" x14ac:dyDescent="0.3">
      <c r="C1110" s="88"/>
      <c r="D1110" s="89"/>
      <c r="E1110" s="89"/>
      <c r="F1110" s="56"/>
      <c r="G1110" s="54"/>
      <c r="H1110" s="54"/>
      <c r="I1110" s="54"/>
      <c r="J1110" s="132"/>
      <c r="K1110" s="54"/>
    </row>
    <row r="1111" spans="3:11" ht="14" x14ac:dyDescent="0.3">
      <c r="C1111" s="88">
        <v>45639</v>
      </c>
      <c r="D1111" s="89"/>
      <c r="E1111" s="89"/>
      <c r="F1111" s="56" t="s">
        <v>1598</v>
      </c>
      <c r="G1111" s="54">
        <f>14*530</f>
        <v>7420</v>
      </c>
      <c r="H1111" s="349">
        <v>2.19</v>
      </c>
      <c r="I1111" s="54">
        <f>G1111*H1111</f>
        <v>16249.8</v>
      </c>
      <c r="J1111" s="132"/>
      <c r="K1111" s="54">
        <f t="shared" ref="K1111:K1115" si="167">K1110+I1111-J1111</f>
        <v>16249.8</v>
      </c>
    </row>
    <row r="1112" spans="3:11" ht="14" x14ac:dyDescent="0.3">
      <c r="C1112" s="88">
        <v>45639</v>
      </c>
      <c r="D1112" s="89"/>
      <c r="E1112" s="89"/>
      <c r="F1112" s="56" t="s">
        <v>1582</v>
      </c>
      <c r="G1112" s="54">
        <f>8*649</f>
        <v>5192</v>
      </c>
      <c r="H1112" s="349">
        <v>2.19</v>
      </c>
      <c r="I1112" s="54">
        <f t="shared" ref="I1112" si="168">G1112*H1112</f>
        <v>11370.48</v>
      </c>
      <c r="J1112" s="132"/>
      <c r="K1112" s="54">
        <f t="shared" si="167"/>
        <v>27620.28</v>
      </c>
    </row>
    <row r="1113" spans="3:11" ht="14" x14ac:dyDescent="0.3">
      <c r="C1113" s="88"/>
      <c r="D1113" s="89"/>
      <c r="E1113" s="89"/>
      <c r="F1113" s="56"/>
      <c r="G1113" s="54"/>
      <c r="H1113" s="349"/>
      <c r="I1113" s="54"/>
      <c r="J1113" s="132"/>
      <c r="K1113" s="54">
        <f t="shared" si="167"/>
        <v>27620.28</v>
      </c>
    </row>
    <row r="1114" spans="3:11" ht="14" x14ac:dyDescent="0.3">
      <c r="C1114" s="88"/>
      <c r="D1114" s="89"/>
      <c r="E1114" s="89"/>
      <c r="F1114" s="56"/>
      <c r="G1114" s="54"/>
      <c r="H1114" s="349"/>
      <c r="I1114" s="54"/>
      <c r="J1114" s="132"/>
      <c r="K1114" s="54">
        <f t="shared" si="167"/>
        <v>27620.28</v>
      </c>
    </row>
    <row r="1115" spans="3:11" ht="15" x14ac:dyDescent="0.3">
      <c r="C1115" s="88"/>
      <c r="D1115" s="89"/>
      <c r="E1115" s="89"/>
      <c r="F1115" s="109"/>
      <c r="G1115" s="54"/>
      <c r="H1115" s="54"/>
      <c r="I1115" s="54"/>
      <c r="J1115" s="132"/>
      <c r="K1115" s="54">
        <f t="shared" si="167"/>
        <v>27620.28</v>
      </c>
    </row>
    <row r="1117" spans="3:11" ht="15" x14ac:dyDescent="0.3">
      <c r="C1117" s="24" t="s">
        <v>0</v>
      </c>
      <c r="D1117" s="24" t="s">
        <v>49</v>
      </c>
      <c r="E1117" s="24" t="s">
        <v>53</v>
      </c>
      <c r="F1117" s="19" t="s">
        <v>1603</v>
      </c>
      <c r="G1117" s="20" t="s">
        <v>6</v>
      </c>
      <c r="H1117" s="20" t="s">
        <v>7</v>
      </c>
      <c r="I1117" s="24" t="s">
        <v>13</v>
      </c>
      <c r="J1117" s="24" t="s">
        <v>69</v>
      </c>
      <c r="K1117" s="24" t="s">
        <v>57</v>
      </c>
    </row>
    <row r="1118" spans="3:11" ht="14" x14ac:dyDescent="0.3">
      <c r="C1118" s="88"/>
      <c r="D1118" s="89"/>
      <c r="E1118" s="89"/>
      <c r="F1118" s="56"/>
      <c r="G1118" s="54"/>
      <c r="H1118" s="54"/>
      <c r="I1118" s="54"/>
      <c r="J1118" s="132"/>
      <c r="K1118" s="54"/>
    </row>
    <row r="1119" spans="3:11" ht="14" x14ac:dyDescent="0.3">
      <c r="C1119" s="88">
        <v>45642</v>
      </c>
      <c r="D1119" s="89"/>
      <c r="E1119" s="89"/>
      <c r="F1119" s="56" t="s">
        <v>1604</v>
      </c>
      <c r="G1119" s="54">
        <f>4*490</f>
        <v>1960</v>
      </c>
      <c r="H1119" s="466">
        <v>2.375</v>
      </c>
      <c r="I1119" s="54">
        <f>G1119*H1119</f>
        <v>4655</v>
      </c>
      <c r="J1119" s="132"/>
      <c r="K1119" s="54">
        <f t="shared" ref="K1119:K1123" si="169">K1118+I1119-J1119</f>
        <v>4655</v>
      </c>
    </row>
    <row r="1120" spans="3:11" ht="14" x14ac:dyDescent="0.3">
      <c r="C1120" s="88">
        <v>45644</v>
      </c>
      <c r="D1120" s="89"/>
      <c r="E1120" s="89"/>
      <c r="F1120" s="56" t="s">
        <v>1605</v>
      </c>
      <c r="G1120" s="54">
        <f>60*132</f>
        <v>7920</v>
      </c>
      <c r="H1120" s="466">
        <v>2.375</v>
      </c>
      <c r="I1120" s="54">
        <f t="shared" ref="I1120" si="170">G1120*H1120</f>
        <v>18810</v>
      </c>
      <c r="J1120" s="132"/>
      <c r="K1120" s="54">
        <f t="shared" si="169"/>
        <v>23465</v>
      </c>
    </row>
    <row r="1121" spans="2:11" ht="14" x14ac:dyDescent="0.3">
      <c r="C1121" s="88"/>
      <c r="D1121" s="89"/>
      <c r="E1121" s="89"/>
      <c r="F1121" s="56"/>
      <c r="G1121" s="54"/>
      <c r="H1121" s="349"/>
      <c r="I1121" s="54"/>
      <c r="J1121" s="132"/>
      <c r="K1121" s="54">
        <f t="shared" si="169"/>
        <v>23465</v>
      </c>
    </row>
    <row r="1122" spans="2:11" ht="14" x14ac:dyDescent="0.3">
      <c r="C1122" s="88"/>
      <c r="D1122" s="89"/>
      <c r="E1122" s="89"/>
      <c r="F1122" s="56"/>
      <c r="G1122" s="54"/>
      <c r="H1122" s="349"/>
      <c r="I1122" s="54"/>
      <c r="J1122" s="132"/>
      <c r="K1122" s="54">
        <f t="shared" si="169"/>
        <v>23465</v>
      </c>
    </row>
    <row r="1123" spans="2:11" ht="15" x14ac:dyDescent="0.3">
      <c r="C1123" s="88"/>
      <c r="D1123" s="89"/>
      <c r="E1123" s="89"/>
      <c r="F1123" s="109"/>
      <c r="G1123" s="54"/>
      <c r="H1123" s="54"/>
      <c r="I1123" s="54"/>
      <c r="J1123" s="132"/>
      <c r="K1123" s="54">
        <f t="shared" si="169"/>
        <v>23465</v>
      </c>
    </row>
    <row r="1126" spans="2:11" ht="15" x14ac:dyDescent="0.3">
      <c r="C1126" s="24" t="s">
        <v>0</v>
      </c>
      <c r="D1126" s="24" t="s">
        <v>49</v>
      </c>
      <c r="E1126" s="24" t="s">
        <v>53</v>
      </c>
      <c r="F1126" s="19" t="s">
        <v>1603</v>
      </c>
      <c r="G1126" s="20" t="s">
        <v>6</v>
      </c>
      <c r="H1126" s="20" t="s">
        <v>7</v>
      </c>
      <c r="I1126" s="24" t="s">
        <v>13</v>
      </c>
      <c r="J1126" s="24" t="s">
        <v>69</v>
      </c>
      <c r="K1126" s="24" t="s">
        <v>57</v>
      </c>
    </row>
    <row r="1127" spans="2:11" ht="14" x14ac:dyDescent="0.3">
      <c r="C1127" s="88"/>
      <c r="D1127" s="89"/>
      <c r="E1127" s="89"/>
      <c r="F1127" s="56"/>
      <c r="G1127" s="54"/>
      <c r="H1127" s="54"/>
      <c r="I1127" s="54"/>
      <c r="J1127" s="132"/>
      <c r="K1127" s="54"/>
    </row>
    <row r="1128" spans="2:11" ht="14" x14ac:dyDescent="0.3">
      <c r="B1128" s="1" t="s">
        <v>1606</v>
      </c>
      <c r="C1128" s="88">
        <v>45633</v>
      </c>
      <c r="D1128" s="89"/>
      <c r="E1128" s="89"/>
      <c r="F1128" s="56" t="s">
        <v>1610</v>
      </c>
      <c r="G1128" s="54">
        <f>1*580</f>
        <v>580</v>
      </c>
      <c r="H1128" s="466">
        <v>2.375</v>
      </c>
      <c r="I1128" s="54">
        <f>G1128*H1128</f>
        <v>1377.5</v>
      </c>
      <c r="J1128" s="132"/>
      <c r="K1128" s="54">
        <f t="shared" ref="K1128:K1132" si="171">K1127+I1128-J1128</f>
        <v>1377.5</v>
      </c>
    </row>
    <row r="1129" spans="2:11" ht="14" x14ac:dyDescent="0.3">
      <c r="C1129" s="88">
        <v>45633</v>
      </c>
      <c r="D1129" s="89"/>
      <c r="E1129" s="89"/>
      <c r="F1129" s="56" t="s">
        <v>1607</v>
      </c>
      <c r="G1129" s="54">
        <f>470*1</f>
        <v>470</v>
      </c>
      <c r="H1129" s="466">
        <v>2.375</v>
      </c>
      <c r="I1129" s="54">
        <f t="shared" ref="I1129" si="172">G1129*H1129</f>
        <v>1116.25</v>
      </c>
      <c r="J1129" s="132"/>
      <c r="K1129" s="54">
        <f t="shared" si="171"/>
        <v>2493.75</v>
      </c>
    </row>
    <row r="1130" spans="2:11" ht="14" x14ac:dyDescent="0.3">
      <c r="C1130" s="88">
        <v>45633</v>
      </c>
      <c r="D1130" s="89"/>
      <c r="E1130" s="89"/>
      <c r="F1130" s="56" t="s">
        <v>1608</v>
      </c>
      <c r="G1130" s="54">
        <f>4*485</f>
        <v>1940</v>
      </c>
      <c r="H1130" s="466">
        <v>2.375</v>
      </c>
      <c r="I1130" s="54">
        <f>G1130*H1130</f>
        <v>4607.5</v>
      </c>
      <c r="J1130" s="132"/>
      <c r="K1130" s="54">
        <f t="shared" si="171"/>
        <v>7101.25</v>
      </c>
    </row>
    <row r="1131" spans="2:11" ht="14" x14ac:dyDescent="0.3">
      <c r="C1131" s="88">
        <v>45633</v>
      </c>
      <c r="D1131" s="89"/>
      <c r="E1131" s="89"/>
      <c r="F1131" s="56" t="s">
        <v>1609</v>
      </c>
      <c r="G1131" s="54">
        <f>15*569</f>
        <v>8535</v>
      </c>
      <c r="H1131" s="466">
        <v>2.375</v>
      </c>
      <c r="I1131" s="54">
        <f>G1131*H1131</f>
        <v>20270.625</v>
      </c>
      <c r="J1131" s="132"/>
      <c r="K1131" s="54">
        <f t="shared" si="171"/>
        <v>27371.875</v>
      </c>
    </row>
    <row r="1132" spans="2:11" ht="15" x14ac:dyDescent="0.3">
      <c r="C1132" s="88"/>
      <c r="D1132" s="89"/>
      <c r="E1132" s="89"/>
      <c r="F1132" s="109"/>
      <c r="G1132" s="54"/>
      <c r="H1132" s="54"/>
      <c r="I1132" s="54"/>
      <c r="J1132" s="132"/>
      <c r="K1132" s="54">
        <f t="shared" si="171"/>
        <v>27371.875</v>
      </c>
    </row>
    <row r="1134" spans="2:11" ht="15" x14ac:dyDescent="0.3">
      <c r="C1134" s="24" t="s">
        <v>0</v>
      </c>
      <c r="D1134" s="24" t="s">
        <v>49</v>
      </c>
      <c r="E1134" s="24" t="s">
        <v>53</v>
      </c>
      <c r="F1134" s="19" t="s">
        <v>1603</v>
      </c>
      <c r="G1134" s="20" t="s">
        <v>6</v>
      </c>
      <c r="H1134" s="20" t="s">
        <v>7</v>
      </c>
      <c r="I1134" s="24" t="s">
        <v>13</v>
      </c>
      <c r="J1134" s="24" t="s">
        <v>69</v>
      </c>
      <c r="K1134" s="24" t="s">
        <v>57</v>
      </c>
    </row>
    <row r="1135" spans="2:11" ht="14" x14ac:dyDescent="0.3">
      <c r="C1135" s="88"/>
      <c r="D1135" s="89"/>
      <c r="E1135" s="89"/>
      <c r="F1135" s="56"/>
      <c r="G1135" s="54"/>
      <c r="H1135" s="54"/>
      <c r="I1135" s="54"/>
      <c r="J1135" s="132"/>
      <c r="K1135" s="54"/>
    </row>
    <row r="1136" spans="2:11" ht="14" x14ac:dyDescent="0.3">
      <c r="B1136" s="1" t="s">
        <v>1611</v>
      </c>
      <c r="C1136" s="88">
        <v>45634</v>
      </c>
      <c r="D1136" s="89"/>
      <c r="E1136" s="89"/>
      <c r="F1136" s="56" t="s">
        <v>1612</v>
      </c>
      <c r="G1136" s="54">
        <f>569*38</f>
        <v>21622</v>
      </c>
      <c r="H1136" s="466">
        <v>2.375</v>
      </c>
      <c r="I1136" s="54">
        <f>G1136*H1136</f>
        <v>51352.25</v>
      </c>
      <c r="J1136" s="132"/>
      <c r="K1136" s="54">
        <f t="shared" ref="K1136:K1140" si="173">K1135+I1136-J1136</f>
        <v>51352.25</v>
      </c>
    </row>
    <row r="1137" spans="2:11" ht="14" x14ac:dyDescent="0.3">
      <c r="C1137" s="88">
        <v>45634</v>
      </c>
      <c r="D1137" s="89"/>
      <c r="E1137" s="89"/>
      <c r="F1137" s="56" t="s">
        <v>1613</v>
      </c>
      <c r="G1137" s="54">
        <f>619*11</f>
        <v>6809</v>
      </c>
      <c r="H1137" s="466">
        <v>2.375</v>
      </c>
      <c r="I1137" s="54">
        <f t="shared" ref="I1137" si="174">G1137*H1137</f>
        <v>16171.375</v>
      </c>
      <c r="J1137" s="132"/>
      <c r="K1137" s="54">
        <f t="shared" si="173"/>
        <v>67523.625</v>
      </c>
    </row>
    <row r="1138" spans="2:11" ht="14" x14ac:dyDescent="0.3">
      <c r="C1138" s="88"/>
      <c r="D1138" s="89"/>
      <c r="E1138" s="89"/>
      <c r="F1138" s="56"/>
      <c r="G1138" s="54"/>
      <c r="H1138" s="466"/>
      <c r="I1138" s="54"/>
      <c r="J1138" s="132"/>
      <c r="K1138" s="54">
        <f t="shared" si="173"/>
        <v>67523.625</v>
      </c>
    </row>
    <row r="1139" spans="2:11" ht="14" x14ac:dyDescent="0.3">
      <c r="C1139" s="88"/>
      <c r="D1139" s="89"/>
      <c r="E1139" s="89"/>
      <c r="F1139" s="56"/>
      <c r="G1139" s="54"/>
      <c r="H1139" s="466"/>
      <c r="I1139" s="54"/>
      <c r="J1139" s="132"/>
      <c r="K1139" s="54">
        <f t="shared" si="173"/>
        <v>67523.625</v>
      </c>
    </row>
    <row r="1140" spans="2:11" ht="15" x14ac:dyDescent="0.3">
      <c r="C1140" s="88"/>
      <c r="D1140" s="89"/>
      <c r="E1140" s="89"/>
      <c r="F1140" s="109"/>
      <c r="G1140" s="54"/>
      <c r="H1140" s="54"/>
      <c r="I1140" s="54"/>
      <c r="J1140" s="132"/>
      <c r="K1140" s="54">
        <f t="shared" si="173"/>
        <v>67523.625</v>
      </c>
    </row>
    <row r="1142" spans="2:11" ht="15" x14ac:dyDescent="0.3">
      <c r="C1142" s="24" t="s">
        <v>0</v>
      </c>
      <c r="D1142" s="24" t="s">
        <v>49</v>
      </c>
      <c r="E1142" s="24" t="s">
        <v>53</v>
      </c>
      <c r="F1142" s="19" t="s">
        <v>1603</v>
      </c>
      <c r="G1142" s="20" t="s">
        <v>6</v>
      </c>
      <c r="H1142" s="20" t="s">
        <v>7</v>
      </c>
      <c r="I1142" s="24" t="s">
        <v>13</v>
      </c>
      <c r="J1142" s="24" t="s">
        <v>69</v>
      </c>
      <c r="K1142" s="24" t="s">
        <v>57</v>
      </c>
    </row>
    <row r="1143" spans="2:11" ht="14" x14ac:dyDescent="0.3">
      <c r="C1143" s="88"/>
      <c r="D1143" s="89"/>
      <c r="E1143" s="89"/>
      <c r="F1143" s="167" t="s">
        <v>1615</v>
      </c>
      <c r="G1143" s="54"/>
      <c r="H1143" s="54"/>
      <c r="I1143" s="54"/>
      <c r="J1143" s="132"/>
      <c r="K1143" s="54"/>
    </row>
    <row r="1144" spans="2:11" ht="14" x14ac:dyDescent="0.3">
      <c r="B1144" s="1" t="s">
        <v>1611</v>
      </c>
      <c r="C1144" s="88">
        <v>45632</v>
      </c>
      <c r="D1144" s="89"/>
      <c r="E1144" s="89"/>
      <c r="F1144" s="56" t="s">
        <v>1614</v>
      </c>
      <c r="G1144" s="54">
        <f>569*51</f>
        <v>29019</v>
      </c>
      <c r="H1144" s="466">
        <v>2.375</v>
      </c>
      <c r="I1144" s="54">
        <f>G1144*H1144</f>
        <v>68920.125</v>
      </c>
      <c r="J1144" s="132"/>
      <c r="K1144" s="54">
        <f t="shared" ref="K1144:K1148" si="175">K1143+I1144-J1144</f>
        <v>68920.125</v>
      </c>
    </row>
    <row r="1145" spans="2:11" ht="14" x14ac:dyDescent="0.3">
      <c r="C1145" s="88"/>
      <c r="D1145" s="89"/>
      <c r="E1145" s="89"/>
      <c r="F1145" s="56"/>
      <c r="G1145" s="54"/>
      <c r="H1145" s="466"/>
      <c r="I1145" s="54"/>
      <c r="J1145" s="132"/>
      <c r="K1145" s="54">
        <f t="shared" si="175"/>
        <v>68920.125</v>
      </c>
    </row>
    <row r="1146" spans="2:11" ht="14" x14ac:dyDescent="0.3">
      <c r="C1146" s="88">
        <v>45640</v>
      </c>
      <c r="D1146" s="89"/>
      <c r="E1146" s="89"/>
      <c r="F1146" s="56" t="s">
        <v>1616</v>
      </c>
      <c r="G1146" s="54">
        <f>569*17</f>
        <v>9673</v>
      </c>
      <c r="H1146" s="466">
        <v>2.375</v>
      </c>
      <c r="I1146" s="54">
        <f>G1146*H1146</f>
        <v>22973.375</v>
      </c>
      <c r="J1146" s="132"/>
      <c r="K1146" s="54">
        <f t="shared" si="175"/>
        <v>91893.5</v>
      </c>
    </row>
    <row r="1147" spans="2:11" ht="14" x14ac:dyDescent="0.3">
      <c r="C1147" s="88"/>
      <c r="D1147" s="89"/>
      <c r="E1147" s="89"/>
      <c r="F1147" s="56"/>
      <c r="G1147" s="54"/>
      <c r="H1147" s="466"/>
      <c r="I1147" s="54"/>
      <c r="J1147" s="132"/>
      <c r="K1147" s="54">
        <f t="shared" si="175"/>
        <v>91893.5</v>
      </c>
    </row>
    <row r="1148" spans="2:11" ht="15" x14ac:dyDescent="0.3">
      <c r="C1148" s="88"/>
      <c r="D1148" s="89"/>
      <c r="E1148" s="89"/>
      <c r="F1148" s="109"/>
      <c r="G1148" s="54"/>
      <c r="H1148" s="54"/>
      <c r="I1148" s="54"/>
      <c r="J1148" s="132"/>
      <c r="K1148" s="54">
        <f t="shared" si="175"/>
        <v>91893.5</v>
      </c>
    </row>
    <row r="1151" spans="2:11" ht="15" x14ac:dyDescent="0.3">
      <c r="C1151" s="24" t="s">
        <v>0</v>
      </c>
      <c r="D1151" s="24" t="s">
        <v>49</v>
      </c>
      <c r="E1151" s="24" t="s">
        <v>53</v>
      </c>
      <c r="F1151" s="19" t="s">
        <v>1603</v>
      </c>
      <c r="G1151" s="20" t="s">
        <v>6</v>
      </c>
      <c r="H1151" s="20" t="s">
        <v>7</v>
      </c>
      <c r="I1151" s="24" t="s">
        <v>13</v>
      </c>
      <c r="J1151" s="24" t="s">
        <v>69</v>
      </c>
      <c r="K1151" s="24" t="s">
        <v>57</v>
      </c>
    </row>
    <row r="1152" spans="2:11" ht="14" x14ac:dyDescent="0.3">
      <c r="C1152" s="88"/>
      <c r="D1152" s="89"/>
      <c r="E1152" s="89"/>
      <c r="F1152" s="56"/>
      <c r="G1152" s="54"/>
      <c r="H1152" s="54"/>
      <c r="I1152" s="54"/>
      <c r="J1152" s="132"/>
      <c r="K1152" s="54"/>
    </row>
    <row r="1153" spans="3:11" ht="14" x14ac:dyDescent="0.3">
      <c r="C1153" s="88">
        <v>45644</v>
      </c>
      <c r="D1153" s="89"/>
      <c r="E1153" s="89"/>
      <c r="F1153" s="56" t="s">
        <v>1620</v>
      </c>
      <c r="G1153" s="54">
        <f>2*490</f>
        <v>980</v>
      </c>
      <c r="H1153" s="466">
        <v>2.375</v>
      </c>
      <c r="I1153" s="54">
        <f>G1153*H1153</f>
        <v>2327.5</v>
      </c>
      <c r="J1153" s="132"/>
      <c r="K1153" s="54">
        <f t="shared" ref="K1153:K1157" si="176">K1152+I1153-J1153</f>
        <v>2327.5</v>
      </c>
    </row>
    <row r="1154" spans="3:11" ht="14" x14ac:dyDescent="0.3">
      <c r="C1154" s="88">
        <v>45644</v>
      </c>
      <c r="D1154" s="89"/>
      <c r="E1154" s="89"/>
      <c r="F1154" s="56" t="s">
        <v>1621</v>
      </c>
      <c r="G1154" s="54">
        <f>75*128</f>
        <v>9600</v>
      </c>
      <c r="H1154" s="466">
        <v>2.375</v>
      </c>
      <c r="I1154" s="54">
        <f t="shared" ref="I1154" si="177">G1154*H1154</f>
        <v>22800</v>
      </c>
      <c r="J1154" s="132"/>
      <c r="K1154" s="54">
        <f t="shared" si="176"/>
        <v>25127.5</v>
      </c>
    </row>
    <row r="1155" spans="3:11" ht="14" x14ac:dyDescent="0.3">
      <c r="C1155" s="88"/>
      <c r="D1155" s="89"/>
      <c r="E1155" s="89"/>
      <c r="F1155" s="56" t="s">
        <v>1622</v>
      </c>
      <c r="G1155" s="54"/>
      <c r="H1155" s="466"/>
      <c r="I1155" s="54"/>
      <c r="J1155" s="132"/>
      <c r="K1155" s="54">
        <f t="shared" si="176"/>
        <v>25127.5</v>
      </c>
    </row>
    <row r="1156" spans="3:11" ht="14" x14ac:dyDescent="0.3">
      <c r="C1156" s="88"/>
      <c r="D1156" s="89"/>
      <c r="E1156" s="89"/>
      <c r="F1156" s="56"/>
      <c r="G1156" s="54"/>
      <c r="H1156" s="466"/>
      <c r="I1156" s="54"/>
      <c r="J1156" s="132"/>
      <c r="K1156" s="54">
        <f t="shared" si="176"/>
        <v>25127.5</v>
      </c>
    </row>
    <row r="1157" spans="3:11" ht="15" x14ac:dyDescent="0.3">
      <c r="C1157" s="88"/>
      <c r="D1157" s="89"/>
      <c r="E1157" s="89"/>
      <c r="F1157" s="109"/>
      <c r="G1157" s="54"/>
      <c r="H1157" s="54"/>
      <c r="I1157" s="54"/>
      <c r="J1157" s="132"/>
      <c r="K1157" s="54">
        <f t="shared" si="176"/>
        <v>25127.5</v>
      </c>
    </row>
    <row r="1160" spans="3:11" ht="15" x14ac:dyDescent="0.3">
      <c r="C1160" s="24" t="s">
        <v>0</v>
      </c>
      <c r="D1160" s="24" t="s">
        <v>49</v>
      </c>
      <c r="E1160" s="24" t="s">
        <v>53</v>
      </c>
      <c r="F1160" s="19" t="s">
        <v>1603</v>
      </c>
      <c r="G1160" s="20" t="s">
        <v>6</v>
      </c>
      <c r="H1160" s="20" t="s">
        <v>7</v>
      </c>
      <c r="I1160" s="24" t="s">
        <v>13</v>
      </c>
      <c r="J1160" s="24" t="s">
        <v>69</v>
      </c>
      <c r="K1160" s="24" t="s">
        <v>57</v>
      </c>
    </row>
    <row r="1161" spans="3:11" ht="14" x14ac:dyDescent="0.3">
      <c r="C1161" s="88"/>
      <c r="D1161" s="89"/>
      <c r="E1161" s="89"/>
      <c r="F1161" s="56"/>
      <c r="G1161" s="54"/>
      <c r="H1161" s="54"/>
      <c r="I1161" s="54"/>
      <c r="J1161" s="132"/>
      <c r="K1161" s="54"/>
    </row>
    <row r="1162" spans="3:11" ht="14" x14ac:dyDescent="0.3">
      <c r="C1162" s="88">
        <v>45653</v>
      </c>
      <c r="D1162" s="89"/>
      <c r="E1162" s="89"/>
      <c r="F1162" s="56" t="s">
        <v>1624</v>
      </c>
      <c r="G1162" s="54">
        <f>2*549</f>
        <v>1098</v>
      </c>
      <c r="H1162" s="466">
        <v>2.375</v>
      </c>
      <c r="I1162" s="54">
        <f>G1162*H1162</f>
        <v>2607.75</v>
      </c>
      <c r="J1162" s="132"/>
      <c r="K1162" s="54">
        <f t="shared" ref="K1162:K1166" si="178">K1161+I1162-J1162</f>
        <v>2607.75</v>
      </c>
    </row>
    <row r="1163" spans="3:11" ht="14" x14ac:dyDescent="0.3">
      <c r="C1163" s="88"/>
      <c r="D1163" s="89"/>
      <c r="E1163" s="89"/>
      <c r="F1163" s="56"/>
      <c r="G1163" s="54"/>
      <c r="H1163" s="466"/>
      <c r="I1163" s="54"/>
      <c r="J1163" s="132"/>
      <c r="K1163" s="54">
        <f t="shared" si="178"/>
        <v>2607.75</v>
      </c>
    </row>
    <row r="1164" spans="3:11" ht="14" x14ac:dyDescent="0.3">
      <c r="C1164" s="88"/>
      <c r="D1164" s="89"/>
      <c r="E1164" s="89"/>
      <c r="F1164" s="56"/>
      <c r="G1164" s="54"/>
      <c r="H1164" s="466"/>
      <c r="I1164" s="54"/>
      <c r="J1164" s="132"/>
      <c r="K1164" s="54">
        <f t="shared" si="178"/>
        <v>2607.75</v>
      </c>
    </row>
    <row r="1165" spans="3:11" ht="14" x14ac:dyDescent="0.3">
      <c r="C1165" s="88"/>
      <c r="D1165" s="89"/>
      <c r="E1165" s="89"/>
      <c r="F1165" s="56"/>
      <c r="G1165" s="54"/>
      <c r="H1165" s="466"/>
      <c r="I1165" s="54"/>
      <c r="J1165" s="132"/>
      <c r="K1165" s="54">
        <f t="shared" si="178"/>
        <v>2607.75</v>
      </c>
    </row>
    <row r="1166" spans="3:11" ht="15" x14ac:dyDescent="0.3">
      <c r="C1166" s="88"/>
      <c r="D1166" s="89"/>
      <c r="E1166" s="89"/>
      <c r="F1166" s="109"/>
      <c r="G1166" s="54"/>
      <c r="H1166" s="54"/>
      <c r="I1166" s="54"/>
      <c r="J1166" s="132"/>
      <c r="K1166" s="54">
        <f t="shared" si="178"/>
        <v>2607.75</v>
      </c>
    </row>
    <row r="1169" spans="3:12" ht="15" x14ac:dyDescent="0.3">
      <c r="C1169" s="24" t="s">
        <v>0</v>
      </c>
      <c r="D1169" s="24" t="s">
        <v>49</v>
      </c>
      <c r="E1169" s="24"/>
      <c r="F1169" s="19" t="s">
        <v>1603</v>
      </c>
      <c r="G1169" s="20" t="s">
        <v>528</v>
      </c>
      <c r="H1169" s="20" t="s">
        <v>1408</v>
      </c>
      <c r="I1169" s="20" t="s">
        <v>1460</v>
      </c>
      <c r="J1169" s="24" t="s">
        <v>7</v>
      </c>
      <c r="K1169" s="24" t="s">
        <v>13</v>
      </c>
      <c r="L1169" s="24"/>
    </row>
    <row r="1170" spans="3:12" ht="14" x14ac:dyDescent="0.3">
      <c r="C1170" s="88">
        <v>45652</v>
      </c>
      <c r="D1170" s="89"/>
      <c r="E1170" s="89" t="s">
        <v>1702</v>
      </c>
      <c r="F1170" s="56" t="s">
        <v>1625</v>
      </c>
      <c r="G1170" s="54">
        <f>2*2968</f>
        <v>5936</v>
      </c>
      <c r="H1170" s="54">
        <f>G1170*0.1</f>
        <v>593.6</v>
      </c>
      <c r="I1170" s="54">
        <f>G1170-H1170</f>
        <v>5342.4</v>
      </c>
      <c r="J1170" s="54">
        <v>2.33</v>
      </c>
      <c r="K1170" s="132">
        <f>I1170*J1170</f>
        <v>12447.791999999999</v>
      </c>
      <c r="L1170" s="321"/>
    </row>
    <row r="1171" spans="3:12" ht="14" x14ac:dyDescent="0.3">
      <c r="C1171" s="88">
        <v>45652</v>
      </c>
      <c r="D1171" s="89"/>
      <c r="E1171" s="89"/>
      <c r="F1171" s="56" t="s">
        <v>1626</v>
      </c>
      <c r="G1171" s="54">
        <f>599*1</f>
        <v>599</v>
      </c>
      <c r="H1171" s="54">
        <f t="shared" ref="H1171:H1178" si="179">G1171*0.1</f>
        <v>59.900000000000006</v>
      </c>
      <c r="I1171" s="54">
        <f t="shared" ref="I1171:I1180" si="180">G1171-H1171</f>
        <v>539.1</v>
      </c>
      <c r="J1171" s="54">
        <v>2.33</v>
      </c>
      <c r="K1171" s="132">
        <f t="shared" ref="K1171:K1180" si="181">I1171*J1171</f>
        <v>1256.1030000000001</v>
      </c>
      <c r="L1171" s="321"/>
    </row>
    <row r="1172" spans="3:12" ht="14" x14ac:dyDescent="0.3">
      <c r="C1172" s="88">
        <v>45652</v>
      </c>
      <c r="D1172" s="89"/>
      <c r="E1172" s="89"/>
      <c r="F1172" s="56" t="s">
        <v>1627</v>
      </c>
      <c r="G1172" s="54">
        <f>40*140</f>
        <v>5600</v>
      </c>
      <c r="H1172" s="54">
        <f t="shared" si="179"/>
        <v>560</v>
      </c>
      <c r="I1172" s="54">
        <f t="shared" si="180"/>
        <v>5040</v>
      </c>
      <c r="J1172" s="54">
        <v>2.33</v>
      </c>
      <c r="K1172" s="132">
        <f t="shared" si="181"/>
        <v>11743.2</v>
      </c>
      <c r="L1172" s="321"/>
    </row>
    <row r="1173" spans="3:12" ht="14" x14ac:dyDescent="0.3">
      <c r="C1173" s="88">
        <v>45652</v>
      </c>
      <c r="D1173" s="89"/>
      <c r="E1173" s="89"/>
      <c r="F1173" s="56" t="s">
        <v>1628</v>
      </c>
      <c r="G1173" s="54">
        <f>1*1798</f>
        <v>1798</v>
      </c>
      <c r="H1173" s="54">
        <f t="shared" si="179"/>
        <v>179.8</v>
      </c>
      <c r="I1173" s="54">
        <f t="shared" si="180"/>
        <v>1618.2</v>
      </c>
      <c r="J1173" s="54">
        <v>2.33</v>
      </c>
      <c r="K1173" s="132">
        <f t="shared" si="181"/>
        <v>3770.4060000000004</v>
      </c>
      <c r="L1173" s="321"/>
    </row>
    <row r="1174" spans="3:12" ht="14" x14ac:dyDescent="0.3">
      <c r="C1174" s="88">
        <v>45652</v>
      </c>
      <c r="D1174" s="89"/>
      <c r="E1174" s="89"/>
      <c r="F1174" s="56" t="s">
        <v>1626</v>
      </c>
      <c r="G1174" s="54">
        <f>599*1</f>
        <v>599</v>
      </c>
      <c r="H1174" s="54">
        <f t="shared" si="179"/>
        <v>59.900000000000006</v>
      </c>
      <c r="I1174" s="54">
        <f t="shared" si="180"/>
        <v>539.1</v>
      </c>
      <c r="J1174" s="54">
        <v>2.33</v>
      </c>
      <c r="K1174" s="132">
        <f t="shared" si="181"/>
        <v>1256.1030000000001</v>
      </c>
      <c r="L1174" s="321"/>
    </row>
    <row r="1175" spans="3:12" ht="14" x14ac:dyDescent="0.3">
      <c r="C1175" s="88">
        <v>45652</v>
      </c>
      <c r="D1175" s="89"/>
      <c r="E1175" s="89"/>
      <c r="F1175" s="56" t="s">
        <v>1629</v>
      </c>
      <c r="G1175" s="54">
        <f>549*1</f>
        <v>549</v>
      </c>
      <c r="H1175" s="54">
        <f t="shared" si="179"/>
        <v>54.900000000000006</v>
      </c>
      <c r="I1175" s="54">
        <f t="shared" si="180"/>
        <v>494.1</v>
      </c>
      <c r="J1175" s="54">
        <v>2.33</v>
      </c>
      <c r="K1175" s="132">
        <f t="shared" si="181"/>
        <v>1151.2530000000002</v>
      </c>
      <c r="L1175" s="321"/>
    </row>
    <row r="1176" spans="3:12" ht="14" x14ac:dyDescent="0.3">
      <c r="C1176" s="88">
        <v>45652</v>
      </c>
      <c r="D1176" s="89"/>
      <c r="E1176" s="89"/>
      <c r="F1176" s="56" t="s">
        <v>1630</v>
      </c>
      <c r="G1176" s="54">
        <f>5*599</f>
        <v>2995</v>
      </c>
      <c r="H1176" s="54">
        <f t="shared" si="179"/>
        <v>299.5</v>
      </c>
      <c r="I1176" s="54">
        <f t="shared" si="180"/>
        <v>2695.5</v>
      </c>
      <c r="J1176" s="54">
        <v>2.33</v>
      </c>
      <c r="K1176" s="132">
        <f t="shared" si="181"/>
        <v>6280.5150000000003</v>
      </c>
      <c r="L1176" s="321"/>
    </row>
    <row r="1177" spans="3:12" ht="14" x14ac:dyDescent="0.3">
      <c r="C1177" s="88">
        <v>45652</v>
      </c>
      <c r="D1177" s="89"/>
      <c r="E1177" s="89"/>
      <c r="F1177" s="56" t="s">
        <v>1631</v>
      </c>
      <c r="G1177" s="54">
        <f>2968*3</f>
        <v>8904</v>
      </c>
      <c r="H1177" s="54">
        <f t="shared" si="179"/>
        <v>890.40000000000009</v>
      </c>
      <c r="I1177" s="54">
        <f t="shared" si="180"/>
        <v>8013.6</v>
      </c>
      <c r="J1177" s="54">
        <v>2.33</v>
      </c>
      <c r="K1177" s="132">
        <f t="shared" si="181"/>
        <v>18671.688000000002</v>
      </c>
      <c r="L1177" s="321"/>
    </row>
    <row r="1178" spans="3:12" ht="14" x14ac:dyDescent="0.3">
      <c r="C1178" s="88">
        <v>45652</v>
      </c>
      <c r="D1178" s="89"/>
      <c r="E1178" s="89"/>
      <c r="F1178" s="56" t="s">
        <v>1628</v>
      </c>
      <c r="G1178" s="54">
        <f>1798*1</f>
        <v>1798</v>
      </c>
      <c r="H1178" s="54">
        <f t="shared" si="179"/>
        <v>179.8</v>
      </c>
      <c r="I1178" s="54">
        <f t="shared" si="180"/>
        <v>1618.2</v>
      </c>
      <c r="J1178" s="54">
        <v>2.33</v>
      </c>
      <c r="K1178" s="132">
        <f t="shared" si="181"/>
        <v>3770.4060000000004</v>
      </c>
      <c r="L1178" s="321"/>
    </row>
    <row r="1179" spans="3:12" ht="14" x14ac:dyDescent="0.3">
      <c r="C1179" s="88">
        <v>45652</v>
      </c>
      <c r="D1179" s="89"/>
      <c r="E1179" s="89"/>
      <c r="F1179" s="56" t="s">
        <v>1632</v>
      </c>
      <c r="G1179" s="54">
        <f>75*128</f>
        <v>9600</v>
      </c>
      <c r="H1179" s="54">
        <v>0</v>
      </c>
      <c r="I1179" s="54">
        <f t="shared" si="180"/>
        <v>9600</v>
      </c>
      <c r="J1179" s="54">
        <v>2.33</v>
      </c>
      <c r="K1179" s="132">
        <f t="shared" si="181"/>
        <v>22368</v>
      </c>
      <c r="L1179" s="321"/>
    </row>
    <row r="1180" spans="3:12" ht="14" x14ac:dyDescent="0.3">
      <c r="C1180" s="88">
        <v>45652</v>
      </c>
      <c r="D1180" s="89"/>
      <c r="E1180" s="89"/>
      <c r="F1180" s="56" t="s">
        <v>1633</v>
      </c>
      <c r="G1180" s="54">
        <f>40*68.5</f>
        <v>2740</v>
      </c>
      <c r="H1180" s="54">
        <v>0</v>
      </c>
      <c r="I1180" s="54">
        <f t="shared" si="180"/>
        <v>2740</v>
      </c>
      <c r="J1180" s="54">
        <v>2.33</v>
      </c>
      <c r="K1180" s="132">
        <f t="shared" si="181"/>
        <v>6384.2</v>
      </c>
      <c r="L1180" s="321"/>
    </row>
    <row r="1181" spans="3:12" ht="14" x14ac:dyDescent="0.3">
      <c r="C1181" s="88">
        <v>45652</v>
      </c>
      <c r="D1181" s="89"/>
      <c r="E1181" s="89"/>
      <c r="F1181" s="56" t="s">
        <v>1634</v>
      </c>
      <c r="G1181" s="54">
        <f>132*2</f>
        <v>264</v>
      </c>
      <c r="H1181" s="54">
        <f t="shared" ref="H1181:H1185" si="182">G1181*0.1</f>
        <v>26.400000000000002</v>
      </c>
      <c r="I1181" s="54">
        <f t="shared" ref="I1181:I1187" si="183">G1181-H1181</f>
        <v>237.6</v>
      </c>
      <c r="J1181" s="54">
        <v>2.33</v>
      </c>
      <c r="K1181" s="132">
        <f t="shared" ref="K1181:K1187" si="184">I1181*J1181</f>
        <v>553.60799999999995</v>
      </c>
      <c r="L1181" s="321"/>
    </row>
    <row r="1182" spans="3:12" ht="14" x14ac:dyDescent="0.3">
      <c r="C1182" s="88">
        <v>45652</v>
      </c>
      <c r="D1182" s="89"/>
      <c r="E1182" s="89"/>
      <c r="F1182" s="56" t="s">
        <v>1635</v>
      </c>
      <c r="G1182" s="54">
        <f>2*128</f>
        <v>256</v>
      </c>
      <c r="H1182" s="54">
        <f t="shared" si="182"/>
        <v>25.6</v>
      </c>
      <c r="I1182" s="54">
        <f t="shared" si="183"/>
        <v>230.4</v>
      </c>
      <c r="J1182" s="54">
        <v>2.33</v>
      </c>
      <c r="K1182" s="132">
        <f t="shared" si="184"/>
        <v>536.83199999999999</v>
      </c>
      <c r="L1182" s="321"/>
    </row>
    <row r="1183" spans="3:12" ht="14" x14ac:dyDescent="0.3">
      <c r="C1183" s="88">
        <v>45652</v>
      </c>
      <c r="D1183" s="89"/>
      <c r="E1183" s="89"/>
      <c r="F1183" s="56" t="s">
        <v>1636</v>
      </c>
      <c r="G1183" s="54">
        <f>1*697</f>
        <v>697</v>
      </c>
      <c r="H1183" s="54">
        <f t="shared" si="182"/>
        <v>69.7</v>
      </c>
      <c r="I1183" s="54">
        <f t="shared" si="183"/>
        <v>627.29999999999995</v>
      </c>
      <c r="J1183" s="54">
        <v>2.33</v>
      </c>
      <c r="K1183" s="132">
        <f t="shared" si="184"/>
        <v>1461.6089999999999</v>
      </c>
      <c r="L1183" s="321">
        <f>1328+70</f>
        <v>1398</v>
      </c>
    </row>
    <row r="1184" spans="3:12" ht="14" x14ac:dyDescent="0.3">
      <c r="C1184" s="88">
        <v>45652</v>
      </c>
      <c r="D1184" s="89"/>
      <c r="E1184" s="89"/>
      <c r="F1184" s="56" t="s">
        <v>1637</v>
      </c>
      <c r="G1184" s="54">
        <f>598*1</f>
        <v>598</v>
      </c>
      <c r="H1184" s="54">
        <f t="shared" si="182"/>
        <v>59.800000000000004</v>
      </c>
      <c r="I1184" s="54">
        <f t="shared" si="183"/>
        <v>538.20000000000005</v>
      </c>
      <c r="J1184" s="54">
        <v>2.33</v>
      </c>
      <c r="K1184" s="132">
        <f t="shared" si="184"/>
        <v>1254.0060000000001</v>
      </c>
      <c r="L1184" s="321">
        <f>1140+70</f>
        <v>1210</v>
      </c>
    </row>
    <row r="1185" spans="2:12" ht="14" x14ac:dyDescent="0.3">
      <c r="C1185" s="88">
        <v>45652</v>
      </c>
      <c r="D1185" s="89"/>
      <c r="E1185" s="89"/>
      <c r="F1185" s="56" t="s">
        <v>1638</v>
      </c>
      <c r="G1185" s="54">
        <f>60*140</f>
        <v>8400</v>
      </c>
      <c r="H1185" s="54">
        <f t="shared" si="182"/>
        <v>840</v>
      </c>
      <c r="I1185" s="54">
        <f t="shared" si="183"/>
        <v>7560</v>
      </c>
      <c r="J1185" s="54">
        <v>2.33</v>
      </c>
      <c r="K1185" s="132">
        <f t="shared" si="184"/>
        <v>17614.8</v>
      </c>
      <c r="L1185" s="321"/>
    </row>
    <row r="1186" spans="2:12" ht="14" x14ac:dyDescent="0.3">
      <c r="C1186" s="88">
        <v>45652</v>
      </c>
      <c r="D1186" s="89"/>
      <c r="E1186" s="89" t="s">
        <v>1703</v>
      </c>
      <c r="F1186" s="56" t="s">
        <v>1639</v>
      </c>
      <c r="G1186" s="54">
        <f>1*2158</f>
        <v>2158</v>
      </c>
      <c r="H1186" s="54">
        <v>0</v>
      </c>
      <c r="I1186" s="54">
        <f t="shared" si="183"/>
        <v>2158</v>
      </c>
      <c r="J1186" s="54">
        <v>2.33</v>
      </c>
      <c r="K1186" s="132">
        <f t="shared" si="184"/>
        <v>5028.1400000000003</v>
      </c>
      <c r="L1186" s="321"/>
    </row>
    <row r="1187" spans="2:12" ht="14" x14ac:dyDescent="0.3">
      <c r="C1187" s="88">
        <v>45652</v>
      </c>
      <c r="D1187" s="89"/>
      <c r="E1187" s="89"/>
      <c r="F1187" s="56" t="s">
        <v>1640</v>
      </c>
      <c r="G1187" s="54">
        <f>1*1798</f>
        <v>1798</v>
      </c>
      <c r="H1187" s="54">
        <v>0</v>
      </c>
      <c r="I1187" s="54">
        <f t="shared" si="183"/>
        <v>1798</v>
      </c>
      <c r="J1187" s="54">
        <v>2.33</v>
      </c>
      <c r="K1187" s="132">
        <f t="shared" si="184"/>
        <v>4189.34</v>
      </c>
      <c r="L1187" s="321"/>
    </row>
    <row r="1188" spans="2:12" ht="14" x14ac:dyDescent="0.3">
      <c r="C1188" s="88">
        <v>45652</v>
      </c>
      <c r="D1188" s="89"/>
      <c r="E1188" s="89"/>
      <c r="F1188" s="56" t="s">
        <v>1645</v>
      </c>
      <c r="G1188" s="54">
        <f>22*1790</f>
        <v>39380</v>
      </c>
      <c r="H1188" s="54">
        <f t="shared" ref="H1188:H1191" si="185">G1188*0.1</f>
        <v>3938</v>
      </c>
      <c r="I1188" s="54">
        <f t="shared" ref="I1188:I1191" si="186">G1188-H1188</f>
        <v>35442</v>
      </c>
      <c r="J1188" s="54">
        <v>2.33</v>
      </c>
      <c r="K1188" s="132">
        <f t="shared" ref="K1188:K1191" si="187">I1188*J1188</f>
        <v>82579.86</v>
      </c>
      <c r="L1188" s="321"/>
    </row>
    <row r="1189" spans="2:12" ht="14" x14ac:dyDescent="0.3">
      <c r="C1189" s="88">
        <v>45652</v>
      </c>
      <c r="D1189" s="89"/>
      <c r="E1189" s="89" t="s">
        <v>1702</v>
      </c>
      <c r="F1189" s="56" t="s">
        <v>1641</v>
      </c>
      <c r="G1189" s="54">
        <f>2*2948</f>
        <v>5896</v>
      </c>
      <c r="H1189" s="54">
        <f t="shared" si="185"/>
        <v>589.6</v>
      </c>
      <c r="I1189" s="54">
        <f t="shared" si="186"/>
        <v>5306.4</v>
      </c>
      <c r="J1189" s="54">
        <v>2.33</v>
      </c>
      <c r="K1189" s="132">
        <f t="shared" si="187"/>
        <v>12363.912</v>
      </c>
      <c r="L1189" s="321"/>
    </row>
    <row r="1190" spans="2:12" ht="14" x14ac:dyDescent="0.3">
      <c r="C1190" s="88">
        <v>45652</v>
      </c>
      <c r="D1190" s="89"/>
      <c r="E1190" s="89"/>
      <c r="F1190" s="56" t="s">
        <v>1642</v>
      </c>
      <c r="G1190" s="54">
        <f>2*1768</f>
        <v>3536</v>
      </c>
      <c r="H1190" s="54">
        <f t="shared" si="185"/>
        <v>353.6</v>
      </c>
      <c r="I1190" s="54">
        <f t="shared" si="186"/>
        <v>3182.4</v>
      </c>
      <c r="J1190" s="54">
        <v>2.33</v>
      </c>
      <c r="K1190" s="132">
        <f t="shared" si="187"/>
        <v>7414.9920000000002</v>
      </c>
      <c r="L1190" s="321"/>
    </row>
    <row r="1191" spans="2:12" ht="14" x14ac:dyDescent="0.3">
      <c r="C1191" s="88">
        <v>45652</v>
      </c>
      <c r="D1191" s="89"/>
      <c r="E1191" s="89"/>
      <c r="F1191" s="56" t="s">
        <v>1643</v>
      </c>
      <c r="G1191" s="54">
        <f>2*550</f>
        <v>1100</v>
      </c>
      <c r="H1191" s="54">
        <f t="shared" si="185"/>
        <v>110</v>
      </c>
      <c r="I1191" s="54">
        <f t="shared" si="186"/>
        <v>990</v>
      </c>
      <c r="J1191" s="54">
        <v>2.33</v>
      </c>
      <c r="K1191" s="132">
        <f t="shared" si="187"/>
        <v>2306.7000000000003</v>
      </c>
      <c r="L1191" s="321"/>
    </row>
    <row r="1192" spans="2:12" ht="14" x14ac:dyDescent="0.3">
      <c r="B1192" s="1" t="s">
        <v>1678</v>
      </c>
      <c r="C1192" s="88">
        <v>45652</v>
      </c>
      <c r="D1192" s="89"/>
      <c r="E1192" s="89" t="s">
        <v>1703</v>
      </c>
      <c r="F1192" s="56" t="s">
        <v>1679</v>
      </c>
      <c r="G1192" s="54">
        <f>2198*1</f>
        <v>2198</v>
      </c>
      <c r="H1192" s="54">
        <v>0</v>
      </c>
      <c r="I1192" s="54">
        <f t="shared" ref="I1192" si="188">G1192-H1192</f>
        <v>2198</v>
      </c>
      <c r="J1192" s="54">
        <v>2.33</v>
      </c>
      <c r="K1192" s="132">
        <f t="shared" ref="K1192" si="189">I1192*J1192</f>
        <v>5121.34</v>
      </c>
      <c r="L1192" s="321"/>
    </row>
    <row r="1193" spans="2:12" ht="14" x14ac:dyDescent="0.3">
      <c r="B1193" s="1" t="s">
        <v>1678</v>
      </c>
      <c r="C1193" s="88">
        <v>45652</v>
      </c>
      <c r="D1193" s="89"/>
      <c r="E1193" s="89"/>
      <c r="F1193" s="56" t="s">
        <v>1680</v>
      </c>
      <c r="G1193" s="54">
        <v>2711.2</v>
      </c>
      <c r="H1193" s="54">
        <v>0</v>
      </c>
      <c r="I1193" s="54">
        <f t="shared" ref="I1193" si="190">G1193-H1193</f>
        <v>2711.2</v>
      </c>
      <c r="J1193" s="54">
        <v>2.33</v>
      </c>
      <c r="K1193" s="132">
        <f t="shared" ref="K1193" si="191">I1193*J1193</f>
        <v>6317.0959999999995</v>
      </c>
      <c r="L1193" s="321"/>
    </row>
    <row r="1194" spans="2:12" ht="14" x14ac:dyDescent="0.3">
      <c r="C1194" s="88"/>
      <c r="D1194" s="89"/>
      <c r="E1194" s="89"/>
      <c r="F1194" s="56"/>
      <c r="G1194" s="54"/>
      <c r="H1194" s="54"/>
      <c r="I1194" s="54"/>
      <c r="J1194" s="54"/>
      <c r="K1194" s="132"/>
      <c r="L1194" s="321"/>
    </row>
    <row r="1195" spans="2:12" ht="15" x14ac:dyDescent="0.3">
      <c r="C1195" s="88"/>
      <c r="D1195" s="89"/>
      <c r="E1195" s="89"/>
      <c r="F1195" s="109"/>
      <c r="G1195" s="54"/>
      <c r="H1195" s="54"/>
      <c r="I1195" s="54"/>
      <c r="J1195" s="132"/>
      <c r="K1195" s="54">
        <f>SUM(K1170:K1191)</f>
        <v>224403.465</v>
      </c>
      <c r="L1195" s="321"/>
    </row>
    <row r="1197" spans="2:12" ht="15" x14ac:dyDescent="0.3">
      <c r="C1197" s="24" t="s">
        <v>0</v>
      </c>
      <c r="D1197" s="24" t="s">
        <v>49</v>
      </c>
      <c r="E1197" s="24" t="s">
        <v>53</v>
      </c>
      <c r="F1197" s="19" t="s">
        <v>1603</v>
      </c>
      <c r="G1197" s="20" t="s">
        <v>6</v>
      </c>
      <c r="H1197" s="20" t="s">
        <v>7</v>
      </c>
      <c r="I1197" s="24" t="s">
        <v>13</v>
      </c>
      <c r="J1197" s="24" t="s">
        <v>69</v>
      </c>
      <c r="K1197" s="24" t="s">
        <v>57</v>
      </c>
    </row>
    <row r="1198" spans="2:12" ht="14" x14ac:dyDescent="0.3">
      <c r="C1198" s="88"/>
      <c r="D1198" s="89"/>
      <c r="E1198" s="89"/>
      <c r="F1198" s="56"/>
      <c r="G1198" s="54"/>
      <c r="H1198" s="54"/>
      <c r="I1198" s="54"/>
      <c r="J1198" s="132"/>
      <c r="K1198" s="54"/>
    </row>
    <row r="1199" spans="2:12" ht="14" x14ac:dyDescent="0.3">
      <c r="C1199" s="88">
        <v>45656</v>
      </c>
      <c r="D1199" s="89"/>
      <c r="E1199" s="89"/>
      <c r="F1199" s="56" t="s">
        <v>1644</v>
      </c>
      <c r="G1199" s="54">
        <f>127*5</f>
        <v>635</v>
      </c>
      <c r="H1199" s="466">
        <v>2.33</v>
      </c>
      <c r="I1199" s="54">
        <f>G1199*H1199</f>
        <v>1479.55</v>
      </c>
      <c r="J1199" s="132"/>
      <c r="K1199" s="54">
        <f t="shared" ref="K1199:K1203" si="192">K1198+I1199-J1199</f>
        <v>1479.55</v>
      </c>
    </row>
    <row r="1200" spans="2:12" ht="14" x14ac:dyDescent="0.3">
      <c r="C1200" s="88">
        <v>45657</v>
      </c>
      <c r="D1200" s="89"/>
      <c r="E1200" s="89"/>
      <c r="F1200" s="56" t="s">
        <v>1644</v>
      </c>
      <c r="G1200" s="54">
        <f>5*127</f>
        <v>635</v>
      </c>
      <c r="H1200" s="466">
        <v>2.33</v>
      </c>
      <c r="I1200" s="54">
        <f>G1200*H1200</f>
        <v>1479.55</v>
      </c>
      <c r="J1200" s="132"/>
      <c r="K1200" s="54">
        <f>K1199+I1200-J1200</f>
        <v>2959.1</v>
      </c>
    </row>
    <row r="1201" spans="2:11" ht="14" x14ac:dyDescent="0.3">
      <c r="C1201" s="88">
        <v>45657</v>
      </c>
      <c r="D1201" s="89"/>
      <c r="E1201" s="89"/>
      <c r="F1201" s="56" t="s">
        <v>1647</v>
      </c>
      <c r="G1201" s="54">
        <f>52*478.4</f>
        <v>24876.799999999999</v>
      </c>
      <c r="H1201" s="466">
        <v>2.33</v>
      </c>
      <c r="I1201" s="54">
        <f>G1201*H1201</f>
        <v>57962.944000000003</v>
      </c>
      <c r="J1201" s="132"/>
      <c r="K1201" s="54">
        <f t="shared" si="192"/>
        <v>60922.044000000002</v>
      </c>
    </row>
    <row r="1202" spans="2:11" ht="14" x14ac:dyDescent="0.3">
      <c r="C1202" s="88"/>
      <c r="D1202" s="89"/>
      <c r="E1202" s="89"/>
      <c r="F1202" s="56"/>
      <c r="G1202" s="54"/>
      <c r="H1202" s="466"/>
      <c r="I1202" s="54"/>
      <c r="J1202" s="132"/>
      <c r="K1202" s="54">
        <f t="shared" si="192"/>
        <v>60922.044000000002</v>
      </c>
    </row>
    <row r="1203" spans="2:11" ht="15" x14ac:dyDescent="0.3">
      <c r="C1203" s="88"/>
      <c r="D1203" s="89"/>
      <c r="E1203" s="89"/>
      <c r="F1203" s="109"/>
      <c r="G1203" s="54"/>
      <c r="H1203" s="54"/>
      <c r="I1203" s="54"/>
      <c r="J1203" s="132"/>
      <c r="K1203" s="54">
        <f t="shared" si="192"/>
        <v>60922.044000000002</v>
      </c>
    </row>
    <row r="1206" spans="2:11" ht="15" x14ac:dyDescent="0.3">
      <c r="C1206" s="24" t="s">
        <v>0</v>
      </c>
      <c r="D1206" s="24" t="s">
        <v>49</v>
      </c>
      <c r="E1206" s="24" t="s">
        <v>53</v>
      </c>
      <c r="F1206" s="19" t="s">
        <v>1603</v>
      </c>
      <c r="G1206" s="20" t="s">
        <v>6</v>
      </c>
      <c r="H1206" s="20" t="s">
        <v>7</v>
      </c>
      <c r="I1206" s="24" t="s">
        <v>13</v>
      </c>
      <c r="J1206" s="24" t="s">
        <v>69</v>
      </c>
      <c r="K1206" s="24" t="s">
        <v>57</v>
      </c>
    </row>
    <row r="1207" spans="2:11" ht="14" x14ac:dyDescent="0.3">
      <c r="C1207" s="88"/>
      <c r="D1207" s="89"/>
      <c r="E1207" s="89"/>
      <c r="F1207" s="56"/>
      <c r="G1207" s="54"/>
      <c r="H1207" s="54"/>
      <c r="I1207" s="54"/>
      <c r="J1207" s="132"/>
      <c r="K1207" s="54"/>
    </row>
    <row r="1208" spans="2:11" ht="14" x14ac:dyDescent="0.3">
      <c r="B1208" s="1" t="s">
        <v>1663</v>
      </c>
      <c r="C1208" s="88">
        <v>45655</v>
      </c>
      <c r="D1208" s="89"/>
      <c r="E1208" s="89"/>
      <c r="F1208" s="56" t="s">
        <v>1660</v>
      </c>
      <c r="G1208" s="54">
        <f>16*569</f>
        <v>9104</v>
      </c>
      <c r="H1208" s="466">
        <v>2.33</v>
      </c>
      <c r="I1208" s="54">
        <f>G1208*H1208</f>
        <v>21212.32</v>
      </c>
      <c r="J1208" s="132"/>
      <c r="K1208" s="54">
        <f t="shared" ref="K1208" si="193">K1207+I1208-J1208</f>
        <v>21212.32</v>
      </c>
    </row>
    <row r="1209" spans="2:11" ht="14" x14ac:dyDescent="0.3">
      <c r="B1209" s="1" t="s">
        <v>1663</v>
      </c>
      <c r="C1209" s="88">
        <v>45655</v>
      </c>
      <c r="D1209" s="89"/>
      <c r="E1209" s="89"/>
      <c r="F1209" s="56" t="s">
        <v>1661</v>
      </c>
      <c r="G1209" s="54">
        <f>599*1</f>
        <v>599</v>
      </c>
      <c r="H1209" s="466">
        <v>2.33</v>
      </c>
      <c r="I1209" s="54">
        <f>G1209*H1209</f>
        <v>1395.67</v>
      </c>
      <c r="J1209" s="132"/>
      <c r="K1209" s="54">
        <f>K1208+I1209-J1209</f>
        <v>22607.989999999998</v>
      </c>
    </row>
    <row r="1210" spans="2:11" ht="14" x14ac:dyDescent="0.3">
      <c r="B1210" s="1" t="s">
        <v>1663</v>
      </c>
      <c r="C1210" s="88">
        <v>45648</v>
      </c>
      <c r="D1210" s="89"/>
      <c r="E1210" s="89"/>
      <c r="F1210" s="56" t="s">
        <v>1662</v>
      </c>
      <c r="G1210" s="54">
        <f>43*132</f>
        <v>5676</v>
      </c>
      <c r="H1210" s="466">
        <v>2.33</v>
      </c>
      <c r="I1210" s="54">
        <f>G1210*H1210</f>
        <v>13225.08</v>
      </c>
      <c r="J1210" s="132"/>
      <c r="K1210" s="54">
        <f t="shared" ref="K1210:K1212" si="194">K1209+I1210-J1210</f>
        <v>35833.07</v>
      </c>
    </row>
    <row r="1211" spans="2:11" ht="14" x14ac:dyDescent="0.3">
      <c r="B1211" s="1" t="s">
        <v>1474</v>
      </c>
      <c r="C1211" s="88"/>
      <c r="D1211" s="89"/>
      <c r="E1211" s="89"/>
      <c r="F1211" s="56"/>
      <c r="G1211" s="54"/>
      <c r="H1211" s="466"/>
      <c r="I1211" s="54"/>
      <c r="J1211" s="132"/>
      <c r="K1211" s="54">
        <f t="shared" si="194"/>
        <v>35833.07</v>
      </c>
    </row>
    <row r="1212" spans="2:11" ht="15" x14ac:dyDescent="0.3">
      <c r="C1212" s="88"/>
      <c r="D1212" s="89"/>
      <c r="E1212" s="89"/>
      <c r="F1212" s="109"/>
      <c r="G1212" s="54"/>
      <c r="H1212" s="54"/>
      <c r="I1212" s="54"/>
      <c r="J1212" s="132"/>
      <c r="K1212" s="54">
        <f t="shared" si="194"/>
        <v>35833.07</v>
      </c>
    </row>
  </sheetData>
  <autoFilter ref="C268:D278" xr:uid="{00000000-0009-0000-0000-000003000000}"/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X351"/>
  <sheetViews>
    <sheetView topLeftCell="F317" zoomScale="90" zoomScaleNormal="90" workbookViewId="0">
      <selection activeCell="P334" sqref="P334"/>
    </sheetView>
  </sheetViews>
  <sheetFormatPr defaultRowHeight="13" x14ac:dyDescent="0.3"/>
  <cols>
    <col min="3" max="3" width="10.09765625" bestFit="1" customWidth="1"/>
    <col min="4" max="4" width="53.69921875" bestFit="1" customWidth="1"/>
    <col min="5" max="5" width="28.3984375" bestFit="1" customWidth="1"/>
    <col min="6" max="6" width="11.19921875" bestFit="1" customWidth="1"/>
    <col min="7" max="7" width="57.19921875" bestFit="1" customWidth="1"/>
    <col min="9" max="9" width="10" bestFit="1" customWidth="1"/>
    <col min="10" max="10" width="14.69921875" bestFit="1" customWidth="1"/>
    <col min="12" max="12" width="10" bestFit="1" customWidth="1"/>
    <col min="13" max="13" width="12.8984375" bestFit="1" customWidth="1"/>
    <col min="14" max="14" width="12.19921875" bestFit="1" customWidth="1"/>
    <col min="15" max="15" width="12.69921875" bestFit="1" customWidth="1"/>
    <col min="16" max="16" width="13.19921875" style="17" bestFit="1" customWidth="1"/>
    <col min="17" max="17" width="9.59765625" style="17" bestFit="1" customWidth="1"/>
    <col min="18" max="18" width="12.8984375" bestFit="1" customWidth="1"/>
    <col min="20" max="20" width="8.19921875" bestFit="1" customWidth="1"/>
    <col min="21" max="21" width="6.3984375" bestFit="1" customWidth="1"/>
    <col min="22" max="22" width="12.8984375" bestFit="1" customWidth="1"/>
    <col min="23" max="23" width="14.69921875" bestFit="1" customWidth="1"/>
    <col min="24" max="24" width="9.3984375" bestFit="1" customWidth="1"/>
  </cols>
  <sheetData>
    <row r="4" spans="3:4" x14ac:dyDescent="0.3">
      <c r="C4" s="180">
        <v>45566</v>
      </c>
      <c r="D4" t="s">
        <v>1180</v>
      </c>
    </row>
    <row r="5" spans="3:4" x14ac:dyDescent="0.3">
      <c r="C5" s="180">
        <v>45591</v>
      </c>
      <c r="D5" s="1" t="s">
        <v>1426</v>
      </c>
    </row>
    <row r="6" spans="3:4" x14ac:dyDescent="0.3">
      <c r="C6" s="180">
        <v>45591</v>
      </c>
      <c r="D6" s="1" t="s">
        <v>1422</v>
      </c>
    </row>
    <row r="7" spans="3:4" x14ac:dyDescent="0.3">
      <c r="C7" s="180">
        <v>45591</v>
      </c>
      <c r="D7" s="1" t="s">
        <v>1427</v>
      </c>
    </row>
    <row r="8" spans="3:4" x14ac:dyDescent="0.3">
      <c r="C8" s="180">
        <v>45591</v>
      </c>
      <c r="D8" s="1" t="s">
        <v>1428</v>
      </c>
    </row>
    <row r="9" spans="3:4" x14ac:dyDescent="0.3">
      <c r="C9" s="180">
        <v>45591</v>
      </c>
      <c r="D9" s="1" t="s">
        <v>1429</v>
      </c>
    </row>
    <row r="10" spans="3:4" x14ac:dyDescent="0.3">
      <c r="C10" s="180">
        <v>45591</v>
      </c>
      <c r="D10" s="1" t="s">
        <v>1430</v>
      </c>
    </row>
    <row r="12" spans="3:4" x14ac:dyDescent="0.3">
      <c r="C12" s="180">
        <v>45593</v>
      </c>
      <c r="D12" s="328" t="s">
        <v>1422</v>
      </c>
    </row>
    <row r="13" spans="3:4" x14ac:dyDescent="0.3">
      <c r="C13" s="180">
        <v>45593</v>
      </c>
      <c r="D13" s="1" t="s">
        <v>1423</v>
      </c>
    </row>
    <row r="14" spans="3:4" x14ac:dyDescent="0.3">
      <c r="C14" s="180">
        <v>45593</v>
      </c>
      <c r="D14" s="1" t="s">
        <v>1424</v>
      </c>
    </row>
    <row r="15" spans="3:4" x14ac:dyDescent="0.3">
      <c r="C15" s="180">
        <v>45593</v>
      </c>
      <c r="D15" s="1" t="s">
        <v>1425</v>
      </c>
    </row>
    <row r="17" spans="3:19" x14ac:dyDescent="0.3">
      <c r="C17" s="180">
        <v>45596</v>
      </c>
      <c r="D17" s="1" t="s">
        <v>1438</v>
      </c>
    </row>
    <row r="18" spans="3:19" x14ac:dyDescent="0.3">
      <c r="C18" s="180">
        <v>45596</v>
      </c>
      <c r="D18" s="1" t="s">
        <v>1439</v>
      </c>
    </row>
    <row r="23" spans="3:19" x14ac:dyDescent="0.3">
      <c r="F23" s="161" t="s">
        <v>0</v>
      </c>
      <c r="G23" s="161" t="s">
        <v>5</v>
      </c>
      <c r="H23" s="161" t="s">
        <v>792</v>
      </c>
      <c r="I23" s="161" t="s">
        <v>808</v>
      </c>
      <c r="J23" s="161" t="s">
        <v>1231</v>
      </c>
      <c r="K23" s="433" t="s">
        <v>1218</v>
      </c>
      <c r="L23" s="433" t="s">
        <v>1433</v>
      </c>
      <c r="M23" s="161" t="s">
        <v>1434</v>
      </c>
      <c r="N23" s="433" t="s">
        <v>1435</v>
      </c>
      <c r="O23" s="433" t="s">
        <v>1436</v>
      </c>
      <c r="P23" s="161" t="s">
        <v>1456</v>
      </c>
      <c r="Q23" s="161" t="s">
        <v>1457</v>
      </c>
      <c r="R23" s="161" t="s">
        <v>1499</v>
      </c>
      <c r="S23" s="161" t="s">
        <v>1523</v>
      </c>
    </row>
    <row r="24" spans="3:19" x14ac:dyDescent="0.3"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26"/>
      <c r="Q24" s="26"/>
      <c r="R24" s="26"/>
      <c r="S24" s="26"/>
    </row>
    <row r="25" spans="3:19" x14ac:dyDescent="0.3">
      <c r="F25" s="157">
        <v>45579</v>
      </c>
      <c r="G25" s="113" t="s">
        <v>1396</v>
      </c>
      <c r="H25" s="26">
        <v>73</v>
      </c>
      <c r="I25" s="26">
        <v>121</v>
      </c>
      <c r="J25" s="26">
        <v>1</v>
      </c>
      <c r="K25" s="26"/>
      <c r="L25" s="26"/>
      <c r="M25" s="26"/>
      <c r="N25" s="26"/>
      <c r="O25" s="113"/>
      <c r="P25" s="26"/>
      <c r="Q25" s="26"/>
      <c r="R25" s="26"/>
      <c r="S25" s="26"/>
    </row>
    <row r="26" spans="3:19" x14ac:dyDescent="0.3">
      <c r="F26" s="157">
        <v>45580</v>
      </c>
      <c r="G26" s="113" t="s">
        <v>1398</v>
      </c>
      <c r="H26" s="26">
        <v>55</v>
      </c>
      <c r="I26" s="26">
        <v>10</v>
      </c>
      <c r="J26" s="26"/>
      <c r="K26" s="26"/>
      <c r="L26" s="26"/>
      <c r="M26" s="26"/>
      <c r="N26" s="26"/>
      <c r="O26" s="113"/>
      <c r="P26" s="26"/>
      <c r="Q26" s="26"/>
      <c r="R26" s="26"/>
      <c r="S26" s="26"/>
    </row>
    <row r="27" spans="3:19" x14ac:dyDescent="0.3">
      <c r="F27" s="157">
        <v>45582</v>
      </c>
      <c r="G27" s="450" t="s">
        <v>1397</v>
      </c>
      <c r="H27" s="451">
        <v>-55</v>
      </c>
      <c r="I27" s="451">
        <v>-10</v>
      </c>
      <c r="J27" s="26"/>
      <c r="K27" s="26"/>
      <c r="L27" s="26"/>
      <c r="M27" s="26"/>
      <c r="N27" s="26"/>
      <c r="O27" s="113"/>
      <c r="P27" s="26"/>
      <c r="Q27" s="26"/>
      <c r="R27" s="26"/>
      <c r="S27" s="26"/>
    </row>
    <row r="28" spans="3:19" x14ac:dyDescent="0.3">
      <c r="F28" s="157">
        <v>45584</v>
      </c>
      <c r="G28" s="450" t="s">
        <v>1397</v>
      </c>
      <c r="H28" s="451">
        <v>-42</v>
      </c>
      <c r="I28" s="451">
        <v>-119</v>
      </c>
      <c r="J28" s="26"/>
      <c r="K28" s="26"/>
      <c r="L28" s="26"/>
      <c r="M28" s="26"/>
      <c r="N28" s="26"/>
      <c r="O28" s="113"/>
      <c r="P28" s="26"/>
      <c r="Q28" s="26"/>
      <c r="R28" s="26"/>
      <c r="S28" s="26"/>
    </row>
    <row r="29" spans="3:19" ht="14" x14ac:dyDescent="0.3">
      <c r="F29" s="157">
        <v>45584</v>
      </c>
      <c r="G29" s="56" t="s">
        <v>1392</v>
      </c>
      <c r="H29" s="26">
        <v>0</v>
      </c>
      <c r="I29" s="26">
        <v>20</v>
      </c>
      <c r="J29" s="26"/>
      <c r="K29" s="26"/>
      <c r="L29" s="26"/>
      <c r="M29" s="26"/>
      <c r="N29" s="26"/>
      <c r="O29" s="113"/>
      <c r="P29" s="26"/>
      <c r="Q29" s="26"/>
      <c r="R29" s="26"/>
      <c r="S29" s="26"/>
    </row>
    <row r="30" spans="3:19" x14ac:dyDescent="0.3">
      <c r="F30" s="157">
        <v>45588</v>
      </c>
      <c r="G30" s="113" t="s">
        <v>1400</v>
      </c>
      <c r="H30" s="26"/>
      <c r="I30" s="26">
        <v>8</v>
      </c>
      <c r="J30" s="26"/>
      <c r="K30" s="26"/>
      <c r="L30" s="26"/>
      <c r="M30" s="26"/>
      <c r="N30" s="26"/>
      <c r="O30" s="113"/>
      <c r="P30" s="26"/>
      <c r="Q30" s="26"/>
      <c r="R30" s="26"/>
      <c r="S30" s="26"/>
    </row>
    <row r="31" spans="3:19" x14ac:dyDescent="0.3">
      <c r="F31" s="113"/>
      <c r="G31" s="113"/>
      <c r="H31" s="26"/>
      <c r="I31" s="26"/>
      <c r="J31" s="26"/>
      <c r="K31" s="26"/>
      <c r="L31" s="26"/>
      <c r="M31" s="26"/>
      <c r="N31" s="26"/>
      <c r="O31" s="113"/>
      <c r="P31" s="26"/>
      <c r="Q31" s="26"/>
      <c r="R31" s="26"/>
      <c r="S31" s="26"/>
    </row>
    <row r="32" spans="3:19" ht="14" x14ac:dyDescent="0.3">
      <c r="F32" s="157">
        <v>45591</v>
      </c>
      <c r="G32" s="56" t="s">
        <v>1402</v>
      </c>
      <c r="H32" s="26"/>
      <c r="I32" s="26"/>
      <c r="J32" s="26"/>
      <c r="K32" s="26">
        <v>45</v>
      </c>
      <c r="L32" s="26"/>
      <c r="M32" s="26"/>
      <c r="N32" s="26"/>
      <c r="O32" s="113"/>
      <c r="P32" s="26"/>
      <c r="Q32" s="26"/>
      <c r="R32" s="26"/>
      <c r="S32" s="26"/>
    </row>
    <row r="33" spans="5:19" ht="14" x14ac:dyDescent="0.3">
      <c r="F33" s="157">
        <v>45591</v>
      </c>
      <c r="G33" s="56" t="s">
        <v>1403</v>
      </c>
      <c r="H33" s="26"/>
      <c r="I33" s="26"/>
      <c r="J33" s="26"/>
      <c r="K33" s="26"/>
      <c r="L33" s="26">
        <v>14</v>
      </c>
      <c r="M33" s="26"/>
      <c r="N33" s="26"/>
      <c r="O33" s="113"/>
      <c r="P33" s="26"/>
      <c r="Q33" s="26"/>
      <c r="R33" s="26"/>
      <c r="S33" s="26"/>
    </row>
    <row r="34" spans="5:19" ht="14" x14ac:dyDescent="0.3">
      <c r="F34" s="157">
        <v>45591</v>
      </c>
      <c r="G34" s="56" t="s">
        <v>1410</v>
      </c>
      <c r="H34" s="26"/>
      <c r="I34" s="26"/>
      <c r="J34" s="26"/>
      <c r="K34" s="26"/>
      <c r="L34" s="26"/>
      <c r="M34" s="26">
        <v>10</v>
      </c>
      <c r="N34" s="26"/>
      <c r="O34" s="113"/>
      <c r="P34" s="26"/>
      <c r="Q34" s="26"/>
      <c r="R34" s="26"/>
      <c r="S34" s="26"/>
    </row>
    <row r="35" spans="5:19" ht="14" x14ac:dyDescent="0.3">
      <c r="F35" s="157">
        <v>45591</v>
      </c>
      <c r="G35" s="56" t="s">
        <v>1411</v>
      </c>
      <c r="H35" s="26"/>
      <c r="I35" s="26"/>
      <c r="J35" s="26"/>
      <c r="K35" s="26"/>
      <c r="L35" s="26"/>
      <c r="M35" s="26"/>
      <c r="N35" s="26">
        <v>1</v>
      </c>
      <c r="O35" s="113"/>
      <c r="P35" s="26"/>
      <c r="Q35" s="26"/>
      <c r="R35" s="26"/>
      <c r="S35" s="26"/>
    </row>
    <row r="36" spans="5:19" ht="14" x14ac:dyDescent="0.3">
      <c r="F36" s="157">
        <v>45591</v>
      </c>
      <c r="G36" s="56" t="s">
        <v>1412</v>
      </c>
      <c r="H36" s="26"/>
      <c r="I36" s="26">
        <v>30</v>
      </c>
      <c r="J36" s="26"/>
      <c r="K36" s="26"/>
      <c r="L36" s="26"/>
      <c r="M36" s="26"/>
      <c r="N36" s="26"/>
      <c r="O36" s="113"/>
      <c r="P36" s="26"/>
      <c r="Q36" s="26"/>
      <c r="R36" s="26"/>
      <c r="S36" s="26"/>
    </row>
    <row r="37" spans="5:19" ht="14" x14ac:dyDescent="0.3">
      <c r="E37" t="s">
        <v>1565</v>
      </c>
      <c r="F37" s="157">
        <v>45591</v>
      </c>
      <c r="G37" s="56" t="s">
        <v>1413</v>
      </c>
      <c r="H37" s="26"/>
      <c r="I37" s="26"/>
      <c r="J37" s="26"/>
      <c r="K37" s="26">
        <f>100-100</f>
        <v>0</v>
      </c>
      <c r="L37" s="26"/>
      <c r="M37" s="26"/>
      <c r="N37" s="26"/>
      <c r="O37" s="113"/>
      <c r="P37" s="26"/>
      <c r="Q37" s="26"/>
      <c r="R37" s="26"/>
      <c r="S37" s="26"/>
    </row>
    <row r="38" spans="5:19" ht="14" x14ac:dyDescent="0.3">
      <c r="E38" t="s">
        <v>1565</v>
      </c>
      <c r="F38" s="157">
        <v>45591</v>
      </c>
      <c r="G38" s="56" t="s">
        <v>1414</v>
      </c>
      <c r="H38" s="26"/>
      <c r="I38" s="26"/>
      <c r="J38" s="26"/>
      <c r="K38" s="26"/>
      <c r="L38" s="26">
        <f>100-100</f>
        <v>0</v>
      </c>
      <c r="M38" s="26"/>
      <c r="N38" s="26"/>
      <c r="O38" s="113"/>
      <c r="P38" s="26"/>
      <c r="Q38" s="26"/>
      <c r="R38" s="26"/>
      <c r="S38" s="26"/>
    </row>
    <row r="39" spans="5:19" ht="14" x14ac:dyDescent="0.3">
      <c r="F39" s="157">
        <v>45591</v>
      </c>
      <c r="G39" s="56" t="s">
        <v>1415</v>
      </c>
      <c r="H39" s="26"/>
      <c r="I39" s="26"/>
      <c r="J39" s="26"/>
      <c r="K39" s="26"/>
      <c r="L39" s="26"/>
      <c r="M39" s="26">
        <v>2</v>
      </c>
      <c r="N39" s="26"/>
      <c r="O39" s="113"/>
      <c r="P39" s="26"/>
      <c r="Q39" s="26"/>
      <c r="R39" s="26"/>
      <c r="S39" s="26"/>
    </row>
    <row r="40" spans="5:19" ht="14" x14ac:dyDescent="0.3">
      <c r="F40" s="157">
        <v>45591</v>
      </c>
      <c r="G40" s="56" t="s">
        <v>1416</v>
      </c>
      <c r="H40" s="26"/>
      <c r="I40" s="26"/>
      <c r="J40" s="26"/>
      <c r="K40" s="26">
        <v>100</v>
      </c>
      <c r="L40" s="26"/>
      <c r="M40" s="26"/>
      <c r="N40" s="26"/>
      <c r="O40" s="113"/>
      <c r="P40" s="26"/>
      <c r="Q40" s="26"/>
      <c r="R40" s="26"/>
      <c r="S40" s="26"/>
    </row>
    <row r="41" spans="5:19" ht="14" x14ac:dyDescent="0.3">
      <c r="F41" s="157">
        <v>45591</v>
      </c>
      <c r="G41" s="56" t="s">
        <v>1417</v>
      </c>
      <c r="H41" s="26"/>
      <c r="I41" s="26"/>
      <c r="J41" s="26"/>
      <c r="K41" s="26">
        <v>34</v>
      </c>
      <c r="L41" s="26"/>
      <c r="M41" s="26"/>
      <c r="N41" s="26"/>
      <c r="O41" s="113"/>
      <c r="P41" s="26"/>
      <c r="Q41" s="26"/>
      <c r="R41" s="26"/>
      <c r="S41" s="26"/>
    </row>
    <row r="42" spans="5:19" ht="14" x14ac:dyDescent="0.3">
      <c r="E42" t="s">
        <v>451</v>
      </c>
      <c r="F42" s="157">
        <v>45591</v>
      </c>
      <c r="G42" s="56" t="s">
        <v>1556</v>
      </c>
      <c r="H42" s="26"/>
      <c r="I42" s="26"/>
      <c r="J42" s="26"/>
      <c r="K42" s="26"/>
      <c r="L42" s="26"/>
      <c r="M42" s="26"/>
      <c r="N42" s="26"/>
      <c r="O42" s="113"/>
      <c r="P42" s="26"/>
      <c r="Q42" s="26"/>
      <c r="R42" s="26"/>
      <c r="S42" s="26"/>
    </row>
    <row r="43" spans="5:19" ht="14" x14ac:dyDescent="0.3">
      <c r="F43" s="157">
        <v>45591</v>
      </c>
      <c r="G43" s="56" t="s">
        <v>1418</v>
      </c>
      <c r="H43" s="26"/>
      <c r="I43" s="26"/>
      <c r="J43" s="26">
        <v>7</v>
      </c>
      <c r="K43" s="26"/>
      <c r="L43" s="26"/>
      <c r="M43" s="26"/>
      <c r="N43" s="26"/>
      <c r="O43" s="113"/>
      <c r="P43" s="26"/>
      <c r="Q43" s="26"/>
      <c r="R43" s="26"/>
      <c r="S43" s="26"/>
    </row>
    <row r="44" spans="5:19" x14ac:dyDescent="0.3">
      <c r="F44" s="157"/>
      <c r="G44" s="16"/>
      <c r="H44" s="26"/>
      <c r="I44" s="26"/>
      <c r="J44" s="26"/>
      <c r="K44" s="26"/>
      <c r="L44" s="26"/>
      <c r="M44" s="26"/>
      <c r="N44" s="26"/>
      <c r="O44" s="113"/>
      <c r="P44" s="26"/>
      <c r="Q44" s="26"/>
      <c r="R44" s="26"/>
      <c r="S44" s="26"/>
    </row>
    <row r="45" spans="5:19" ht="14" x14ac:dyDescent="0.3">
      <c r="F45" s="88">
        <v>45593</v>
      </c>
      <c r="G45" s="56" t="s">
        <v>1431</v>
      </c>
      <c r="H45" s="26"/>
      <c r="I45" s="26">
        <v>100</v>
      </c>
      <c r="J45" s="26"/>
      <c r="K45" s="26"/>
      <c r="L45" s="26"/>
      <c r="M45" s="26"/>
      <c r="N45" s="26"/>
      <c r="O45" s="113"/>
      <c r="P45" s="26"/>
      <c r="Q45" s="26"/>
      <c r="R45" s="26"/>
      <c r="S45" s="26"/>
    </row>
    <row r="46" spans="5:19" ht="14" x14ac:dyDescent="0.3">
      <c r="E46" t="s">
        <v>1513</v>
      </c>
      <c r="F46" s="88">
        <v>45593</v>
      </c>
      <c r="G46" s="56" t="s">
        <v>1557</v>
      </c>
      <c r="H46" s="26"/>
      <c r="I46" s="26"/>
      <c r="J46" s="26"/>
      <c r="K46" s="26"/>
      <c r="L46" s="26"/>
      <c r="M46" s="26"/>
      <c r="N46" s="26"/>
      <c r="O46" s="26">
        <f>10-8</f>
        <v>2</v>
      </c>
      <c r="P46" s="26"/>
      <c r="Q46" s="26"/>
      <c r="R46" s="26"/>
      <c r="S46" s="26"/>
    </row>
    <row r="47" spans="5:19" ht="14" x14ac:dyDescent="0.3">
      <c r="F47" s="88">
        <v>45593</v>
      </c>
      <c r="G47" s="56" t="s">
        <v>1432</v>
      </c>
      <c r="H47" s="26"/>
      <c r="I47" s="26"/>
      <c r="J47" s="26"/>
      <c r="K47" s="26"/>
      <c r="L47" s="26"/>
      <c r="M47" s="26">
        <v>2</v>
      </c>
      <c r="N47" s="26"/>
      <c r="O47" s="113"/>
      <c r="P47" s="26"/>
      <c r="Q47" s="26"/>
      <c r="R47" s="26"/>
      <c r="S47" s="26"/>
    </row>
    <row r="48" spans="5:19" x14ac:dyDescent="0.3">
      <c r="F48" s="157"/>
      <c r="G48" s="16"/>
      <c r="H48" s="26"/>
      <c r="I48" s="26"/>
      <c r="J48" s="26"/>
      <c r="K48" s="26"/>
      <c r="L48" s="26"/>
      <c r="M48" s="26"/>
      <c r="N48" s="26"/>
      <c r="O48" s="113"/>
      <c r="P48" s="26"/>
      <c r="Q48" s="26"/>
      <c r="R48" s="26"/>
      <c r="S48" s="26"/>
    </row>
    <row r="49" spans="6:19" x14ac:dyDescent="0.3">
      <c r="F49" s="449">
        <v>45596</v>
      </c>
      <c r="G49" s="450" t="s">
        <v>1437</v>
      </c>
      <c r="H49" s="451">
        <v>-23</v>
      </c>
      <c r="I49" s="26"/>
      <c r="J49" s="26"/>
      <c r="K49" s="26"/>
      <c r="L49" s="26"/>
      <c r="M49" s="26"/>
      <c r="N49" s="26"/>
      <c r="O49" s="113"/>
      <c r="P49" s="26"/>
      <c r="Q49" s="26"/>
      <c r="R49" s="26"/>
      <c r="S49" s="26"/>
    </row>
    <row r="50" spans="6:19" ht="14" x14ac:dyDescent="0.3">
      <c r="F50" s="157">
        <v>45601</v>
      </c>
      <c r="G50" s="56" t="s">
        <v>1453</v>
      </c>
      <c r="H50" s="26"/>
      <c r="I50" s="26"/>
      <c r="J50" s="26"/>
      <c r="K50" s="26"/>
      <c r="L50" s="26"/>
      <c r="M50" s="26"/>
      <c r="N50" s="26"/>
      <c r="O50" s="113"/>
      <c r="P50" s="26">
        <v>8</v>
      </c>
      <c r="Q50" s="26"/>
      <c r="R50" s="26"/>
      <c r="S50" s="26"/>
    </row>
    <row r="51" spans="6:19" ht="14" x14ac:dyDescent="0.3">
      <c r="F51" s="157">
        <v>45601</v>
      </c>
      <c r="G51" s="56" t="s">
        <v>1454</v>
      </c>
      <c r="H51" s="26"/>
      <c r="I51" s="26"/>
      <c r="J51" s="26"/>
      <c r="K51" s="26"/>
      <c r="L51" s="26"/>
      <c r="M51" s="26"/>
      <c r="N51" s="26"/>
      <c r="O51" s="113"/>
      <c r="P51" s="26"/>
      <c r="Q51" s="26">
        <v>10</v>
      </c>
      <c r="R51" s="26"/>
      <c r="S51" s="26"/>
    </row>
    <row r="52" spans="6:19" x14ac:dyDescent="0.3">
      <c r="F52" s="157">
        <v>45605</v>
      </c>
      <c r="G52" s="113" t="s">
        <v>1458</v>
      </c>
      <c r="H52" s="26">
        <v>20</v>
      </c>
      <c r="I52" s="26"/>
      <c r="J52" s="26"/>
      <c r="K52" s="26"/>
      <c r="L52" s="26"/>
      <c r="M52" s="26"/>
      <c r="N52" s="26"/>
      <c r="O52" s="113"/>
      <c r="P52" s="26"/>
      <c r="Q52" s="26"/>
      <c r="R52" s="26"/>
      <c r="S52" s="26"/>
    </row>
    <row r="53" spans="6:19" x14ac:dyDescent="0.3">
      <c r="F53" s="449">
        <v>45607</v>
      </c>
      <c r="G53" s="450" t="s">
        <v>1391</v>
      </c>
      <c r="H53" s="26">
        <v>-26</v>
      </c>
      <c r="I53" s="26">
        <v>-53</v>
      </c>
      <c r="J53" s="26">
        <v>-7</v>
      </c>
      <c r="K53" s="26">
        <v>-79</v>
      </c>
      <c r="L53" s="26">
        <v>-14</v>
      </c>
      <c r="M53" s="26">
        <v>-14</v>
      </c>
      <c r="N53" s="26"/>
      <c r="O53" s="451">
        <v>-2</v>
      </c>
      <c r="P53" s="26">
        <v>-8</v>
      </c>
      <c r="Q53" s="26">
        <v>-10</v>
      </c>
      <c r="R53" s="26"/>
      <c r="S53" s="26"/>
    </row>
    <row r="54" spans="6:19" x14ac:dyDescent="0.3">
      <c r="F54" s="157">
        <v>45610</v>
      </c>
      <c r="G54" s="16" t="s">
        <v>1482</v>
      </c>
      <c r="H54" s="26"/>
      <c r="I54" s="26">
        <v>-100</v>
      </c>
      <c r="J54" s="26"/>
      <c r="K54" s="26"/>
      <c r="L54" s="26"/>
      <c r="M54" s="26"/>
      <c r="N54" s="26"/>
      <c r="O54" s="113"/>
      <c r="P54" s="26"/>
      <c r="Q54" s="26"/>
      <c r="R54" s="26"/>
      <c r="S54" s="26"/>
    </row>
    <row r="55" spans="6:19" x14ac:dyDescent="0.3">
      <c r="F55" s="157"/>
      <c r="G55" s="16"/>
      <c r="H55" s="26"/>
      <c r="I55" s="26"/>
      <c r="J55" s="26"/>
      <c r="K55" s="26"/>
      <c r="L55" s="26"/>
      <c r="M55" s="26"/>
      <c r="N55" s="26"/>
      <c r="O55" s="113"/>
      <c r="P55" s="26"/>
      <c r="Q55" s="26"/>
      <c r="R55" s="26"/>
      <c r="S55" s="26"/>
    </row>
    <row r="56" spans="6:19" ht="14" x14ac:dyDescent="0.3">
      <c r="F56" s="88">
        <v>45608</v>
      </c>
      <c r="G56" s="56" t="s">
        <v>1476</v>
      </c>
      <c r="H56" s="26">
        <v>39</v>
      </c>
      <c r="I56" s="26"/>
      <c r="J56" s="26"/>
      <c r="K56" s="26"/>
      <c r="L56" s="26"/>
      <c r="M56" s="26"/>
      <c r="N56" s="26"/>
      <c r="O56" s="113"/>
      <c r="P56" s="26"/>
      <c r="Q56" s="26"/>
      <c r="R56" s="26"/>
      <c r="S56" s="26"/>
    </row>
    <row r="57" spans="6:19" ht="14" x14ac:dyDescent="0.3">
      <c r="F57" s="88">
        <v>45609</v>
      </c>
      <c r="G57" s="56" t="s">
        <v>1478</v>
      </c>
      <c r="H57" s="26">
        <v>10</v>
      </c>
      <c r="I57" s="26"/>
      <c r="J57" s="26"/>
      <c r="K57" s="26"/>
      <c r="L57" s="26"/>
      <c r="M57" s="26"/>
      <c r="N57" s="26"/>
      <c r="O57" s="113"/>
      <c r="P57" s="26"/>
      <c r="Q57" s="26"/>
      <c r="R57" s="26"/>
      <c r="S57" s="26"/>
    </row>
    <row r="58" spans="6:19" ht="14" x14ac:dyDescent="0.3">
      <c r="F58" s="88">
        <v>45610</v>
      </c>
      <c r="G58" s="56" t="s">
        <v>1479</v>
      </c>
      <c r="H58" s="26"/>
      <c r="I58" s="26">
        <v>120</v>
      </c>
      <c r="J58" s="26"/>
      <c r="K58" s="26"/>
      <c r="L58" s="26"/>
      <c r="M58" s="26"/>
      <c r="N58" s="26"/>
      <c r="O58" s="113"/>
      <c r="P58" s="26"/>
      <c r="Q58" s="26"/>
      <c r="R58" s="26"/>
      <c r="S58" s="26"/>
    </row>
    <row r="59" spans="6:19" ht="14" x14ac:dyDescent="0.3">
      <c r="F59" s="88">
        <v>45610</v>
      </c>
      <c r="G59" s="56" t="s">
        <v>1481</v>
      </c>
      <c r="H59" s="26"/>
      <c r="I59" s="26">
        <v>6</v>
      </c>
      <c r="J59" s="26"/>
      <c r="K59" s="26"/>
      <c r="L59" s="26"/>
      <c r="M59" s="26"/>
      <c r="N59" s="26"/>
      <c r="O59" s="113"/>
      <c r="P59" s="26"/>
      <c r="Q59" s="26"/>
      <c r="R59" s="26"/>
      <c r="S59" s="26"/>
    </row>
    <row r="60" spans="6:19" ht="14" x14ac:dyDescent="0.3">
      <c r="F60" s="88"/>
      <c r="G60" s="56"/>
      <c r="H60" s="26"/>
      <c r="I60" s="26"/>
      <c r="J60" s="26"/>
      <c r="K60" s="26"/>
      <c r="L60" s="26"/>
      <c r="M60" s="26"/>
      <c r="N60" s="26"/>
      <c r="O60" s="113"/>
      <c r="P60" s="26"/>
      <c r="Q60" s="26"/>
      <c r="R60" s="26"/>
      <c r="S60" s="26"/>
    </row>
    <row r="61" spans="6:19" ht="14" x14ac:dyDescent="0.3">
      <c r="F61" s="88">
        <v>45611</v>
      </c>
      <c r="G61" s="56" t="s">
        <v>1484</v>
      </c>
      <c r="H61" s="26"/>
      <c r="I61" s="26"/>
      <c r="J61" s="26"/>
      <c r="K61" s="26">
        <v>50</v>
      </c>
      <c r="L61" s="26"/>
      <c r="M61" s="26"/>
      <c r="N61" s="26"/>
      <c r="O61" s="113"/>
      <c r="P61" s="26"/>
      <c r="Q61" s="26"/>
      <c r="R61" s="26"/>
      <c r="S61" s="26"/>
    </row>
    <row r="62" spans="6:19" ht="14" x14ac:dyDescent="0.3">
      <c r="F62" s="88">
        <v>45611</v>
      </c>
      <c r="G62" s="56" t="s">
        <v>1485</v>
      </c>
      <c r="H62" s="26"/>
      <c r="I62" s="26">
        <v>10</v>
      </c>
      <c r="J62" s="26"/>
      <c r="K62" s="26"/>
      <c r="L62" s="26"/>
      <c r="M62" s="26"/>
      <c r="N62" s="26"/>
      <c r="O62" s="113"/>
      <c r="P62" s="26"/>
      <c r="Q62" s="26"/>
      <c r="R62" s="26"/>
      <c r="S62" s="26"/>
    </row>
    <row r="63" spans="6:19" ht="14" x14ac:dyDescent="0.3">
      <c r="F63" s="88">
        <v>45611</v>
      </c>
      <c r="G63" s="56" t="s">
        <v>1486</v>
      </c>
      <c r="H63" s="26">
        <v>7</v>
      </c>
      <c r="I63" s="26"/>
      <c r="J63" s="26"/>
      <c r="K63" s="26"/>
      <c r="L63" s="26"/>
      <c r="M63" s="26"/>
      <c r="N63" s="26"/>
      <c r="O63" s="113"/>
      <c r="P63" s="26"/>
      <c r="Q63" s="26"/>
      <c r="R63" s="26"/>
      <c r="S63" s="26"/>
    </row>
    <row r="64" spans="6:19" ht="14" x14ac:dyDescent="0.3">
      <c r="F64" s="88">
        <v>45611</v>
      </c>
      <c r="G64" s="56" t="s">
        <v>1487</v>
      </c>
      <c r="H64" s="26"/>
      <c r="I64" s="26">
        <v>4</v>
      </c>
      <c r="J64" s="26"/>
      <c r="K64" s="26"/>
      <c r="L64" s="26"/>
      <c r="M64" s="26"/>
      <c r="N64" s="26"/>
      <c r="O64" s="113"/>
      <c r="P64" s="26"/>
      <c r="Q64" s="26"/>
      <c r="R64" s="26"/>
      <c r="S64" s="26"/>
    </row>
    <row r="65" spans="5:19" ht="14" x14ac:dyDescent="0.3">
      <c r="F65" s="88">
        <v>45611</v>
      </c>
      <c r="G65" s="56" t="s">
        <v>1488</v>
      </c>
      <c r="H65" s="26"/>
      <c r="I65" s="26"/>
      <c r="J65" s="26"/>
      <c r="K65" s="26"/>
      <c r="L65" s="26"/>
      <c r="M65" s="26"/>
      <c r="N65" s="26"/>
      <c r="O65" s="113"/>
      <c r="P65" s="26"/>
      <c r="Q65" s="26"/>
      <c r="R65" s="26">
        <v>4</v>
      </c>
      <c r="S65" s="26"/>
    </row>
    <row r="66" spans="5:19" ht="14" x14ac:dyDescent="0.3">
      <c r="F66" s="88">
        <v>45611</v>
      </c>
      <c r="G66" s="56" t="s">
        <v>1489</v>
      </c>
      <c r="H66" s="26"/>
      <c r="I66" s="26"/>
      <c r="J66" s="26"/>
      <c r="K66" s="26">
        <v>100</v>
      </c>
      <c r="L66" s="26"/>
      <c r="M66" s="26"/>
      <c r="N66" s="26"/>
      <c r="O66" s="113"/>
      <c r="P66" s="26"/>
      <c r="Q66" s="26"/>
      <c r="R66" s="26"/>
      <c r="S66" s="26"/>
    </row>
    <row r="67" spans="5:19" ht="14" x14ac:dyDescent="0.3">
      <c r="F67" s="88"/>
      <c r="G67" s="56"/>
      <c r="H67" s="26"/>
      <c r="I67" s="26"/>
      <c r="J67" s="26"/>
      <c r="K67" s="26"/>
      <c r="L67" s="26"/>
      <c r="M67" s="26"/>
      <c r="N67" s="26"/>
      <c r="O67" s="113"/>
      <c r="P67" s="26"/>
      <c r="Q67" s="26"/>
      <c r="R67" s="26"/>
      <c r="S67" s="26"/>
    </row>
    <row r="68" spans="5:19" ht="14" x14ac:dyDescent="0.3">
      <c r="F68" s="88">
        <v>45612</v>
      </c>
      <c r="G68" s="56" t="s">
        <v>1490</v>
      </c>
      <c r="H68" s="26"/>
      <c r="I68" s="26">
        <v>12</v>
      </c>
      <c r="J68" s="26"/>
      <c r="K68" s="26"/>
      <c r="L68" s="26"/>
      <c r="M68" s="26"/>
      <c r="N68" s="26"/>
      <c r="O68" s="113"/>
      <c r="P68" s="26"/>
      <c r="Q68" s="26"/>
      <c r="R68" s="26"/>
      <c r="S68" s="26"/>
    </row>
    <row r="69" spans="5:19" ht="14" x14ac:dyDescent="0.3">
      <c r="F69" s="88">
        <v>45612</v>
      </c>
      <c r="G69" s="56" t="s">
        <v>1491</v>
      </c>
      <c r="H69" s="26"/>
      <c r="I69" s="26"/>
      <c r="J69" s="26"/>
      <c r="K69" s="26">
        <v>30</v>
      </c>
      <c r="L69" s="26"/>
      <c r="M69" s="26"/>
      <c r="N69" s="26"/>
      <c r="O69" s="113"/>
      <c r="P69" s="26"/>
      <c r="Q69" s="26"/>
      <c r="R69" s="26"/>
      <c r="S69" s="26"/>
    </row>
    <row r="70" spans="5:19" ht="14" x14ac:dyDescent="0.3">
      <c r="F70" s="88">
        <v>45612</v>
      </c>
      <c r="G70" s="56" t="s">
        <v>1492</v>
      </c>
      <c r="H70" s="26"/>
      <c r="I70" s="26"/>
      <c r="J70" s="26"/>
      <c r="K70" s="26">
        <v>10</v>
      </c>
      <c r="L70" s="26"/>
      <c r="M70" s="26"/>
      <c r="N70" s="26"/>
      <c r="O70" s="113"/>
      <c r="P70" s="26"/>
      <c r="Q70" s="26"/>
      <c r="R70" s="26"/>
      <c r="S70" s="26"/>
    </row>
    <row r="71" spans="5:19" ht="14" x14ac:dyDescent="0.3">
      <c r="F71" s="88"/>
      <c r="G71" s="56"/>
      <c r="H71" s="26"/>
      <c r="I71" s="26"/>
      <c r="J71" s="26"/>
      <c r="K71" s="26"/>
      <c r="L71" s="26"/>
      <c r="M71" s="26"/>
      <c r="N71" s="26"/>
      <c r="O71" s="113"/>
      <c r="P71" s="26"/>
      <c r="Q71" s="26"/>
      <c r="R71" s="26"/>
      <c r="S71" s="26"/>
    </row>
    <row r="72" spans="5:19" ht="14" x14ac:dyDescent="0.3">
      <c r="F72" s="88">
        <v>45613</v>
      </c>
      <c r="G72" s="56" t="s">
        <v>1494</v>
      </c>
      <c r="H72" s="26"/>
      <c r="I72" s="26">
        <v>13</v>
      </c>
      <c r="J72" s="26"/>
      <c r="K72" s="26"/>
      <c r="L72" s="26"/>
      <c r="M72" s="26"/>
      <c r="N72" s="26"/>
      <c r="O72" s="113"/>
      <c r="P72" s="26"/>
      <c r="Q72" s="26"/>
      <c r="R72" s="26"/>
      <c r="S72" s="26"/>
    </row>
    <row r="73" spans="5:19" ht="14" x14ac:dyDescent="0.3">
      <c r="F73" s="88">
        <v>45613</v>
      </c>
      <c r="G73" s="56" t="s">
        <v>1566</v>
      </c>
      <c r="H73" s="26"/>
      <c r="I73" s="26">
        <v>14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</row>
    <row r="74" spans="5:19" ht="14" x14ac:dyDescent="0.3">
      <c r="F74" s="88">
        <v>45613</v>
      </c>
      <c r="G74" s="56" t="s">
        <v>1567</v>
      </c>
      <c r="H74" s="26"/>
      <c r="I74" s="26">
        <v>4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</row>
    <row r="75" spans="5:19" ht="14" x14ac:dyDescent="0.3">
      <c r="F75" s="88">
        <v>45613</v>
      </c>
      <c r="G75" s="56" t="s">
        <v>1495</v>
      </c>
      <c r="H75" s="26"/>
      <c r="I75" s="26">
        <v>4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</row>
    <row r="76" spans="5:19" ht="14" x14ac:dyDescent="0.3">
      <c r="E76" t="s">
        <v>1565</v>
      </c>
      <c r="F76" s="88">
        <v>45613</v>
      </c>
      <c r="G76" s="56" t="s">
        <v>1496</v>
      </c>
      <c r="H76" s="26"/>
      <c r="I76" s="26"/>
      <c r="J76" s="26"/>
      <c r="K76" s="26">
        <f>200-200</f>
        <v>0</v>
      </c>
      <c r="L76" s="26"/>
      <c r="M76" s="26"/>
      <c r="N76" s="26"/>
      <c r="O76" s="26"/>
      <c r="P76" s="26"/>
      <c r="Q76" s="26"/>
      <c r="R76" s="26"/>
      <c r="S76" s="26"/>
    </row>
    <row r="77" spans="5:19" ht="14" x14ac:dyDescent="0.3">
      <c r="E77" t="s">
        <v>1565</v>
      </c>
      <c r="F77" s="88">
        <v>45613</v>
      </c>
      <c r="G77" s="56" t="s">
        <v>1497</v>
      </c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>
        <f>50-50</f>
        <v>0</v>
      </c>
      <c r="S77" s="26"/>
    </row>
    <row r="78" spans="5:19" ht="14" x14ac:dyDescent="0.3">
      <c r="E78" t="s">
        <v>1568</v>
      </c>
      <c r="F78" s="88">
        <v>45613</v>
      </c>
      <c r="G78" s="56" t="s">
        <v>1511</v>
      </c>
      <c r="H78" s="26"/>
      <c r="I78" s="26"/>
      <c r="J78" s="26"/>
      <c r="K78" s="26"/>
      <c r="L78" s="26"/>
      <c r="M78" s="26"/>
      <c r="N78" s="26"/>
      <c r="O78" s="26">
        <f>4-2</f>
        <v>2</v>
      </c>
      <c r="P78" s="26"/>
      <c r="Q78" s="26"/>
      <c r="R78" s="26"/>
      <c r="S78" s="26"/>
    </row>
    <row r="79" spans="5:19" ht="14" x14ac:dyDescent="0.3">
      <c r="F79" s="88">
        <v>45613</v>
      </c>
      <c r="G79" s="56" t="s">
        <v>1498</v>
      </c>
      <c r="H79" s="26"/>
      <c r="I79" s="26"/>
      <c r="J79" s="26"/>
      <c r="K79" s="26">
        <v>30</v>
      </c>
      <c r="L79" s="26"/>
      <c r="M79" s="26"/>
      <c r="N79" s="26"/>
      <c r="O79" s="26"/>
      <c r="P79" s="26"/>
      <c r="Q79" s="26"/>
      <c r="R79" s="26"/>
      <c r="S79" s="26"/>
    </row>
    <row r="80" spans="5:19" x14ac:dyDescent="0.3">
      <c r="F80" s="449">
        <v>45614</v>
      </c>
      <c r="G80" s="450" t="s">
        <v>1391</v>
      </c>
      <c r="H80" s="384">
        <v>-57</v>
      </c>
      <c r="I80" s="384">
        <v>-167</v>
      </c>
      <c r="J80" s="384"/>
      <c r="K80" s="384">
        <v>-200</v>
      </c>
      <c r="L80" s="384"/>
      <c r="M80" s="384"/>
      <c r="N80" s="384"/>
      <c r="O80" s="384">
        <v>-2</v>
      </c>
      <c r="P80" s="384"/>
      <c r="Q80" s="384"/>
      <c r="R80" s="384">
        <v>-4</v>
      </c>
      <c r="S80" s="384"/>
    </row>
    <row r="81" spans="6:19" x14ac:dyDescent="0.3">
      <c r="F81" s="449"/>
      <c r="G81" s="450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</row>
    <row r="82" spans="6:19" ht="14" x14ac:dyDescent="0.3">
      <c r="F82" s="88">
        <v>45615</v>
      </c>
      <c r="G82" s="56" t="s">
        <v>1516</v>
      </c>
      <c r="H82" s="160"/>
      <c r="I82" s="160">
        <v>10</v>
      </c>
      <c r="J82" s="384"/>
      <c r="K82" s="384"/>
      <c r="L82" s="384"/>
      <c r="M82" s="384"/>
      <c r="N82" s="384"/>
      <c r="O82" s="384"/>
      <c r="P82" s="384"/>
      <c r="Q82" s="384"/>
      <c r="R82" s="384"/>
      <c r="S82" s="384"/>
    </row>
    <row r="83" spans="6:19" ht="14" x14ac:dyDescent="0.3">
      <c r="F83" s="88">
        <v>45615</v>
      </c>
      <c r="G83" s="56" t="s">
        <v>1517</v>
      </c>
      <c r="H83" s="160">
        <v>9</v>
      </c>
      <c r="I83" s="160"/>
      <c r="J83" s="384"/>
      <c r="K83" s="384"/>
      <c r="L83" s="384"/>
      <c r="M83" s="384"/>
      <c r="N83" s="384"/>
      <c r="O83" s="384"/>
      <c r="P83" s="384"/>
      <c r="Q83" s="384"/>
      <c r="R83" s="384"/>
      <c r="S83" s="384"/>
    </row>
    <row r="84" spans="6:19" ht="14" x14ac:dyDescent="0.3">
      <c r="F84" s="88">
        <v>45616</v>
      </c>
      <c r="G84" s="56" t="s">
        <v>1516</v>
      </c>
      <c r="H84" s="160"/>
      <c r="I84" s="160">
        <v>10</v>
      </c>
      <c r="J84" s="384"/>
      <c r="K84" s="384"/>
      <c r="L84" s="384"/>
      <c r="M84" s="384"/>
      <c r="N84" s="384"/>
      <c r="O84" s="384"/>
      <c r="P84" s="384"/>
      <c r="Q84" s="384"/>
      <c r="R84" s="384"/>
      <c r="S84" s="384"/>
    </row>
    <row r="85" spans="6:19" ht="14" x14ac:dyDescent="0.3">
      <c r="F85" s="88">
        <v>45616</v>
      </c>
      <c r="G85" s="56" t="s">
        <v>1518</v>
      </c>
      <c r="H85" s="160">
        <v>14</v>
      </c>
      <c r="I85" s="160"/>
      <c r="J85" s="384"/>
      <c r="K85" s="384"/>
      <c r="L85" s="384"/>
      <c r="M85" s="384"/>
      <c r="N85" s="384"/>
      <c r="O85" s="384"/>
      <c r="P85" s="384"/>
      <c r="Q85" s="384"/>
      <c r="R85" s="384"/>
      <c r="S85" s="384"/>
    </row>
    <row r="86" spans="6:19" ht="14" x14ac:dyDescent="0.3">
      <c r="F86" s="88"/>
      <c r="G86" s="56"/>
      <c r="H86" s="160"/>
      <c r="I86" s="160"/>
      <c r="J86" s="384"/>
      <c r="K86" s="384"/>
      <c r="L86" s="384"/>
      <c r="M86" s="384"/>
      <c r="N86" s="384"/>
      <c r="O86" s="384"/>
      <c r="P86" s="384"/>
      <c r="Q86" s="384"/>
      <c r="R86" s="384"/>
      <c r="S86" s="384"/>
    </row>
    <row r="87" spans="6:19" ht="14" x14ac:dyDescent="0.3">
      <c r="F87" s="88">
        <v>45617</v>
      </c>
      <c r="G87" s="56" t="s">
        <v>1519</v>
      </c>
      <c r="H87" s="160"/>
      <c r="I87" s="160">
        <v>4</v>
      </c>
      <c r="J87" s="384"/>
      <c r="K87" s="384"/>
      <c r="L87" s="384"/>
      <c r="M87" s="384"/>
      <c r="N87" s="384"/>
      <c r="O87" s="384"/>
      <c r="P87" s="384"/>
      <c r="Q87" s="384"/>
      <c r="R87" s="384"/>
      <c r="S87" s="384"/>
    </row>
    <row r="88" spans="6:19" ht="14" x14ac:dyDescent="0.3">
      <c r="F88" s="88">
        <v>45617</v>
      </c>
      <c r="G88" s="56" t="s">
        <v>1520</v>
      </c>
      <c r="H88" s="160">
        <v>6</v>
      </c>
      <c r="I88" s="160"/>
      <c r="J88" s="384"/>
      <c r="K88" s="384"/>
      <c r="L88" s="384"/>
      <c r="M88" s="384"/>
      <c r="N88" s="384"/>
      <c r="O88" s="384"/>
      <c r="P88" s="384"/>
      <c r="Q88" s="384"/>
      <c r="R88" s="384"/>
      <c r="S88" s="384"/>
    </row>
    <row r="89" spans="6:19" ht="14" x14ac:dyDescent="0.3">
      <c r="F89" s="88">
        <v>45617</v>
      </c>
      <c r="G89" s="56" t="s">
        <v>1521</v>
      </c>
      <c r="H89" s="160"/>
      <c r="I89" s="160">
        <v>1</v>
      </c>
      <c r="J89" s="384"/>
      <c r="K89" s="384"/>
      <c r="L89" s="384"/>
      <c r="M89" s="384"/>
      <c r="N89" s="384"/>
      <c r="O89" s="384"/>
      <c r="P89" s="384"/>
      <c r="Q89" s="384"/>
      <c r="R89" s="384"/>
      <c r="S89" s="384"/>
    </row>
    <row r="90" spans="6:19" ht="14" x14ac:dyDescent="0.3">
      <c r="F90" s="88">
        <v>45617</v>
      </c>
      <c r="G90" s="56" t="s">
        <v>1521</v>
      </c>
      <c r="H90" s="160"/>
      <c r="I90" s="160">
        <v>1</v>
      </c>
      <c r="J90" s="384"/>
      <c r="K90" s="384"/>
      <c r="L90" s="384"/>
      <c r="M90" s="384"/>
      <c r="N90" s="384"/>
      <c r="O90" s="384"/>
      <c r="P90" s="384"/>
      <c r="Q90" s="384"/>
      <c r="R90" s="384"/>
      <c r="S90" s="384"/>
    </row>
    <row r="91" spans="6:19" ht="14" x14ac:dyDescent="0.3">
      <c r="F91" s="88">
        <v>45617</v>
      </c>
      <c r="G91" s="56" t="s">
        <v>1522</v>
      </c>
      <c r="H91" s="160"/>
      <c r="I91" s="160"/>
      <c r="J91" s="160"/>
      <c r="K91" s="160"/>
      <c r="L91" s="160"/>
      <c r="M91" s="160"/>
      <c r="N91" s="160"/>
      <c r="O91" s="160"/>
      <c r="P91" s="384"/>
      <c r="Q91" s="384"/>
      <c r="R91" s="384"/>
      <c r="S91" s="160">
        <v>2</v>
      </c>
    </row>
    <row r="92" spans="6:19" ht="14" x14ac:dyDescent="0.3">
      <c r="F92" s="88"/>
      <c r="G92" s="56"/>
      <c r="H92" s="160"/>
      <c r="I92" s="160"/>
      <c r="J92" s="160"/>
      <c r="K92" s="160"/>
      <c r="L92" s="160"/>
      <c r="M92" s="160"/>
      <c r="N92" s="160"/>
      <c r="O92" s="160"/>
      <c r="P92" s="384"/>
      <c r="Q92" s="384"/>
      <c r="R92" s="384"/>
      <c r="S92" s="160"/>
    </row>
    <row r="93" spans="6:19" ht="14" x14ac:dyDescent="0.3">
      <c r="F93" s="88">
        <v>45618</v>
      </c>
      <c r="G93" s="56" t="s">
        <v>1525</v>
      </c>
      <c r="H93" s="160"/>
      <c r="I93" s="160">
        <v>5</v>
      </c>
      <c r="J93" s="160"/>
      <c r="K93" s="160"/>
      <c r="L93" s="160"/>
      <c r="M93" s="160"/>
      <c r="N93" s="160"/>
      <c r="O93" s="160"/>
      <c r="P93" s="384"/>
      <c r="Q93" s="384"/>
      <c r="R93" s="384"/>
      <c r="S93" s="160"/>
    </row>
    <row r="94" spans="6:19" ht="14" x14ac:dyDescent="0.3">
      <c r="F94" s="88">
        <v>45618</v>
      </c>
      <c r="G94" s="56" t="s">
        <v>1526</v>
      </c>
      <c r="H94" s="160">
        <v>3</v>
      </c>
      <c r="I94" s="160"/>
      <c r="J94" s="160"/>
      <c r="K94" s="160"/>
      <c r="L94" s="160"/>
      <c r="M94" s="160"/>
      <c r="N94" s="160"/>
      <c r="O94" s="160"/>
      <c r="P94" s="384"/>
      <c r="Q94" s="384"/>
      <c r="R94" s="384"/>
      <c r="S94" s="160"/>
    </row>
    <row r="95" spans="6:19" ht="14" x14ac:dyDescent="0.3">
      <c r="F95" s="88">
        <v>45619</v>
      </c>
      <c r="G95" s="56" t="s">
        <v>1527</v>
      </c>
      <c r="H95" s="160">
        <v>2</v>
      </c>
      <c r="I95" s="160"/>
      <c r="J95" s="160"/>
      <c r="K95" s="160"/>
      <c r="L95" s="160"/>
      <c r="M95" s="160"/>
      <c r="N95" s="160"/>
      <c r="O95" s="160"/>
      <c r="P95" s="384"/>
      <c r="Q95" s="384"/>
      <c r="R95" s="384"/>
      <c r="S95" s="160"/>
    </row>
    <row r="96" spans="6:19" ht="14" x14ac:dyDescent="0.3">
      <c r="F96" s="88"/>
      <c r="G96" s="56"/>
      <c r="H96" s="160"/>
      <c r="I96" s="160"/>
      <c r="J96" s="160"/>
      <c r="K96" s="160"/>
      <c r="L96" s="160"/>
      <c r="M96" s="160"/>
      <c r="N96" s="160"/>
      <c r="O96" s="160"/>
      <c r="P96" s="384"/>
      <c r="Q96" s="384"/>
      <c r="R96" s="384"/>
      <c r="S96" s="160"/>
    </row>
    <row r="97" spans="5:19" ht="14" x14ac:dyDescent="0.3">
      <c r="F97" s="88"/>
      <c r="G97" s="463" t="s">
        <v>1581</v>
      </c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</row>
    <row r="98" spans="5:19" ht="14" x14ac:dyDescent="0.3">
      <c r="F98" s="88">
        <v>45621</v>
      </c>
      <c r="G98" s="56" t="s">
        <v>1529</v>
      </c>
      <c r="H98" s="160"/>
      <c r="I98" s="160">
        <v>3</v>
      </c>
      <c r="J98" s="160"/>
      <c r="K98" s="160"/>
      <c r="L98" s="160"/>
      <c r="M98" s="160"/>
      <c r="N98" s="160"/>
      <c r="O98" s="160"/>
      <c r="P98" s="160"/>
      <c r="Q98" s="160"/>
      <c r="R98" s="160"/>
      <c r="S98" s="160"/>
    </row>
    <row r="99" spans="5:19" ht="14" x14ac:dyDescent="0.3">
      <c r="F99" s="88">
        <v>45621</v>
      </c>
      <c r="G99" s="56" t="s">
        <v>1530</v>
      </c>
      <c r="H99" s="160"/>
      <c r="I99" s="160"/>
      <c r="J99" s="160"/>
      <c r="K99" s="160">
        <v>2</v>
      </c>
      <c r="L99" s="160"/>
      <c r="M99" s="160"/>
      <c r="N99" s="160"/>
      <c r="O99" s="160"/>
      <c r="P99" s="160"/>
      <c r="Q99" s="160"/>
      <c r="R99" s="160"/>
      <c r="S99" s="160"/>
    </row>
    <row r="100" spans="5:19" ht="14" x14ac:dyDescent="0.3">
      <c r="F100" s="88">
        <v>45621</v>
      </c>
      <c r="G100" s="56" t="s">
        <v>1531</v>
      </c>
      <c r="H100" s="160"/>
      <c r="I100" s="160"/>
      <c r="J100" s="160"/>
      <c r="K100" s="160"/>
      <c r="L100" s="160"/>
      <c r="M100" s="160">
        <v>2</v>
      </c>
      <c r="N100" s="160"/>
      <c r="O100" s="160"/>
      <c r="P100" s="160"/>
      <c r="Q100" s="160"/>
      <c r="R100" s="160"/>
      <c r="S100" s="160"/>
    </row>
    <row r="101" spans="5:19" ht="14" x14ac:dyDescent="0.3">
      <c r="F101" s="88">
        <v>45621</v>
      </c>
      <c r="G101" s="56" t="s">
        <v>1532</v>
      </c>
      <c r="H101" s="160"/>
      <c r="I101" s="160"/>
      <c r="J101" s="160"/>
      <c r="K101" s="160"/>
      <c r="L101" s="160"/>
      <c r="M101" s="160">
        <v>10</v>
      </c>
      <c r="N101" s="160"/>
      <c r="O101" s="160"/>
      <c r="P101" s="160"/>
      <c r="Q101" s="160"/>
      <c r="R101" s="160"/>
      <c r="S101" s="160"/>
    </row>
    <row r="102" spans="5:19" ht="14" x14ac:dyDescent="0.3">
      <c r="F102" s="88">
        <v>45621</v>
      </c>
      <c r="G102" s="56" t="s">
        <v>1531</v>
      </c>
      <c r="H102" s="160"/>
      <c r="I102" s="160"/>
      <c r="J102" s="160"/>
      <c r="K102" s="160"/>
      <c r="L102" s="160"/>
      <c r="M102" s="160">
        <v>2</v>
      </c>
      <c r="N102" s="160"/>
      <c r="O102" s="160"/>
      <c r="P102" s="160"/>
      <c r="Q102" s="160"/>
      <c r="R102" s="160"/>
      <c r="S102" s="160"/>
    </row>
    <row r="103" spans="5:19" ht="14" x14ac:dyDescent="0.3">
      <c r="F103" s="88">
        <v>45621</v>
      </c>
      <c r="G103" s="56" t="s">
        <v>1533</v>
      </c>
      <c r="H103" s="160"/>
      <c r="I103" s="160">
        <v>1</v>
      </c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</row>
    <row r="104" spans="5:19" ht="14" x14ac:dyDescent="0.3">
      <c r="F104" s="88">
        <v>45621</v>
      </c>
      <c r="G104" s="56" t="s">
        <v>1534</v>
      </c>
      <c r="H104" s="160"/>
      <c r="I104" s="160">
        <v>10</v>
      </c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</row>
    <row r="105" spans="5:19" ht="14" x14ac:dyDescent="0.3">
      <c r="F105" s="88">
        <v>45621</v>
      </c>
      <c r="G105" s="56" t="s">
        <v>1535</v>
      </c>
      <c r="H105" s="160">
        <v>5</v>
      </c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</row>
    <row r="106" spans="5:19" ht="14" x14ac:dyDescent="0.3">
      <c r="F106" s="88">
        <v>45621</v>
      </c>
      <c r="G106" s="56" t="s">
        <v>1536</v>
      </c>
      <c r="H106" s="160"/>
      <c r="I106" s="160">
        <v>5</v>
      </c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</row>
    <row r="107" spans="5:19" ht="14" x14ac:dyDescent="0.3">
      <c r="F107" s="88">
        <v>45621</v>
      </c>
      <c r="G107" s="56" t="s">
        <v>1537</v>
      </c>
      <c r="H107" s="160">
        <v>6</v>
      </c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</row>
    <row r="108" spans="5:19" ht="14" x14ac:dyDescent="0.3">
      <c r="F108" s="88"/>
      <c r="G108" s="56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</row>
    <row r="109" spans="5:19" ht="14" x14ac:dyDescent="0.3">
      <c r="F109" s="88">
        <v>45622</v>
      </c>
      <c r="G109" s="450" t="s">
        <v>1391</v>
      </c>
      <c r="H109" s="384">
        <v>-57</v>
      </c>
      <c r="I109" s="384">
        <v>-39</v>
      </c>
      <c r="J109" s="384"/>
      <c r="K109" s="384">
        <v>-37</v>
      </c>
      <c r="L109" s="160"/>
      <c r="M109" s="160"/>
      <c r="N109" s="160"/>
      <c r="O109" s="160"/>
      <c r="P109" s="160"/>
      <c r="Q109" s="160"/>
      <c r="R109" s="160"/>
      <c r="S109" s="384">
        <v>-2</v>
      </c>
    </row>
    <row r="110" spans="5:19" ht="14" x14ac:dyDescent="0.3">
      <c r="F110" s="88"/>
      <c r="G110" s="463" t="s">
        <v>1581</v>
      </c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</row>
    <row r="111" spans="5:19" ht="14" x14ac:dyDescent="0.3">
      <c r="E111" s="463"/>
      <c r="F111" s="88">
        <v>45622</v>
      </c>
      <c r="G111" s="56" t="s">
        <v>1538</v>
      </c>
      <c r="H111" s="160">
        <v>10</v>
      </c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</row>
    <row r="112" spans="5:19" ht="14" x14ac:dyDescent="0.3">
      <c r="F112" s="88">
        <v>45622</v>
      </c>
      <c r="G112" s="56" t="s">
        <v>1540</v>
      </c>
      <c r="H112" s="160"/>
      <c r="I112" s="160">
        <v>1</v>
      </c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</row>
    <row r="113" spans="5:19" ht="14" x14ac:dyDescent="0.3">
      <c r="F113" s="88">
        <v>45622</v>
      </c>
      <c r="G113" s="56" t="s">
        <v>1541</v>
      </c>
      <c r="H113" s="160"/>
      <c r="I113" s="160">
        <v>4</v>
      </c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</row>
    <row r="114" spans="5:19" ht="14" x14ac:dyDescent="0.3">
      <c r="F114" s="88">
        <v>45622</v>
      </c>
      <c r="G114" s="56" t="s">
        <v>1542</v>
      </c>
      <c r="H114" s="160"/>
      <c r="I114" s="160"/>
      <c r="J114" s="160"/>
      <c r="K114" s="160">
        <v>25</v>
      </c>
      <c r="L114" s="160"/>
      <c r="M114" s="160"/>
      <c r="N114" s="160"/>
      <c r="O114" s="160"/>
      <c r="P114" s="160"/>
      <c r="Q114" s="160"/>
      <c r="R114" s="160"/>
      <c r="S114" s="160"/>
    </row>
    <row r="115" spans="5:19" ht="14" x14ac:dyDescent="0.3">
      <c r="F115" s="88">
        <v>45622</v>
      </c>
      <c r="G115" s="56" t="s">
        <v>1543</v>
      </c>
      <c r="H115" s="160"/>
      <c r="I115" s="160">
        <v>2</v>
      </c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</row>
    <row r="116" spans="5:19" ht="14" x14ac:dyDescent="0.3">
      <c r="F116" s="88"/>
      <c r="G116" s="56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</row>
    <row r="117" spans="5:19" ht="14" x14ac:dyDescent="0.3">
      <c r="E117" s="463"/>
      <c r="F117" s="88">
        <v>45622</v>
      </c>
      <c r="G117" s="56" t="s">
        <v>1540</v>
      </c>
      <c r="H117" s="160"/>
      <c r="I117" s="160">
        <v>1</v>
      </c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</row>
    <row r="118" spans="5:19" ht="14" x14ac:dyDescent="0.3">
      <c r="F118" s="88">
        <v>45622</v>
      </c>
      <c r="G118" s="56" t="s">
        <v>1544</v>
      </c>
      <c r="H118" s="160">
        <v>50</v>
      </c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</row>
    <row r="119" spans="5:19" ht="14" x14ac:dyDescent="0.3">
      <c r="F119" s="88"/>
      <c r="G119" s="463" t="s">
        <v>1581</v>
      </c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</row>
    <row r="120" spans="5:19" ht="14" x14ac:dyDescent="0.3">
      <c r="E120" s="463"/>
      <c r="F120" s="88">
        <v>45623</v>
      </c>
      <c r="G120" s="56" t="s">
        <v>1545</v>
      </c>
      <c r="H120" s="160"/>
      <c r="I120" s="160">
        <v>46</v>
      </c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</row>
    <row r="121" spans="5:19" ht="14" x14ac:dyDescent="0.3">
      <c r="F121" s="88">
        <v>45623</v>
      </c>
      <c r="G121" s="56" t="s">
        <v>1546</v>
      </c>
      <c r="H121" s="160">
        <v>10</v>
      </c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</row>
    <row r="122" spans="5:19" ht="14" x14ac:dyDescent="0.3">
      <c r="F122" s="88">
        <v>45623</v>
      </c>
      <c r="G122" s="56" t="s">
        <v>1547</v>
      </c>
      <c r="H122" s="160"/>
      <c r="I122" s="160">
        <v>5</v>
      </c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</row>
    <row r="123" spans="5:19" ht="14" x14ac:dyDescent="0.3">
      <c r="F123" s="88">
        <v>45623</v>
      </c>
      <c r="G123" s="56" t="s">
        <v>1548</v>
      </c>
      <c r="H123" s="160"/>
      <c r="I123" s="160">
        <v>4</v>
      </c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</row>
    <row r="124" spans="5:19" ht="14" x14ac:dyDescent="0.3">
      <c r="F124" s="88">
        <v>45623</v>
      </c>
      <c r="G124" s="56" t="s">
        <v>1549</v>
      </c>
      <c r="H124" s="160">
        <v>2</v>
      </c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</row>
    <row r="125" spans="5:19" ht="14" x14ac:dyDescent="0.3">
      <c r="F125" s="88">
        <v>45623</v>
      </c>
      <c r="G125" s="56" t="s">
        <v>1550</v>
      </c>
      <c r="H125" s="384"/>
      <c r="I125" s="160">
        <v>3</v>
      </c>
      <c r="J125" s="384"/>
      <c r="K125" s="384"/>
      <c r="L125" s="384"/>
      <c r="M125" s="384"/>
      <c r="N125" s="384"/>
      <c r="O125" s="384"/>
      <c r="P125" s="384"/>
      <c r="Q125" s="384"/>
      <c r="R125" s="384"/>
      <c r="S125" s="160"/>
    </row>
    <row r="126" spans="5:19" ht="14" x14ac:dyDescent="0.3">
      <c r="F126" s="88"/>
      <c r="G126" s="463" t="s">
        <v>1581</v>
      </c>
      <c r="H126" s="384"/>
      <c r="I126" s="160"/>
      <c r="J126" s="384"/>
      <c r="K126" s="384"/>
      <c r="L126" s="384"/>
      <c r="M126" s="384"/>
      <c r="N126" s="384"/>
      <c r="O126" s="384"/>
      <c r="P126" s="384"/>
      <c r="Q126" s="384"/>
      <c r="R126" s="384"/>
      <c r="S126" s="160"/>
    </row>
    <row r="127" spans="5:19" ht="14" x14ac:dyDescent="0.3">
      <c r="E127" s="463"/>
      <c r="F127" s="88">
        <v>45624</v>
      </c>
      <c r="G127" s="56" t="s">
        <v>1551</v>
      </c>
      <c r="H127" s="384"/>
      <c r="I127" s="160">
        <v>1</v>
      </c>
      <c r="J127" s="384"/>
      <c r="K127" s="384"/>
      <c r="L127" s="384"/>
      <c r="M127" s="384"/>
      <c r="N127" s="384"/>
      <c r="O127" s="384"/>
      <c r="P127" s="384"/>
      <c r="Q127" s="384"/>
      <c r="R127" s="384"/>
      <c r="S127" s="160"/>
    </row>
    <row r="128" spans="5:19" ht="14" x14ac:dyDescent="0.3">
      <c r="F128" s="88">
        <v>45624</v>
      </c>
      <c r="G128" s="56" t="s">
        <v>1552</v>
      </c>
      <c r="H128" s="384"/>
      <c r="I128" s="160">
        <v>2</v>
      </c>
      <c r="J128" s="384"/>
      <c r="K128" s="384"/>
      <c r="L128" s="384"/>
      <c r="M128" s="384"/>
      <c r="N128" s="384"/>
      <c r="O128" s="384"/>
      <c r="P128" s="384"/>
      <c r="Q128" s="384"/>
      <c r="R128" s="384"/>
      <c r="S128" s="160"/>
    </row>
    <row r="129" spans="6:19" ht="14" x14ac:dyDescent="0.3">
      <c r="F129" s="88">
        <v>45624</v>
      </c>
      <c r="G129" s="56" t="s">
        <v>1553</v>
      </c>
      <c r="H129" s="160"/>
      <c r="I129" s="160">
        <v>10</v>
      </c>
      <c r="J129" s="384"/>
      <c r="K129" s="384"/>
      <c r="L129" s="384"/>
      <c r="M129" s="384"/>
      <c r="N129" s="384"/>
      <c r="O129" s="384"/>
      <c r="P129" s="384"/>
      <c r="Q129" s="384"/>
      <c r="R129" s="384"/>
      <c r="S129" s="160"/>
    </row>
    <row r="130" spans="6:19" ht="14" x14ac:dyDescent="0.3">
      <c r="F130" s="88">
        <v>45624</v>
      </c>
      <c r="G130" s="56" t="s">
        <v>1554</v>
      </c>
      <c r="H130" s="160">
        <v>23</v>
      </c>
      <c r="I130" s="160"/>
      <c r="J130" s="384"/>
      <c r="K130" s="384"/>
      <c r="L130" s="384"/>
      <c r="M130" s="384"/>
      <c r="N130" s="384"/>
      <c r="O130" s="384"/>
      <c r="P130" s="384"/>
      <c r="Q130" s="384"/>
      <c r="R130" s="384"/>
      <c r="S130" s="160"/>
    </row>
    <row r="131" spans="6:19" ht="14" x14ac:dyDescent="0.3">
      <c r="F131" s="88">
        <v>45624</v>
      </c>
      <c r="G131" s="56" t="s">
        <v>1555</v>
      </c>
      <c r="H131" s="160"/>
      <c r="I131" s="160">
        <v>20</v>
      </c>
      <c r="J131" s="384"/>
      <c r="K131" s="384"/>
      <c r="L131" s="384"/>
      <c r="M131" s="384"/>
      <c r="N131" s="384"/>
      <c r="O131" s="384"/>
      <c r="P131" s="384"/>
      <c r="Q131" s="384"/>
      <c r="R131" s="384"/>
      <c r="S131" s="160"/>
    </row>
    <row r="132" spans="6:19" ht="14" x14ac:dyDescent="0.3">
      <c r="F132" s="88"/>
      <c r="G132" s="56"/>
      <c r="H132" s="160"/>
      <c r="I132" s="160"/>
      <c r="J132" s="384"/>
      <c r="K132" s="384"/>
      <c r="L132" s="384"/>
      <c r="M132" s="384"/>
      <c r="N132" s="384"/>
      <c r="O132" s="384"/>
      <c r="P132" s="384"/>
      <c r="Q132" s="384"/>
      <c r="R132" s="384"/>
      <c r="S132" s="160"/>
    </row>
    <row r="133" spans="6:19" ht="14" x14ac:dyDescent="0.3">
      <c r="F133" s="88"/>
      <c r="G133" s="463" t="s">
        <v>1581</v>
      </c>
      <c r="H133" s="160"/>
      <c r="I133" s="160"/>
      <c r="J133" s="384"/>
      <c r="K133" s="384"/>
      <c r="L133" s="384"/>
      <c r="M133" s="384"/>
      <c r="N133" s="384"/>
      <c r="O133" s="384"/>
      <c r="P133" s="384"/>
      <c r="Q133" s="384"/>
      <c r="R133" s="384"/>
      <c r="S133" s="160"/>
    </row>
    <row r="134" spans="6:19" ht="14" x14ac:dyDescent="0.3">
      <c r="F134" s="88">
        <v>45625</v>
      </c>
      <c r="G134" s="56" t="s">
        <v>1558</v>
      </c>
      <c r="H134" s="160">
        <v>22</v>
      </c>
      <c r="I134" s="160"/>
      <c r="J134" s="384"/>
      <c r="K134" s="384"/>
      <c r="L134" s="384"/>
      <c r="M134" s="384"/>
      <c r="N134" s="384"/>
      <c r="O134" s="384"/>
      <c r="P134" s="384"/>
      <c r="Q134" s="384"/>
      <c r="R134" s="384"/>
      <c r="S134" s="160"/>
    </row>
    <row r="135" spans="6:19" ht="14" x14ac:dyDescent="0.3">
      <c r="F135" s="88">
        <v>45625</v>
      </c>
      <c r="G135" s="56" t="s">
        <v>1559</v>
      </c>
      <c r="H135" s="160"/>
      <c r="I135" s="160">
        <v>100</v>
      </c>
      <c r="J135" s="384"/>
      <c r="K135" s="384"/>
      <c r="L135" s="384"/>
      <c r="M135" s="384"/>
      <c r="N135" s="384"/>
      <c r="O135" s="384"/>
      <c r="P135" s="384"/>
      <c r="Q135" s="384"/>
      <c r="R135" s="384"/>
      <c r="S135" s="160"/>
    </row>
    <row r="136" spans="6:19" ht="14" x14ac:dyDescent="0.3">
      <c r="F136" s="88"/>
      <c r="G136" s="56"/>
      <c r="H136" s="160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160"/>
    </row>
    <row r="137" spans="6:19" ht="14" x14ac:dyDescent="0.3">
      <c r="F137" s="88">
        <v>45626</v>
      </c>
      <c r="G137" s="56" t="s">
        <v>1560</v>
      </c>
      <c r="H137" s="26">
        <v>6</v>
      </c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</row>
    <row r="138" spans="6:19" x14ac:dyDescent="0.3">
      <c r="F138" s="113"/>
      <c r="G138" s="113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</row>
    <row r="139" spans="6:19" ht="15" x14ac:dyDescent="0.3">
      <c r="F139" s="113"/>
      <c r="G139" s="416" t="s">
        <v>1399</v>
      </c>
      <c r="H139" s="416">
        <f t="shared" ref="H139:Q139" si="0">SUM(H25:H138)</f>
        <v>112</v>
      </c>
      <c r="I139" s="416">
        <f t="shared" si="0"/>
        <v>237</v>
      </c>
      <c r="J139" s="416">
        <f t="shared" si="0"/>
        <v>1</v>
      </c>
      <c r="K139" s="416">
        <f t="shared" si="0"/>
        <v>110</v>
      </c>
      <c r="L139" s="416">
        <f t="shared" si="0"/>
        <v>0</v>
      </c>
      <c r="M139" s="416">
        <f t="shared" si="0"/>
        <v>14</v>
      </c>
      <c r="N139" s="416">
        <f t="shared" si="0"/>
        <v>1</v>
      </c>
      <c r="O139" s="416">
        <f t="shared" si="0"/>
        <v>0</v>
      </c>
      <c r="P139" s="416">
        <f t="shared" si="0"/>
        <v>0</v>
      </c>
      <c r="Q139" s="416">
        <f t="shared" si="0"/>
        <v>0</v>
      </c>
      <c r="R139" s="416">
        <f>SUM(R24:R138)</f>
        <v>0</v>
      </c>
      <c r="S139" s="416">
        <f>SUM(S24:S138)</f>
        <v>0</v>
      </c>
    </row>
    <row r="143" spans="6:19" x14ac:dyDescent="0.3">
      <c r="G143" s="161" t="s">
        <v>1507</v>
      </c>
      <c r="H143" s="113"/>
    </row>
    <row r="144" spans="6:19" x14ac:dyDescent="0.3">
      <c r="G144" s="16" t="s">
        <v>1264</v>
      </c>
      <c r="H144" s="26">
        <f>H139</f>
        <v>112</v>
      </c>
      <c r="I144" t="s">
        <v>1510</v>
      </c>
    </row>
    <row r="145" spans="6:18" x14ac:dyDescent="0.3">
      <c r="G145" s="16" t="s">
        <v>1263</v>
      </c>
      <c r="H145" s="26">
        <f>I139</f>
        <v>237</v>
      </c>
      <c r="I145" t="s">
        <v>1509</v>
      </c>
    </row>
    <row r="146" spans="6:18" x14ac:dyDescent="0.3">
      <c r="G146" s="16" t="s">
        <v>1500</v>
      </c>
      <c r="H146" s="26">
        <f>J139</f>
        <v>1</v>
      </c>
      <c r="I146" t="s">
        <v>307</v>
      </c>
    </row>
    <row r="147" spans="6:18" x14ac:dyDescent="0.3">
      <c r="G147" s="16" t="s">
        <v>1218</v>
      </c>
      <c r="H147" s="26">
        <f>K139</f>
        <v>110</v>
      </c>
      <c r="I147" t="s">
        <v>307</v>
      </c>
    </row>
    <row r="148" spans="6:18" x14ac:dyDescent="0.3">
      <c r="G148" s="16" t="s">
        <v>1501</v>
      </c>
      <c r="H148" s="26">
        <f>L139</f>
        <v>0</v>
      </c>
      <c r="I148" t="s">
        <v>307</v>
      </c>
    </row>
    <row r="149" spans="6:18" x14ac:dyDescent="0.3">
      <c r="G149" s="16" t="s">
        <v>1502</v>
      </c>
      <c r="H149" s="26">
        <f>M139</f>
        <v>14</v>
      </c>
      <c r="I149" t="s">
        <v>307</v>
      </c>
    </row>
    <row r="150" spans="6:18" x14ac:dyDescent="0.3">
      <c r="G150" s="16" t="s">
        <v>1503</v>
      </c>
      <c r="H150" s="26">
        <f>N139</f>
        <v>1</v>
      </c>
      <c r="I150" t="s">
        <v>307</v>
      </c>
    </row>
    <row r="151" spans="6:18" x14ac:dyDescent="0.3">
      <c r="G151" s="16" t="s">
        <v>1504</v>
      </c>
      <c r="H151" s="26">
        <f>O139</f>
        <v>0</v>
      </c>
      <c r="I151" t="s">
        <v>307</v>
      </c>
    </row>
    <row r="152" spans="6:18" x14ac:dyDescent="0.3">
      <c r="G152" s="16" t="s">
        <v>1506</v>
      </c>
      <c r="H152" s="26">
        <f>P139</f>
        <v>0</v>
      </c>
    </row>
    <row r="153" spans="6:18" x14ac:dyDescent="0.3">
      <c r="G153" s="113" t="s">
        <v>1505</v>
      </c>
      <c r="H153" s="26">
        <f>Q139</f>
        <v>0</v>
      </c>
    </row>
    <row r="154" spans="6:18" x14ac:dyDescent="0.3">
      <c r="G154" s="16" t="s">
        <v>1499</v>
      </c>
      <c r="H154" s="26">
        <f>R139</f>
        <v>0</v>
      </c>
      <c r="I154" t="s">
        <v>307</v>
      </c>
    </row>
    <row r="158" spans="6:18" x14ac:dyDescent="0.3">
      <c r="G158" s="429" t="s">
        <v>1589</v>
      </c>
    </row>
    <row r="159" spans="6:18" x14ac:dyDescent="0.3">
      <c r="F159" s="161" t="s">
        <v>0</v>
      </c>
      <c r="G159" s="161" t="s">
        <v>5</v>
      </c>
      <c r="H159" s="161" t="s">
        <v>792</v>
      </c>
      <c r="I159" s="161" t="s">
        <v>808</v>
      </c>
      <c r="J159" s="161" t="s">
        <v>1656</v>
      </c>
      <c r="K159" s="433" t="s">
        <v>1218</v>
      </c>
      <c r="L159" s="433" t="s">
        <v>1433</v>
      </c>
      <c r="M159" s="161" t="s">
        <v>1651</v>
      </c>
      <c r="N159" s="161"/>
      <c r="O159" s="433"/>
      <c r="P159" s="161"/>
      <c r="Q159" s="161"/>
      <c r="R159" s="161"/>
    </row>
    <row r="160" spans="6:18" x14ac:dyDescent="0.3"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26"/>
      <c r="Q160" s="26"/>
      <c r="R160" s="26"/>
    </row>
    <row r="161" spans="5:18" x14ac:dyDescent="0.3">
      <c r="F161" s="113"/>
      <c r="G161" s="113"/>
      <c r="H161" s="26"/>
      <c r="I161" s="26"/>
      <c r="J161" s="26"/>
      <c r="K161" s="26"/>
      <c r="L161" s="26"/>
      <c r="M161" s="26"/>
      <c r="N161" s="26"/>
      <c r="O161" s="113"/>
      <c r="P161" s="26"/>
      <c r="Q161" s="26"/>
      <c r="R161" s="26"/>
    </row>
    <row r="162" spans="5:18" x14ac:dyDescent="0.3">
      <c r="F162" s="157"/>
      <c r="G162" s="16"/>
      <c r="H162" s="26"/>
      <c r="I162" s="26"/>
      <c r="J162" s="26"/>
      <c r="K162" s="26"/>
      <c r="L162" s="26"/>
      <c r="M162" s="26"/>
      <c r="N162" s="26"/>
      <c r="O162" s="113"/>
      <c r="P162" s="26"/>
      <c r="Q162" s="26"/>
      <c r="R162" s="26"/>
    </row>
    <row r="163" spans="5:18" ht="14" x14ac:dyDescent="0.3">
      <c r="E163" t="s">
        <v>307</v>
      </c>
      <c r="F163" s="88">
        <v>45612</v>
      </c>
      <c r="G163" s="56" t="s">
        <v>1491</v>
      </c>
      <c r="H163" s="26"/>
      <c r="I163" s="26"/>
      <c r="J163" s="26"/>
      <c r="K163" s="26">
        <f>30-27</f>
        <v>3</v>
      </c>
      <c r="L163" s="26"/>
      <c r="M163" s="26"/>
      <c r="N163" s="26"/>
      <c r="O163" s="113"/>
      <c r="P163" s="26"/>
      <c r="Q163" s="26"/>
      <c r="R163" s="26"/>
    </row>
    <row r="164" spans="5:18" ht="14" x14ac:dyDescent="0.3">
      <c r="F164" s="88"/>
      <c r="G164" s="56"/>
      <c r="H164" s="26"/>
      <c r="I164" s="26"/>
      <c r="J164" s="26"/>
      <c r="K164" s="26"/>
      <c r="L164" s="26"/>
      <c r="M164" s="26"/>
      <c r="N164" s="26"/>
      <c r="O164" s="113"/>
      <c r="P164" s="26"/>
      <c r="Q164" s="26"/>
      <c r="R164" s="26"/>
    </row>
    <row r="165" spans="5:18" x14ac:dyDescent="0.3">
      <c r="F165" s="113"/>
      <c r="G165" s="113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</row>
    <row r="166" spans="5:18" ht="14" x14ac:dyDescent="0.3">
      <c r="E166" t="s">
        <v>307</v>
      </c>
      <c r="F166" s="88">
        <v>45617</v>
      </c>
      <c r="G166" s="56" t="s">
        <v>1521</v>
      </c>
      <c r="H166" s="26"/>
      <c r="I166" s="26">
        <v>1</v>
      </c>
      <c r="J166" s="26"/>
      <c r="K166" s="26"/>
      <c r="L166" s="26"/>
      <c r="M166" s="26"/>
      <c r="N166" s="26"/>
      <c r="O166" s="26"/>
      <c r="P166" s="26"/>
      <c r="Q166" s="26"/>
      <c r="R166" s="26"/>
    </row>
    <row r="167" spans="5:18" ht="14" x14ac:dyDescent="0.3">
      <c r="E167" t="s">
        <v>307</v>
      </c>
      <c r="F167" s="88"/>
      <c r="G167" s="5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</row>
    <row r="168" spans="5:18" ht="14" x14ac:dyDescent="0.3">
      <c r="F168" s="88"/>
      <c r="G168" s="5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</row>
    <row r="169" spans="5:18" ht="28" x14ac:dyDescent="0.3">
      <c r="F169" s="88">
        <v>45638</v>
      </c>
      <c r="G169" s="56" t="s">
        <v>1687</v>
      </c>
      <c r="H169" s="26"/>
      <c r="I169" s="26">
        <v>100</v>
      </c>
      <c r="J169" s="26"/>
      <c r="K169" s="26"/>
      <c r="L169" s="26"/>
      <c r="M169" s="26"/>
      <c r="N169" s="26"/>
      <c r="O169" s="26"/>
      <c r="P169" s="26"/>
      <c r="Q169" s="26"/>
      <c r="R169" s="26"/>
    </row>
    <row r="170" spans="5:18" ht="14" x14ac:dyDescent="0.3">
      <c r="F170" s="88"/>
      <c r="G170" s="5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</row>
    <row r="171" spans="5:18" ht="14" x14ac:dyDescent="0.3">
      <c r="E171" t="s">
        <v>1688</v>
      </c>
      <c r="F171" s="88">
        <v>45644</v>
      </c>
      <c r="G171" s="56" t="s">
        <v>1605</v>
      </c>
      <c r="H171" s="26"/>
      <c r="I171" s="26"/>
      <c r="J171" s="26"/>
      <c r="K171" s="26">
        <f>60-28</f>
        <v>32</v>
      </c>
      <c r="L171" s="26"/>
      <c r="M171" s="26"/>
      <c r="N171" s="26"/>
      <c r="O171" s="26"/>
      <c r="P171" s="26"/>
      <c r="Q171" s="26"/>
      <c r="R171" s="26"/>
    </row>
    <row r="172" spans="5:18" ht="14" x14ac:dyDescent="0.3">
      <c r="F172" s="88"/>
      <c r="G172" s="5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</row>
    <row r="173" spans="5:18" ht="14" x14ac:dyDescent="0.3">
      <c r="F173" s="88">
        <v>45652</v>
      </c>
      <c r="G173" s="56" t="s">
        <v>1689</v>
      </c>
      <c r="H173" s="26"/>
      <c r="I173" s="26"/>
      <c r="J173" s="26"/>
      <c r="K173" s="26">
        <v>40</v>
      </c>
      <c r="L173" s="26"/>
      <c r="M173" s="26"/>
      <c r="N173" s="26"/>
      <c r="O173" s="26"/>
      <c r="P173" s="26"/>
      <c r="Q173" s="26"/>
      <c r="R173" s="26"/>
    </row>
    <row r="174" spans="5:18" ht="28" x14ac:dyDescent="0.3">
      <c r="F174" s="88">
        <v>45652</v>
      </c>
      <c r="G174" s="56" t="s">
        <v>1690</v>
      </c>
      <c r="H174" s="26"/>
      <c r="I174" s="26"/>
      <c r="J174" s="26"/>
      <c r="K174" s="26"/>
      <c r="L174" s="26"/>
      <c r="M174" s="26">
        <v>3</v>
      </c>
      <c r="N174" s="26"/>
      <c r="O174" s="26"/>
      <c r="P174" s="26"/>
      <c r="Q174" s="26"/>
      <c r="R174" s="26"/>
    </row>
    <row r="175" spans="5:18" ht="14" x14ac:dyDescent="0.3">
      <c r="E175" t="s">
        <v>1691</v>
      </c>
      <c r="F175" s="88">
        <v>45652</v>
      </c>
      <c r="G175" s="56" t="s">
        <v>1632</v>
      </c>
      <c r="H175" s="26"/>
      <c r="I175" s="26"/>
      <c r="J175" s="26"/>
      <c r="K175" s="26">
        <v>75</v>
      </c>
      <c r="L175" s="26"/>
      <c r="M175" s="26"/>
      <c r="N175" s="26"/>
      <c r="O175" s="26"/>
      <c r="P175" s="26"/>
      <c r="Q175" s="26"/>
      <c r="R175" s="26"/>
    </row>
    <row r="176" spans="5:18" ht="14" x14ac:dyDescent="0.3">
      <c r="E176" t="s">
        <v>1692</v>
      </c>
      <c r="F176" s="88">
        <v>45652</v>
      </c>
      <c r="G176" s="56" t="s">
        <v>1633</v>
      </c>
      <c r="H176" s="26"/>
      <c r="I176" s="26"/>
      <c r="J176" s="26"/>
      <c r="K176" s="26"/>
      <c r="L176" s="26">
        <f>40-10-20</f>
        <v>10</v>
      </c>
      <c r="M176" s="26"/>
      <c r="N176" s="26"/>
      <c r="O176" s="26"/>
      <c r="P176" s="26"/>
      <c r="Q176" s="26"/>
      <c r="R176" s="26"/>
    </row>
    <row r="177" spans="5:24" ht="14" x14ac:dyDescent="0.3">
      <c r="F177" s="88">
        <v>45652</v>
      </c>
      <c r="G177" s="56" t="s">
        <v>1693</v>
      </c>
      <c r="H177" s="26"/>
      <c r="I177" s="26"/>
      <c r="J177" s="26"/>
      <c r="K177" s="26">
        <v>60</v>
      </c>
      <c r="L177" s="26"/>
      <c r="M177" s="26"/>
      <c r="N177" s="26"/>
      <c r="O177" s="26"/>
      <c r="P177" s="26"/>
      <c r="Q177" s="26"/>
      <c r="R177" s="26"/>
    </row>
    <row r="178" spans="5:24" ht="14" x14ac:dyDescent="0.3">
      <c r="E178" t="s">
        <v>1692</v>
      </c>
      <c r="F178" s="88">
        <v>45652</v>
      </c>
      <c r="G178" s="56" t="s">
        <v>1645</v>
      </c>
      <c r="H178" s="26"/>
      <c r="I178" s="26"/>
      <c r="J178" s="26">
        <v>11</v>
      </c>
      <c r="K178" s="26"/>
      <c r="L178" s="26"/>
      <c r="M178" s="26"/>
      <c r="N178" s="26"/>
      <c r="O178" s="26"/>
      <c r="P178" s="26"/>
      <c r="Q178" s="26"/>
      <c r="R178" s="26"/>
    </row>
    <row r="179" spans="5:24" ht="14" x14ac:dyDescent="0.3">
      <c r="E179" t="s">
        <v>1692</v>
      </c>
      <c r="F179" s="88">
        <v>45652</v>
      </c>
      <c r="G179" s="56" t="s">
        <v>1680</v>
      </c>
      <c r="H179" s="26"/>
      <c r="I179" s="26"/>
      <c r="J179" s="26"/>
      <c r="K179" s="26"/>
      <c r="L179" s="26"/>
      <c r="M179" s="26">
        <v>1</v>
      </c>
      <c r="N179" s="26"/>
      <c r="O179" s="26"/>
      <c r="P179" s="26"/>
      <c r="Q179" s="26"/>
      <c r="R179" s="26"/>
    </row>
    <row r="180" spans="5:24" x14ac:dyDescent="0.3">
      <c r="F180" s="113"/>
      <c r="G180" s="113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</row>
    <row r="181" spans="5:24" ht="15" x14ac:dyDescent="0.3">
      <c r="F181" s="113"/>
      <c r="G181" s="416" t="s">
        <v>1399</v>
      </c>
      <c r="H181" s="416">
        <f t="shared" ref="H181:M181" si="1">SUM(H161:H180)</f>
        <v>0</v>
      </c>
      <c r="I181" s="416">
        <f t="shared" si="1"/>
        <v>101</v>
      </c>
      <c r="J181" s="416">
        <f t="shared" si="1"/>
        <v>11</v>
      </c>
      <c r="K181" s="416">
        <f t="shared" si="1"/>
        <v>210</v>
      </c>
      <c r="L181" s="416">
        <f t="shared" si="1"/>
        <v>10</v>
      </c>
      <c r="M181" s="416">
        <f t="shared" si="1"/>
        <v>4</v>
      </c>
      <c r="N181" s="416"/>
      <c r="O181" s="416"/>
      <c r="P181" s="416"/>
      <c r="Q181" s="416"/>
      <c r="R181" s="416"/>
    </row>
    <row r="183" spans="5:24" s="214" customFormat="1" x14ac:dyDescent="0.3">
      <c r="P183" s="351"/>
      <c r="Q183" s="351"/>
    </row>
    <row r="186" spans="5:24" x14ac:dyDescent="0.3">
      <c r="F186" s="161" t="s">
        <v>0</v>
      </c>
      <c r="G186" s="161" t="s">
        <v>5</v>
      </c>
      <c r="H186" s="161" t="s">
        <v>792</v>
      </c>
      <c r="I186" s="161" t="s">
        <v>808</v>
      </c>
      <c r="J186" s="161" t="s">
        <v>1231</v>
      </c>
      <c r="K186" s="433" t="s">
        <v>1218</v>
      </c>
      <c r="L186" s="433" t="s">
        <v>1433</v>
      </c>
      <c r="M186" s="161" t="s">
        <v>1434</v>
      </c>
      <c r="N186" s="433" t="s">
        <v>1435</v>
      </c>
      <c r="O186" s="433" t="s">
        <v>1648</v>
      </c>
      <c r="P186" s="161" t="s">
        <v>1649</v>
      </c>
      <c r="Q186" s="161" t="s">
        <v>1650</v>
      </c>
      <c r="R186" s="161" t="s">
        <v>1651</v>
      </c>
      <c r="S186" s="161" t="s">
        <v>1652</v>
      </c>
      <c r="T186" s="161" t="s">
        <v>1653</v>
      </c>
      <c r="U186" s="161" t="s">
        <v>1654</v>
      </c>
      <c r="V186" s="161" t="s">
        <v>1655</v>
      </c>
      <c r="W186" s="161" t="s">
        <v>1656</v>
      </c>
      <c r="X186" s="161" t="s">
        <v>1657</v>
      </c>
    </row>
    <row r="187" spans="5:24" x14ac:dyDescent="0.3"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26"/>
      <c r="Q187" s="26"/>
      <c r="R187" s="26"/>
      <c r="S187" s="26"/>
      <c r="T187" s="26"/>
      <c r="U187" s="26"/>
      <c r="V187" s="26"/>
      <c r="W187" s="26"/>
      <c r="X187" s="26"/>
    </row>
    <row r="188" spans="5:24" x14ac:dyDescent="0.3">
      <c r="F188" s="157">
        <v>45627</v>
      </c>
      <c r="G188" s="460" t="s">
        <v>1562</v>
      </c>
      <c r="H188" s="461">
        <f t="shared" ref="H188:S188" si="2">H139</f>
        <v>112</v>
      </c>
      <c r="I188" s="461">
        <f t="shared" si="2"/>
        <v>237</v>
      </c>
      <c r="J188" s="461">
        <f t="shared" si="2"/>
        <v>1</v>
      </c>
      <c r="K188" s="461">
        <f t="shared" si="2"/>
        <v>110</v>
      </c>
      <c r="L188" s="461">
        <f t="shared" si="2"/>
        <v>0</v>
      </c>
      <c r="M188" s="461">
        <f t="shared" si="2"/>
        <v>14</v>
      </c>
      <c r="N188" s="461">
        <f t="shared" si="2"/>
        <v>1</v>
      </c>
      <c r="O188" s="461">
        <f t="shared" si="2"/>
        <v>0</v>
      </c>
      <c r="P188" s="461">
        <f t="shared" si="2"/>
        <v>0</v>
      </c>
      <c r="Q188" s="461">
        <f t="shared" si="2"/>
        <v>0</v>
      </c>
      <c r="R188" s="461">
        <f t="shared" si="2"/>
        <v>0</v>
      </c>
      <c r="S188" s="461">
        <f t="shared" si="2"/>
        <v>0</v>
      </c>
      <c r="T188" s="461">
        <f t="shared" ref="T188:U188" si="3">T139</f>
        <v>0</v>
      </c>
      <c r="U188" s="461">
        <f t="shared" si="3"/>
        <v>0</v>
      </c>
      <c r="V188" s="461">
        <f t="shared" ref="V188:W188" si="4">V139</f>
        <v>0</v>
      </c>
      <c r="W188" s="461">
        <f t="shared" si="4"/>
        <v>0</v>
      </c>
      <c r="X188" s="461">
        <f t="shared" ref="X188" si="5">X139</f>
        <v>0</v>
      </c>
    </row>
    <row r="189" spans="5:24" x14ac:dyDescent="0.3">
      <c r="F189" s="157"/>
      <c r="G189" s="460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</row>
    <row r="190" spans="5:24" ht="14" x14ac:dyDescent="0.3">
      <c r="F190" s="88">
        <v>45627</v>
      </c>
      <c r="G190" s="56" t="s">
        <v>1563</v>
      </c>
      <c r="H190" s="461">
        <v>13</v>
      </c>
      <c r="I190" s="461"/>
      <c r="J190" s="461"/>
      <c r="K190" s="461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</row>
    <row r="191" spans="5:24" ht="14" x14ac:dyDescent="0.3">
      <c r="F191" s="88">
        <v>45627</v>
      </c>
      <c r="G191" s="56" t="s">
        <v>1564</v>
      </c>
      <c r="H191" s="26">
        <v>2</v>
      </c>
      <c r="I191" s="26"/>
      <c r="J191" s="26"/>
      <c r="K191" s="26"/>
      <c r="L191" s="26"/>
      <c r="M191" s="26"/>
      <c r="N191" s="26"/>
      <c r="O191" s="113"/>
      <c r="P191" s="26"/>
      <c r="Q191" s="26"/>
      <c r="R191" s="26"/>
      <c r="S191" s="26"/>
      <c r="T191" s="26"/>
      <c r="U191" s="26"/>
      <c r="V191" s="26"/>
      <c r="W191" s="26"/>
      <c r="X191" s="26"/>
    </row>
    <row r="192" spans="5:24" ht="14" x14ac:dyDescent="0.3">
      <c r="F192" s="88"/>
      <c r="G192" s="56"/>
      <c r="H192" s="26"/>
      <c r="I192" s="26"/>
      <c r="J192" s="26"/>
      <c r="K192" s="26"/>
      <c r="L192" s="26"/>
      <c r="M192" s="26"/>
      <c r="N192" s="26"/>
      <c r="O192" s="113"/>
      <c r="P192" s="26"/>
      <c r="Q192" s="26"/>
      <c r="R192" s="26"/>
      <c r="S192" s="26"/>
      <c r="T192" s="26"/>
      <c r="U192" s="26"/>
      <c r="V192" s="26"/>
      <c r="W192" s="26"/>
      <c r="X192" s="26"/>
    </row>
    <row r="193" spans="5:24" ht="14" x14ac:dyDescent="0.3">
      <c r="F193" s="88">
        <v>45631</v>
      </c>
      <c r="G193" s="56" t="s">
        <v>1575</v>
      </c>
      <c r="H193" s="26">
        <v>4</v>
      </c>
      <c r="I193" s="26"/>
      <c r="J193" s="26"/>
      <c r="K193" s="26"/>
      <c r="L193" s="26"/>
      <c r="M193" s="26"/>
      <c r="N193" s="26"/>
      <c r="O193" s="113"/>
      <c r="P193" s="26"/>
      <c r="Q193" s="26"/>
      <c r="R193" s="26"/>
      <c r="S193" s="26"/>
      <c r="T193" s="26"/>
      <c r="U193" s="26"/>
      <c r="V193" s="26"/>
      <c r="W193" s="26"/>
      <c r="X193" s="26"/>
    </row>
    <row r="194" spans="5:24" ht="14" x14ac:dyDescent="0.3">
      <c r="F194" s="88">
        <v>45631</v>
      </c>
      <c r="G194" s="56" t="s">
        <v>1576</v>
      </c>
      <c r="H194" s="26">
        <v>4</v>
      </c>
      <c r="I194" s="26"/>
      <c r="J194" s="26"/>
      <c r="K194" s="26"/>
      <c r="L194" s="26"/>
      <c r="M194" s="26"/>
      <c r="N194" s="26"/>
      <c r="O194" s="113"/>
      <c r="P194" s="26"/>
      <c r="Q194" s="26"/>
      <c r="R194" s="26"/>
      <c r="S194" s="26"/>
      <c r="T194" s="26"/>
      <c r="U194" s="26"/>
      <c r="V194" s="26"/>
      <c r="W194" s="26"/>
      <c r="X194" s="26"/>
    </row>
    <row r="195" spans="5:24" ht="14" x14ac:dyDescent="0.3">
      <c r="F195" s="88">
        <v>45631</v>
      </c>
      <c r="G195" s="56" t="s">
        <v>1577</v>
      </c>
      <c r="H195" s="26">
        <v>4</v>
      </c>
      <c r="I195" s="26"/>
      <c r="J195" s="26"/>
      <c r="K195" s="26"/>
      <c r="L195" s="26"/>
      <c r="M195" s="26"/>
      <c r="N195" s="26"/>
      <c r="O195" s="113"/>
      <c r="P195" s="26"/>
      <c r="Q195" s="26"/>
      <c r="R195" s="26"/>
      <c r="S195" s="26"/>
      <c r="T195" s="26"/>
      <c r="U195" s="26"/>
      <c r="V195" s="26"/>
      <c r="W195" s="26"/>
      <c r="X195" s="26"/>
    </row>
    <row r="196" spans="5:24" ht="14" x14ac:dyDescent="0.3">
      <c r="F196" s="88">
        <v>45631</v>
      </c>
      <c r="G196" s="56" t="s">
        <v>1578</v>
      </c>
      <c r="H196" s="26">
        <v>6</v>
      </c>
      <c r="I196" s="26"/>
      <c r="J196" s="26"/>
      <c r="K196" s="26"/>
      <c r="L196" s="26"/>
      <c r="M196" s="26"/>
      <c r="N196" s="26"/>
      <c r="O196" s="113"/>
      <c r="P196" s="26"/>
      <c r="Q196" s="26"/>
      <c r="R196" s="26"/>
      <c r="S196" s="26"/>
      <c r="T196" s="26"/>
      <c r="U196" s="26"/>
      <c r="V196" s="26"/>
      <c r="W196" s="26"/>
      <c r="X196" s="26"/>
    </row>
    <row r="197" spans="5:24" ht="14" x14ac:dyDescent="0.3">
      <c r="F197" s="88"/>
      <c r="G197" s="56"/>
      <c r="H197" s="26"/>
      <c r="I197" s="26"/>
      <c r="J197" s="26"/>
      <c r="K197" s="26"/>
      <c r="L197" s="26"/>
      <c r="M197" s="26"/>
      <c r="N197" s="26"/>
      <c r="O197" s="113"/>
      <c r="P197" s="26"/>
      <c r="Q197" s="26"/>
      <c r="R197" s="26"/>
      <c r="S197" s="26"/>
      <c r="T197" s="26"/>
      <c r="U197" s="26"/>
      <c r="V197" s="26"/>
      <c r="W197" s="26"/>
      <c r="X197" s="26"/>
    </row>
    <row r="198" spans="5:24" ht="14" x14ac:dyDescent="0.3">
      <c r="E198" s="1" t="s">
        <v>1623</v>
      </c>
      <c r="F198" s="88">
        <v>45631</v>
      </c>
      <c r="G198" s="56" t="s">
        <v>1619</v>
      </c>
      <c r="H198" s="26"/>
      <c r="I198" s="26"/>
      <c r="J198" s="26"/>
      <c r="K198" s="26">
        <v>39</v>
      </c>
      <c r="L198" s="26"/>
      <c r="M198" s="26"/>
      <c r="N198" s="26"/>
      <c r="O198" s="113"/>
      <c r="P198" s="26"/>
      <c r="Q198" s="26"/>
      <c r="R198" s="26"/>
      <c r="S198" s="26"/>
      <c r="T198" s="26"/>
      <c r="U198" s="26"/>
      <c r="V198" s="26"/>
      <c r="W198" s="26"/>
      <c r="X198" s="26"/>
    </row>
    <row r="199" spans="5:24" ht="14" x14ac:dyDescent="0.3">
      <c r="F199" s="88"/>
      <c r="G199" s="56"/>
      <c r="H199" s="26"/>
      <c r="I199" s="26"/>
      <c r="J199" s="26"/>
      <c r="K199" s="26"/>
      <c r="L199" s="26"/>
      <c r="M199" s="26"/>
      <c r="N199" s="26"/>
      <c r="O199" s="113"/>
      <c r="P199" s="26"/>
      <c r="Q199" s="26"/>
      <c r="R199" s="26"/>
      <c r="S199" s="26"/>
      <c r="T199" s="26"/>
      <c r="U199" s="26"/>
      <c r="V199" s="26"/>
      <c r="W199" s="26"/>
      <c r="X199" s="26"/>
    </row>
    <row r="200" spans="5:24" ht="14" x14ac:dyDescent="0.3">
      <c r="F200" s="88">
        <v>45632</v>
      </c>
      <c r="G200" s="56" t="s">
        <v>1579</v>
      </c>
      <c r="H200" s="26">
        <v>5</v>
      </c>
      <c r="I200" s="26"/>
      <c r="J200" s="26"/>
      <c r="K200" s="26"/>
      <c r="L200" s="26">
        <v>25</v>
      </c>
      <c r="M200" s="26"/>
      <c r="N200" s="26"/>
      <c r="O200" s="113"/>
      <c r="P200" s="26"/>
      <c r="Q200" s="26"/>
      <c r="R200" s="26"/>
      <c r="S200" s="26"/>
      <c r="T200" s="26"/>
      <c r="U200" s="26"/>
      <c r="V200" s="26"/>
      <c r="W200" s="26"/>
      <c r="X200" s="26"/>
    </row>
    <row r="201" spans="5:24" ht="14" x14ac:dyDescent="0.3">
      <c r="F201" s="88">
        <v>45632</v>
      </c>
      <c r="G201" s="56" t="s">
        <v>1580</v>
      </c>
      <c r="H201" s="26"/>
      <c r="I201" s="26"/>
      <c r="J201" s="26"/>
      <c r="K201" s="26"/>
      <c r="L201" s="26"/>
      <c r="M201" s="26"/>
      <c r="N201" s="26"/>
      <c r="O201" s="113"/>
      <c r="P201" s="26"/>
      <c r="Q201" s="26"/>
      <c r="R201" s="26"/>
      <c r="S201" s="26"/>
      <c r="T201" s="26"/>
      <c r="U201" s="26"/>
      <c r="V201" s="26"/>
      <c r="W201" s="26"/>
      <c r="X201" s="26"/>
    </row>
    <row r="202" spans="5:24" ht="14" x14ac:dyDescent="0.3">
      <c r="F202" s="88"/>
      <c r="G202" s="56"/>
      <c r="H202" s="26"/>
      <c r="I202" s="26"/>
      <c r="J202" s="26"/>
      <c r="K202" s="26"/>
      <c r="L202" s="26"/>
      <c r="M202" s="26"/>
      <c r="N202" s="26"/>
      <c r="O202" s="113"/>
      <c r="P202" s="26"/>
      <c r="Q202" s="26"/>
      <c r="R202" s="26"/>
      <c r="S202" s="26"/>
      <c r="T202" s="26"/>
      <c r="U202" s="26"/>
      <c r="V202" s="26"/>
      <c r="W202" s="26"/>
      <c r="X202" s="26"/>
    </row>
    <row r="203" spans="5:24" ht="14" x14ac:dyDescent="0.3">
      <c r="F203" s="88">
        <v>45632</v>
      </c>
      <c r="G203" s="56" t="s">
        <v>1614</v>
      </c>
      <c r="H203" s="26">
        <v>51</v>
      </c>
      <c r="I203" s="26"/>
      <c r="J203" s="26"/>
      <c r="K203" s="26"/>
      <c r="L203" s="26"/>
      <c r="M203" s="26"/>
      <c r="N203" s="26"/>
      <c r="O203" s="113"/>
      <c r="P203" s="26"/>
      <c r="Q203" s="26"/>
      <c r="R203" s="26"/>
      <c r="S203" s="26"/>
      <c r="T203" s="26"/>
      <c r="U203" s="26"/>
      <c r="V203" s="26"/>
      <c r="W203" s="26"/>
      <c r="X203" s="26"/>
    </row>
    <row r="204" spans="5:24" x14ac:dyDescent="0.3">
      <c r="F204" s="157"/>
      <c r="G204" s="450"/>
      <c r="H204" s="451"/>
      <c r="I204" s="451"/>
      <c r="J204" s="26"/>
      <c r="K204" s="384"/>
      <c r="L204" s="26"/>
      <c r="M204" s="26"/>
      <c r="N204" s="26"/>
      <c r="O204" s="113"/>
      <c r="P204" s="26"/>
      <c r="Q204" s="26"/>
      <c r="R204" s="26"/>
      <c r="S204" s="384"/>
      <c r="T204" s="384"/>
      <c r="U204" s="384"/>
      <c r="V204" s="384"/>
      <c r="W204" s="384"/>
      <c r="X204" s="384"/>
    </row>
    <row r="205" spans="5:24" x14ac:dyDescent="0.3">
      <c r="F205" s="157">
        <v>45632</v>
      </c>
      <c r="G205" s="450" t="s">
        <v>1391</v>
      </c>
      <c r="H205" s="451">
        <v>-128</v>
      </c>
      <c r="I205" s="451">
        <v>-104</v>
      </c>
      <c r="J205" s="26"/>
      <c r="K205" s="451">
        <v>-27</v>
      </c>
      <c r="L205" s="462"/>
      <c r="M205" s="451">
        <v>-14</v>
      </c>
      <c r="N205" s="26"/>
      <c r="O205" s="113"/>
      <c r="P205" s="26"/>
      <c r="Q205" s="26"/>
      <c r="R205" s="26"/>
      <c r="S205" s="26"/>
      <c r="T205" s="26"/>
      <c r="U205" s="26"/>
      <c r="V205" s="26"/>
      <c r="W205" s="26"/>
      <c r="X205" s="26"/>
    </row>
    <row r="206" spans="5:24" ht="14" x14ac:dyDescent="0.3">
      <c r="F206" s="88">
        <v>45633</v>
      </c>
      <c r="G206" s="450" t="s">
        <v>1391</v>
      </c>
      <c r="H206" s="451">
        <v>-73</v>
      </c>
      <c r="I206" s="451">
        <v>-19</v>
      </c>
      <c r="J206" s="384"/>
      <c r="K206" s="451">
        <v>-39</v>
      </c>
      <c r="L206" s="451">
        <v>-25</v>
      </c>
      <c r="M206" s="384"/>
      <c r="N206" s="384"/>
      <c r="O206" s="384"/>
      <c r="P206" s="384"/>
      <c r="Q206" s="384"/>
      <c r="R206" s="384"/>
      <c r="S206" s="160"/>
      <c r="T206" s="160"/>
      <c r="U206" s="160"/>
      <c r="V206" s="160"/>
      <c r="W206" s="160"/>
      <c r="X206" s="160"/>
    </row>
    <row r="207" spans="5:24" ht="14" x14ac:dyDescent="0.3">
      <c r="F207" s="88"/>
      <c r="G207" s="450"/>
      <c r="H207" s="451"/>
      <c r="I207" s="451"/>
      <c r="J207" s="384"/>
      <c r="K207" s="451"/>
      <c r="L207" s="451"/>
      <c r="M207" s="384"/>
      <c r="N207" s="384"/>
      <c r="O207" s="384"/>
      <c r="P207" s="384"/>
      <c r="Q207" s="384"/>
      <c r="R207" s="384"/>
      <c r="S207" s="160"/>
      <c r="T207" s="160"/>
      <c r="U207" s="160"/>
      <c r="V207" s="160"/>
      <c r="W207" s="160"/>
      <c r="X207" s="160"/>
    </row>
    <row r="208" spans="5:24" ht="14" x14ac:dyDescent="0.3">
      <c r="F208" s="88">
        <v>45633</v>
      </c>
      <c r="G208" s="56" t="s">
        <v>1610</v>
      </c>
      <c r="H208" s="451"/>
      <c r="I208" s="451"/>
      <c r="J208" s="384"/>
      <c r="K208" s="451"/>
      <c r="L208" s="451"/>
      <c r="M208" s="160">
        <v>1</v>
      </c>
      <c r="N208" s="384"/>
      <c r="O208" s="384"/>
      <c r="P208" s="384"/>
      <c r="Q208" s="384"/>
      <c r="R208" s="384"/>
      <c r="S208" s="160"/>
      <c r="T208" s="160"/>
      <c r="U208" s="160"/>
      <c r="V208" s="160"/>
      <c r="W208" s="160"/>
      <c r="X208" s="160"/>
    </row>
    <row r="209" spans="5:24" ht="14" x14ac:dyDescent="0.3">
      <c r="F209" s="88">
        <v>45633</v>
      </c>
      <c r="G209" s="56" t="s">
        <v>1607</v>
      </c>
      <c r="H209" s="464">
        <v>1</v>
      </c>
      <c r="I209" s="451"/>
      <c r="J209" s="384"/>
      <c r="K209" s="451"/>
      <c r="L209" s="451"/>
      <c r="M209" s="384"/>
      <c r="N209" s="384"/>
      <c r="O209" s="384"/>
      <c r="P209" s="384"/>
      <c r="Q209" s="384"/>
      <c r="R209" s="384"/>
      <c r="S209" s="160"/>
      <c r="T209" s="160"/>
      <c r="U209" s="160"/>
      <c r="V209" s="160"/>
      <c r="W209" s="160"/>
      <c r="X209" s="160"/>
    </row>
    <row r="210" spans="5:24" ht="14" x14ac:dyDescent="0.3">
      <c r="F210" s="88">
        <v>45633</v>
      </c>
      <c r="G210" s="56" t="s">
        <v>1608</v>
      </c>
      <c r="H210" s="464">
        <v>4</v>
      </c>
      <c r="I210" s="451"/>
      <c r="J210" s="384"/>
      <c r="K210" s="451"/>
      <c r="L210" s="451"/>
      <c r="M210" s="384"/>
      <c r="N210" s="384"/>
      <c r="O210" s="384"/>
      <c r="P210" s="384"/>
      <c r="Q210" s="384"/>
      <c r="R210" s="384"/>
      <c r="S210" s="160"/>
      <c r="T210" s="160"/>
      <c r="U210" s="160"/>
      <c r="V210" s="160"/>
      <c r="W210" s="160"/>
      <c r="X210" s="160"/>
    </row>
    <row r="211" spans="5:24" ht="14" x14ac:dyDescent="0.3">
      <c r="F211" s="88">
        <v>45633</v>
      </c>
      <c r="G211" s="56" t="s">
        <v>1609</v>
      </c>
      <c r="H211" s="464">
        <v>15</v>
      </c>
      <c r="I211" s="451"/>
      <c r="J211" s="384"/>
      <c r="K211" s="451"/>
      <c r="L211" s="451"/>
      <c r="M211" s="384"/>
      <c r="N211" s="384"/>
      <c r="O211" s="384"/>
      <c r="P211" s="384"/>
      <c r="Q211" s="384"/>
      <c r="R211" s="384"/>
      <c r="S211" s="160"/>
      <c r="T211" s="160"/>
      <c r="U211" s="160"/>
      <c r="V211" s="160"/>
      <c r="W211" s="160"/>
      <c r="X211" s="160"/>
    </row>
    <row r="212" spans="5:24" ht="14" x14ac:dyDescent="0.3">
      <c r="F212" s="88"/>
      <c r="G212" s="450"/>
      <c r="H212" s="451"/>
      <c r="I212" s="451"/>
      <c r="J212" s="384"/>
      <c r="K212" s="451"/>
      <c r="L212" s="451"/>
      <c r="M212" s="384"/>
      <c r="N212" s="384"/>
      <c r="O212" s="384"/>
      <c r="P212" s="384"/>
      <c r="Q212" s="384"/>
      <c r="R212" s="384"/>
      <c r="S212" s="160"/>
      <c r="T212" s="160"/>
      <c r="U212" s="160"/>
      <c r="V212" s="160"/>
      <c r="W212" s="160"/>
      <c r="X212" s="160"/>
    </row>
    <row r="213" spans="5:24" ht="14" x14ac:dyDescent="0.3">
      <c r="F213" s="88">
        <v>45634</v>
      </c>
      <c r="G213" s="56" t="s">
        <v>1612</v>
      </c>
      <c r="H213" s="464">
        <v>38</v>
      </c>
      <c r="I213" s="464"/>
      <c r="J213" s="384"/>
      <c r="K213" s="451"/>
      <c r="L213" s="451"/>
      <c r="M213" s="384"/>
      <c r="N213" s="384"/>
      <c r="O213" s="384"/>
      <c r="P213" s="384"/>
      <c r="Q213" s="384"/>
      <c r="R213" s="384"/>
      <c r="S213" s="160"/>
      <c r="T213" s="160"/>
      <c r="U213" s="160"/>
      <c r="V213" s="160"/>
      <c r="W213" s="160"/>
      <c r="X213" s="160"/>
    </row>
    <row r="214" spans="5:24" ht="14" x14ac:dyDescent="0.3">
      <c r="F214" s="88">
        <v>45634</v>
      </c>
      <c r="G214" s="56" t="s">
        <v>1613</v>
      </c>
      <c r="H214" s="464"/>
      <c r="I214" s="464">
        <v>11</v>
      </c>
      <c r="J214" s="384"/>
      <c r="K214" s="451"/>
      <c r="L214" s="451"/>
      <c r="M214" s="384"/>
      <c r="N214" s="384"/>
      <c r="O214" s="384"/>
      <c r="P214" s="384"/>
      <c r="Q214" s="384"/>
      <c r="R214" s="384"/>
      <c r="S214" s="160"/>
      <c r="T214" s="160"/>
      <c r="U214" s="160"/>
      <c r="V214" s="160"/>
      <c r="W214" s="160"/>
      <c r="X214" s="160"/>
    </row>
    <row r="215" spans="5:24" ht="14" x14ac:dyDescent="0.3">
      <c r="F215" s="88"/>
      <c r="G215" s="56"/>
      <c r="H215" s="464"/>
      <c r="I215" s="464"/>
      <c r="J215" s="384"/>
      <c r="K215" s="451"/>
      <c r="L215" s="451"/>
      <c r="M215" s="384"/>
      <c r="N215" s="384"/>
      <c r="O215" s="384"/>
      <c r="P215" s="384"/>
      <c r="Q215" s="384"/>
      <c r="R215" s="384"/>
      <c r="S215" s="160"/>
      <c r="T215" s="160"/>
      <c r="U215" s="160"/>
      <c r="V215" s="160"/>
      <c r="W215" s="160"/>
      <c r="X215" s="160"/>
    </row>
    <row r="216" spans="5:24" ht="14" x14ac:dyDescent="0.3">
      <c r="F216" s="88"/>
      <c r="G216" s="463" t="s">
        <v>1581</v>
      </c>
      <c r="H216" s="462"/>
      <c r="I216" s="451"/>
      <c r="J216" s="384"/>
      <c r="K216" s="451"/>
      <c r="L216" s="451"/>
      <c r="M216" s="384"/>
      <c r="N216" s="384"/>
      <c r="O216" s="384"/>
      <c r="P216" s="384"/>
      <c r="Q216" s="384"/>
      <c r="R216" s="384"/>
      <c r="S216" s="160"/>
      <c r="T216" s="160"/>
      <c r="U216" s="160"/>
      <c r="V216" s="160"/>
      <c r="W216" s="160"/>
      <c r="X216" s="160"/>
    </row>
    <row r="217" spans="5:24" ht="14" x14ac:dyDescent="0.3">
      <c r="F217" s="88">
        <v>45635</v>
      </c>
      <c r="G217" s="56" t="s">
        <v>1582</v>
      </c>
      <c r="H217" s="464"/>
      <c r="I217" s="464">
        <v>8</v>
      </c>
      <c r="J217" s="464"/>
      <c r="K217" s="464"/>
      <c r="L217" s="464"/>
      <c r="M217" s="464"/>
      <c r="N217" s="384"/>
      <c r="O217" s="384"/>
      <c r="P217" s="384"/>
      <c r="Q217" s="384"/>
      <c r="R217" s="384"/>
      <c r="S217" s="160"/>
      <c r="T217" s="160"/>
      <c r="U217" s="160"/>
      <c r="V217" s="160"/>
      <c r="W217" s="160"/>
      <c r="X217" s="160"/>
    </row>
    <row r="218" spans="5:24" ht="14" x14ac:dyDescent="0.3">
      <c r="F218" s="88">
        <v>45635</v>
      </c>
      <c r="G218" s="56" t="s">
        <v>1583</v>
      </c>
      <c r="H218" s="464"/>
      <c r="I218" s="464"/>
      <c r="J218" s="464"/>
      <c r="K218" s="464"/>
      <c r="L218" s="464"/>
      <c r="M218" s="464">
        <v>1</v>
      </c>
      <c r="N218" s="384"/>
      <c r="O218" s="384"/>
      <c r="P218" s="384"/>
      <c r="Q218" s="384"/>
      <c r="R218" s="384"/>
      <c r="S218" s="160"/>
      <c r="T218" s="160"/>
      <c r="U218" s="160"/>
      <c r="V218" s="160"/>
      <c r="W218" s="160"/>
      <c r="X218" s="160"/>
    </row>
    <row r="219" spans="5:24" ht="14" x14ac:dyDescent="0.3">
      <c r="F219" s="88">
        <v>45635</v>
      </c>
      <c r="G219" s="56" t="s">
        <v>1585</v>
      </c>
      <c r="H219" s="464">
        <v>1</v>
      </c>
      <c r="I219" s="464"/>
      <c r="J219" s="464"/>
      <c r="K219" s="464"/>
      <c r="L219" s="464"/>
      <c r="M219" s="464"/>
      <c r="N219" s="384"/>
      <c r="O219" s="384"/>
      <c r="P219" s="384"/>
      <c r="Q219" s="384"/>
      <c r="R219" s="384"/>
      <c r="S219" s="160"/>
      <c r="T219" s="160"/>
      <c r="U219" s="160"/>
      <c r="V219" s="160"/>
      <c r="W219" s="160"/>
      <c r="X219" s="160"/>
    </row>
    <row r="220" spans="5:24" ht="14" x14ac:dyDescent="0.3">
      <c r="E220" t="s">
        <v>1600</v>
      </c>
      <c r="F220" s="88">
        <v>45635</v>
      </c>
      <c r="G220" s="56" t="s">
        <v>1584</v>
      </c>
      <c r="H220" s="464"/>
      <c r="I220" s="464"/>
      <c r="J220" s="464"/>
      <c r="K220" s="464"/>
      <c r="L220" s="464"/>
      <c r="M220" s="464">
        <v>0</v>
      </c>
      <c r="N220" s="384"/>
      <c r="O220" s="384"/>
      <c r="P220" s="384"/>
      <c r="Q220" s="384"/>
      <c r="R220" s="384"/>
      <c r="S220" s="160"/>
      <c r="T220" s="160"/>
      <c r="U220" s="160"/>
      <c r="V220" s="160"/>
      <c r="W220" s="160"/>
      <c r="X220" s="160"/>
    </row>
    <row r="221" spans="5:24" ht="14" x14ac:dyDescent="0.3">
      <c r="F221" s="88"/>
      <c r="G221" s="463" t="s">
        <v>1581</v>
      </c>
      <c r="H221" s="462"/>
      <c r="I221" s="462"/>
      <c r="J221" s="160"/>
      <c r="K221" s="462"/>
      <c r="L221" s="462"/>
      <c r="M221" s="160"/>
      <c r="N221" s="160"/>
      <c r="O221" s="384"/>
      <c r="P221" s="384"/>
      <c r="Q221" s="384"/>
      <c r="R221" s="384"/>
      <c r="S221" s="160"/>
      <c r="T221" s="160"/>
      <c r="U221" s="160"/>
      <c r="V221" s="160"/>
      <c r="W221" s="160"/>
      <c r="X221" s="160"/>
    </row>
    <row r="222" spans="5:24" s="345" customFormat="1" ht="14" x14ac:dyDescent="0.3">
      <c r="F222" s="346">
        <v>45636</v>
      </c>
      <c r="G222" s="348" t="s">
        <v>1585</v>
      </c>
      <c r="H222" s="464">
        <v>1</v>
      </c>
      <c r="I222" s="464"/>
      <c r="J222" s="464"/>
      <c r="K222" s="464"/>
      <c r="L222" s="464"/>
      <c r="M222" s="464"/>
      <c r="N222" s="464"/>
      <c r="O222" s="465"/>
      <c r="P222" s="465"/>
      <c r="Q222" s="465"/>
      <c r="R222" s="465"/>
      <c r="S222" s="464"/>
      <c r="T222" s="464"/>
      <c r="U222" s="464"/>
      <c r="V222" s="464"/>
      <c r="W222" s="464"/>
      <c r="X222" s="464"/>
    </row>
    <row r="223" spans="5:24" s="345" customFormat="1" ht="14" x14ac:dyDescent="0.3">
      <c r="F223" s="346">
        <v>45636</v>
      </c>
      <c r="G223" s="348" t="s">
        <v>1586</v>
      </c>
      <c r="H223" s="464">
        <v>2</v>
      </c>
      <c r="I223" s="464"/>
      <c r="J223" s="464"/>
      <c r="K223" s="464"/>
      <c r="L223" s="464"/>
      <c r="M223" s="464"/>
      <c r="N223" s="464"/>
      <c r="O223" s="465"/>
      <c r="P223" s="465"/>
      <c r="Q223" s="465"/>
      <c r="R223" s="465"/>
      <c r="S223" s="464"/>
      <c r="T223" s="464"/>
      <c r="U223" s="464"/>
      <c r="V223" s="464"/>
      <c r="W223" s="464"/>
      <c r="X223" s="464"/>
    </row>
    <row r="224" spans="5:24" s="345" customFormat="1" ht="14" x14ac:dyDescent="0.3">
      <c r="F224" s="346">
        <v>45636</v>
      </c>
      <c r="G224" s="348" t="s">
        <v>1587</v>
      </c>
      <c r="H224" s="464"/>
      <c r="I224" s="464">
        <v>10</v>
      </c>
      <c r="J224" s="464"/>
      <c r="K224" s="464"/>
      <c r="L224" s="464"/>
      <c r="M224" s="464"/>
      <c r="N224" s="464"/>
      <c r="O224" s="465"/>
      <c r="P224" s="465"/>
      <c r="Q224" s="465"/>
      <c r="R224" s="465"/>
      <c r="S224" s="464"/>
      <c r="T224" s="464"/>
      <c r="U224" s="464"/>
      <c r="V224" s="464"/>
      <c r="W224" s="464"/>
      <c r="X224" s="464"/>
    </row>
    <row r="225" spans="6:24" s="345" customFormat="1" ht="14" x14ac:dyDescent="0.3">
      <c r="F225" s="346">
        <v>45636</v>
      </c>
      <c r="G225" s="348" t="s">
        <v>1588</v>
      </c>
      <c r="H225" s="464"/>
      <c r="I225" s="464">
        <v>36</v>
      </c>
      <c r="J225" s="464"/>
      <c r="K225" s="464"/>
      <c r="L225" s="464"/>
      <c r="M225" s="464"/>
      <c r="N225" s="464"/>
      <c r="O225" s="464"/>
      <c r="P225" s="464"/>
      <c r="Q225" s="464"/>
      <c r="R225" s="464"/>
      <c r="S225" s="464"/>
      <c r="T225" s="464"/>
      <c r="U225" s="464"/>
      <c r="V225" s="464"/>
      <c r="W225" s="464"/>
      <c r="X225" s="464"/>
    </row>
    <row r="226" spans="6:24" s="345" customFormat="1" ht="14" x14ac:dyDescent="0.3">
      <c r="F226" s="346"/>
      <c r="G226" s="463" t="s">
        <v>1581</v>
      </c>
      <c r="H226" s="464"/>
      <c r="I226" s="464"/>
      <c r="J226" s="464"/>
      <c r="K226" s="464"/>
      <c r="L226" s="464"/>
      <c r="M226" s="464"/>
      <c r="N226" s="464"/>
      <c r="O226" s="464"/>
      <c r="P226" s="464"/>
      <c r="Q226" s="464"/>
      <c r="R226" s="464"/>
      <c r="S226" s="464"/>
      <c r="T226" s="464"/>
      <c r="U226" s="464"/>
      <c r="V226" s="464"/>
      <c r="W226" s="464"/>
      <c r="X226" s="464"/>
    </row>
    <row r="227" spans="6:24" s="345" customFormat="1" ht="14" x14ac:dyDescent="0.3">
      <c r="F227" s="88">
        <v>45637</v>
      </c>
      <c r="G227" s="56" t="s">
        <v>1590</v>
      </c>
      <c r="H227" s="464"/>
      <c r="I227" s="464">
        <v>35</v>
      </c>
      <c r="J227" s="464"/>
      <c r="K227" s="464"/>
      <c r="L227" s="464"/>
      <c r="M227" s="464"/>
      <c r="N227" s="464"/>
      <c r="O227" s="464"/>
      <c r="P227" s="464"/>
      <c r="Q227" s="464"/>
      <c r="R227" s="464"/>
      <c r="S227" s="464"/>
      <c r="T227" s="464"/>
      <c r="U227" s="464"/>
      <c r="V227" s="464"/>
      <c r="W227" s="464"/>
      <c r="X227" s="464"/>
    </row>
    <row r="228" spans="6:24" s="345" customFormat="1" ht="14" x14ac:dyDescent="0.3">
      <c r="F228" s="88">
        <v>45637</v>
      </c>
      <c r="G228" s="56" t="s">
        <v>1591</v>
      </c>
      <c r="H228" s="464"/>
      <c r="I228" s="464">
        <v>32</v>
      </c>
      <c r="J228" s="464"/>
      <c r="K228" s="464"/>
      <c r="L228" s="464"/>
      <c r="M228" s="464"/>
      <c r="N228" s="464"/>
      <c r="O228" s="464"/>
      <c r="P228" s="464"/>
      <c r="Q228" s="464"/>
      <c r="R228" s="464"/>
      <c r="S228" s="464"/>
      <c r="T228" s="464"/>
      <c r="U228" s="464"/>
      <c r="V228" s="464"/>
      <c r="W228" s="464"/>
      <c r="X228" s="464"/>
    </row>
    <row r="229" spans="6:24" s="345" customFormat="1" ht="14" x14ac:dyDescent="0.3">
      <c r="F229" s="88">
        <v>45637</v>
      </c>
      <c r="G229" s="56" t="s">
        <v>1590</v>
      </c>
      <c r="H229" s="464"/>
      <c r="I229" s="464">
        <v>35</v>
      </c>
      <c r="J229" s="464"/>
      <c r="K229" s="464"/>
      <c r="L229" s="464"/>
      <c r="M229" s="464"/>
      <c r="N229" s="464"/>
      <c r="O229" s="464"/>
      <c r="P229" s="464"/>
      <c r="Q229" s="464"/>
      <c r="R229" s="464"/>
      <c r="S229" s="464"/>
      <c r="T229" s="464"/>
      <c r="U229" s="464"/>
      <c r="V229" s="464"/>
      <c r="W229" s="464"/>
      <c r="X229" s="464"/>
    </row>
    <row r="230" spans="6:24" s="345" customFormat="1" ht="14" x14ac:dyDescent="0.3">
      <c r="F230" s="88">
        <v>45637</v>
      </c>
      <c r="G230" s="56" t="s">
        <v>1592</v>
      </c>
      <c r="H230" s="464"/>
      <c r="I230" s="464">
        <v>33</v>
      </c>
      <c r="J230" s="464"/>
      <c r="K230" s="464"/>
      <c r="L230" s="464"/>
      <c r="M230" s="464"/>
      <c r="N230" s="464"/>
      <c r="O230" s="464"/>
      <c r="P230" s="464"/>
      <c r="Q230" s="464"/>
      <c r="R230" s="464"/>
      <c r="S230" s="464"/>
      <c r="T230" s="464"/>
      <c r="U230" s="464"/>
      <c r="V230" s="464"/>
      <c r="W230" s="464"/>
      <c r="X230" s="464"/>
    </row>
    <row r="231" spans="6:24" s="345" customFormat="1" ht="14" x14ac:dyDescent="0.3">
      <c r="F231" s="346"/>
      <c r="G231" s="463" t="s">
        <v>1581</v>
      </c>
      <c r="H231" s="464"/>
      <c r="I231" s="464"/>
      <c r="J231" s="464"/>
      <c r="K231" s="464"/>
      <c r="L231" s="464"/>
      <c r="M231" s="464"/>
      <c r="N231" s="464"/>
      <c r="O231" s="464"/>
      <c r="P231" s="464"/>
      <c r="Q231" s="464"/>
      <c r="R231" s="464"/>
      <c r="S231" s="464"/>
      <c r="T231" s="464"/>
      <c r="U231" s="464"/>
      <c r="V231" s="464"/>
      <c r="W231" s="464"/>
      <c r="X231" s="464"/>
    </row>
    <row r="232" spans="6:24" s="345" customFormat="1" ht="14" x14ac:dyDescent="0.3">
      <c r="F232" s="88">
        <v>45638</v>
      </c>
      <c r="G232" s="56" t="s">
        <v>1593</v>
      </c>
      <c r="H232" s="464"/>
      <c r="I232" s="464">
        <v>8</v>
      </c>
      <c r="J232" s="464"/>
      <c r="K232" s="464"/>
      <c r="L232" s="464"/>
      <c r="M232" s="464"/>
      <c r="N232" s="464"/>
      <c r="O232" s="464"/>
      <c r="P232" s="464"/>
      <c r="Q232" s="464"/>
      <c r="R232" s="464"/>
      <c r="S232" s="464"/>
      <c r="T232" s="464"/>
      <c r="U232" s="464"/>
      <c r="V232" s="464"/>
      <c r="W232" s="464"/>
      <c r="X232" s="464"/>
    </row>
    <row r="233" spans="6:24" s="345" customFormat="1" ht="14" x14ac:dyDescent="0.3">
      <c r="F233" s="88">
        <v>45638</v>
      </c>
      <c r="G233" s="56" t="s">
        <v>1594</v>
      </c>
      <c r="H233" s="464"/>
      <c r="I233" s="464">
        <v>200</v>
      </c>
      <c r="J233" s="464"/>
      <c r="K233" s="464"/>
      <c r="L233" s="464"/>
      <c r="M233" s="464"/>
      <c r="N233" s="464"/>
      <c r="O233" s="464"/>
      <c r="P233" s="464"/>
      <c r="Q233" s="464"/>
      <c r="R233" s="464"/>
      <c r="S233" s="464"/>
      <c r="T233" s="464"/>
      <c r="U233" s="464"/>
      <c r="V233" s="464"/>
      <c r="W233" s="464"/>
      <c r="X233" s="464"/>
    </row>
    <row r="234" spans="6:24" s="345" customFormat="1" ht="14" x14ac:dyDescent="0.3">
      <c r="F234" s="88">
        <v>45638</v>
      </c>
      <c r="G234" s="56" t="s">
        <v>1595</v>
      </c>
      <c r="H234" s="464"/>
      <c r="I234" s="464">
        <v>100</v>
      </c>
      <c r="J234" s="464"/>
      <c r="K234" s="464"/>
      <c r="L234" s="464"/>
      <c r="M234" s="464"/>
      <c r="N234" s="464"/>
      <c r="O234" s="464"/>
      <c r="P234" s="464"/>
      <c r="Q234" s="464"/>
      <c r="R234" s="464"/>
      <c r="S234" s="464"/>
      <c r="T234" s="464"/>
      <c r="U234" s="464"/>
      <c r="V234" s="464"/>
      <c r="W234" s="464"/>
      <c r="X234" s="464"/>
    </row>
    <row r="235" spans="6:24" s="345" customFormat="1" ht="14" x14ac:dyDescent="0.3">
      <c r="F235" s="88">
        <v>45638</v>
      </c>
      <c r="G235" s="56" t="s">
        <v>1596</v>
      </c>
      <c r="H235" s="464"/>
      <c r="I235" s="464"/>
      <c r="J235" s="464"/>
      <c r="K235" s="464"/>
      <c r="L235" s="464"/>
      <c r="M235" s="464">
        <v>35</v>
      </c>
      <c r="N235" s="464"/>
      <c r="O235" s="464"/>
      <c r="P235" s="464"/>
      <c r="Q235" s="464"/>
      <c r="R235" s="464"/>
      <c r="S235" s="464"/>
      <c r="T235" s="464"/>
      <c r="U235" s="464"/>
      <c r="V235" s="464"/>
      <c r="W235" s="464"/>
      <c r="X235" s="464"/>
    </row>
    <row r="236" spans="6:24" s="345" customFormat="1" ht="14" x14ac:dyDescent="0.3">
      <c r="F236" s="88">
        <v>45638</v>
      </c>
      <c r="G236" s="56" t="s">
        <v>1597</v>
      </c>
      <c r="H236" s="464"/>
      <c r="I236" s="464">
        <v>45</v>
      </c>
      <c r="J236" s="464"/>
      <c r="K236" s="464"/>
      <c r="L236" s="464"/>
      <c r="M236" s="464"/>
      <c r="N236" s="464"/>
      <c r="O236" s="464"/>
      <c r="P236" s="464"/>
      <c r="Q236" s="464"/>
      <c r="R236" s="464"/>
      <c r="S236" s="464"/>
      <c r="T236" s="464"/>
      <c r="U236" s="464"/>
      <c r="V236" s="464"/>
      <c r="W236" s="464"/>
      <c r="X236" s="464"/>
    </row>
    <row r="237" spans="6:24" s="345" customFormat="1" ht="14" x14ac:dyDescent="0.3">
      <c r="F237" s="88"/>
      <c r="G237" s="463" t="s">
        <v>1581</v>
      </c>
      <c r="H237" s="464"/>
      <c r="I237" s="464"/>
      <c r="J237" s="464"/>
      <c r="K237" s="464"/>
      <c r="L237" s="464"/>
      <c r="M237" s="464"/>
      <c r="N237" s="464"/>
      <c r="O237" s="464"/>
      <c r="P237" s="464"/>
      <c r="Q237" s="464"/>
      <c r="R237" s="464"/>
      <c r="S237" s="464"/>
      <c r="T237" s="464"/>
      <c r="U237" s="464"/>
      <c r="V237" s="464"/>
      <c r="W237" s="464"/>
      <c r="X237" s="464"/>
    </row>
    <row r="238" spans="6:24" s="345" customFormat="1" ht="14" x14ac:dyDescent="0.3">
      <c r="F238" s="88">
        <v>45639</v>
      </c>
      <c r="G238" s="56" t="s">
        <v>1598</v>
      </c>
      <c r="H238" s="464">
        <v>14</v>
      </c>
      <c r="I238" s="464"/>
      <c r="J238" s="464"/>
      <c r="K238" s="464"/>
      <c r="L238" s="464"/>
      <c r="M238" s="464"/>
      <c r="N238" s="464"/>
      <c r="O238" s="464"/>
      <c r="P238" s="464"/>
      <c r="Q238" s="464"/>
      <c r="R238" s="464"/>
      <c r="S238" s="464"/>
      <c r="T238" s="464"/>
      <c r="U238" s="464"/>
      <c r="V238" s="464"/>
      <c r="W238" s="464"/>
      <c r="X238" s="464"/>
    </row>
    <row r="239" spans="6:24" s="345" customFormat="1" ht="14" x14ac:dyDescent="0.3">
      <c r="F239" s="88">
        <v>45639</v>
      </c>
      <c r="G239" s="56" t="s">
        <v>1582</v>
      </c>
      <c r="H239" s="464"/>
      <c r="I239" s="464">
        <v>8</v>
      </c>
      <c r="J239" s="464"/>
      <c r="K239" s="464"/>
      <c r="L239" s="464"/>
      <c r="M239" s="464"/>
      <c r="N239" s="464"/>
      <c r="O239" s="464"/>
      <c r="P239" s="464"/>
      <c r="Q239" s="464"/>
      <c r="R239" s="464"/>
      <c r="S239" s="464"/>
      <c r="T239" s="464"/>
      <c r="U239" s="464"/>
      <c r="V239" s="464"/>
      <c r="W239" s="464"/>
      <c r="X239" s="464"/>
    </row>
    <row r="240" spans="6:24" s="345" customFormat="1" ht="14" x14ac:dyDescent="0.3">
      <c r="F240" s="88"/>
      <c r="G240" s="56"/>
      <c r="H240" s="464"/>
      <c r="I240" s="464"/>
      <c r="J240" s="464"/>
      <c r="K240" s="464"/>
      <c r="L240" s="464"/>
      <c r="M240" s="464"/>
      <c r="N240" s="464"/>
      <c r="O240" s="464"/>
      <c r="P240" s="464"/>
      <c r="Q240" s="464"/>
      <c r="R240" s="464"/>
      <c r="S240" s="464"/>
      <c r="T240" s="464"/>
      <c r="U240" s="464"/>
      <c r="V240" s="464"/>
      <c r="W240" s="464"/>
      <c r="X240" s="464"/>
    </row>
    <row r="241" spans="5:24" s="345" customFormat="1" ht="14" x14ac:dyDescent="0.3">
      <c r="F241" s="88">
        <v>45640</v>
      </c>
      <c r="G241" s="56" t="s">
        <v>1616</v>
      </c>
      <c r="H241" s="464">
        <v>17</v>
      </c>
      <c r="I241" s="464"/>
      <c r="J241" s="464"/>
      <c r="K241" s="464"/>
      <c r="L241" s="464"/>
      <c r="M241" s="464"/>
      <c r="N241" s="464"/>
      <c r="O241" s="464"/>
      <c r="P241" s="464"/>
      <c r="Q241" s="464"/>
      <c r="R241" s="464"/>
      <c r="S241" s="464"/>
      <c r="T241" s="464"/>
      <c r="U241" s="464"/>
      <c r="V241" s="464"/>
      <c r="W241" s="464"/>
      <c r="X241" s="464"/>
    </row>
    <row r="242" spans="5:24" s="345" customFormat="1" ht="14" x14ac:dyDescent="0.3">
      <c r="F242" s="346">
        <v>45640</v>
      </c>
      <c r="G242" s="411" t="s">
        <v>1599</v>
      </c>
      <c r="H242" s="451">
        <v>-38</v>
      </c>
      <c r="I242" s="451">
        <v>-11</v>
      </c>
      <c r="J242" s="464"/>
      <c r="K242" s="464"/>
      <c r="L242" s="464"/>
      <c r="M242" s="464"/>
      <c r="N242" s="464"/>
      <c r="O242" s="464"/>
      <c r="P242" s="464"/>
      <c r="Q242" s="464"/>
      <c r="R242" s="464"/>
      <c r="S242" s="464"/>
      <c r="T242" s="464"/>
      <c r="U242" s="464"/>
      <c r="V242" s="464"/>
      <c r="W242" s="464"/>
      <c r="X242" s="464"/>
    </row>
    <row r="243" spans="5:24" s="345" customFormat="1" ht="14" x14ac:dyDescent="0.3">
      <c r="F243" s="346"/>
      <c r="G243" s="411"/>
      <c r="H243" s="451"/>
      <c r="I243" s="451"/>
      <c r="J243" s="464"/>
      <c r="K243" s="464"/>
      <c r="L243" s="464"/>
      <c r="M243" s="464"/>
      <c r="N243" s="464"/>
      <c r="O243" s="464"/>
      <c r="P243" s="464"/>
      <c r="Q243" s="464"/>
      <c r="R243" s="464"/>
      <c r="S243" s="464"/>
      <c r="T243" s="464"/>
      <c r="U243" s="464"/>
      <c r="V243" s="464"/>
      <c r="W243" s="464"/>
      <c r="X243" s="464"/>
    </row>
    <row r="244" spans="5:24" s="345" customFormat="1" ht="14" x14ac:dyDescent="0.3">
      <c r="F244" s="157">
        <v>45644</v>
      </c>
      <c r="G244" s="411" t="s">
        <v>1397</v>
      </c>
      <c r="H244" s="451">
        <v>-18</v>
      </c>
      <c r="I244" s="451">
        <v>-564</v>
      </c>
      <c r="J244" s="451"/>
      <c r="K244" s="451"/>
      <c r="L244" s="451"/>
      <c r="M244" s="451">
        <v>-36</v>
      </c>
      <c r="N244" s="464"/>
      <c r="O244" s="464"/>
      <c r="P244" s="464"/>
      <c r="Q244" s="464"/>
      <c r="R244" s="464"/>
      <c r="S244" s="464"/>
      <c r="T244" s="464"/>
      <c r="U244" s="464"/>
      <c r="V244" s="464"/>
      <c r="W244" s="464"/>
      <c r="X244" s="464"/>
    </row>
    <row r="245" spans="5:24" s="345" customFormat="1" ht="14" x14ac:dyDescent="0.3">
      <c r="F245" s="346"/>
      <c r="G245" s="411"/>
      <c r="H245" s="451"/>
      <c r="I245" s="451"/>
      <c r="J245" s="464"/>
      <c r="K245" s="464"/>
      <c r="L245" s="464"/>
      <c r="M245" s="464"/>
      <c r="N245" s="464"/>
      <c r="O245" s="464"/>
      <c r="P245" s="464"/>
      <c r="Q245" s="464"/>
      <c r="R245" s="464"/>
      <c r="S245" s="464"/>
      <c r="T245" s="464"/>
      <c r="U245" s="464"/>
      <c r="V245" s="464"/>
      <c r="W245" s="464"/>
      <c r="X245" s="464"/>
    </row>
    <row r="246" spans="5:24" s="345" customFormat="1" ht="14" x14ac:dyDescent="0.3">
      <c r="F246" s="88">
        <v>45642</v>
      </c>
      <c r="G246" s="56" t="s">
        <v>1604</v>
      </c>
      <c r="H246" s="464">
        <v>4</v>
      </c>
      <c r="I246" s="451"/>
      <c r="J246" s="464"/>
      <c r="K246" s="464"/>
      <c r="L246" s="464"/>
      <c r="M246" s="464"/>
      <c r="N246" s="464"/>
      <c r="O246" s="464"/>
      <c r="P246" s="464"/>
      <c r="Q246" s="464"/>
      <c r="R246" s="464"/>
      <c r="S246" s="464"/>
      <c r="T246" s="464"/>
      <c r="U246" s="464"/>
      <c r="V246" s="464"/>
      <c r="W246" s="464"/>
      <c r="X246" s="464"/>
    </row>
    <row r="247" spans="5:24" s="345" customFormat="1" ht="14" x14ac:dyDescent="0.3">
      <c r="F247" s="88">
        <v>45644</v>
      </c>
      <c r="G247" s="56" t="s">
        <v>1605</v>
      </c>
      <c r="H247" s="451"/>
      <c r="I247" s="451"/>
      <c r="J247" s="464"/>
      <c r="K247" s="464">
        <v>60</v>
      </c>
      <c r="L247" s="464"/>
      <c r="M247" s="464"/>
      <c r="N247" s="464"/>
      <c r="O247" s="464"/>
      <c r="P247" s="464"/>
      <c r="Q247" s="464"/>
      <c r="R247" s="464"/>
      <c r="S247" s="464"/>
      <c r="T247" s="464"/>
      <c r="U247" s="464"/>
      <c r="V247" s="464"/>
      <c r="W247" s="464"/>
      <c r="X247" s="464"/>
    </row>
    <row r="248" spans="5:24" s="345" customFormat="1" ht="14" x14ac:dyDescent="0.3">
      <c r="F248" s="346"/>
      <c r="G248" s="411"/>
      <c r="H248" s="451"/>
      <c r="I248" s="451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464"/>
    </row>
    <row r="249" spans="5:24" s="345" customFormat="1" ht="14" x14ac:dyDescent="0.3">
      <c r="F249" s="88">
        <v>45644</v>
      </c>
      <c r="G249" s="56" t="s">
        <v>1620</v>
      </c>
      <c r="H249" s="451">
        <v>2</v>
      </c>
      <c r="I249" s="451"/>
      <c r="J249" s="464"/>
      <c r="K249" s="464">
        <v>75</v>
      </c>
      <c r="L249" s="464"/>
      <c r="M249" s="464"/>
      <c r="N249" s="464"/>
      <c r="O249" s="464"/>
      <c r="P249" s="464"/>
      <c r="Q249" s="464"/>
      <c r="R249" s="464"/>
      <c r="S249" s="464"/>
      <c r="T249" s="464"/>
      <c r="U249" s="464"/>
      <c r="V249" s="464"/>
      <c r="W249" s="464"/>
      <c r="X249" s="464"/>
    </row>
    <row r="250" spans="5:24" s="345" customFormat="1" ht="14" x14ac:dyDescent="0.3">
      <c r="F250" s="88">
        <v>45644</v>
      </c>
      <c r="G250" s="56" t="s">
        <v>1621</v>
      </c>
      <c r="H250" s="451"/>
      <c r="I250" s="451"/>
      <c r="J250" s="464"/>
      <c r="K250" s="464"/>
      <c r="L250" s="464"/>
      <c r="M250" s="464"/>
      <c r="N250" s="464"/>
      <c r="O250" s="464"/>
      <c r="P250" s="464"/>
      <c r="Q250" s="464"/>
      <c r="R250" s="464"/>
      <c r="S250" s="464"/>
      <c r="T250" s="464"/>
      <c r="U250" s="464"/>
      <c r="V250" s="464"/>
      <c r="W250" s="464"/>
      <c r="X250" s="464"/>
    </row>
    <row r="251" spans="5:24" s="345" customFormat="1" ht="14" x14ac:dyDescent="0.3">
      <c r="F251" s="88"/>
      <c r="G251" s="56"/>
      <c r="H251" s="451"/>
      <c r="I251" s="451"/>
      <c r="J251" s="464"/>
      <c r="K251" s="464"/>
      <c r="L251" s="464"/>
      <c r="M251" s="464"/>
      <c r="N251" s="464"/>
      <c r="O251" s="464"/>
      <c r="P251" s="464"/>
      <c r="Q251" s="464"/>
      <c r="R251" s="464"/>
      <c r="S251" s="464"/>
      <c r="T251" s="464"/>
      <c r="U251" s="464"/>
      <c r="V251" s="464"/>
      <c r="W251" s="464"/>
      <c r="X251" s="464"/>
    </row>
    <row r="252" spans="5:24" s="345" customFormat="1" ht="14" x14ac:dyDescent="0.3">
      <c r="E252" s="1" t="s">
        <v>1663</v>
      </c>
      <c r="F252" s="88">
        <v>45648</v>
      </c>
      <c r="G252" s="56" t="s">
        <v>1662</v>
      </c>
      <c r="H252" s="451"/>
      <c r="I252" s="451"/>
      <c r="J252" s="464"/>
      <c r="K252" s="464">
        <v>43</v>
      </c>
      <c r="L252" s="464"/>
      <c r="M252" s="464"/>
      <c r="N252" s="464"/>
      <c r="O252" s="464"/>
      <c r="P252" s="464"/>
      <c r="Q252" s="464"/>
      <c r="R252" s="464"/>
      <c r="S252" s="464"/>
      <c r="T252" s="464"/>
      <c r="U252" s="464"/>
      <c r="V252" s="464"/>
      <c r="W252" s="464"/>
      <c r="X252" s="464"/>
    </row>
    <row r="253" spans="5:24" s="345" customFormat="1" ht="14" x14ac:dyDescent="0.3">
      <c r="F253" s="88"/>
      <c r="G253" s="56"/>
      <c r="H253" s="451"/>
      <c r="I253" s="451"/>
      <c r="J253" s="464"/>
      <c r="K253" s="464"/>
      <c r="L253" s="464"/>
      <c r="M253" s="464"/>
      <c r="N253" s="464"/>
      <c r="O253" s="464"/>
      <c r="P253" s="464"/>
      <c r="Q253" s="464"/>
      <c r="R253" s="464"/>
      <c r="S253" s="464"/>
      <c r="T253" s="464"/>
      <c r="U253" s="464"/>
      <c r="V253" s="464"/>
      <c r="W253" s="464"/>
      <c r="X253" s="464"/>
    </row>
    <row r="254" spans="5:24" s="345" customFormat="1" ht="14" x14ac:dyDescent="0.3">
      <c r="F254" s="88"/>
      <c r="G254" s="56"/>
      <c r="H254" s="451"/>
      <c r="I254" s="451"/>
      <c r="J254" s="464"/>
      <c r="K254" s="464"/>
      <c r="L254" s="464"/>
      <c r="M254" s="464"/>
      <c r="N254" s="464"/>
      <c r="O254" s="464"/>
      <c r="P254" s="464"/>
      <c r="Q254" s="464"/>
      <c r="R254" s="464"/>
      <c r="S254" s="464"/>
      <c r="T254" s="464"/>
      <c r="U254" s="464"/>
      <c r="V254" s="464"/>
      <c r="W254" s="464"/>
      <c r="X254" s="464"/>
    </row>
    <row r="255" spans="5:24" s="345" customFormat="1" ht="14" x14ac:dyDescent="0.3">
      <c r="F255" s="88">
        <v>45652</v>
      </c>
      <c r="G255" s="56" t="s">
        <v>1625</v>
      </c>
      <c r="H255" s="451"/>
      <c r="I255" s="451"/>
      <c r="J255" s="464"/>
      <c r="K255" s="464"/>
      <c r="L255" s="464"/>
      <c r="M255" s="464"/>
      <c r="N255" s="464"/>
      <c r="O255" s="464"/>
      <c r="P255" s="464">
        <v>2</v>
      </c>
      <c r="Q255" s="464"/>
      <c r="R255" s="464"/>
      <c r="S255" s="464"/>
      <c r="T255" s="464"/>
      <c r="U255" s="464"/>
      <c r="V255" s="464"/>
      <c r="W255" s="464"/>
      <c r="X255" s="464"/>
    </row>
    <row r="256" spans="5:24" s="345" customFormat="1" ht="14" x14ac:dyDescent="0.3">
      <c r="F256" s="88">
        <v>45652</v>
      </c>
      <c r="G256" s="56" t="s">
        <v>1626</v>
      </c>
      <c r="H256" s="451"/>
      <c r="I256" s="451">
        <v>1</v>
      </c>
      <c r="J256" s="464"/>
      <c r="K256" s="464"/>
      <c r="L256" s="464"/>
      <c r="M256" s="464"/>
      <c r="N256" s="464"/>
      <c r="O256" s="464"/>
      <c r="P256" s="464"/>
      <c r="Q256" s="464"/>
      <c r="R256" s="464"/>
      <c r="S256" s="464"/>
      <c r="T256" s="464"/>
      <c r="U256" s="464"/>
      <c r="V256" s="464"/>
      <c r="W256" s="464"/>
      <c r="X256" s="464"/>
    </row>
    <row r="257" spans="6:24" s="345" customFormat="1" ht="14" x14ac:dyDescent="0.3">
      <c r="F257" s="88">
        <v>45652</v>
      </c>
      <c r="G257" s="56" t="s">
        <v>1627</v>
      </c>
      <c r="H257" s="451"/>
      <c r="I257" s="451"/>
      <c r="J257" s="464"/>
      <c r="K257" s="464">
        <v>40</v>
      </c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464"/>
      <c r="X257" s="464"/>
    </row>
    <row r="258" spans="6:24" s="345" customFormat="1" ht="14" x14ac:dyDescent="0.3">
      <c r="F258" s="88">
        <v>45652</v>
      </c>
      <c r="G258" s="56" t="s">
        <v>1628</v>
      </c>
      <c r="H258" s="451"/>
      <c r="I258" s="451"/>
      <c r="J258" s="464"/>
      <c r="K258" s="464"/>
      <c r="L258" s="464"/>
      <c r="M258" s="464"/>
      <c r="N258" s="464"/>
      <c r="O258" s="464"/>
      <c r="P258" s="464"/>
      <c r="Q258" s="464">
        <v>1</v>
      </c>
      <c r="R258" s="464"/>
      <c r="S258" s="464"/>
      <c r="T258" s="464"/>
      <c r="U258" s="464"/>
      <c r="V258" s="464"/>
      <c r="W258" s="464"/>
      <c r="X258" s="464"/>
    </row>
    <row r="259" spans="6:24" s="345" customFormat="1" ht="14" x14ac:dyDescent="0.3">
      <c r="F259" s="88">
        <v>45652</v>
      </c>
      <c r="G259" s="56" t="s">
        <v>1626</v>
      </c>
      <c r="H259" s="451"/>
      <c r="I259" s="451">
        <v>1</v>
      </c>
      <c r="J259" s="464"/>
      <c r="K259" s="464"/>
      <c r="L259" s="464"/>
      <c r="M259" s="464"/>
      <c r="N259" s="464"/>
      <c r="O259" s="464"/>
      <c r="P259" s="464"/>
      <c r="Q259" s="464"/>
      <c r="R259" s="464"/>
      <c r="S259" s="464"/>
      <c r="T259" s="464"/>
      <c r="U259" s="464"/>
      <c r="V259" s="464"/>
      <c r="W259" s="464"/>
      <c r="X259" s="464"/>
    </row>
    <row r="260" spans="6:24" s="345" customFormat="1" ht="14" x14ac:dyDescent="0.3">
      <c r="F260" s="88">
        <v>45652</v>
      </c>
      <c r="G260" s="56" t="s">
        <v>1629</v>
      </c>
      <c r="H260" s="451">
        <v>1</v>
      </c>
      <c r="I260" s="451"/>
      <c r="J260" s="464"/>
      <c r="K260" s="464"/>
      <c r="L260" s="464"/>
      <c r="M260" s="464"/>
      <c r="N260" s="464"/>
      <c r="O260" s="464"/>
      <c r="P260" s="464"/>
      <c r="Q260" s="464"/>
      <c r="R260" s="464"/>
      <c r="S260" s="464"/>
      <c r="T260" s="464"/>
      <c r="U260" s="464"/>
      <c r="V260" s="464"/>
      <c r="W260" s="464"/>
      <c r="X260" s="464"/>
    </row>
    <row r="261" spans="6:24" s="345" customFormat="1" ht="14" x14ac:dyDescent="0.3">
      <c r="F261" s="88">
        <v>45652</v>
      </c>
      <c r="G261" s="56" t="s">
        <v>1630</v>
      </c>
      <c r="H261" s="451"/>
      <c r="I261" s="451">
        <v>5</v>
      </c>
      <c r="J261" s="464"/>
      <c r="K261" s="464"/>
      <c r="L261" s="464"/>
      <c r="M261" s="464"/>
      <c r="N261" s="464"/>
      <c r="O261" s="464"/>
      <c r="P261" s="464"/>
      <c r="Q261" s="464"/>
      <c r="R261" s="464"/>
      <c r="S261" s="464"/>
      <c r="T261" s="464"/>
      <c r="U261" s="464"/>
      <c r="V261" s="464"/>
      <c r="W261" s="464"/>
      <c r="X261" s="464"/>
    </row>
    <row r="262" spans="6:24" s="345" customFormat="1" ht="14" x14ac:dyDescent="0.3">
      <c r="F262" s="88">
        <v>45652</v>
      </c>
      <c r="G262" s="56" t="s">
        <v>1631</v>
      </c>
      <c r="H262" s="451"/>
      <c r="I262" s="451"/>
      <c r="J262" s="464"/>
      <c r="K262" s="464"/>
      <c r="L262" s="464"/>
      <c r="M262" s="464"/>
      <c r="N262" s="464"/>
      <c r="O262" s="464"/>
      <c r="P262" s="464"/>
      <c r="Q262" s="464"/>
      <c r="R262" s="464">
        <v>3</v>
      </c>
      <c r="S262" s="464"/>
      <c r="T262" s="464"/>
      <c r="U262" s="464"/>
      <c r="V262" s="464"/>
      <c r="W262" s="464"/>
      <c r="X262" s="464"/>
    </row>
    <row r="263" spans="6:24" s="345" customFormat="1" ht="14" x14ac:dyDescent="0.3">
      <c r="F263" s="88">
        <v>45652</v>
      </c>
      <c r="G263" s="56" t="s">
        <v>1628</v>
      </c>
      <c r="H263" s="451"/>
      <c r="I263" s="451"/>
      <c r="J263" s="464"/>
      <c r="K263" s="464"/>
      <c r="L263" s="464"/>
      <c r="M263" s="464"/>
      <c r="N263" s="464"/>
      <c r="O263" s="464"/>
      <c r="P263" s="464"/>
      <c r="Q263" s="464">
        <v>1</v>
      </c>
      <c r="R263" s="464"/>
      <c r="S263" s="464"/>
      <c r="T263" s="464"/>
      <c r="U263" s="464"/>
      <c r="V263" s="464"/>
      <c r="W263" s="464"/>
      <c r="X263" s="464"/>
    </row>
    <row r="264" spans="6:24" s="345" customFormat="1" ht="14" x14ac:dyDescent="0.3">
      <c r="F264" s="88">
        <v>45652</v>
      </c>
      <c r="G264" s="56" t="s">
        <v>1632</v>
      </c>
      <c r="H264" s="451"/>
      <c r="I264" s="451"/>
      <c r="J264" s="464"/>
      <c r="K264" s="464">
        <v>75</v>
      </c>
      <c r="L264" s="464"/>
      <c r="M264" s="464"/>
      <c r="N264" s="464"/>
      <c r="O264" s="464"/>
      <c r="P264" s="464"/>
      <c r="Q264" s="464"/>
      <c r="R264" s="464"/>
      <c r="S264" s="464"/>
      <c r="T264" s="464"/>
      <c r="U264" s="464"/>
      <c r="V264" s="464"/>
      <c r="W264" s="464"/>
      <c r="X264" s="464"/>
    </row>
    <row r="265" spans="6:24" s="345" customFormat="1" ht="14" x14ac:dyDescent="0.3">
      <c r="F265" s="88">
        <v>45652</v>
      </c>
      <c r="G265" s="56" t="s">
        <v>1633</v>
      </c>
      <c r="H265" s="451"/>
      <c r="I265" s="451"/>
      <c r="J265" s="464"/>
      <c r="K265" s="464"/>
      <c r="L265" s="464">
        <v>40</v>
      </c>
      <c r="M265" s="464"/>
      <c r="N265" s="464"/>
      <c r="O265" s="464"/>
      <c r="P265" s="464"/>
      <c r="Q265" s="464"/>
      <c r="R265" s="464"/>
      <c r="S265" s="464"/>
      <c r="T265" s="464"/>
      <c r="U265" s="464"/>
      <c r="V265" s="464"/>
      <c r="W265" s="464"/>
      <c r="X265" s="464"/>
    </row>
    <row r="266" spans="6:24" s="345" customFormat="1" ht="14" x14ac:dyDescent="0.3">
      <c r="F266" s="88">
        <v>45652</v>
      </c>
      <c r="G266" s="56" t="s">
        <v>1634</v>
      </c>
      <c r="H266" s="451"/>
      <c r="I266" s="451"/>
      <c r="J266" s="464"/>
      <c r="K266" s="464"/>
      <c r="L266" s="464"/>
      <c r="M266" s="464"/>
      <c r="N266" s="464"/>
      <c r="O266" s="464"/>
      <c r="P266" s="464"/>
      <c r="Q266" s="464"/>
      <c r="R266" s="464"/>
      <c r="S266" s="464">
        <v>2</v>
      </c>
      <c r="T266" s="464"/>
      <c r="U266" s="464"/>
      <c r="V266" s="464"/>
      <c r="W266" s="464"/>
      <c r="X266" s="464"/>
    </row>
    <row r="267" spans="6:24" s="345" customFormat="1" ht="14" x14ac:dyDescent="0.3">
      <c r="F267" s="88">
        <v>45652</v>
      </c>
      <c r="G267" s="56" t="s">
        <v>1635</v>
      </c>
      <c r="H267" s="451"/>
      <c r="I267" s="451"/>
      <c r="J267" s="464"/>
      <c r="K267" s="464"/>
      <c r="L267" s="464"/>
      <c r="M267" s="464"/>
      <c r="N267" s="464"/>
      <c r="O267" s="464"/>
      <c r="P267" s="464"/>
      <c r="Q267" s="464"/>
      <c r="R267" s="464"/>
      <c r="S267" s="464"/>
      <c r="T267" s="464">
        <v>2</v>
      </c>
      <c r="U267" s="464"/>
      <c r="V267" s="464"/>
      <c r="W267" s="464"/>
      <c r="X267" s="464"/>
    </row>
    <row r="268" spans="6:24" s="345" customFormat="1" ht="14" x14ac:dyDescent="0.3">
      <c r="F268" s="88">
        <v>45652</v>
      </c>
      <c r="G268" s="56" t="s">
        <v>1636</v>
      </c>
      <c r="H268" s="451"/>
      <c r="I268" s="451"/>
      <c r="J268" s="464"/>
      <c r="K268" s="464"/>
      <c r="L268" s="464"/>
      <c r="M268" s="464"/>
      <c r="N268" s="464"/>
      <c r="O268" s="464"/>
      <c r="P268" s="464"/>
      <c r="Q268" s="464"/>
      <c r="R268" s="464"/>
      <c r="S268" s="464"/>
      <c r="T268" s="464"/>
      <c r="U268" s="464">
        <v>1</v>
      </c>
      <c r="V268" s="464"/>
      <c r="W268" s="464"/>
      <c r="X268" s="464"/>
    </row>
    <row r="269" spans="6:24" s="345" customFormat="1" ht="14" x14ac:dyDescent="0.3">
      <c r="F269" s="88">
        <v>45652</v>
      </c>
      <c r="G269" s="56" t="s">
        <v>1637</v>
      </c>
      <c r="H269" s="451"/>
      <c r="I269" s="451"/>
      <c r="J269" s="464"/>
      <c r="K269" s="464"/>
      <c r="L269" s="464"/>
      <c r="M269" s="464"/>
      <c r="N269" s="464"/>
      <c r="O269" s="464"/>
      <c r="P269" s="464"/>
      <c r="Q269" s="464"/>
      <c r="R269" s="464"/>
      <c r="S269" s="464"/>
      <c r="T269" s="464"/>
      <c r="U269" s="464">
        <v>1</v>
      </c>
      <c r="V269" s="464"/>
      <c r="W269" s="464"/>
      <c r="X269" s="464"/>
    </row>
    <row r="270" spans="6:24" s="345" customFormat="1" ht="14" x14ac:dyDescent="0.3">
      <c r="F270" s="88">
        <v>45652</v>
      </c>
      <c r="G270" s="56" t="s">
        <v>1638</v>
      </c>
      <c r="H270" s="451"/>
      <c r="I270" s="451"/>
      <c r="J270" s="464"/>
      <c r="K270" s="464">
        <v>60</v>
      </c>
      <c r="L270" s="464"/>
      <c r="M270" s="464"/>
      <c r="N270" s="464"/>
      <c r="O270" s="464"/>
      <c r="P270" s="464"/>
      <c r="Q270" s="464"/>
      <c r="R270" s="464"/>
      <c r="S270" s="464"/>
      <c r="T270" s="464"/>
      <c r="U270" s="464"/>
      <c r="V270" s="464"/>
      <c r="W270" s="464"/>
      <c r="X270" s="464"/>
    </row>
    <row r="271" spans="6:24" s="345" customFormat="1" ht="14" x14ac:dyDescent="0.3">
      <c r="F271" s="88">
        <v>45652</v>
      </c>
      <c r="G271" s="56" t="s">
        <v>1639</v>
      </c>
      <c r="H271" s="451"/>
      <c r="I271" s="451"/>
      <c r="J271" s="464"/>
      <c r="K271" s="464"/>
      <c r="L271" s="464"/>
      <c r="M271" s="464"/>
      <c r="N271" s="464"/>
      <c r="O271" s="464"/>
      <c r="P271" s="464"/>
      <c r="Q271" s="464"/>
      <c r="R271" s="464"/>
      <c r="S271" s="464"/>
      <c r="T271" s="464"/>
      <c r="U271" s="464"/>
      <c r="V271" s="464">
        <v>1</v>
      </c>
      <c r="W271" s="464"/>
      <c r="X271" s="464"/>
    </row>
    <row r="272" spans="6:24" s="345" customFormat="1" ht="14" x14ac:dyDescent="0.3">
      <c r="F272" s="88">
        <v>45652</v>
      </c>
      <c r="G272" s="56" t="s">
        <v>1640</v>
      </c>
      <c r="H272" s="451"/>
      <c r="I272" s="451"/>
      <c r="J272" s="464"/>
      <c r="K272" s="464"/>
      <c r="L272" s="464"/>
      <c r="M272" s="464"/>
      <c r="N272" s="464"/>
      <c r="O272" s="464"/>
      <c r="P272" s="464"/>
      <c r="Q272" s="464">
        <v>1</v>
      </c>
      <c r="R272" s="464"/>
      <c r="S272" s="464"/>
      <c r="T272" s="464"/>
      <c r="U272" s="464"/>
      <c r="V272" s="464"/>
      <c r="W272" s="464"/>
      <c r="X272" s="464"/>
    </row>
    <row r="273" spans="5:24" s="345" customFormat="1" ht="14" x14ac:dyDescent="0.3">
      <c r="F273" s="88">
        <v>45652</v>
      </c>
      <c r="G273" s="56" t="s">
        <v>1645</v>
      </c>
      <c r="H273" s="451"/>
      <c r="I273" s="451"/>
      <c r="J273" s="464"/>
      <c r="K273" s="464"/>
      <c r="L273" s="464"/>
      <c r="M273" s="464"/>
      <c r="N273" s="464"/>
      <c r="O273" s="464"/>
      <c r="P273" s="464"/>
      <c r="Q273" s="464"/>
      <c r="R273" s="464"/>
      <c r="S273" s="464"/>
      <c r="T273" s="464"/>
      <c r="U273" s="464"/>
      <c r="V273" s="464"/>
      <c r="W273" s="464">
        <v>22</v>
      </c>
      <c r="X273" s="464"/>
    </row>
    <row r="274" spans="5:24" s="345" customFormat="1" ht="14" x14ac:dyDescent="0.3">
      <c r="F274" s="88">
        <v>45652</v>
      </c>
      <c r="G274" s="56" t="s">
        <v>1641</v>
      </c>
      <c r="H274" s="451"/>
      <c r="I274" s="451"/>
      <c r="J274" s="464"/>
      <c r="K274" s="464"/>
      <c r="L274" s="464"/>
      <c r="M274" s="464"/>
      <c r="N274" s="464"/>
      <c r="O274" s="464"/>
      <c r="P274" s="464"/>
      <c r="Q274" s="464"/>
      <c r="R274" s="464"/>
      <c r="S274" s="464"/>
      <c r="T274" s="464"/>
      <c r="U274" s="464"/>
      <c r="V274" s="464"/>
      <c r="W274" s="464"/>
      <c r="X274" s="464">
        <v>2</v>
      </c>
    </row>
    <row r="275" spans="5:24" s="345" customFormat="1" ht="14" x14ac:dyDescent="0.3">
      <c r="F275" s="88">
        <v>45652</v>
      </c>
      <c r="G275" s="56" t="s">
        <v>1642</v>
      </c>
      <c r="H275" s="451"/>
      <c r="I275" s="451"/>
      <c r="J275" s="464"/>
      <c r="K275" s="464"/>
      <c r="L275" s="464"/>
      <c r="M275" s="464"/>
      <c r="N275" s="464"/>
      <c r="O275" s="464"/>
      <c r="P275" s="464"/>
      <c r="Q275" s="464">
        <v>2</v>
      </c>
      <c r="R275" s="464"/>
      <c r="S275" s="464"/>
      <c r="T275" s="464"/>
      <c r="U275" s="464"/>
      <c r="V275" s="464"/>
      <c r="W275" s="464"/>
      <c r="X275" s="464"/>
    </row>
    <row r="276" spans="5:24" s="345" customFormat="1" ht="14" x14ac:dyDescent="0.3">
      <c r="F276" s="88">
        <v>45652</v>
      </c>
      <c r="G276" s="56" t="s">
        <v>1643</v>
      </c>
      <c r="H276" s="451"/>
      <c r="I276" s="451">
        <v>2</v>
      </c>
      <c r="J276" s="464"/>
      <c r="K276" s="464"/>
      <c r="L276" s="464"/>
      <c r="M276" s="464"/>
      <c r="N276" s="464"/>
      <c r="O276" s="464"/>
      <c r="P276" s="464"/>
      <c r="Q276" s="464"/>
      <c r="R276" s="464"/>
      <c r="S276" s="464"/>
      <c r="T276" s="464"/>
      <c r="U276" s="464"/>
      <c r="V276" s="464"/>
      <c r="W276" s="464"/>
      <c r="X276" s="464"/>
    </row>
    <row r="277" spans="5:24" s="345" customFormat="1" ht="14" x14ac:dyDescent="0.3">
      <c r="F277" s="88">
        <v>45652</v>
      </c>
      <c r="G277" s="56" t="s">
        <v>1679</v>
      </c>
      <c r="H277" s="451"/>
      <c r="I277" s="451"/>
      <c r="J277" s="464"/>
      <c r="K277" s="464"/>
      <c r="L277" s="464"/>
      <c r="M277" s="464"/>
      <c r="N277" s="464"/>
      <c r="O277" s="464"/>
      <c r="P277" s="464"/>
      <c r="Q277" s="464"/>
      <c r="R277" s="464"/>
      <c r="S277" s="464"/>
      <c r="T277" s="464"/>
      <c r="U277" s="464"/>
      <c r="V277" s="464">
        <v>1</v>
      </c>
      <c r="W277" s="464"/>
      <c r="X277" s="464"/>
    </row>
    <row r="278" spans="5:24" s="345" customFormat="1" ht="14" x14ac:dyDescent="0.3">
      <c r="F278" s="88">
        <v>45652</v>
      </c>
      <c r="G278" s="56" t="s">
        <v>1680</v>
      </c>
      <c r="H278" s="451"/>
      <c r="I278" s="451"/>
      <c r="J278" s="464"/>
      <c r="K278" s="464"/>
      <c r="L278" s="464"/>
      <c r="M278" s="464"/>
      <c r="N278" s="464"/>
      <c r="O278" s="464"/>
      <c r="P278" s="464"/>
      <c r="Q278" s="464"/>
      <c r="R278" s="464">
        <v>1</v>
      </c>
      <c r="S278" s="464"/>
      <c r="T278" s="464"/>
      <c r="U278" s="464"/>
      <c r="V278" s="464"/>
      <c r="W278" s="464"/>
      <c r="X278" s="464"/>
    </row>
    <row r="279" spans="5:24" s="345" customFormat="1" ht="14" x14ac:dyDescent="0.3">
      <c r="F279" s="88"/>
      <c r="G279" s="56"/>
      <c r="H279" s="451"/>
      <c r="I279" s="451"/>
      <c r="J279" s="464"/>
      <c r="K279" s="464"/>
      <c r="L279" s="464"/>
      <c r="M279" s="464"/>
      <c r="N279" s="464"/>
      <c r="O279" s="464"/>
      <c r="P279" s="464"/>
      <c r="Q279" s="464"/>
      <c r="R279" s="464"/>
      <c r="S279" s="464"/>
      <c r="T279" s="464"/>
      <c r="U279" s="464"/>
      <c r="V279" s="464"/>
      <c r="W279" s="464"/>
      <c r="X279" s="464"/>
    </row>
    <row r="280" spans="5:24" s="345" customFormat="1" ht="14" x14ac:dyDescent="0.3">
      <c r="F280" s="88">
        <v>45653</v>
      </c>
      <c r="G280" s="56" t="s">
        <v>1624</v>
      </c>
      <c r="H280" s="451">
        <v>2</v>
      </c>
      <c r="I280" s="451"/>
      <c r="J280" s="464"/>
      <c r="K280" s="464"/>
      <c r="L280" s="464"/>
      <c r="M280" s="464"/>
      <c r="N280" s="464"/>
      <c r="O280" s="464"/>
      <c r="P280" s="464"/>
      <c r="Q280" s="464"/>
      <c r="R280" s="464"/>
      <c r="S280" s="464"/>
      <c r="T280" s="464"/>
      <c r="U280" s="464"/>
      <c r="V280" s="464"/>
      <c r="W280" s="464"/>
      <c r="X280" s="464"/>
    </row>
    <row r="281" spans="5:24" s="345" customFormat="1" ht="14" x14ac:dyDescent="0.3">
      <c r="F281" s="88"/>
      <c r="G281" s="56"/>
      <c r="H281" s="451"/>
      <c r="I281" s="451"/>
      <c r="J281" s="464"/>
      <c r="K281" s="464"/>
      <c r="L281" s="464"/>
      <c r="M281" s="464"/>
      <c r="N281" s="464"/>
      <c r="O281" s="464"/>
      <c r="P281" s="464"/>
      <c r="Q281" s="464"/>
      <c r="R281" s="464"/>
      <c r="S281" s="464"/>
      <c r="T281" s="464"/>
      <c r="U281" s="464"/>
      <c r="V281" s="464"/>
      <c r="W281" s="464"/>
      <c r="X281" s="464"/>
    </row>
    <row r="282" spans="5:24" s="345" customFormat="1" ht="14" x14ac:dyDescent="0.3">
      <c r="E282" s="1" t="s">
        <v>1663</v>
      </c>
      <c r="F282" s="88">
        <v>45655</v>
      </c>
      <c r="G282" s="56" t="s">
        <v>1660</v>
      </c>
      <c r="H282" s="451">
        <v>16</v>
      </c>
      <c r="I282" s="451"/>
      <c r="J282" s="464"/>
      <c r="K282" s="464"/>
      <c r="L282" s="464"/>
      <c r="M282" s="464"/>
      <c r="N282" s="464"/>
      <c r="O282" s="464"/>
      <c r="P282" s="464"/>
      <c r="Q282" s="464"/>
      <c r="R282" s="464"/>
      <c r="S282" s="464"/>
      <c r="T282" s="464"/>
      <c r="U282" s="464"/>
      <c r="V282" s="464"/>
      <c r="W282" s="464"/>
      <c r="X282" s="464"/>
    </row>
    <row r="283" spans="5:24" s="345" customFormat="1" ht="14" x14ac:dyDescent="0.3">
      <c r="E283" s="1" t="s">
        <v>1663</v>
      </c>
      <c r="F283" s="88">
        <v>45655</v>
      </c>
      <c r="G283" s="56" t="s">
        <v>1661</v>
      </c>
      <c r="H283" s="451"/>
      <c r="I283" s="451">
        <v>1</v>
      </c>
      <c r="J283" s="464"/>
      <c r="K283" s="464"/>
      <c r="L283" s="464"/>
      <c r="M283" s="464"/>
      <c r="N283" s="464"/>
      <c r="O283" s="464"/>
      <c r="P283" s="464"/>
      <c r="Q283" s="464"/>
      <c r="R283" s="464"/>
      <c r="S283" s="464"/>
      <c r="T283" s="464"/>
      <c r="U283" s="464"/>
      <c r="V283" s="464"/>
      <c r="W283" s="464"/>
      <c r="X283" s="464"/>
    </row>
    <row r="284" spans="5:24" s="345" customFormat="1" ht="14" x14ac:dyDescent="0.3">
      <c r="F284" s="88"/>
      <c r="G284" s="56"/>
      <c r="H284" s="451"/>
      <c r="I284" s="451"/>
      <c r="J284" s="464"/>
      <c r="K284" s="464"/>
      <c r="L284" s="464"/>
      <c r="M284" s="464"/>
      <c r="N284" s="464"/>
      <c r="O284" s="464"/>
      <c r="P284" s="464"/>
      <c r="Q284" s="464"/>
      <c r="R284" s="464"/>
      <c r="S284" s="464"/>
      <c r="T284" s="464"/>
      <c r="U284" s="464"/>
      <c r="V284" s="464"/>
      <c r="W284" s="464"/>
      <c r="X284" s="464"/>
    </row>
    <row r="285" spans="5:24" s="345" customFormat="1" ht="14" x14ac:dyDescent="0.3">
      <c r="F285" s="88"/>
      <c r="G285" s="56"/>
      <c r="H285" s="451"/>
      <c r="I285" s="451"/>
      <c r="J285" s="464"/>
      <c r="K285" s="464"/>
      <c r="L285" s="464"/>
      <c r="M285" s="464"/>
      <c r="N285" s="464"/>
      <c r="O285" s="464"/>
      <c r="P285" s="464"/>
      <c r="Q285" s="464"/>
      <c r="R285" s="464"/>
      <c r="S285" s="464"/>
      <c r="T285" s="464"/>
      <c r="U285" s="464"/>
      <c r="V285" s="464"/>
      <c r="W285" s="464"/>
      <c r="X285" s="464"/>
    </row>
    <row r="286" spans="5:24" s="345" customFormat="1" ht="14" x14ac:dyDescent="0.3">
      <c r="F286" s="88">
        <v>45656</v>
      </c>
      <c r="G286" s="56" t="s">
        <v>1644</v>
      </c>
      <c r="H286" s="451"/>
      <c r="I286" s="451"/>
      <c r="J286" s="464"/>
      <c r="K286" s="464"/>
      <c r="L286" s="464"/>
      <c r="M286" s="464"/>
      <c r="N286" s="464"/>
      <c r="O286" s="464">
        <v>5</v>
      </c>
      <c r="P286" s="464"/>
      <c r="Q286" s="464"/>
      <c r="R286" s="464"/>
      <c r="S286" s="464"/>
      <c r="T286" s="464"/>
      <c r="U286" s="464"/>
      <c r="V286" s="464"/>
      <c r="W286" s="464"/>
      <c r="X286" s="464"/>
    </row>
    <row r="287" spans="5:24" s="345" customFormat="1" ht="14" x14ac:dyDescent="0.3">
      <c r="F287" s="88">
        <v>45657</v>
      </c>
      <c r="G287" s="56" t="s">
        <v>1644</v>
      </c>
      <c r="H287" s="451"/>
      <c r="I287" s="451"/>
      <c r="J287" s="464"/>
      <c r="K287" s="464"/>
      <c r="L287" s="464"/>
      <c r="M287" s="464"/>
      <c r="N287" s="464"/>
      <c r="O287" s="464">
        <v>5</v>
      </c>
      <c r="P287" s="464"/>
      <c r="Q287" s="464"/>
      <c r="R287" s="464"/>
      <c r="S287" s="464"/>
      <c r="T287" s="464"/>
      <c r="U287" s="464"/>
      <c r="V287" s="464"/>
      <c r="W287" s="464"/>
      <c r="X287" s="464"/>
    </row>
    <row r="288" spans="5:24" s="345" customFormat="1" ht="14" x14ac:dyDescent="0.3">
      <c r="F288" s="88">
        <v>45657</v>
      </c>
      <c r="G288" s="56" t="s">
        <v>1647</v>
      </c>
      <c r="H288" s="451">
        <v>52</v>
      </c>
      <c r="I288" s="451"/>
      <c r="J288" s="464"/>
      <c r="K288" s="464"/>
      <c r="L288" s="464"/>
      <c r="M288" s="464"/>
      <c r="N288" s="464"/>
      <c r="O288" s="464"/>
      <c r="P288" s="464"/>
      <c r="Q288" s="464"/>
      <c r="R288" s="464"/>
      <c r="S288" s="464"/>
      <c r="T288" s="464"/>
      <c r="U288" s="464"/>
      <c r="V288" s="464"/>
      <c r="W288" s="464"/>
      <c r="X288" s="464"/>
    </row>
    <row r="289" spans="5:24" s="345" customFormat="1" ht="14" x14ac:dyDescent="0.3">
      <c r="F289" s="88"/>
      <c r="G289" s="56"/>
      <c r="H289" s="451"/>
      <c r="I289" s="451"/>
      <c r="J289" s="464"/>
      <c r="K289" s="464"/>
      <c r="L289" s="464"/>
      <c r="M289" s="464"/>
      <c r="N289" s="464"/>
      <c r="O289" s="464"/>
      <c r="P289" s="464"/>
      <c r="Q289" s="464"/>
      <c r="R289" s="464"/>
      <c r="S289" s="464"/>
      <c r="T289" s="464"/>
      <c r="U289" s="464"/>
      <c r="V289" s="464"/>
      <c r="W289" s="464"/>
      <c r="X289" s="464"/>
    </row>
    <row r="290" spans="5:24" s="345" customFormat="1" ht="14" x14ac:dyDescent="0.3">
      <c r="E290" s="345" t="s">
        <v>1646</v>
      </c>
      <c r="F290" s="157">
        <v>45659</v>
      </c>
      <c r="G290" s="411" t="s">
        <v>1397</v>
      </c>
      <c r="H290" s="451">
        <v>-57</v>
      </c>
      <c r="I290" s="451"/>
      <c r="J290" s="464"/>
      <c r="K290" s="464">
        <v>-198</v>
      </c>
      <c r="L290" s="464"/>
      <c r="M290" s="464">
        <v>-1</v>
      </c>
      <c r="N290" s="464"/>
      <c r="O290" s="464"/>
      <c r="P290" s="464"/>
      <c r="Q290" s="464"/>
      <c r="R290" s="464"/>
      <c r="S290" s="464"/>
      <c r="T290" s="464"/>
      <c r="U290" s="464"/>
      <c r="V290" s="464"/>
      <c r="W290" s="464"/>
      <c r="X290" s="464"/>
    </row>
    <row r="291" spans="5:24" s="345" customFormat="1" ht="14" x14ac:dyDescent="0.3">
      <c r="F291" s="88"/>
      <c r="G291" s="56"/>
      <c r="H291" s="451"/>
      <c r="I291" s="451"/>
      <c r="J291" s="464"/>
      <c r="K291" s="464"/>
      <c r="L291" s="464"/>
      <c r="M291" s="464"/>
      <c r="N291" s="464"/>
      <c r="O291" s="464"/>
      <c r="P291" s="464"/>
      <c r="Q291" s="464"/>
      <c r="R291" s="464"/>
      <c r="S291" s="464"/>
      <c r="T291" s="464"/>
      <c r="U291" s="464"/>
      <c r="V291" s="464"/>
      <c r="W291" s="464"/>
      <c r="X291" s="464"/>
    </row>
    <row r="292" spans="5:24" s="345" customFormat="1" ht="14" x14ac:dyDescent="0.3">
      <c r="F292" s="88"/>
      <c r="G292" s="411"/>
      <c r="H292" s="451"/>
      <c r="I292" s="451"/>
      <c r="J292" s="464"/>
      <c r="K292" s="464"/>
      <c r="L292" s="464"/>
      <c r="M292" s="464"/>
      <c r="N292" s="464"/>
      <c r="O292" s="464"/>
      <c r="P292" s="464"/>
      <c r="Q292" s="464"/>
      <c r="R292" s="464"/>
      <c r="S292" s="464"/>
      <c r="T292" s="464"/>
      <c r="U292" s="464"/>
      <c r="V292" s="464"/>
      <c r="W292" s="464"/>
      <c r="X292" s="464"/>
    </row>
    <row r="293" spans="5:24" s="345" customFormat="1" ht="14" x14ac:dyDescent="0.3">
      <c r="F293" s="88"/>
      <c r="G293" s="56"/>
      <c r="H293" s="451"/>
      <c r="I293" s="451"/>
      <c r="J293" s="464"/>
      <c r="K293" s="464"/>
      <c r="L293" s="464"/>
      <c r="M293" s="464"/>
      <c r="N293" s="464"/>
      <c r="O293" s="464"/>
      <c r="P293" s="464"/>
      <c r="Q293" s="464"/>
      <c r="R293" s="464"/>
      <c r="S293" s="464"/>
      <c r="T293" s="464"/>
      <c r="U293" s="464"/>
      <c r="V293" s="464"/>
      <c r="W293" s="464"/>
      <c r="X293" s="464"/>
    </row>
    <row r="294" spans="5:24" s="345" customFormat="1" ht="14" x14ac:dyDescent="0.3">
      <c r="F294" s="88"/>
      <c r="G294" s="56"/>
      <c r="H294" s="451"/>
      <c r="I294" s="451"/>
      <c r="J294" s="464"/>
      <c r="K294" s="464"/>
      <c r="L294" s="464"/>
      <c r="M294" s="464"/>
      <c r="N294" s="464"/>
      <c r="O294" s="464"/>
      <c r="P294" s="464"/>
      <c r="Q294" s="464"/>
      <c r="R294" s="464"/>
      <c r="S294" s="464"/>
      <c r="T294" s="464"/>
      <c r="U294" s="464"/>
      <c r="V294" s="464"/>
      <c r="W294" s="464"/>
      <c r="X294" s="464"/>
    </row>
    <row r="295" spans="5:24" s="345" customFormat="1" ht="14" x14ac:dyDescent="0.3">
      <c r="F295" s="88"/>
      <c r="G295" s="56"/>
      <c r="H295" s="451"/>
      <c r="I295" s="451"/>
      <c r="J295" s="464"/>
      <c r="K295" s="464"/>
      <c r="L295" s="464"/>
      <c r="M295" s="464"/>
      <c r="N295" s="464"/>
      <c r="O295" s="464"/>
      <c r="P295" s="464"/>
      <c r="Q295" s="464"/>
      <c r="R295" s="464"/>
      <c r="S295" s="464"/>
      <c r="T295" s="464"/>
      <c r="U295" s="464"/>
      <c r="V295" s="464"/>
      <c r="W295" s="464"/>
      <c r="X295" s="464"/>
    </row>
    <row r="296" spans="5:24" s="345" customFormat="1" ht="14" x14ac:dyDescent="0.3">
      <c r="F296" s="88"/>
      <c r="G296" s="56"/>
      <c r="H296" s="451"/>
      <c r="I296" s="451"/>
      <c r="J296" s="464"/>
      <c r="K296" s="464"/>
      <c r="L296" s="464"/>
      <c r="M296" s="464"/>
      <c r="N296" s="464"/>
      <c r="O296" s="464"/>
      <c r="P296" s="464"/>
      <c r="Q296" s="464"/>
      <c r="R296" s="464"/>
      <c r="S296" s="464"/>
      <c r="T296" s="464"/>
      <c r="U296" s="464"/>
      <c r="V296" s="464"/>
      <c r="W296" s="464"/>
      <c r="X296" s="464"/>
    </row>
    <row r="297" spans="5:24" s="345" customFormat="1" ht="14" x14ac:dyDescent="0.3">
      <c r="F297" s="88"/>
      <c r="G297" s="56"/>
      <c r="H297" s="451"/>
      <c r="I297" s="451"/>
      <c r="J297" s="464"/>
      <c r="K297" s="464"/>
      <c r="L297" s="464"/>
      <c r="M297" s="464"/>
      <c r="N297" s="464"/>
      <c r="O297" s="464"/>
      <c r="P297" s="464"/>
      <c r="Q297" s="464"/>
      <c r="R297" s="464"/>
      <c r="S297" s="464"/>
      <c r="T297" s="464"/>
      <c r="U297" s="464"/>
      <c r="V297" s="464"/>
      <c r="W297" s="464"/>
      <c r="X297" s="464"/>
    </row>
    <row r="298" spans="5:24" ht="14" x14ac:dyDescent="0.3">
      <c r="F298" s="157"/>
      <c r="G298" s="411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 spans="5:24" ht="15" x14ac:dyDescent="0.3">
      <c r="F299" s="113"/>
      <c r="G299" s="416" t="s">
        <v>1399</v>
      </c>
      <c r="H299" s="416">
        <f t="shared" ref="H299:Q299" si="6">SUM(H188:H298)</f>
        <v>57</v>
      </c>
      <c r="I299" s="416">
        <f t="shared" si="6"/>
        <v>110</v>
      </c>
      <c r="J299" s="416">
        <f t="shared" si="6"/>
        <v>1</v>
      </c>
      <c r="K299" s="416">
        <f t="shared" si="6"/>
        <v>238</v>
      </c>
      <c r="L299" s="416">
        <f t="shared" si="6"/>
        <v>40</v>
      </c>
      <c r="M299" s="416">
        <f t="shared" si="6"/>
        <v>0</v>
      </c>
      <c r="N299" s="416">
        <f t="shared" si="6"/>
        <v>1</v>
      </c>
      <c r="O299" s="416">
        <f t="shared" si="6"/>
        <v>10</v>
      </c>
      <c r="P299" s="416">
        <f t="shared" si="6"/>
        <v>2</v>
      </c>
      <c r="Q299" s="416">
        <f t="shared" si="6"/>
        <v>5</v>
      </c>
      <c r="R299" s="416">
        <f t="shared" ref="R299:X299" si="7">SUM(R187:R298)</f>
        <v>4</v>
      </c>
      <c r="S299" s="416">
        <f t="shared" si="7"/>
        <v>2</v>
      </c>
      <c r="T299" s="416">
        <f t="shared" si="7"/>
        <v>2</v>
      </c>
      <c r="U299" s="416">
        <f t="shared" si="7"/>
        <v>2</v>
      </c>
      <c r="V299" s="416">
        <f t="shared" si="7"/>
        <v>2</v>
      </c>
      <c r="W299" s="416">
        <f t="shared" si="7"/>
        <v>22</v>
      </c>
      <c r="X299" s="416">
        <f t="shared" si="7"/>
        <v>2</v>
      </c>
    </row>
    <row r="301" spans="5:24" x14ac:dyDescent="0.3">
      <c r="K301" s="1"/>
    </row>
    <row r="303" spans="5:24" x14ac:dyDescent="0.3">
      <c r="G303" s="161" t="s">
        <v>1507</v>
      </c>
      <c r="H303" s="113"/>
      <c r="J303" s="180">
        <v>45652</v>
      </c>
    </row>
    <row r="304" spans="5:24" x14ac:dyDescent="0.3">
      <c r="G304" s="16" t="s">
        <v>1264</v>
      </c>
      <c r="H304" s="26">
        <f>H299</f>
        <v>57</v>
      </c>
      <c r="I304" s="1"/>
      <c r="J304">
        <v>43</v>
      </c>
      <c r="K304" s="1" t="s">
        <v>307</v>
      </c>
    </row>
    <row r="305" spans="6:24" x14ac:dyDescent="0.3">
      <c r="G305" s="16" t="s">
        <v>1263</v>
      </c>
      <c r="H305" s="26">
        <f>I299</f>
        <v>110</v>
      </c>
      <c r="I305" s="1"/>
      <c r="J305">
        <v>100</v>
      </c>
      <c r="K305" s="1" t="s">
        <v>307</v>
      </c>
    </row>
    <row r="306" spans="6:24" x14ac:dyDescent="0.3">
      <c r="G306" s="16" t="s">
        <v>1500</v>
      </c>
      <c r="H306" s="26">
        <f>J299</f>
        <v>1</v>
      </c>
      <c r="I306" s="1"/>
      <c r="J306">
        <v>1</v>
      </c>
      <c r="K306" s="1" t="s">
        <v>307</v>
      </c>
    </row>
    <row r="307" spans="6:24" x14ac:dyDescent="0.3">
      <c r="G307" s="16" t="s">
        <v>1218</v>
      </c>
      <c r="H307" s="26">
        <f>K299</f>
        <v>238</v>
      </c>
      <c r="I307" s="1"/>
      <c r="J307">
        <v>218</v>
      </c>
      <c r="K307" s="1" t="s">
        <v>307</v>
      </c>
    </row>
    <row r="308" spans="6:24" x14ac:dyDescent="0.3">
      <c r="G308" s="16" t="s">
        <v>1501</v>
      </c>
      <c r="H308" s="26">
        <f>L299</f>
        <v>40</v>
      </c>
    </row>
    <row r="309" spans="6:24" x14ac:dyDescent="0.3">
      <c r="G309" s="16" t="s">
        <v>1502</v>
      </c>
      <c r="H309" s="26">
        <f>M299</f>
        <v>0</v>
      </c>
      <c r="I309" s="1"/>
      <c r="J309">
        <v>1</v>
      </c>
      <c r="K309" s="1" t="s">
        <v>307</v>
      </c>
    </row>
    <row r="310" spans="6:24" x14ac:dyDescent="0.3">
      <c r="G310" s="16" t="s">
        <v>1503</v>
      </c>
      <c r="H310" s="26">
        <f>N299</f>
        <v>1</v>
      </c>
      <c r="I310" s="1"/>
      <c r="J310">
        <v>1</v>
      </c>
      <c r="K310" s="1" t="s">
        <v>307</v>
      </c>
    </row>
    <row r="311" spans="6:24" x14ac:dyDescent="0.3">
      <c r="G311" s="16" t="s">
        <v>1504</v>
      </c>
      <c r="H311" s="26">
        <f>O299</f>
        <v>10</v>
      </c>
    </row>
    <row r="312" spans="6:24" x14ac:dyDescent="0.3">
      <c r="G312" s="16" t="s">
        <v>1506</v>
      </c>
      <c r="H312" s="26">
        <f>P299</f>
        <v>2</v>
      </c>
    </row>
    <row r="313" spans="6:24" x14ac:dyDescent="0.3">
      <c r="G313" s="113" t="s">
        <v>1505</v>
      </c>
      <c r="H313" s="26">
        <f>Q299</f>
        <v>5</v>
      </c>
    </row>
    <row r="314" spans="6:24" x14ac:dyDescent="0.3">
      <c r="G314" s="16" t="s">
        <v>1499</v>
      </c>
      <c r="H314" s="26">
        <f>R299</f>
        <v>4</v>
      </c>
    </row>
    <row r="316" spans="6:24" s="214" customFormat="1" x14ac:dyDescent="0.3">
      <c r="P316" s="351"/>
      <c r="Q316" s="351"/>
    </row>
    <row r="318" spans="6:24" x14ac:dyDescent="0.3">
      <c r="F318" s="161" t="s">
        <v>0</v>
      </c>
      <c r="G318" s="161" t="s">
        <v>5</v>
      </c>
      <c r="H318" s="161" t="s">
        <v>792</v>
      </c>
      <c r="I318" s="161" t="s">
        <v>808</v>
      </c>
      <c r="J318" s="161" t="s">
        <v>1231</v>
      </c>
      <c r="K318" s="433" t="s">
        <v>1218</v>
      </c>
      <c r="L318" s="433" t="s">
        <v>1433</v>
      </c>
      <c r="M318" s="161" t="s">
        <v>1434</v>
      </c>
      <c r="N318" s="433" t="s">
        <v>1435</v>
      </c>
      <c r="O318" s="433" t="s">
        <v>1648</v>
      </c>
      <c r="P318" s="161" t="s">
        <v>1649</v>
      </c>
      <c r="Q318" s="161" t="s">
        <v>1650</v>
      </c>
      <c r="R318" s="161" t="s">
        <v>1651</v>
      </c>
      <c r="S318" s="161" t="s">
        <v>1652</v>
      </c>
      <c r="T318" s="161" t="s">
        <v>1653</v>
      </c>
      <c r="U318" s="161" t="s">
        <v>1654</v>
      </c>
      <c r="V318" s="161" t="s">
        <v>1655</v>
      </c>
      <c r="W318" s="161" t="s">
        <v>1656</v>
      </c>
      <c r="X318" s="161" t="s">
        <v>1657</v>
      </c>
    </row>
    <row r="319" spans="6:24" x14ac:dyDescent="0.3"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26"/>
      <c r="Q319" s="26"/>
      <c r="R319" s="26"/>
      <c r="S319" s="26"/>
      <c r="T319" s="26"/>
      <c r="U319" s="26"/>
      <c r="V319" s="26"/>
      <c r="W319" s="26"/>
      <c r="X319" s="26"/>
    </row>
    <row r="320" spans="6:24" ht="14" x14ac:dyDescent="0.3">
      <c r="F320" s="88"/>
      <c r="G320" s="56"/>
      <c r="H320" s="451"/>
      <c r="I320" s="451"/>
      <c r="J320" s="464"/>
      <c r="K320" s="464"/>
      <c r="L320" s="464"/>
      <c r="M320" s="464"/>
      <c r="N320" s="464"/>
      <c r="O320" s="464"/>
      <c r="P320" s="464"/>
      <c r="Q320" s="464"/>
      <c r="R320" s="464"/>
      <c r="S320" s="464"/>
      <c r="T320" s="464"/>
      <c r="U320" s="464"/>
      <c r="V320" s="464"/>
      <c r="W320" s="464"/>
      <c r="X320" s="464"/>
    </row>
    <row r="321" spans="5:24" ht="14" x14ac:dyDescent="0.3">
      <c r="F321" s="157"/>
      <c r="G321" s="411"/>
      <c r="H321" s="451"/>
      <c r="I321" s="451"/>
      <c r="J321" s="464"/>
      <c r="K321" s="464"/>
      <c r="L321" s="464"/>
      <c r="M321" s="464"/>
      <c r="N321" s="464"/>
      <c r="O321" s="464"/>
      <c r="P321" s="464"/>
      <c r="Q321" s="464"/>
      <c r="R321" s="464"/>
      <c r="S321" s="464"/>
      <c r="T321" s="464"/>
      <c r="U321" s="464"/>
      <c r="V321" s="464"/>
      <c r="W321" s="464"/>
      <c r="X321" s="464"/>
    </row>
    <row r="322" spans="5:24" ht="14" x14ac:dyDescent="0.3">
      <c r="F322" s="88"/>
      <c r="G322" s="56" t="s">
        <v>1658</v>
      </c>
      <c r="H322" s="451">
        <f t="shared" ref="H322:X322" si="8">H299</f>
        <v>57</v>
      </c>
      <c r="I322" s="451">
        <f t="shared" si="8"/>
        <v>110</v>
      </c>
      <c r="J322" s="464">
        <f t="shared" si="8"/>
        <v>1</v>
      </c>
      <c r="K322" s="464">
        <f t="shared" si="8"/>
        <v>238</v>
      </c>
      <c r="L322" s="464">
        <f t="shared" si="8"/>
        <v>40</v>
      </c>
      <c r="M322" s="464">
        <f t="shared" si="8"/>
        <v>0</v>
      </c>
      <c r="N322" s="464">
        <f t="shared" si="8"/>
        <v>1</v>
      </c>
      <c r="O322" s="464">
        <f t="shared" si="8"/>
        <v>10</v>
      </c>
      <c r="P322" s="464">
        <f t="shared" si="8"/>
        <v>2</v>
      </c>
      <c r="Q322" s="464">
        <f t="shared" si="8"/>
        <v>5</v>
      </c>
      <c r="R322" s="464">
        <f t="shared" si="8"/>
        <v>4</v>
      </c>
      <c r="S322" s="464">
        <f t="shared" si="8"/>
        <v>2</v>
      </c>
      <c r="T322" s="464">
        <f t="shared" si="8"/>
        <v>2</v>
      </c>
      <c r="U322" s="464">
        <f t="shared" si="8"/>
        <v>2</v>
      </c>
      <c r="V322" s="464">
        <f t="shared" si="8"/>
        <v>2</v>
      </c>
      <c r="W322" s="464">
        <f t="shared" si="8"/>
        <v>22</v>
      </c>
      <c r="X322" s="464">
        <f t="shared" si="8"/>
        <v>2</v>
      </c>
    </row>
    <row r="323" spans="5:24" ht="14" x14ac:dyDescent="0.3">
      <c r="F323" s="88"/>
      <c r="G323" s="411"/>
      <c r="H323" s="451"/>
      <c r="I323" s="451"/>
      <c r="J323" s="464"/>
      <c r="K323" s="464"/>
      <c r="L323" s="464"/>
      <c r="M323" s="464"/>
      <c r="N323" s="464"/>
      <c r="O323" s="464"/>
      <c r="P323" s="464"/>
      <c r="Q323" s="464"/>
      <c r="R323" s="464"/>
      <c r="S323" s="464"/>
      <c r="T323" s="464"/>
      <c r="U323" s="464"/>
      <c r="V323" s="464"/>
      <c r="W323" s="464"/>
      <c r="X323" s="464"/>
    </row>
    <row r="324" spans="5:24" ht="14" x14ac:dyDescent="0.3">
      <c r="E324" t="s">
        <v>1659</v>
      </c>
      <c r="F324" s="88">
        <v>45663</v>
      </c>
      <c r="G324" s="411" t="s">
        <v>1397</v>
      </c>
      <c r="H324" s="451">
        <f>-52-5</f>
        <v>-57</v>
      </c>
      <c r="I324" s="451">
        <v>-9</v>
      </c>
      <c r="J324" s="464"/>
      <c r="K324" s="464">
        <v>-45</v>
      </c>
      <c r="L324" s="464">
        <v>-30</v>
      </c>
      <c r="M324" s="464"/>
      <c r="N324" s="464"/>
      <c r="O324" s="464">
        <v>-10</v>
      </c>
      <c r="P324" s="464">
        <v>-2</v>
      </c>
      <c r="Q324" s="464">
        <v>-5</v>
      </c>
      <c r="R324" s="464"/>
      <c r="S324" s="464">
        <v>-2</v>
      </c>
      <c r="T324" s="464">
        <v>-2</v>
      </c>
      <c r="U324" s="464">
        <v>-2</v>
      </c>
      <c r="V324" s="464">
        <v>-2</v>
      </c>
      <c r="W324" s="464">
        <v>-11</v>
      </c>
      <c r="X324" s="464">
        <v>-2</v>
      </c>
    </row>
    <row r="325" spans="5:24" ht="14" x14ac:dyDescent="0.3">
      <c r="F325" s="88"/>
      <c r="G325" s="56"/>
      <c r="H325" s="451"/>
      <c r="I325" s="451"/>
      <c r="J325" s="464"/>
      <c r="K325" s="464"/>
      <c r="L325" s="464"/>
      <c r="M325" s="464"/>
      <c r="N325" s="464"/>
      <c r="O325" s="464"/>
      <c r="P325" s="464"/>
      <c r="Q325" s="464"/>
      <c r="R325" s="464"/>
      <c r="S325" s="464"/>
      <c r="T325" s="464"/>
      <c r="U325" s="464"/>
      <c r="V325" s="464"/>
      <c r="W325" s="464"/>
      <c r="X325" s="464"/>
    </row>
    <row r="326" spans="5:24" ht="14" x14ac:dyDescent="0.3">
      <c r="F326" s="88"/>
      <c r="G326" s="56"/>
      <c r="H326" s="451"/>
      <c r="I326" s="451"/>
      <c r="J326" s="464"/>
      <c r="K326" s="464"/>
      <c r="L326" s="464"/>
      <c r="M326" s="464"/>
      <c r="N326" s="464"/>
      <c r="O326" s="464"/>
      <c r="P326" s="464"/>
      <c r="Q326" s="464"/>
      <c r="R326" s="464"/>
      <c r="S326" s="464"/>
      <c r="T326" s="464"/>
      <c r="U326" s="464"/>
      <c r="V326" s="464"/>
      <c r="W326" s="464"/>
      <c r="X326" s="464"/>
    </row>
    <row r="327" spans="5:24" ht="14" x14ac:dyDescent="0.3">
      <c r="F327" s="88"/>
      <c r="G327" s="56"/>
      <c r="H327" s="451"/>
      <c r="I327" s="451"/>
      <c r="J327" s="464"/>
      <c r="K327" s="464"/>
      <c r="L327" s="464"/>
      <c r="M327" s="464"/>
      <c r="N327" s="464"/>
      <c r="O327" s="464"/>
      <c r="P327" s="464"/>
      <c r="Q327" s="464"/>
      <c r="R327" s="464"/>
      <c r="S327" s="464"/>
      <c r="T327" s="464"/>
      <c r="U327" s="464"/>
      <c r="V327" s="464"/>
      <c r="W327" s="464"/>
      <c r="X327" s="464"/>
    </row>
    <row r="328" spans="5:24" ht="14" x14ac:dyDescent="0.3">
      <c r="F328" s="88"/>
      <c r="G328" s="56"/>
      <c r="H328" s="451"/>
      <c r="I328" s="451"/>
      <c r="J328" s="464"/>
      <c r="K328" s="464"/>
      <c r="L328" s="464"/>
      <c r="M328" s="464"/>
      <c r="N328" s="464"/>
      <c r="O328" s="464"/>
      <c r="P328" s="464"/>
      <c r="Q328" s="464"/>
      <c r="R328" s="464"/>
      <c r="S328" s="464"/>
      <c r="T328" s="464"/>
      <c r="U328" s="464"/>
      <c r="V328" s="464"/>
      <c r="W328" s="464"/>
      <c r="X328" s="464"/>
    </row>
    <row r="329" spans="5:24" ht="14" x14ac:dyDescent="0.3">
      <c r="F329" s="157"/>
      <c r="G329" s="411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 spans="5:24" ht="15" x14ac:dyDescent="0.3">
      <c r="F330" s="113"/>
      <c r="G330" s="416" t="s">
        <v>1399</v>
      </c>
      <c r="H330" s="416">
        <f t="shared" ref="H330:Q330" si="9">SUM(H320:H329)</f>
        <v>0</v>
      </c>
      <c r="I330" s="416">
        <f t="shared" si="9"/>
        <v>101</v>
      </c>
      <c r="J330" s="416">
        <f t="shared" si="9"/>
        <v>1</v>
      </c>
      <c r="K330" s="416">
        <f t="shared" si="9"/>
        <v>193</v>
      </c>
      <c r="L330" s="416">
        <f t="shared" si="9"/>
        <v>10</v>
      </c>
      <c r="M330" s="416">
        <f t="shared" si="9"/>
        <v>0</v>
      </c>
      <c r="N330" s="416">
        <f t="shared" si="9"/>
        <v>1</v>
      </c>
      <c r="O330" s="416">
        <f t="shared" si="9"/>
        <v>0</v>
      </c>
      <c r="P330" s="416">
        <f t="shared" si="9"/>
        <v>0</v>
      </c>
      <c r="Q330" s="416">
        <f t="shared" si="9"/>
        <v>0</v>
      </c>
      <c r="R330" s="416">
        <f t="shared" ref="R330:X330" si="10">SUM(R319:R329)</f>
        <v>4</v>
      </c>
      <c r="S330" s="416">
        <f t="shared" si="10"/>
        <v>0</v>
      </c>
      <c r="T330" s="416">
        <f t="shared" si="10"/>
        <v>0</v>
      </c>
      <c r="U330" s="416">
        <f t="shared" si="10"/>
        <v>0</v>
      </c>
      <c r="V330" s="416">
        <f t="shared" si="10"/>
        <v>0</v>
      </c>
      <c r="W330" s="416">
        <f t="shared" si="10"/>
        <v>11</v>
      </c>
      <c r="X330" s="416">
        <f t="shared" si="10"/>
        <v>0</v>
      </c>
    </row>
    <row r="332" spans="5:24" x14ac:dyDescent="0.3">
      <c r="K332" s="1"/>
    </row>
    <row r="334" spans="5:24" x14ac:dyDescent="0.3">
      <c r="G334" s="161" t="s">
        <v>1507</v>
      </c>
      <c r="H334" s="113"/>
      <c r="J334" s="180"/>
    </row>
    <row r="335" spans="5:24" x14ac:dyDescent="0.3">
      <c r="G335" s="433" t="s">
        <v>792</v>
      </c>
      <c r="H335" s="412">
        <f>H330</f>
        <v>0</v>
      </c>
      <c r="I335" s="1"/>
      <c r="K335" s="1"/>
    </row>
    <row r="336" spans="5:24" x14ac:dyDescent="0.3">
      <c r="G336" s="433" t="s">
        <v>808</v>
      </c>
      <c r="H336" s="412">
        <f>I330</f>
        <v>101</v>
      </c>
      <c r="I336" s="1"/>
      <c r="K336" s="1"/>
    </row>
    <row r="337" spans="7:11" x14ac:dyDescent="0.3">
      <c r="G337" s="433" t="s">
        <v>1231</v>
      </c>
      <c r="H337" s="412">
        <f>J330</f>
        <v>1</v>
      </c>
      <c r="I337" s="1"/>
      <c r="K337" s="1"/>
    </row>
    <row r="338" spans="7:11" x14ac:dyDescent="0.3">
      <c r="G338" s="433" t="s">
        <v>1218</v>
      </c>
      <c r="H338" s="412">
        <f>K330</f>
        <v>193</v>
      </c>
      <c r="I338" s="1"/>
      <c r="K338" s="1"/>
    </row>
    <row r="339" spans="7:11" x14ac:dyDescent="0.3">
      <c r="G339" s="433" t="s">
        <v>1433</v>
      </c>
      <c r="H339" s="412">
        <f>L330</f>
        <v>10</v>
      </c>
    </row>
    <row r="340" spans="7:11" x14ac:dyDescent="0.3">
      <c r="G340" s="433" t="s">
        <v>1434</v>
      </c>
      <c r="H340" s="412">
        <f>M330</f>
        <v>0</v>
      </c>
      <c r="I340" s="1"/>
      <c r="K340" s="1"/>
    </row>
    <row r="341" spans="7:11" x14ac:dyDescent="0.3">
      <c r="G341" s="433" t="s">
        <v>1435</v>
      </c>
      <c r="H341" s="412">
        <f>N330</f>
        <v>1</v>
      </c>
      <c r="I341" s="1"/>
      <c r="K341" s="1"/>
    </row>
    <row r="342" spans="7:11" x14ac:dyDescent="0.3">
      <c r="G342" s="433" t="s">
        <v>1648</v>
      </c>
      <c r="H342" s="412">
        <f>O330</f>
        <v>0</v>
      </c>
    </row>
    <row r="343" spans="7:11" x14ac:dyDescent="0.3">
      <c r="G343" s="433" t="s">
        <v>1649</v>
      </c>
      <c r="H343" s="412">
        <f>P330</f>
        <v>0</v>
      </c>
    </row>
    <row r="344" spans="7:11" x14ac:dyDescent="0.3">
      <c r="G344" s="433" t="s">
        <v>1650</v>
      </c>
      <c r="H344" s="412">
        <f>Q330</f>
        <v>0</v>
      </c>
    </row>
    <row r="345" spans="7:11" x14ac:dyDescent="0.3">
      <c r="G345" s="433" t="s">
        <v>1651</v>
      </c>
      <c r="H345" s="412">
        <f>R330</f>
        <v>4</v>
      </c>
    </row>
    <row r="346" spans="7:11" x14ac:dyDescent="0.3">
      <c r="G346" s="433" t="s">
        <v>1652</v>
      </c>
      <c r="H346" s="412">
        <f>S330</f>
        <v>0</v>
      </c>
    </row>
    <row r="347" spans="7:11" x14ac:dyDescent="0.3">
      <c r="G347" s="433" t="s">
        <v>1653</v>
      </c>
      <c r="H347" s="412">
        <f>T330</f>
        <v>0</v>
      </c>
    </row>
    <row r="348" spans="7:11" x14ac:dyDescent="0.3">
      <c r="G348" s="433" t="s">
        <v>1654</v>
      </c>
      <c r="H348" s="412">
        <f>U330</f>
        <v>0</v>
      </c>
    </row>
    <row r="349" spans="7:11" x14ac:dyDescent="0.3">
      <c r="G349" s="433" t="s">
        <v>1655</v>
      </c>
      <c r="H349" s="412">
        <f>V330</f>
        <v>0</v>
      </c>
    </row>
    <row r="350" spans="7:11" x14ac:dyDescent="0.3">
      <c r="G350" s="433" t="s">
        <v>1656</v>
      </c>
      <c r="H350" s="412">
        <f>W330</f>
        <v>11</v>
      </c>
    </row>
    <row r="351" spans="7:11" x14ac:dyDescent="0.3">
      <c r="G351" s="433" t="s">
        <v>1657</v>
      </c>
      <c r="H351" s="412">
        <f>X330</f>
        <v>0</v>
      </c>
    </row>
  </sheetData>
  <pageMargins left="0.70866141732283472" right="0.70866141732283472" top="0.74803149606299213" bottom="0.74803149606299213" header="0.31496062992125984" footer="0.31496062992125984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W34"/>
  <sheetViews>
    <sheetView topLeftCell="J1" workbookViewId="0">
      <selection activeCell="O46" sqref="O46"/>
    </sheetView>
  </sheetViews>
  <sheetFormatPr defaultRowHeight="13" x14ac:dyDescent="0.3"/>
  <cols>
    <col min="3" max="3" width="27.296875" bestFit="1" customWidth="1"/>
    <col min="4" max="4" width="10.8984375" bestFit="1" customWidth="1"/>
    <col min="5" max="5" width="66.796875" customWidth="1"/>
    <col min="8" max="8" width="14" bestFit="1" customWidth="1"/>
    <col min="14" max="14" width="7.59765625" customWidth="1"/>
    <col min="15" max="15" width="58.59765625" bestFit="1" customWidth="1"/>
    <col min="20" max="20" width="10.796875" customWidth="1"/>
    <col min="21" max="21" width="9.09765625" bestFit="1" customWidth="1"/>
    <col min="22" max="22" width="11.296875" bestFit="1" customWidth="1"/>
    <col min="23" max="23" width="11.8984375" bestFit="1" customWidth="1"/>
  </cols>
  <sheetData>
    <row r="3" spans="3:23" x14ac:dyDescent="0.3">
      <c r="E3" s="429" t="s">
        <v>1589</v>
      </c>
    </row>
    <row r="4" spans="3:23" x14ac:dyDescent="0.3">
      <c r="D4" s="161" t="s">
        <v>0</v>
      </c>
      <c r="E4" s="161" t="s">
        <v>5</v>
      </c>
      <c r="F4" s="161" t="s">
        <v>792</v>
      </c>
      <c r="G4" s="161" t="s">
        <v>808</v>
      </c>
      <c r="H4" s="161" t="s">
        <v>1656</v>
      </c>
      <c r="I4" s="433" t="s">
        <v>1218</v>
      </c>
      <c r="J4" s="433" t="s">
        <v>1433</v>
      </c>
      <c r="K4" s="161" t="s">
        <v>1651</v>
      </c>
      <c r="L4" s="161"/>
    </row>
    <row r="5" spans="3:23" x14ac:dyDescent="0.3">
      <c r="D5" s="113"/>
      <c r="E5" s="113"/>
      <c r="F5" s="113"/>
      <c r="G5" s="113"/>
      <c r="H5" s="113"/>
      <c r="I5" s="113"/>
      <c r="J5" s="113"/>
      <c r="K5" s="113"/>
      <c r="L5" s="113"/>
    </row>
    <row r="6" spans="3:23" x14ac:dyDescent="0.3">
      <c r="D6" s="113"/>
      <c r="E6" s="113"/>
      <c r="F6" s="26"/>
      <c r="G6" s="26"/>
      <c r="H6" s="26"/>
      <c r="I6" s="26"/>
      <c r="J6" s="26"/>
      <c r="K6" s="26"/>
      <c r="L6" s="26"/>
    </row>
    <row r="7" spans="3:23" x14ac:dyDescent="0.3">
      <c r="D7" s="157"/>
      <c r="E7" s="16"/>
      <c r="F7" s="26"/>
      <c r="G7" s="26"/>
      <c r="H7" s="26"/>
      <c r="I7" s="26"/>
      <c r="J7" s="26"/>
      <c r="K7" s="26"/>
      <c r="L7" s="26"/>
    </row>
    <row r="8" spans="3:23" ht="14" x14ac:dyDescent="0.3">
      <c r="C8" t="s">
        <v>307</v>
      </c>
      <c r="D8" s="88">
        <v>45612</v>
      </c>
      <c r="E8" s="56" t="s">
        <v>1491</v>
      </c>
      <c r="F8" s="26"/>
      <c r="G8" s="26"/>
      <c r="H8" s="26"/>
      <c r="I8" s="26">
        <f>30-27</f>
        <v>3</v>
      </c>
      <c r="J8" s="26"/>
      <c r="K8" s="26"/>
      <c r="L8" s="26"/>
    </row>
    <row r="9" spans="3:23" ht="14" x14ac:dyDescent="0.3">
      <c r="D9" s="88"/>
      <c r="E9" s="56"/>
      <c r="F9" s="26"/>
      <c r="G9" s="26"/>
      <c r="H9" s="26"/>
      <c r="I9" s="26"/>
      <c r="J9" s="26"/>
      <c r="K9" s="26"/>
      <c r="L9" s="26"/>
    </row>
    <row r="10" spans="3:23" x14ac:dyDescent="0.3">
      <c r="D10" s="113"/>
      <c r="E10" s="113"/>
      <c r="F10" s="26"/>
      <c r="G10" s="26"/>
      <c r="H10" s="26"/>
      <c r="I10" s="26"/>
      <c r="J10" s="26"/>
      <c r="K10" s="26"/>
      <c r="L10" s="26"/>
    </row>
    <row r="11" spans="3:23" ht="14" x14ac:dyDescent="0.3">
      <c r="C11" t="s">
        <v>307</v>
      </c>
      <c r="D11" s="88">
        <v>45617</v>
      </c>
      <c r="E11" s="56" t="s">
        <v>1521</v>
      </c>
      <c r="F11" s="26"/>
      <c r="G11" s="26">
        <v>1</v>
      </c>
      <c r="H11" s="26"/>
      <c r="I11" s="26"/>
      <c r="J11" s="26"/>
      <c r="K11" s="26"/>
      <c r="L11" s="26"/>
    </row>
    <row r="12" spans="3:23" ht="14" x14ac:dyDescent="0.3">
      <c r="C12" t="s">
        <v>307</v>
      </c>
      <c r="D12" s="88"/>
      <c r="E12" s="56"/>
      <c r="F12" s="26"/>
      <c r="G12" s="26"/>
      <c r="H12" s="26"/>
      <c r="I12" s="26"/>
      <c r="J12" s="26"/>
      <c r="K12" s="26"/>
      <c r="L12" s="26"/>
    </row>
    <row r="13" spans="3:23" ht="15" x14ac:dyDescent="0.3">
      <c r="D13" s="88"/>
      <c r="E13" s="56"/>
      <c r="F13" s="26"/>
      <c r="G13" s="26"/>
      <c r="H13" s="26"/>
      <c r="I13" s="26"/>
      <c r="J13" s="26"/>
      <c r="K13" s="26"/>
      <c r="L13" s="26"/>
      <c r="O13" s="416" t="s">
        <v>5</v>
      </c>
      <c r="P13" s="416"/>
      <c r="Q13" s="416" t="s">
        <v>1365</v>
      </c>
      <c r="R13" s="416" t="s">
        <v>1699</v>
      </c>
      <c r="S13" s="416" t="s">
        <v>1700</v>
      </c>
      <c r="T13" s="416" t="s">
        <v>1694</v>
      </c>
      <c r="U13" s="416" t="s">
        <v>4</v>
      </c>
      <c r="V13" s="416" t="s">
        <v>1695</v>
      </c>
      <c r="W13" s="416" t="s">
        <v>57</v>
      </c>
    </row>
    <row r="14" spans="3:23" ht="14" x14ac:dyDescent="0.3">
      <c r="D14" s="88">
        <v>45638</v>
      </c>
      <c r="E14" s="56" t="s">
        <v>1687</v>
      </c>
      <c r="F14" s="26"/>
      <c r="G14" s="26">
        <v>100</v>
      </c>
      <c r="H14" s="26"/>
      <c r="I14" s="26"/>
      <c r="J14" s="26"/>
      <c r="K14" s="26"/>
      <c r="L14" s="26"/>
      <c r="O14" s="56" t="s">
        <v>1696</v>
      </c>
      <c r="P14" s="113"/>
      <c r="Q14" s="160">
        <v>100</v>
      </c>
      <c r="R14" s="26">
        <v>649</v>
      </c>
      <c r="S14" s="26">
        <f>Q14*R14</f>
        <v>64900</v>
      </c>
      <c r="T14" s="26">
        <v>-5000</v>
      </c>
      <c r="U14" s="26">
        <f>S14+T14</f>
        <v>59900</v>
      </c>
      <c r="V14" s="26">
        <v>2.19</v>
      </c>
      <c r="W14" s="26">
        <f>U14*V14</f>
        <v>131181</v>
      </c>
    </row>
    <row r="15" spans="3:23" ht="14" x14ac:dyDescent="0.3">
      <c r="D15" s="88"/>
      <c r="E15" s="56"/>
      <c r="F15" s="26"/>
      <c r="G15" s="26"/>
      <c r="H15" s="26"/>
      <c r="I15" s="26"/>
      <c r="J15" s="26"/>
      <c r="K15" s="26"/>
      <c r="L15" s="26"/>
      <c r="O15" s="56"/>
      <c r="P15" s="113"/>
      <c r="Q15" s="26"/>
      <c r="R15" s="26"/>
      <c r="S15" s="26"/>
      <c r="T15" s="26"/>
      <c r="U15" s="26"/>
      <c r="V15" s="26"/>
      <c r="W15" s="26"/>
    </row>
    <row r="16" spans="3:23" ht="14" x14ac:dyDescent="0.3">
      <c r="C16" t="s">
        <v>1688</v>
      </c>
      <c r="D16" s="88">
        <v>45644</v>
      </c>
      <c r="E16" s="56" t="s">
        <v>1605</v>
      </c>
      <c r="F16" s="26"/>
      <c r="G16" s="26"/>
      <c r="H16" s="26"/>
      <c r="I16" s="26">
        <f>60-28</f>
        <v>32</v>
      </c>
      <c r="J16" s="26"/>
      <c r="K16" s="26"/>
      <c r="L16" s="26"/>
      <c r="O16" s="56" t="s">
        <v>1697</v>
      </c>
      <c r="P16" s="113"/>
      <c r="Q16" s="26">
        <v>32</v>
      </c>
      <c r="R16" s="26">
        <v>132</v>
      </c>
      <c r="S16" s="26">
        <f>Q16*R16</f>
        <v>4224</v>
      </c>
      <c r="T16" s="26">
        <v>0</v>
      </c>
      <c r="U16" s="26">
        <f>S16+T16</f>
        <v>4224</v>
      </c>
      <c r="V16" s="26">
        <v>2.375</v>
      </c>
      <c r="W16" s="26">
        <f>U16*V16</f>
        <v>10032</v>
      </c>
    </row>
    <row r="17" spans="3:23" ht="14" x14ac:dyDescent="0.3">
      <c r="D17" s="88"/>
      <c r="E17" s="56"/>
      <c r="F17" s="26"/>
      <c r="G17" s="26"/>
      <c r="H17" s="26"/>
      <c r="I17" s="26"/>
      <c r="J17" s="26"/>
      <c r="K17" s="26"/>
      <c r="L17" s="26"/>
      <c r="O17" s="56"/>
      <c r="P17" s="113"/>
      <c r="Q17" s="26"/>
      <c r="R17" s="26"/>
      <c r="S17" s="26"/>
      <c r="T17" s="26"/>
      <c r="U17" s="26"/>
      <c r="V17" s="26"/>
      <c r="W17" s="26"/>
    </row>
    <row r="18" spans="3:23" ht="14" x14ac:dyDescent="0.3">
      <c r="D18" s="88">
        <v>45652</v>
      </c>
      <c r="E18" s="56" t="s">
        <v>1689</v>
      </c>
      <c r="F18" s="26"/>
      <c r="G18" s="26"/>
      <c r="H18" s="26"/>
      <c r="I18" s="26">
        <v>40</v>
      </c>
      <c r="J18" s="26"/>
      <c r="K18" s="26"/>
      <c r="L18" s="26"/>
      <c r="O18" s="56" t="s">
        <v>1689</v>
      </c>
      <c r="P18" s="113"/>
      <c r="Q18" s="26">
        <v>40</v>
      </c>
      <c r="R18" s="26">
        <v>126</v>
      </c>
      <c r="S18" s="26">
        <f>Q18*R18</f>
        <v>5040</v>
      </c>
      <c r="T18" s="26">
        <v>-700</v>
      </c>
      <c r="U18" s="26">
        <f>S18+T18</f>
        <v>4340</v>
      </c>
      <c r="V18" s="26">
        <v>2.33</v>
      </c>
      <c r="W18" s="26">
        <f>U18*V18</f>
        <v>10112.200000000001</v>
      </c>
    </row>
    <row r="19" spans="3:23" ht="14" x14ac:dyDescent="0.3">
      <c r="D19" s="88">
        <v>45652</v>
      </c>
      <c r="E19" s="56" t="s">
        <v>1690</v>
      </c>
      <c r="F19" s="26"/>
      <c r="G19" s="26"/>
      <c r="H19" s="26"/>
      <c r="I19" s="26"/>
      <c r="J19" s="26"/>
      <c r="K19" s="26">
        <v>3</v>
      </c>
      <c r="L19" s="26"/>
      <c r="O19" s="56" t="s">
        <v>1690</v>
      </c>
      <c r="P19" s="113"/>
      <c r="Q19" s="26">
        <v>3</v>
      </c>
      <c r="R19" s="26">
        <v>2671.2</v>
      </c>
      <c r="S19" s="26">
        <f>Q19*R19</f>
        <v>8013.5999999999995</v>
      </c>
      <c r="T19" s="26">
        <v>-890</v>
      </c>
      <c r="U19" s="26">
        <f>S19+T19</f>
        <v>7123.5999999999995</v>
      </c>
      <c r="V19" s="26">
        <v>2.33</v>
      </c>
      <c r="W19" s="26">
        <f>U19*V19</f>
        <v>16597.987999999998</v>
      </c>
    </row>
    <row r="20" spans="3:23" ht="14" x14ac:dyDescent="0.3">
      <c r="C20" t="s">
        <v>1691</v>
      </c>
      <c r="D20" s="88">
        <v>45652</v>
      </c>
      <c r="E20" s="56" t="s">
        <v>1632</v>
      </c>
      <c r="F20" s="26"/>
      <c r="G20" s="26"/>
      <c r="H20" s="26"/>
      <c r="I20" s="26">
        <v>75</v>
      </c>
      <c r="J20" s="26"/>
      <c r="K20" s="26"/>
      <c r="L20" s="26"/>
      <c r="O20" s="56" t="s">
        <v>1698</v>
      </c>
      <c r="P20" s="113"/>
      <c r="Q20" s="26">
        <v>75</v>
      </c>
      <c r="R20" s="26">
        <v>128</v>
      </c>
      <c r="S20" s="26">
        <f>Q20*R20</f>
        <v>9600</v>
      </c>
      <c r="T20" s="26">
        <v>0</v>
      </c>
      <c r="U20" s="26">
        <f>S20+T20</f>
        <v>9600</v>
      </c>
      <c r="V20" s="26">
        <v>2.33</v>
      </c>
      <c r="W20" s="26">
        <f>U20*V20</f>
        <v>22368</v>
      </c>
    </row>
    <row r="21" spans="3:23" ht="14" x14ac:dyDescent="0.3">
      <c r="D21" s="88">
        <v>45652</v>
      </c>
      <c r="E21" s="56" t="s">
        <v>1693</v>
      </c>
      <c r="F21" s="26"/>
      <c r="G21" s="26"/>
      <c r="H21" s="26"/>
      <c r="I21" s="26">
        <v>60</v>
      </c>
      <c r="J21" s="26"/>
      <c r="K21" s="26"/>
      <c r="L21" s="26"/>
      <c r="O21" s="56" t="s">
        <v>1693</v>
      </c>
      <c r="P21" s="113"/>
      <c r="Q21" s="26">
        <v>60</v>
      </c>
      <c r="R21" s="26">
        <v>126</v>
      </c>
      <c r="S21" s="26">
        <f>Q21*R21</f>
        <v>7560</v>
      </c>
      <c r="T21" s="26">
        <v>-500</v>
      </c>
      <c r="U21" s="26">
        <f>S21+T21</f>
        <v>7060</v>
      </c>
      <c r="V21" s="26">
        <v>2.33</v>
      </c>
      <c r="W21" s="26">
        <f>U21*V21</f>
        <v>16449.8</v>
      </c>
    </row>
    <row r="22" spans="3:23" x14ac:dyDescent="0.3">
      <c r="D22" s="113"/>
      <c r="E22" s="113"/>
      <c r="F22" s="26"/>
      <c r="G22" s="26"/>
      <c r="H22" s="26"/>
      <c r="I22" s="26"/>
      <c r="J22" s="26"/>
      <c r="K22" s="26"/>
      <c r="L22" s="26"/>
      <c r="W22" s="18">
        <f>SUM(W14:W21)</f>
        <v>206740.98800000001</v>
      </c>
    </row>
    <row r="23" spans="3:23" ht="15" x14ac:dyDescent="0.3">
      <c r="D23" s="113"/>
      <c r="E23" s="416" t="s">
        <v>1399</v>
      </c>
      <c r="F23" s="416">
        <f t="shared" ref="F23:K23" si="0">SUM(F6:F22)</f>
        <v>0</v>
      </c>
      <c r="G23" s="416">
        <f t="shared" si="0"/>
        <v>101</v>
      </c>
      <c r="H23" s="416">
        <f t="shared" si="0"/>
        <v>0</v>
      </c>
      <c r="I23" s="416">
        <f t="shared" si="0"/>
        <v>210</v>
      </c>
      <c r="J23" s="416">
        <f t="shared" si="0"/>
        <v>0</v>
      </c>
      <c r="K23" s="416">
        <f t="shared" si="0"/>
        <v>3</v>
      </c>
      <c r="L23" s="416"/>
    </row>
    <row r="27" spans="3:23" ht="14" x14ac:dyDescent="0.3">
      <c r="O27" s="56" t="s">
        <v>1625</v>
      </c>
      <c r="P27">
        <v>2</v>
      </c>
    </row>
    <row r="28" spans="3:23" ht="14" x14ac:dyDescent="0.3">
      <c r="O28" s="56" t="s">
        <v>1631</v>
      </c>
      <c r="P28">
        <v>3</v>
      </c>
    </row>
    <row r="29" spans="3:23" ht="14" x14ac:dyDescent="0.3">
      <c r="O29" s="56" t="s">
        <v>1680</v>
      </c>
      <c r="P29">
        <v>1</v>
      </c>
    </row>
    <row r="30" spans="3:23" ht="14" x14ac:dyDescent="0.3">
      <c r="O30" s="56" t="s">
        <v>1641</v>
      </c>
      <c r="P30">
        <v>2</v>
      </c>
    </row>
    <row r="33" spans="15:16" ht="14" x14ac:dyDescent="0.3">
      <c r="O33" s="56" t="s">
        <v>1679</v>
      </c>
      <c r="P33">
        <v>1</v>
      </c>
    </row>
    <row r="34" spans="15:16" ht="14" x14ac:dyDescent="0.3">
      <c r="O34" s="56" t="s">
        <v>1639</v>
      </c>
      <c r="P34">
        <v>1</v>
      </c>
    </row>
  </sheetData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627"/>
  <sheetViews>
    <sheetView topLeftCell="E494" zoomScale="85" zoomScaleNormal="85" workbookViewId="0">
      <selection activeCell="N514" sqref="N514"/>
    </sheetView>
  </sheetViews>
  <sheetFormatPr defaultRowHeight="13" x14ac:dyDescent="0.3"/>
  <cols>
    <col min="3" max="3" width="14.3984375" style="21" customWidth="1"/>
    <col min="4" max="4" width="70.8984375" bestFit="1" customWidth="1"/>
    <col min="5" max="5" width="13.3984375" style="21" bestFit="1" customWidth="1"/>
    <col min="6" max="6" width="13.3984375" style="27" bestFit="1" customWidth="1"/>
    <col min="7" max="7" width="12.09765625" style="27" customWidth="1"/>
    <col min="8" max="8" width="5.3984375" customWidth="1"/>
    <col min="9" max="9" width="2.8984375" customWidth="1"/>
    <col min="10" max="10" width="14.69921875" customWidth="1"/>
    <col min="11" max="11" width="13.296875" style="21" customWidth="1"/>
    <col min="12" max="12" width="50.09765625" customWidth="1"/>
    <col min="13" max="13" width="12.19921875" style="21" customWidth="1"/>
    <col min="14" max="14" width="9.8984375" style="21" bestFit="1" customWidth="1"/>
    <col min="15" max="15" width="11.19921875" style="27" bestFit="1" customWidth="1"/>
  </cols>
  <sheetData>
    <row r="2" spans="2:11" ht="16.5" x14ac:dyDescent="0.3">
      <c r="C2" s="72"/>
      <c r="D2" s="73" t="s">
        <v>50</v>
      </c>
      <c r="E2" s="72"/>
      <c r="F2" s="418"/>
      <c r="G2" s="72"/>
      <c r="J2" s="23" t="s">
        <v>478</v>
      </c>
      <c r="K2" s="23" t="s">
        <v>479</v>
      </c>
    </row>
    <row r="3" spans="2:11" ht="16.5" x14ac:dyDescent="0.3">
      <c r="B3" s="1"/>
      <c r="C3" s="72" t="s">
        <v>0</v>
      </c>
      <c r="D3" s="73" t="s">
        <v>5</v>
      </c>
      <c r="E3" s="72" t="s">
        <v>75</v>
      </c>
      <c r="F3" s="72" t="s">
        <v>76</v>
      </c>
      <c r="G3" s="72" t="s">
        <v>4</v>
      </c>
    </row>
    <row r="5" spans="2:11" x14ac:dyDescent="0.3">
      <c r="B5" s="1" t="s">
        <v>514</v>
      </c>
      <c r="C5" s="25">
        <v>45394</v>
      </c>
      <c r="D5" s="16" t="s">
        <v>51</v>
      </c>
      <c r="E5" s="63">
        <f>97774/77</f>
        <v>1269.7922077922078</v>
      </c>
      <c r="F5" s="63"/>
      <c r="G5" s="63">
        <f>G4+E5-F5</f>
        <v>1269.7922077922078</v>
      </c>
      <c r="H5" s="1" t="s">
        <v>307</v>
      </c>
      <c r="I5" s="21"/>
    </row>
    <row r="6" spans="2:11" x14ac:dyDescent="0.3">
      <c r="B6" s="1" t="s">
        <v>514</v>
      </c>
      <c r="C6" s="25">
        <v>45394</v>
      </c>
      <c r="D6" s="16" t="s">
        <v>51</v>
      </c>
      <c r="E6" s="63">
        <f>164448/77</f>
        <v>2135.6883116883118</v>
      </c>
      <c r="F6" s="63"/>
      <c r="G6" s="63">
        <f t="shared" ref="G6:G72" si="0">G5+E6-F6</f>
        <v>3405.4805194805194</v>
      </c>
      <c r="H6" s="1" t="s">
        <v>307</v>
      </c>
    </row>
    <row r="7" spans="2:11" x14ac:dyDescent="0.3">
      <c r="B7" s="1" t="s">
        <v>514</v>
      </c>
      <c r="C7" s="25">
        <v>45397</v>
      </c>
      <c r="D7" s="16" t="s">
        <v>52</v>
      </c>
      <c r="E7" s="63">
        <v>30</v>
      </c>
      <c r="F7" s="63"/>
      <c r="G7" s="63">
        <f t="shared" si="0"/>
        <v>3435.4805194805194</v>
      </c>
      <c r="H7" s="1" t="s">
        <v>307</v>
      </c>
    </row>
    <row r="8" spans="2:11" x14ac:dyDescent="0.3">
      <c r="B8" s="1" t="s">
        <v>514</v>
      </c>
      <c r="C8" s="25">
        <v>45410</v>
      </c>
      <c r="D8" s="16" t="s">
        <v>51</v>
      </c>
      <c r="E8" s="63">
        <f>97774/77</f>
        <v>1269.7922077922078</v>
      </c>
      <c r="F8" s="63"/>
      <c r="G8" s="63">
        <f t="shared" si="0"/>
        <v>4705.272727272727</v>
      </c>
      <c r="H8" s="1" t="s">
        <v>307</v>
      </c>
    </row>
    <row r="9" spans="2:11" x14ac:dyDescent="0.3">
      <c r="B9" s="1" t="s">
        <v>514</v>
      </c>
      <c r="C9" s="25">
        <v>45410</v>
      </c>
      <c r="D9" s="16" t="s">
        <v>51</v>
      </c>
      <c r="E9" s="63">
        <f>164448/77</f>
        <v>2135.6883116883118</v>
      </c>
      <c r="F9" s="63"/>
      <c r="G9" s="63">
        <f t="shared" si="0"/>
        <v>6840.9610389610389</v>
      </c>
      <c r="H9" s="1" t="s">
        <v>307</v>
      </c>
    </row>
    <row r="10" spans="2:11" x14ac:dyDescent="0.3">
      <c r="B10" t="s">
        <v>477</v>
      </c>
      <c r="C10" s="25">
        <v>45412</v>
      </c>
      <c r="D10" s="16" t="s">
        <v>64</v>
      </c>
      <c r="E10" s="63">
        <v>23870</v>
      </c>
      <c r="F10" s="63"/>
      <c r="G10" s="63">
        <f t="shared" si="0"/>
        <v>30710.961038961039</v>
      </c>
      <c r="H10" s="1"/>
      <c r="J10" s="1" t="s">
        <v>307</v>
      </c>
    </row>
    <row r="11" spans="2:11" x14ac:dyDescent="0.3">
      <c r="B11" s="1" t="s">
        <v>477</v>
      </c>
      <c r="C11" s="25">
        <v>45397</v>
      </c>
      <c r="D11" s="39" t="s">
        <v>8</v>
      </c>
      <c r="E11" s="63">
        <v>660</v>
      </c>
      <c r="F11" s="63"/>
      <c r="G11" s="63">
        <f t="shared" si="0"/>
        <v>31370.961038961039</v>
      </c>
      <c r="H11" s="1"/>
      <c r="J11" s="1" t="s">
        <v>307</v>
      </c>
    </row>
    <row r="12" spans="2:11" x14ac:dyDescent="0.3">
      <c r="B12" s="1" t="s">
        <v>477</v>
      </c>
      <c r="C12" s="41"/>
      <c r="D12" s="39" t="s">
        <v>9</v>
      </c>
      <c r="E12" s="63">
        <v>650</v>
      </c>
      <c r="F12" s="63"/>
      <c r="G12" s="63">
        <f t="shared" si="0"/>
        <v>32020.961038961039</v>
      </c>
      <c r="H12" s="1"/>
      <c r="J12" s="1" t="s">
        <v>307</v>
      </c>
    </row>
    <row r="13" spans="2:11" x14ac:dyDescent="0.3">
      <c r="B13" s="1" t="s">
        <v>69</v>
      </c>
      <c r="C13" s="25">
        <v>45420</v>
      </c>
      <c r="D13" s="13" t="s">
        <v>10</v>
      </c>
      <c r="E13" s="63"/>
      <c r="F13" s="68">
        <v>29000</v>
      </c>
      <c r="G13" s="63">
        <f t="shared" si="0"/>
        <v>3020.9610389610389</v>
      </c>
      <c r="H13" s="1" t="s">
        <v>307</v>
      </c>
    </row>
    <row r="14" spans="2:11" ht="14" x14ac:dyDescent="0.3">
      <c r="B14" s="1" t="s">
        <v>515</v>
      </c>
      <c r="C14" s="270">
        <v>45420</v>
      </c>
      <c r="D14" s="254" t="s">
        <v>384</v>
      </c>
      <c r="E14" s="271">
        <v>45000</v>
      </c>
      <c r="F14" s="68"/>
      <c r="G14" s="63">
        <f t="shared" si="0"/>
        <v>48020.961038961039</v>
      </c>
      <c r="H14" s="1" t="s">
        <v>307</v>
      </c>
    </row>
    <row r="15" spans="2:11" x14ac:dyDescent="0.3">
      <c r="B15" s="1" t="s">
        <v>69</v>
      </c>
      <c r="C15" s="25">
        <v>45427</v>
      </c>
      <c r="D15" s="13" t="s">
        <v>11</v>
      </c>
      <c r="E15" s="63"/>
      <c r="F15" s="68">
        <v>5950</v>
      </c>
      <c r="G15" s="63">
        <f t="shared" si="0"/>
        <v>42070.961038961039</v>
      </c>
      <c r="H15" s="1" t="s">
        <v>307</v>
      </c>
    </row>
    <row r="16" spans="2:11" x14ac:dyDescent="0.3">
      <c r="B16" s="1" t="s">
        <v>69</v>
      </c>
      <c r="C16" s="25">
        <v>45428</v>
      </c>
      <c r="D16" s="13" t="s">
        <v>12</v>
      </c>
      <c r="E16" s="63"/>
      <c r="F16" s="68">
        <v>2000</v>
      </c>
      <c r="G16" s="63">
        <f t="shared" si="0"/>
        <v>40070.961038961039</v>
      </c>
      <c r="H16" s="1" t="s">
        <v>307</v>
      </c>
    </row>
    <row r="17" spans="2:8" x14ac:dyDescent="0.3">
      <c r="B17" s="1" t="s">
        <v>515</v>
      </c>
      <c r="C17" s="25">
        <v>45419</v>
      </c>
      <c r="D17" s="15" t="s">
        <v>14</v>
      </c>
      <c r="E17" s="63">
        <v>4230</v>
      </c>
      <c r="F17" s="63"/>
      <c r="G17" s="63">
        <f t="shared" si="0"/>
        <v>44300.961038961039</v>
      </c>
      <c r="H17" s="1" t="s">
        <v>307</v>
      </c>
    </row>
    <row r="18" spans="2:8" x14ac:dyDescent="0.3">
      <c r="B18" s="1" t="s">
        <v>515</v>
      </c>
      <c r="C18" s="42">
        <v>45420</v>
      </c>
      <c r="D18" s="15" t="s">
        <v>15</v>
      </c>
      <c r="E18" s="63">
        <v>10</v>
      </c>
      <c r="F18" s="63"/>
      <c r="G18" s="63">
        <f t="shared" si="0"/>
        <v>44310.961038961039</v>
      </c>
      <c r="H18" s="1" t="s">
        <v>307</v>
      </c>
    </row>
    <row r="19" spans="2:8" x14ac:dyDescent="0.3">
      <c r="B19" s="1" t="s">
        <v>515</v>
      </c>
      <c r="C19" s="42">
        <v>45423</v>
      </c>
      <c r="D19" s="13" t="s">
        <v>21</v>
      </c>
      <c r="E19" s="63">
        <v>8843.36</v>
      </c>
      <c r="F19" s="63"/>
      <c r="G19" s="63">
        <f t="shared" si="0"/>
        <v>53154.321038961039</v>
      </c>
      <c r="H19" s="1" t="s">
        <v>307</v>
      </c>
    </row>
    <row r="20" spans="2:8" x14ac:dyDescent="0.3">
      <c r="B20" s="1" t="s">
        <v>515</v>
      </c>
      <c r="C20" s="42">
        <v>45423</v>
      </c>
      <c r="D20" s="13" t="s">
        <v>24</v>
      </c>
      <c r="E20" s="63">
        <v>18624.32</v>
      </c>
      <c r="F20" s="63"/>
      <c r="G20" s="63">
        <f t="shared" si="0"/>
        <v>71778.641038961039</v>
      </c>
      <c r="H20" s="1" t="s">
        <v>307</v>
      </c>
    </row>
    <row r="21" spans="2:8" x14ac:dyDescent="0.3">
      <c r="B21" s="1" t="s">
        <v>514</v>
      </c>
      <c r="C21" s="25">
        <v>45420</v>
      </c>
      <c r="D21" s="15" t="s">
        <v>74</v>
      </c>
      <c r="E21" s="63">
        <v>3896.1</v>
      </c>
      <c r="F21" s="63"/>
      <c r="G21" s="63">
        <f t="shared" si="0"/>
        <v>75674.741038961045</v>
      </c>
      <c r="H21" s="1" t="s">
        <v>307</v>
      </c>
    </row>
    <row r="22" spans="2:8" x14ac:dyDescent="0.3">
      <c r="B22" s="1" t="s">
        <v>69</v>
      </c>
      <c r="C22" s="25">
        <v>45419</v>
      </c>
      <c r="D22" s="15" t="s">
        <v>27</v>
      </c>
      <c r="E22" s="63"/>
      <c r="F22" s="63">
        <v>35800</v>
      </c>
      <c r="G22" s="63">
        <f t="shared" si="0"/>
        <v>39874.741038961045</v>
      </c>
      <c r="H22" s="1" t="s">
        <v>307</v>
      </c>
    </row>
    <row r="23" spans="2:8" x14ac:dyDescent="0.3">
      <c r="B23" s="1" t="s">
        <v>69</v>
      </c>
      <c r="C23" s="25">
        <v>45420</v>
      </c>
      <c r="D23" s="13" t="s">
        <v>28</v>
      </c>
      <c r="E23" s="63"/>
      <c r="F23" s="63">
        <v>16200</v>
      </c>
      <c r="G23" s="63">
        <f t="shared" si="0"/>
        <v>23674.741038961045</v>
      </c>
      <c r="H23" s="1" t="s">
        <v>307</v>
      </c>
    </row>
    <row r="24" spans="2:8" x14ac:dyDescent="0.3">
      <c r="B24" s="1" t="s">
        <v>69</v>
      </c>
      <c r="C24" s="25">
        <v>45420</v>
      </c>
      <c r="D24" s="15" t="s">
        <v>29</v>
      </c>
      <c r="E24" s="63"/>
      <c r="F24" s="63">
        <v>18000</v>
      </c>
      <c r="G24" s="63">
        <f t="shared" si="0"/>
        <v>5674.741038961045</v>
      </c>
      <c r="H24" s="1" t="s">
        <v>307</v>
      </c>
    </row>
    <row r="25" spans="2:8" ht="14" x14ac:dyDescent="0.3">
      <c r="B25" s="1" t="s">
        <v>515</v>
      </c>
      <c r="C25" s="270">
        <v>45427</v>
      </c>
      <c r="D25" s="255" t="s">
        <v>386</v>
      </c>
      <c r="E25" s="63">
        <v>1830</v>
      </c>
      <c r="F25" s="63"/>
      <c r="G25" s="63">
        <f t="shared" si="0"/>
        <v>7504.741038961045</v>
      </c>
      <c r="H25" s="1" t="s">
        <v>307</v>
      </c>
    </row>
    <row r="26" spans="2:8" x14ac:dyDescent="0.3">
      <c r="B26" s="1" t="s">
        <v>69</v>
      </c>
      <c r="C26" s="25">
        <v>45427</v>
      </c>
      <c r="D26" s="15" t="s">
        <v>30</v>
      </c>
      <c r="E26" s="63"/>
      <c r="F26" s="63">
        <v>3600</v>
      </c>
      <c r="G26" s="63">
        <f t="shared" si="0"/>
        <v>3904.741038961045</v>
      </c>
      <c r="H26" s="1" t="s">
        <v>307</v>
      </c>
    </row>
    <row r="27" spans="2:8" x14ac:dyDescent="0.3">
      <c r="B27" s="1" t="s">
        <v>69</v>
      </c>
      <c r="C27" s="25">
        <v>45427</v>
      </c>
      <c r="D27" s="15" t="s">
        <v>31</v>
      </c>
      <c r="E27" s="63"/>
      <c r="F27" s="63">
        <v>3500</v>
      </c>
      <c r="G27" s="63">
        <f t="shared" si="0"/>
        <v>404.74103896104498</v>
      </c>
      <c r="H27" s="1" t="s">
        <v>307</v>
      </c>
    </row>
    <row r="28" spans="2:8" x14ac:dyDescent="0.3">
      <c r="B28" s="1" t="s">
        <v>69</v>
      </c>
      <c r="C28" s="25">
        <v>45427</v>
      </c>
      <c r="D28" s="15" t="s">
        <v>32</v>
      </c>
      <c r="E28" s="63"/>
      <c r="F28" s="63">
        <v>8700</v>
      </c>
      <c r="G28" s="63">
        <f t="shared" si="0"/>
        <v>-8295.258961038955</v>
      </c>
      <c r="H28" s="1" t="s">
        <v>307</v>
      </c>
    </row>
    <row r="29" spans="2:8" x14ac:dyDescent="0.3">
      <c r="B29" s="1" t="s">
        <v>69</v>
      </c>
      <c r="C29" s="25">
        <v>45427</v>
      </c>
      <c r="D29" s="15" t="s">
        <v>33</v>
      </c>
      <c r="E29" s="63"/>
      <c r="F29" s="63">
        <v>26400</v>
      </c>
      <c r="G29" s="63">
        <f t="shared" si="0"/>
        <v>-34695.258961038955</v>
      </c>
      <c r="H29" s="1" t="s">
        <v>307</v>
      </c>
    </row>
    <row r="30" spans="2:8" x14ac:dyDescent="0.3">
      <c r="B30" s="1" t="s">
        <v>69</v>
      </c>
      <c r="C30" s="25">
        <v>45427</v>
      </c>
      <c r="D30" s="15" t="s">
        <v>34</v>
      </c>
      <c r="E30" s="63"/>
      <c r="F30" s="63">
        <v>45500</v>
      </c>
      <c r="G30" s="63">
        <f t="shared" si="0"/>
        <v>-80195.258961038955</v>
      </c>
      <c r="H30" s="1" t="s">
        <v>307</v>
      </c>
    </row>
    <row r="31" spans="2:8" x14ac:dyDescent="0.3">
      <c r="B31" s="1" t="s">
        <v>69</v>
      </c>
      <c r="C31" s="25">
        <v>45427</v>
      </c>
      <c r="D31" s="15" t="s">
        <v>35</v>
      </c>
      <c r="E31" s="63"/>
      <c r="F31" s="63">
        <v>8500</v>
      </c>
      <c r="G31" s="63">
        <f t="shared" si="0"/>
        <v>-88695.258961038955</v>
      </c>
      <c r="H31" s="1" t="s">
        <v>307</v>
      </c>
    </row>
    <row r="32" spans="2:8" x14ac:dyDescent="0.3">
      <c r="B32" s="1" t="s">
        <v>69</v>
      </c>
      <c r="C32" s="25">
        <v>45427</v>
      </c>
      <c r="D32" s="15" t="s">
        <v>36</v>
      </c>
      <c r="E32" s="63"/>
      <c r="F32" s="63">
        <v>1700</v>
      </c>
      <c r="G32" s="63">
        <f t="shared" si="0"/>
        <v>-90395.258961038955</v>
      </c>
      <c r="H32" s="1" t="s">
        <v>307</v>
      </c>
    </row>
    <row r="33" spans="2:10" x14ac:dyDescent="0.3">
      <c r="B33" s="1" t="s">
        <v>69</v>
      </c>
      <c r="C33" s="25">
        <v>45427</v>
      </c>
      <c r="D33" s="15" t="s">
        <v>37</v>
      </c>
      <c r="E33" s="63"/>
      <c r="F33" s="63">
        <v>16950</v>
      </c>
      <c r="G33" s="63">
        <f t="shared" si="0"/>
        <v>-107345.25896103896</v>
      </c>
      <c r="H33" s="1" t="s">
        <v>307</v>
      </c>
    </row>
    <row r="34" spans="2:10" x14ac:dyDescent="0.3">
      <c r="B34" t="s">
        <v>477</v>
      </c>
      <c r="C34" s="272">
        <v>45428</v>
      </c>
      <c r="D34" s="273" t="s">
        <v>481</v>
      </c>
      <c r="E34" s="274">
        <v>22000</v>
      </c>
      <c r="F34" s="275"/>
      <c r="G34" s="275">
        <f t="shared" si="0"/>
        <v>-85345.258961038955</v>
      </c>
      <c r="J34" s="1" t="s">
        <v>480</v>
      </c>
    </row>
    <row r="35" spans="2:10" x14ac:dyDescent="0.3">
      <c r="B35" t="s">
        <v>477</v>
      </c>
      <c r="C35" s="168">
        <v>45432</v>
      </c>
      <c r="D35" s="163" t="s">
        <v>79</v>
      </c>
      <c r="E35" s="165">
        <v>58000</v>
      </c>
      <c r="F35" s="63"/>
      <c r="G35" s="63">
        <f t="shared" si="0"/>
        <v>-27345.258961038955</v>
      </c>
      <c r="J35" s="1" t="s">
        <v>307</v>
      </c>
    </row>
    <row r="36" spans="2:10" x14ac:dyDescent="0.3">
      <c r="B36" s="1" t="s">
        <v>515</v>
      </c>
      <c r="C36" s="42">
        <v>45440</v>
      </c>
      <c r="D36" s="15" t="s">
        <v>80</v>
      </c>
      <c r="E36" s="59">
        <v>1230</v>
      </c>
      <c r="F36" s="63"/>
      <c r="G36" s="63">
        <f t="shared" si="0"/>
        <v>-26115.258961038955</v>
      </c>
      <c r="H36" t="s">
        <v>307</v>
      </c>
    </row>
    <row r="37" spans="2:10" x14ac:dyDescent="0.3">
      <c r="B37" s="1" t="s">
        <v>515</v>
      </c>
      <c r="C37" s="42">
        <v>45440</v>
      </c>
      <c r="D37" s="15" t="s">
        <v>85</v>
      </c>
      <c r="E37" s="63">
        <v>30</v>
      </c>
      <c r="F37" s="63"/>
      <c r="G37" s="63">
        <f t="shared" si="0"/>
        <v>-26085.258961038955</v>
      </c>
      <c r="H37" t="s">
        <v>307</v>
      </c>
    </row>
    <row r="38" spans="2:10" ht="14" x14ac:dyDescent="0.3">
      <c r="B38" s="1" t="s">
        <v>515</v>
      </c>
      <c r="C38" s="270">
        <v>45444</v>
      </c>
      <c r="D38" s="255" t="s">
        <v>389</v>
      </c>
      <c r="E38" s="63">
        <v>1333</v>
      </c>
      <c r="F38" s="63"/>
      <c r="G38" s="63">
        <f t="shared" si="0"/>
        <v>-24752.258961038955</v>
      </c>
      <c r="H38" t="s">
        <v>307</v>
      </c>
    </row>
    <row r="39" spans="2:10" x14ac:dyDescent="0.3">
      <c r="B39" s="1" t="s">
        <v>515</v>
      </c>
      <c r="C39" s="42">
        <v>45447</v>
      </c>
      <c r="D39" s="15" t="s">
        <v>87</v>
      </c>
      <c r="E39" s="63">
        <v>194.81</v>
      </c>
      <c r="F39" s="63"/>
      <c r="G39" s="63">
        <f t="shared" si="0"/>
        <v>-24557.448961038954</v>
      </c>
      <c r="H39" t="s">
        <v>307</v>
      </c>
    </row>
    <row r="40" spans="2:10" x14ac:dyDescent="0.3">
      <c r="B40" s="1" t="s">
        <v>514</v>
      </c>
      <c r="C40" s="42">
        <v>45442</v>
      </c>
      <c r="D40" s="58" t="s">
        <v>93</v>
      </c>
      <c r="E40" s="64">
        <v>1264.58</v>
      </c>
      <c r="F40" s="63"/>
      <c r="G40" s="63">
        <f t="shared" si="0"/>
        <v>-23292.868961038956</v>
      </c>
      <c r="H40" t="s">
        <v>307</v>
      </c>
    </row>
    <row r="41" spans="2:10" x14ac:dyDescent="0.3">
      <c r="B41" s="1" t="s">
        <v>69</v>
      </c>
      <c r="C41" s="42">
        <v>45442</v>
      </c>
      <c r="D41" s="15" t="s">
        <v>94</v>
      </c>
      <c r="E41" s="63"/>
      <c r="F41" s="59">
        <v>3240</v>
      </c>
      <c r="G41" s="63">
        <f t="shared" si="0"/>
        <v>-26532.868961038956</v>
      </c>
      <c r="H41" s="1" t="s">
        <v>307</v>
      </c>
    </row>
    <row r="42" spans="2:10" x14ac:dyDescent="0.3">
      <c r="B42" s="1" t="s">
        <v>69</v>
      </c>
      <c r="C42" s="42">
        <v>45442</v>
      </c>
      <c r="D42" s="13" t="s">
        <v>95</v>
      </c>
      <c r="E42" s="63"/>
      <c r="F42" s="59">
        <v>29520</v>
      </c>
      <c r="G42" s="63">
        <f t="shared" si="0"/>
        <v>-56052.868961038956</v>
      </c>
      <c r="H42" s="1" t="s">
        <v>307</v>
      </c>
    </row>
    <row r="43" spans="2:10" x14ac:dyDescent="0.3">
      <c r="B43" s="1" t="s">
        <v>69</v>
      </c>
      <c r="C43" s="42">
        <v>45442</v>
      </c>
      <c r="D43" s="13" t="s">
        <v>96</v>
      </c>
      <c r="E43" s="63"/>
      <c r="F43" s="59">
        <v>24300</v>
      </c>
      <c r="G43" s="63">
        <f t="shared" si="0"/>
        <v>-80352.868961038956</v>
      </c>
      <c r="H43" s="1" t="s">
        <v>307</v>
      </c>
    </row>
    <row r="44" spans="2:10" x14ac:dyDescent="0.3">
      <c r="B44" s="1" t="s">
        <v>515</v>
      </c>
      <c r="C44" s="25">
        <v>45448</v>
      </c>
      <c r="D44" s="15" t="s">
        <v>97</v>
      </c>
      <c r="E44" s="63">
        <v>1660</v>
      </c>
      <c r="F44" s="63"/>
      <c r="G44" s="63">
        <f t="shared" si="0"/>
        <v>-78692.868961038956</v>
      </c>
      <c r="H44" s="1" t="s">
        <v>307</v>
      </c>
    </row>
    <row r="45" spans="2:10" x14ac:dyDescent="0.3">
      <c r="B45" s="1" t="s">
        <v>515</v>
      </c>
      <c r="C45" s="25">
        <v>45448</v>
      </c>
      <c r="D45" s="15" t="s">
        <v>99</v>
      </c>
      <c r="E45" s="63">
        <v>40</v>
      </c>
      <c r="F45" s="63"/>
      <c r="G45" s="63">
        <f t="shared" si="0"/>
        <v>-78652.868961038956</v>
      </c>
      <c r="H45" s="1" t="s">
        <v>307</v>
      </c>
    </row>
    <row r="46" spans="2:10" x14ac:dyDescent="0.3">
      <c r="B46" s="1" t="s">
        <v>69</v>
      </c>
      <c r="C46" s="25">
        <v>45448</v>
      </c>
      <c r="D46" s="15" t="s">
        <v>103</v>
      </c>
      <c r="E46" s="63"/>
      <c r="F46" s="68">
        <v>33600</v>
      </c>
      <c r="G46" s="63">
        <f t="shared" si="0"/>
        <v>-112252.86896103896</v>
      </c>
      <c r="H46" s="1" t="s">
        <v>307</v>
      </c>
    </row>
    <row r="47" spans="2:10" x14ac:dyDescent="0.3">
      <c r="B47" s="1" t="s">
        <v>69</v>
      </c>
      <c r="C47" s="25">
        <v>45449</v>
      </c>
      <c r="D47" s="15" t="s">
        <v>104</v>
      </c>
      <c r="E47" s="63"/>
      <c r="F47" s="68">
        <v>50400</v>
      </c>
      <c r="G47" s="63">
        <f t="shared" si="0"/>
        <v>-162652.86896103894</v>
      </c>
      <c r="H47" s="1" t="s">
        <v>307</v>
      </c>
    </row>
    <row r="48" spans="2:10" x14ac:dyDescent="0.3">
      <c r="B48" s="1" t="s">
        <v>69</v>
      </c>
      <c r="C48" s="25">
        <v>45453</v>
      </c>
      <c r="D48" s="15" t="s">
        <v>105</v>
      </c>
      <c r="E48" s="63"/>
      <c r="F48" s="68">
        <v>3400</v>
      </c>
      <c r="G48" s="63">
        <f t="shared" si="0"/>
        <v>-166052.86896103894</v>
      </c>
      <c r="H48" s="1" t="s">
        <v>307</v>
      </c>
    </row>
    <row r="49" spans="2:8" x14ac:dyDescent="0.3">
      <c r="B49" s="1" t="s">
        <v>515</v>
      </c>
      <c r="C49" s="25">
        <v>45451</v>
      </c>
      <c r="D49" s="15" t="s">
        <v>108</v>
      </c>
      <c r="E49" s="59">
        <v>40400</v>
      </c>
      <c r="F49" s="63"/>
      <c r="G49" s="63">
        <f t="shared" si="0"/>
        <v>-125652.86896103894</v>
      </c>
      <c r="H49" s="1" t="s">
        <v>307</v>
      </c>
    </row>
    <row r="50" spans="2:8" x14ac:dyDescent="0.3">
      <c r="B50" s="1" t="s">
        <v>515</v>
      </c>
      <c r="C50" s="25">
        <v>45448</v>
      </c>
      <c r="D50" s="15" t="s">
        <v>108</v>
      </c>
      <c r="E50" s="59">
        <v>31900</v>
      </c>
      <c r="F50" s="63"/>
      <c r="G50" s="63">
        <f t="shared" si="0"/>
        <v>-93752.868961038941</v>
      </c>
      <c r="H50" s="1" t="s">
        <v>307</v>
      </c>
    </row>
    <row r="51" spans="2:8" x14ac:dyDescent="0.3">
      <c r="B51" s="1" t="s">
        <v>515</v>
      </c>
      <c r="C51" s="25">
        <v>45449</v>
      </c>
      <c r="D51" s="15" t="s">
        <v>113</v>
      </c>
      <c r="E51" s="63">
        <f>Total!I65</f>
        <v>2315.9503999999997</v>
      </c>
      <c r="F51" s="63"/>
      <c r="G51" s="63">
        <f t="shared" si="0"/>
        <v>-91436.91856103894</v>
      </c>
      <c r="H51" s="1" t="s">
        <v>307</v>
      </c>
    </row>
    <row r="52" spans="2:8" x14ac:dyDescent="0.3">
      <c r="B52" s="1" t="s">
        <v>515</v>
      </c>
      <c r="C52" s="42">
        <v>45453</v>
      </c>
      <c r="D52" s="13" t="s">
        <v>116</v>
      </c>
      <c r="E52" s="63">
        <v>1465</v>
      </c>
      <c r="F52" s="63"/>
      <c r="G52" s="63">
        <f t="shared" si="0"/>
        <v>-89971.91856103894</v>
      </c>
      <c r="H52" t="s">
        <v>307</v>
      </c>
    </row>
    <row r="53" spans="2:8" x14ac:dyDescent="0.3">
      <c r="B53" s="1" t="s">
        <v>515</v>
      </c>
      <c r="C53" s="42">
        <v>45453</v>
      </c>
      <c r="D53" s="13" t="s">
        <v>117</v>
      </c>
      <c r="E53" s="63">
        <v>35</v>
      </c>
      <c r="F53" s="63"/>
      <c r="G53" s="63">
        <f t="shared" si="0"/>
        <v>-89936.91856103894</v>
      </c>
      <c r="H53" t="s">
        <v>307</v>
      </c>
    </row>
    <row r="54" spans="2:8" x14ac:dyDescent="0.3">
      <c r="B54" s="1" t="s">
        <v>69</v>
      </c>
      <c r="C54" s="25">
        <v>45453</v>
      </c>
      <c r="D54" s="15" t="s">
        <v>118</v>
      </c>
      <c r="E54" s="63"/>
      <c r="F54" s="59">
        <v>58800</v>
      </c>
      <c r="G54" s="63">
        <f t="shared" si="0"/>
        <v>-148736.91856103894</v>
      </c>
      <c r="H54" s="1" t="s">
        <v>307</v>
      </c>
    </row>
    <row r="55" spans="2:8" x14ac:dyDescent="0.3">
      <c r="B55" s="1" t="s">
        <v>69</v>
      </c>
      <c r="C55" s="25">
        <v>45456</v>
      </c>
      <c r="D55" s="15" t="s">
        <v>119</v>
      </c>
      <c r="E55" s="63"/>
      <c r="F55" s="59">
        <v>11655</v>
      </c>
      <c r="G55" s="63">
        <f t="shared" si="0"/>
        <v>-160391.91856103894</v>
      </c>
      <c r="H55" s="1" t="s">
        <v>307</v>
      </c>
    </row>
    <row r="56" spans="2:8" x14ac:dyDescent="0.3">
      <c r="B56" s="1" t="s">
        <v>69</v>
      </c>
      <c r="C56" s="25">
        <v>45456</v>
      </c>
      <c r="D56" s="15" t="s">
        <v>120</v>
      </c>
      <c r="E56" s="63"/>
      <c r="F56" s="59">
        <v>8350</v>
      </c>
      <c r="G56" s="63">
        <f t="shared" si="0"/>
        <v>-168741.91856103894</v>
      </c>
      <c r="H56" s="1" t="s">
        <v>307</v>
      </c>
    </row>
    <row r="57" spans="2:8" x14ac:dyDescent="0.3">
      <c r="B57" s="1" t="s">
        <v>69</v>
      </c>
      <c r="C57" s="25">
        <v>45455</v>
      </c>
      <c r="D57" s="15" t="s">
        <v>94</v>
      </c>
      <c r="E57" s="65"/>
      <c r="F57" s="69">
        <v>3340</v>
      </c>
      <c r="G57" s="63">
        <f t="shared" si="0"/>
        <v>-172081.91856103894</v>
      </c>
      <c r="H57" s="1" t="s">
        <v>307</v>
      </c>
    </row>
    <row r="58" spans="2:8" x14ac:dyDescent="0.3">
      <c r="B58" s="1" t="s">
        <v>515</v>
      </c>
      <c r="C58" s="25">
        <v>45455</v>
      </c>
      <c r="D58" s="15" t="s">
        <v>108</v>
      </c>
      <c r="E58" s="59">
        <v>60640</v>
      </c>
      <c r="F58" s="69"/>
      <c r="G58" s="63">
        <f t="shared" si="0"/>
        <v>-111441.91856103894</v>
      </c>
      <c r="H58" s="1" t="s">
        <v>307</v>
      </c>
    </row>
    <row r="59" spans="2:8" x14ac:dyDescent="0.3">
      <c r="B59" s="1" t="s">
        <v>69</v>
      </c>
      <c r="C59" s="25">
        <v>45456</v>
      </c>
      <c r="D59" s="15" t="s">
        <v>121</v>
      </c>
      <c r="E59" s="59"/>
      <c r="F59" s="69">
        <v>9990</v>
      </c>
      <c r="G59" s="63">
        <f t="shared" si="0"/>
        <v>-121431.91856103894</v>
      </c>
      <c r="H59" s="1" t="s">
        <v>307</v>
      </c>
    </row>
    <row r="60" spans="2:8" x14ac:dyDescent="0.3">
      <c r="B60" s="1" t="s">
        <v>515</v>
      </c>
      <c r="C60" s="25">
        <v>45457</v>
      </c>
      <c r="D60" s="15" t="s">
        <v>108</v>
      </c>
      <c r="E60" s="59">
        <v>21320</v>
      </c>
      <c r="F60" s="69"/>
      <c r="G60" s="63">
        <f t="shared" si="0"/>
        <v>-100111.91856103894</v>
      </c>
      <c r="H60" s="1" t="s">
        <v>307</v>
      </c>
    </row>
    <row r="61" spans="2:8" x14ac:dyDescent="0.3">
      <c r="B61" s="1" t="s">
        <v>515</v>
      </c>
      <c r="C61" s="42">
        <v>45462</v>
      </c>
      <c r="D61" s="15" t="s">
        <v>108</v>
      </c>
      <c r="E61" s="59">
        <v>6000</v>
      </c>
      <c r="F61" s="69"/>
      <c r="G61" s="63">
        <f t="shared" si="0"/>
        <v>-94111.91856103894</v>
      </c>
      <c r="H61" s="1" t="s">
        <v>307</v>
      </c>
    </row>
    <row r="62" spans="2:8" x14ac:dyDescent="0.3">
      <c r="B62" s="1" t="s">
        <v>515</v>
      </c>
      <c r="C62" s="42">
        <v>45463</v>
      </c>
      <c r="D62" s="15" t="s">
        <v>108</v>
      </c>
      <c r="E62" s="59">
        <v>8350</v>
      </c>
      <c r="F62" s="69"/>
      <c r="G62" s="63">
        <f t="shared" si="0"/>
        <v>-85761.91856103894</v>
      </c>
      <c r="H62" s="1" t="s">
        <v>307</v>
      </c>
    </row>
    <row r="63" spans="2:8" x14ac:dyDescent="0.3">
      <c r="B63" s="1" t="s">
        <v>514</v>
      </c>
      <c r="C63" s="25">
        <v>45463</v>
      </c>
      <c r="D63" s="15" t="s">
        <v>122</v>
      </c>
      <c r="E63" s="59">
        <f>200000/77</f>
        <v>2597.4025974025976</v>
      </c>
      <c r="F63" s="69"/>
      <c r="G63" s="63">
        <f t="shared" si="0"/>
        <v>-83164.515963636339</v>
      </c>
      <c r="H63" s="1" t="s">
        <v>307</v>
      </c>
    </row>
    <row r="64" spans="2:8" x14ac:dyDescent="0.3">
      <c r="B64" s="1" t="s">
        <v>514</v>
      </c>
      <c r="C64" s="25">
        <v>45463</v>
      </c>
      <c r="D64" s="15" t="s">
        <v>123</v>
      </c>
      <c r="E64" s="59">
        <f>62222/77</f>
        <v>808.07792207792204</v>
      </c>
      <c r="F64" s="69"/>
      <c r="G64" s="63">
        <f t="shared" si="0"/>
        <v>-82356.438041558416</v>
      </c>
      <c r="H64" s="1" t="s">
        <v>307</v>
      </c>
    </row>
    <row r="65" spans="2:8" x14ac:dyDescent="0.3">
      <c r="B65" s="1" t="s">
        <v>515</v>
      </c>
      <c r="C65" s="42">
        <v>45469</v>
      </c>
      <c r="D65" s="13" t="s">
        <v>117</v>
      </c>
      <c r="E65" s="66">
        <v>25</v>
      </c>
      <c r="F65" s="69"/>
      <c r="G65" s="63">
        <f t="shared" si="0"/>
        <v>-82331.438041558416</v>
      </c>
      <c r="H65" s="1" t="s">
        <v>307</v>
      </c>
    </row>
    <row r="66" spans="2:8" x14ac:dyDescent="0.3">
      <c r="B66" s="1" t="s">
        <v>515</v>
      </c>
      <c r="C66" s="42">
        <v>45471</v>
      </c>
      <c r="D66" s="13" t="s">
        <v>117</v>
      </c>
      <c r="E66" s="66">
        <v>50</v>
      </c>
      <c r="F66" s="69"/>
      <c r="G66" s="63">
        <f t="shared" si="0"/>
        <v>-82281.438041558416</v>
      </c>
      <c r="H66" t="s">
        <v>307</v>
      </c>
    </row>
    <row r="67" spans="2:8" x14ac:dyDescent="0.3">
      <c r="B67" s="1" t="s">
        <v>515</v>
      </c>
      <c r="C67" s="42">
        <v>45471</v>
      </c>
      <c r="D67" s="15" t="s">
        <v>137</v>
      </c>
      <c r="E67" s="66">
        <v>100</v>
      </c>
      <c r="F67" s="69"/>
      <c r="G67" s="63">
        <f t="shared" si="0"/>
        <v>-82181.438041558416</v>
      </c>
      <c r="H67" t="s">
        <v>307</v>
      </c>
    </row>
    <row r="68" spans="2:8" x14ac:dyDescent="0.3">
      <c r="B68" s="1" t="s">
        <v>515</v>
      </c>
      <c r="C68" s="42">
        <v>45472</v>
      </c>
      <c r="D68" s="15" t="s">
        <v>138</v>
      </c>
      <c r="E68" s="66">
        <v>60</v>
      </c>
      <c r="F68" s="69"/>
      <c r="G68" s="63">
        <f t="shared" si="0"/>
        <v>-82121.438041558416</v>
      </c>
      <c r="H68" t="s">
        <v>307</v>
      </c>
    </row>
    <row r="69" spans="2:8" x14ac:dyDescent="0.3">
      <c r="B69" s="1" t="s">
        <v>515</v>
      </c>
      <c r="C69" s="42">
        <v>45472</v>
      </c>
      <c r="D69" s="15" t="s">
        <v>139</v>
      </c>
      <c r="E69" s="66">
        <v>1350</v>
      </c>
      <c r="F69" s="69"/>
      <c r="G69" s="63">
        <f t="shared" si="0"/>
        <v>-80771.438041558416</v>
      </c>
      <c r="H69" t="s">
        <v>307</v>
      </c>
    </row>
    <row r="70" spans="2:8" x14ac:dyDescent="0.3">
      <c r="B70" s="1" t="s">
        <v>515</v>
      </c>
      <c r="C70" s="25">
        <v>45469</v>
      </c>
      <c r="D70" s="15" t="s">
        <v>144</v>
      </c>
      <c r="E70" s="59">
        <v>21000</v>
      </c>
      <c r="F70" s="69"/>
      <c r="G70" s="63">
        <f t="shared" si="0"/>
        <v>-59771.438041558416</v>
      </c>
      <c r="H70" t="s">
        <v>307</v>
      </c>
    </row>
    <row r="71" spans="2:8" ht="14" x14ac:dyDescent="0.3">
      <c r="B71" s="1" t="s">
        <v>69</v>
      </c>
      <c r="C71" s="84">
        <v>45469</v>
      </c>
      <c r="D71" s="255" t="s">
        <v>140</v>
      </c>
      <c r="E71" s="59"/>
      <c r="F71" s="124">
        <f>26*1580</f>
        <v>41080</v>
      </c>
      <c r="G71" s="63">
        <f t="shared" si="0"/>
        <v>-100851.43804155842</v>
      </c>
      <c r="H71" s="1" t="s">
        <v>307</v>
      </c>
    </row>
    <row r="72" spans="2:8" ht="14" x14ac:dyDescent="0.3">
      <c r="B72" s="1" t="s">
        <v>69</v>
      </c>
      <c r="C72" s="84">
        <v>45471</v>
      </c>
      <c r="D72" s="255" t="s">
        <v>141</v>
      </c>
      <c r="E72" s="59"/>
      <c r="F72" s="124">
        <v>31500</v>
      </c>
      <c r="G72" s="63">
        <f t="shared" si="0"/>
        <v>-132351.43804155843</v>
      </c>
      <c r="H72" s="1" t="s">
        <v>307</v>
      </c>
    </row>
    <row r="73" spans="2:8" x14ac:dyDescent="0.3">
      <c r="B73" s="1" t="s">
        <v>514</v>
      </c>
      <c r="C73" s="42">
        <v>45471</v>
      </c>
      <c r="D73" s="15" t="s">
        <v>145</v>
      </c>
      <c r="E73" s="69">
        <v>2726.09</v>
      </c>
      <c r="F73" s="69"/>
      <c r="G73" s="63">
        <f t="shared" ref="G73:G140" si="1">G72+E73-F73</f>
        <v>-129625.34804155843</v>
      </c>
      <c r="H73" s="1" t="s">
        <v>307</v>
      </c>
    </row>
    <row r="74" spans="2:8" x14ac:dyDescent="0.3">
      <c r="B74" s="1" t="s">
        <v>514</v>
      </c>
      <c r="C74" s="42">
        <v>45471</v>
      </c>
      <c r="D74" s="15" t="s">
        <v>145</v>
      </c>
      <c r="E74" s="69">
        <v>6895.35</v>
      </c>
      <c r="F74" s="69"/>
      <c r="G74" s="63">
        <f t="shared" si="1"/>
        <v>-122729.99804155843</v>
      </c>
      <c r="H74" s="1" t="s">
        <v>307</v>
      </c>
    </row>
    <row r="75" spans="2:8" x14ac:dyDescent="0.3">
      <c r="B75" s="1" t="s">
        <v>514</v>
      </c>
      <c r="C75" s="42">
        <v>45471</v>
      </c>
      <c r="D75" s="15" t="s">
        <v>145</v>
      </c>
      <c r="E75" s="69">
        <v>2719.57</v>
      </c>
      <c r="F75" s="69"/>
      <c r="G75" s="63">
        <f t="shared" si="1"/>
        <v>-120010.42804155842</v>
      </c>
      <c r="H75" s="1" t="s">
        <v>307</v>
      </c>
    </row>
    <row r="76" spans="2:8" x14ac:dyDescent="0.3">
      <c r="B76" s="1" t="s">
        <v>514</v>
      </c>
      <c r="C76" s="42">
        <v>45471</v>
      </c>
      <c r="D76" s="15" t="s">
        <v>146</v>
      </c>
      <c r="E76" s="69">
        <f>30000/76</f>
        <v>394.73684210526318</v>
      </c>
      <c r="F76" s="69"/>
      <c r="G76" s="63">
        <f t="shared" si="1"/>
        <v>-119615.69119945315</v>
      </c>
      <c r="H76" s="1" t="s">
        <v>307</v>
      </c>
    </row>
    <row r="77" spans="2:8" x14ac:dyDescent="0.3">
      <c r="B77" s="1" t="s">
        <v>514</v>
      </c>
      <c r="C77" s="42">
        <v>45471</v>
      </c>
      <c r="D77" s="15" t="s">
        <v>147</v>
      </c>
      <c r="E77" s="69">
        <f>977774/76</f>
        <v>12865.447368421053</v>
      </c>
      <c r="F77" s="69"/>
      <c r="G77" s="63">
        <f t="shared" si="1"/>
        <v>-106750.2438310321</v>
      </c>
      <c r="H77" s="1" t="s">
        <v>307</v>
      </c>
    </row>
    <row r="78" spans="2:8" x14ac:dyDescent="0.3">
      <c r="B78" s="1" t="s">
        <v>514</v>
      </c>
      <c r="C78" s="42">
        <v>45471</v>
      </c>
      <c r="D78" s="15" t="s">
        <v>148</v>
      </c>
      <c r="E78" s="69">
        <f>164448/76</f>
        <v>2163.7894736842104</v>
      </c>
      <c r="F78" s="69"/>
      <c r="G78" s="63">
        <f t="shared" si="1"/>
        <v>-104586.45435734789</v>
      </c>
      <c r="H78" s="1" t="s">
        <v>307</v>
      </c>
    </row>
    <row r="79" spans="2:8" x14ac:dyDescent="0.3">
      <c r="B79" s="1" t="s">
        <v>515</v>
      </c>
      <c r="C79" s="42">
        <v>45473</v>
      </c>
      <c r="D79" s="15" t="s">
        <v>144</v>
      </c>
      <c r="E79" s="69">
        <v>10000</v>
      </c>
      <c r="F79" s="69"/>
      <c r="G79" s="63">
        <f t="shared" si="1"/>
        <v>-94586.454357347888</v>
      </c>
      <c r="H79" s="1" t="s">
        <v>307</v>
      </c>
    </row>
    <row r="80" spans="2:8" x14ac:dyDescent="0.3">
      <c r="B80" s="1" t="s">
        <v>515</v>
      </c>
      <c r="C80" s="42">
        <v>45473</v>
      </c>
      <c r="D80" s="15" t="s">
        <v>144</v>
      </c>
      <c r="E80" s="69">
        <v>10000</v>
      </c>
      <c r="F80" s="69"/>
      <c r="G80" s="63">
        <f t="shared" si="1"/>
        <v>-84586.454357347888</v>
      </c>
      <c r="H80" s="1" t="s">
        <v>307</v>
      </c>
    </row>
    <row r="81" spans="2:10" ht="14" x14ac:dyDescent="0.3">
      <c r="B81" s="1" t="s">
        <v>69</v>
      </c>
      <c r="C81" s="25">
        <v>45474</v>
      </c>
      <c r="D81" s="255" t="s">
        <v>142</v>
      </c>
      <c r="E81" s="69"/>
      <c r="F81" s="124">
        <f>1530*48</f>
        <v>73440</v>
      </c>
      <c r="G81" s="63">
        <f t="shared" si="1"/>
        <v>-158026.45435734789</v>
      </c>
      <c r="H81" s="1" t="s">
        <v>307</v>
      </c>
    </row>
    <row r="82" spans="2:10" x14ac:dyDescent="0.3">
      <c r="B82" s="1" t="s">
        <v>515</v>
      </c>
      <c r="C82" s="25">
        <v>45474</v>
      </c>
      <c r="D82" s="15" t="s">
        <v>144</v>
      </c>
      <c r="E82" s="59">
        <v>73200</v>
      </c>
      <c r="F82" s="69"/>
      <c r="G82" s="63">
        <f t="shared" si="1"/>
        <v>-84826.454357347888</v>
      </c>
      <c r="H82" s="1" t="s">
        <v>307</v>
      </c>
    </row>
    <row r="83" spans="2:10" x14ac:dyDescent="0.3">
      <c r="B83" s="1" t="s">
        <v>514</v>
      </c>
      <c r="C83" s="25">
        <v>45474</v>
      </c>
      <c r="D83" s="15" t="s">
        <v>149</v>
      </c>
      <c r="E83" s="59">
        <f>250000/76</f>
        <v>3289.4736842105262</v>
      </c>
      <c r="F83" s="69"/>
      <c r="G83" s="63">
        <f t="shared" si="1"/>
        <v>-81536.980673137368</v>
      </c>
      <c r="H83" s="1" t="s">
        <v>307</v>
      </c>
    </row>
    <row r="84" spans="2:10" x14ac:dyDescent="0.3">
      <c r="B84" s="1" t="s">
        <v>514</v>
      </c>
      <c r="C84" s="25">
        <v>45475</v>
      </c>
      <c r="D84" s="15" t="s">
        <v>150</v>
      </c>
      <c r="E84" s="59">
        <f>40000/76</f>
        <v>526.31578947368416</v>
      </c>
      <c r="F84" s="69"/>
      <c r="G84" s="63">
        <f t="shared" si="1"/>
        <v>-81010.664883663689</v>
      </c>
      <c r="H84" s="1" t="s">
        <v>307</v>
      </c>
    </row>
    <row r="85" spans="2:10" x14ac:dyDescent="0.3">
      <c r="B85" s="1" t="s">
        <v>514</v>
      </c>
      <c r="C85" s="25">
        <v>45475</v>
      </c>
      <c r="D85" s="15" t="s">
        <v>151</v>
      </c>
      <c r="E85" s="59">
        <f>60000/76</f>
        <v>789.47368421052636</v>
      </c>
      <c r="F85" s="69"/>
      <c r="G85" s="63">
        <f t="shared" si="1"/>
        <v>-80221.191199453169</v>
      </c>
      <c r="H85" s="1" t="s">
        <v>307</v>
      </c>
    </row>
    <row r="86" spans="2:10" x14ac:dyDescent="0.3">
      <c r="B86" s="1" t="s">
        <v>515</v>
      </c>
      <c r="C86" s="25">
        <v>45478</v>
      </c>
      <c r="D86" s="15" t="s">
        <v>270</v>
      </c>
      <c r="E86" s="59">
        <f>15000/76.5</f>
        <v>196.07843137254903</v>
      </c>
      <c r="F86" s="69"/>
      <c r="G86" s="63">
        <f t="shared" si="1"/>
        <v>-80025.112768080624</v>
      </c>
      <c r="H86" s="1" t="s">
        <v>307</v>
      </c>
    </row>
    <row r="87" spans="2:10" x14ac:dyDescent="0.3">
      <c r="B87" s="1" t="s">
        <v>514</v>
      </c>
      <c r="C87" s="25">
        <v>45479</v>
      </c>
      <c r="D87" s="15" t="s">
        <v>152</v>
      </c>
      <c r="E87" s="59">
        <v>59.38</v>
      </c>
      <c r="F87" s="69"/>
      <c r="G87" s="63">
        <f t="shared" si="1"/>
        <v>-79965.732768080619</v>
      </c>
      <c r="H87" s="1" t="s">
        <v>307</v>
      </c>
    </row>
    <row r="88" spans="2:10" x14ac:dyDescent="0.3">
      <c r="B88" s="1" t="s">
        <v>514</v>
      </c>
      <c r="C88" s="25">
        <v>45479</v>
      </c>
      <c r="D88" s="15" t="s">
        <v>152</v>
      </c>
      <c r="E88" s="59">
        <v>10.62</v>
      </c>
      <c r="F88" s="69"/>
      <c r="G88" s="63">
        <f t="shared" si="1"/>
        <v>-79955.112768080624</v>
      </c>
      <c r="H88" s="1" t="s">
        <v>307</v>
      </c>
    </row>
    <row r="89" spans="2:10" x14ac:dyDescent="0.3">
      <c r="B89" s="1" t="s">
        <v>514</v>
      </c>
      <c r="C89" s="25">
        <v>45479</v>
      </c>
      <c r="D89" s="15" t="s">
        <v>153</v>
      </c>
      <c r="E89" s="59">
        <f>14000/76</f>
        <v>184.21052631578948</v>
      </c>
      <c r="F89" s="69"/>
      <c r="G89" s="63">
        <f t="shared" si="1"/>
        <v>-79770.902241764838</v>
      </c>
      <c r="H89" s="1" t="s">
        <v>307</v>
      </c>
    </row>
    <row r="90" spans="2:10" x14ac:dyDescent="0.3">
      <c r="B90" s="1" t="s">
        <v>515</v>
      </c>
      <c r="C90" s="25">
        <v>45479</v>
      </c>
      <c r="D90" s="15" t="s">
        <v>144</v>
      </c>
      <c r="E90" s="59">
        <v>50000</v>
      </c>
      <c r="F90" s="69"/>
      <c r="G90" s="63">
        <f t="shared" si="1"/>
        <v>-29770.902241764838</v>
      </c>
      <c r="H90" s="1" t="s">
        <v>307</v>
      </c>
    </row>
    <row r="91" spans="2:10" x14ac:dyDescent="0.3">
      <c r="B91" t="s">
        <v>477</v>
      </c>
      <c r="C91" s="164">
        <v>45479</v>
      </c>
      <c r="D91" s="163" t="s">
        <v>265</v>
      </c>
      <c r="E91" s="165">
        <v>87500</v>
      </c>
      <c r="F91" s="69"/>
      <c r="G91" s="63">
        <f t="shared" si="1"/>
        <v>57729.097758235162</v>
      </c>
      <c r="H91" s="1"/>
      <c r="J91" s="1" t="s">
        <v>307</v>
      </c>
    </row>
    <row r="92" spans="2:10" x14ac:dyDescent="0.3">
      <c r="B92" s="1" t="s">
        <v>514</v>
      </c>
      <c r="C92" s="25">
        <v>45484</v>
      </c>
      <c r="D92" s="15" t="s">
        <v>154</v>
      </c>
      <c r="E92" s="59">
        <f>200000/76</f>
        <v>2631.5789473684213</v>
      </c>
      <c r="F92" s="69"/>
      <c r="G92" s="63">
        <f>G91+E92-F92</f>
        <v>60360.676705603582</v>
      </c>
      <c r="H92" t="s">
        <v>307</v>
      </c>
    </row>
    <row r="93" spans="2:10" x14ac:dyDescent="0.3">
      <c r="B93" s="1" t="s">
        <v>515</v>
      </c>
      <c r="C93" s="42">
        <v>45474</v>
      </c>
      <c r="D93" s="15" t="s">
        <v>157</v>
      </c>
      <c r="E93" s="66">
        <v>60</v>
      </c>
      <c r="F93" s="69"/>
      <c r="G93" s="63">
        <f t="shared" si="1"/>
        <v>60420.676705603582</v>
      </c>
      <c r="H93" t="s">
        <v>307</v>
      </c>
    </row>
    <row r="94" spans="2:10" x14ac:dyDescent="0.3">
      <c r="B94" s="1" t="s">
        <v>515</v>
      </c>
      <c r="C94" s="42">
        <v>45474</v>
      </c>
      <c r="D94" s="15" t="s">
        <v>158</v>
      </c>
      <c r="E94" s="66">
        <v>1050</v>
      </c>
      <c r="F94" s="69"/>
      <c r="G94" s="63">
        <f t="shared" si="1"/>
        <v>61470.676705603582</v>
      </c>
      <c r="H94" t="s">
        <v>307</v>
      </c>
    </row>
    <row r="95" spans="2:10" x14ac:dyDescent="0.3">
      <c r="B95" s="1" t="s">
        <v>515</v>
      </c>
      <c r="C95" s="42">
        <v>45471</v>
      </c>
      <c r="D95" s="15" t="s">
        <v>166</v>
      </c>
      <c r="E95" s="63">
        <f>Total!I108</f>
        <v>6644.3152</v>
      </c>
      <c r="F95" s="69"/>
      <c r="G95" s="63">
        <f t="shared" si="1"/>
        <v>68114.991905603587</v>
      </c>
      <c r="H95" t="s">
        <v>307</v>
      </c>
    </row>
    <row r="96" spans="2:10" ht="14" x14ac:dyDescent="0.3">
      <c r="B96" s="1" t="s">
        <v>515</v>
      </c>
      <c r="C96" s="270">
        <v>45474</v>
      </c>
      <c r="D96" s="255" t="s">
        <v>414</v>
      </c>
      <c r="E96" s="63">
        <v>20</v>
      </c>
      <c r="F96" s="69"/>
      <c r="G96" s="63">
        <f t="shared" si="1"/>
        <v>68134.991905603587</v>
      </c>
      <c r="H96" s="1" t="s">
        <v>307</v>
      </c>
    </row>
    <row r="97" spans="2:8" x14ac:dyDescent="0.3">
      <c r="B97" s="1" t="s">
        <v>69</v>
      </c>
      <c r="C97" s="25">
        <v>45474</v>
      </c>
      <c r="D97" s="15" t="s">
        <v>174</v>
      </c>
      <c r="E97" s="59"/>
      <c r="F97" s="59">
        <f>1530*24</f>
        <v>36720</v>
      </c>
      <c r="G97" s="63">
        <f t="shared" si="1"/>
        <v>31414.991905603587</v>
      </c>
      <c r="H97" s="1" t="s">
        <v>307</v>
      </c>
    </row>
    <row r="98" spans="2:8" x14ac:dyDescent="0.3">
      <c r="B98" s="1" t="s">
        <v>69</v>
      </c>
      <c r="C98" s="25">
        <v>45478</v>
      </c>
      <c r="D98" s="15" t="s">
        <v>175</v>
      </c>
      <c r="E98" s="59"/>
      <c r="F98" s="59">
        <f>31*1500</f>
        <v>46500</v>
      </c>
      <c r="G98" s="63">
        <f t="shared" si="1"/>
        <v>-15085.008094396413</v>
      </c>
      <c r="H98" s="1" t="s">
        <v>307</v>
      </c>
    </row>
    <row r="99" spans="2:8" x14ac:dyDescent="0.3">
      <c r="B99" s="1" t="s">
        <v>69</v>
      </c>
      <c r="C99" s="25">
        <v>45482</v>
      </c>
      <c r="D99" s="15" t="s">
        <v>176</v>
      </c>
      <c r="E99" s="59"/>
      <c r="F99" s="59">
        <f>3*1425</f>
        <v>4275</v>
      </c>
      <c r="G99" s="63">
        <f t="shared" si="1"/>
        <v>-19360.008094396413</v>
      </c>
      <c r="H99" s="1" t="s">
        <v>307</v>
      </c>
    </row>
    <row r="100" spans="2:8" x14ac:dyDescent="0.3">
      <c r="B100" s="1" t="s">
        <v>515</v>
      </c>
      <c r="C100" s="42">
        <v>45502</v>
      </c>
      <c r="D100" s="15" t="s">
        <v>179</v>
      </c>
      <c r="E100" s="59">
        <f>Total!I118</f>
        <v>2627.88</v>
      </c>
      <c r="F100" s="69"/>
      <c r="G100" s="63">
        <f t="shared" si="1"/>
        <v>-16732.128094396412</v>
      </c>
      <c r="H100" s="1" t="s">
        <v>307</v>
      </c>
    </row>
    <row r="101" spans="2:8" x14ac:dyDescent="0.3">
      <c r="B101" s="1" t="s">
        <v>69</v>
      </c>
      <c r="C101" s="25">
        <v>45491</v>
      </c>
      <c r="D101" s="15" t="s">
        <v>182</v>
      </c>
      <c r="E101" s="59"/>
      <c r="F101" s="68">
        <f>42*1220</f>
        <v>51240</v>
      </c>
      <c r="G101" s="63">
        <f t="shared" si="1"/>
        <v>-67972.128094396408</v>
      </c>
      <c r="H101" s="1" t="s">
        <v>307</v>
      </c>
    </row>
    <row r="102" spans="2:8" x14ac:dyDescent="0.3">
      <c r="B102" s="1" t="s">
        <v>515</v>
      </c>
      <c r="C102" s="25">
        <v>45481</v>
      </c>
      <c r="D102" s="15" t="s">
        <v>193</v>
      </c>
      <c r="E102" s="66">
        <v>1860</v>
      </c>
      <c r="F102" s="69"/>
      <c r="G102" s="63">
        <f t="shared" si="1"/>
        <v>-66112.128094396408</v>
      </c>
      <c r="H102" t="s">
        <v>307</v>
      </c>
    </row>
    <row r="103" spans="2:8" x14ac:dyDescent="0.3">
      <c r="B103" s="1" t="s">
        <v>515</v>
      </c>
      <c r="C103" s="42">
        <v>45482</v>
      </c>
      <c r="D103" s="15" t="s">
        <v>194</v>
      </c>
      <c r="E103" s="66">
        <v>50</v>
      </c>
      <c r="F103" s="69"/>
      <c r="G103" s="63">
        <f t="shared" si="1"/>
        <v>-66062.128094396408</v>
      </c>
      <c r="H103" t="s">
        <v>307</v>
      </c>
    </row>
    <row r="104" spans="2:8" x14ac:dyDescent="0.3">
      <c r="B104" s="1" t="s">
        <v>515</v>
      </c>
      <c r="C104" s="42">
        <v>45482</v>
      </c>
      <c r="D104" s="13" t="s">
        <v>195</v>
      </c>
      <c r="E104" s="66">
        <v>1333</v>
      </c>
      <c r="F104" s="69"/>
      <c r="G104" s="63">
        <f t="shared" si="1"/>
        <v>-64729.128094396408</v>
      </c>
      <c r="H104" t="s">
        <v>307</v>
      </c>
    </row>
    <row r="105" spans="2:8" ht="14" x14ac:dyDescent="0.3">
      <c r="B105" s="1" t="s">
        <v>515</v>
      </c>
      <c r="C105" s="42">
        <v>45482</v>
      </c>
      <c r="D105" s="254" t="s">
        <v>412</v>
      </c>
      <c r="E105" s="67">
        <v>31250</v>
      </c>
      <c r="F105" s="69"/>
      <c r="G105" s="63">
        <f t="shared" si="1"/>
        <v>-33479.128094396408</v>
      </c>
      <c r="H105" t="s">
        <v>307</v>
      </c>
    </row>
    <row r="106" spans="2:8" x14ac:dyDescent="0.3">
      <c r="B106" s="1" t="s">
        <v>515</v>
      </c>
      <c r="C106" s="42">
        <v>45483</v>
      </c>
      <c r="D106" s="13" t="s">
        <v>196</v>
      </c>
      <c r="E106" s="66">
        <v>1000</v>
      </c>
      <c r="F106" s="69"/>
      <c r="G106" s="63">
        <f t="shared" si="1"/>
        <v>-32479.128094396408</v>
      </c>
      <c r="H106" t="s">
        <v>307</v>
      </c>
    </row>
    <row r="107" spans="2:8" x14ac:dyDescent="0.3">
      <c r="B107" s="1" t="s">
        <v>515</v>
      </c>
      <c r="C107" s="42">
        <v>45484</v>
      </c>
      <c r="D107" s="15" t="s">
        <v>197</v>
      </c>
      <c r="E107" s="66">
        <v>100</v>
      </c>
      <c r="F107" s="69"/>
      <c r="G107" s="63">
        <f t="shared" si="1"/>
        <v>-32379.128094396408</v>
      </c>
      <c r="H107" t="s">
        <v>307</v>
      </c>
    </row>
    <row r="108" spans="2:8" x14ac:dyDescent="0.3">
      <c r="B108" s="1" t="s">
        <v>515</v>
      </c>
      <c r="C108" s="25">
        <v>45487</v>
      </c>
      <c r="D108" s="15" t="s">
        <v>194</v>
      </c>
      <c r="E108" s="66">
        <v>20</v>
      </c>
      <c r="F108" s="69"/>
      <c r="G108" s="63">
        <f t="shared" si="1"/>
        <v>-32359.128094396408</v>
      </c>
      <c r="H108" t="s">
        <v>307</v>
      </c>
    </row>
    <row r="109" spans="2:8" x14ac:dyDescent="0.3">
      <c r="B109" s="1" t="s">
        <v>515</v>
      </c>
      <c r="C109" s="25">
        <v>45487</v>
      </c>
      <c r="D109" s="15" t="s">
        <v>198</v>
      </c>
      <c r="E109" s="67">
        <v>1150</v>
      </c>
      <c r="F109" s="69"/>
      <c r="G109" s="63">
        <f t="shared" si="1"/>
        <v>-31209.128094396408</v>
      </c>
      <c r="H109" t="s">
        <v>307</v>
      </c>
    </row>
    <row r="110" spans="2:8" x14ac:dyDescent="0.3">
      <c r="B110" t="s">
        <v>477</v>
      </c>
      <c r="C110" s="25">
        <v>45487</v>
      </c>
      <c r="D110" s="13" t="s">
        <v>199</v>
      </c>
      <c r="E110" s="66">
        <v>90</v>
      </c>
      <c r="F110" s="69"/>
      <c r="G110" s="63">
        <f t="shared" si="1"/>
        <v>-31119.128094396408</v>
      </c>
    </row>
    <row r="111" spans="2:8" x14ac:dyDescent="0.3">
      <c r="B111" s="1" t="s">
        <v>69</v>
      </c>
      <c r="C111" s="25">
        <v>45482</v>
      </c>
      <c r="D111" s="15" t="s">
        <v>200</v>
      </c>
      <c r="E111" s="63"/>
      <c r="F111" s="59">
        <f>1425*20</f>
        <v>28500</v>
      </c>
      <c r="G111" s="63">
        <f t="shared" si="1"/>
        <v>-59619.128094396408</v>
      </c>
      <c r="H111" s="1" t="s">
        <v>307</v>
      </c>
    </row>
    <row r="112" spans="2:8" x14ac:dyDescent="0.3">
      <c r="B112" s="1" t="s">
        <v>69</v>
      </c>
      <c r="C112" s="25">
        <v>45482</v>
      </c>
      <c r="D112" s="15" t="s">
        <v>201</v>
      </c>
      <c r="E112" s="63"/>
      <c r="F112" s="59">
        <f>5*1470</f>
        <v>7350</v>
      </c>
      <c r="G112" s="63">
        <f t="shared" si="1"/>
        <v>-66969.128094396408</v>
      </c>
      <c r="H112" s="1" t="s">
        <v>307</v>
      </c>
    </row>
    <row r="113" spans="2:10" x14ac:dyDescent="0.3">
      <c r="B113" s="1" t="s">
        <v>69</v>
      </c>
      <c r="C113" s="25">
        <v>45484</v>
      </c>
      <c r="D113" s="15" t="s">
        <v>202</v>
      </c>
      <c r="E113" s="63"/>
      <c r="F113" s="59">
        <f>10*1425</f>
        <v>14250</v>
      </c>
      <c r="G113" s="63">
        <f t="shared" si="1"/>
        <v>-81219.128094396408</v>
      </c>
      <c r="H113" s="1" t="s">
        <v>307</v>
      </c>
    </row>
    <row r="114" spans="2:10" x14ac:dyDescent="0.3">
      <c r="B114" s="1" t="s">
        <v>69</v>
      </c>
      <c r="C114" s="25">
        <v>45484</v>
      </c>
      <c r="D114" s="15" t="s">
        <v>203</v>
      </c>
      <c r="E114" s="63"/>
      <c r="F114" s="59">
        <f>1370*20</f>
        <v>27400</v>
      </c>
      <c r="G114" s="63">
        <f t="shared" si="1"/>
        <v>-108619.12809439641</v>
      </c>
      <c r="H114" s="1" t="s">
        <v>307</v>
      </c>
    </row>
    <row r="115" spans="2:10" x14ac:dyDescent="0.3">
      <c r="B115" s="1" t="s">
        <v>69</v>
      </c>
      <c r="C115" s="25">
        <v>45484</v>
      </c>
      <c r="D115" s="15" t="s">
        <v>204</v>
      </c>
      <c r="E115" s="63"/>
      <c r="F115" s="59">
        <f>37*1390</f>
        <v>51430</v>
      </c>
      <c r="G115" s="63">
        <f t="shared" si="1"/>
        <v>-160049.12809439641</v>
      </c>
      <c r="H115" s="1" t="s">
        <v>307</v>
      </c>
    </row>
    <row r="116" spans="2:10" x14ac:dyDescent="0.3">
      <c r="B116" s="1" t="s">
        <v>515</v>
      </c>
      <c r="C116" s="42">
        <v>45488</v>
      </c>
      <c r="D116" s="15" t="s">
        <v>206</v>
      </c>
      <c r="E116" s="59">
        <f>Total!I151</f>
        <v>6126.84</v>
      </c>
      <c r="F116" s="69"/>
      <c r="G116" s="63">
        <f t="shared" si="1"/>
        <v>-153922.28809439641</v>
      </c>
      <c r="H116" s="1" t="s">
        <v>307</v>
      </c>
    </row>
    <row r="117" spans="2:10" x14ac:dyDescent="0.3">
      <c r="B117" s="1" t="s">
        <v>515</v>
      </c>
      <c r="C117" s="42">
        <v>45491</v>
      </c>
      <c r="D117" s="15" t="s">
        <v>198</v>
      </c>
      <c r="E117" s="66">
        <v>950</v>
      </c>
      <c r="F117" s="68"/>
      <c r="G117" s="63">
        <f t="shared" si="1"/>
        <v>-152972.28809439641</v>
      </c>
      <c r="H117" s="1" t="s">
        <v>307</v>
      </c>
    </row>
    <row r="118" spans="2:10" x14ac:dyDescent="0.3">
      <c r="B118" s="1" t="s">
        <v>69</v>
      </c>
      <c r="C118" s="25">
        <v>45491</v>
      </c>
      <c r="D118" s="15" t="s">
        <v>210</v>
      </c>
      <c r="E118" s="63"/>
      <c r="F118" s="59">
        <f>1*1220</f>
        <v>1220</v>
      </c>
      <c r="G118" s="63">
        <f t="shared" si="1"/>
        <v>-154192.28809439641</v>
      </c>
      <c r="H118" s="1" t="s">
        <v>307</v>
      </c>
    </row>
    <row r="119" spans="2:10" x14ac:dyDescent="0.3">
      <c r="B119" s="1" t="s">
        <v>69</v>
      </c>
      <c r="C119" s="25">
        <v>45491</v>
      </c>
      <c r="D119" s="15" t="s">
        <v>211</v>
      </c>
      <c r="E119" s="63"/>
      <c r="F119" s="59">
        <f>30*1240</f>
        <v>37200</v>
      </c>
      <c r="G119" s="63">
        <f t="shared" si="1"/>
        <v>-191392.28809439641</v>
      </c>
      <c r="H119" s="1" t="s">
        <v>307</v>
      </c>
    </row>
    <row r="120" spans="2:10" x14ac:dyDescent="0.3">
      <c r="B120" s="1" t="s">
        <v>69</v>
      </c>
      <c r="C120" s="25">
        <v>45491</v>
      </c>
      <c r="D120" s="15" t="s">
        <v>212</v>
      </c>
      <c r="E120" s="63"/>
      <c r="F120" s="59">
        <f>22*1230</f>
        <v>27060</v>
      </c>
      <c r="G120" s="63">
        <f t="shared" si="1"/>
        <v>-218452.28809439641</v>
      </c>
      <c r="H120" s="1" t="s">
        <v>307</v>
      </c>
    </row>
    <row r="121" spans="2:10" ht="14" x14ac:dyDescent="0.3">
      <c r="B121" t="s">
        <v>477</v>
      </c>
      <c r="C121" s="166">
        <v>45491</v>
      </c>
      <c r="D121" s="167" t="s">
        <v>266</v>
      </c>
      <c r="E121" s="163">
        <v>51000</v>
      </c>
      <c r="F121" s="69"/>
      <c r="G121" s="63">
        <f t="shared" si="1"/>
        <v>-167452.28809439641</v>
      </c>
      <c r="H121" s="1"/>
      <c r="J121" s="1" t="s">
        <v>307</v>
      </c>
    </row>
    <row r="122" spans="2:10" ht="14" x14ac:dyDescent="0.3">
      <c r="B122" s="1" t="s">
        <v>515</v>
      </c>
      <c r="C122" s="112">
        <v>45491</v>
      </c>
      <c r="D122" s="56" t="s">
        <v>214</v>
      </c>
      <c r="E122" s="15">
        <v>20</v>
      </c>
      <c r="F122" s="69"/>
      <c r="G122" s="63">
        <f t="shared" si="1"/>
        <v>-167432.28809439641</v>
      </c>
      <c r="H122" s="1" t="s">
        <v>307</v>
      </c>
    </row>
    <row r="123" spans="2:10" ht="14" x14ac:dyDescent="0.3">
      <c r="B123" s="1" t="s">
        <v>515</v>
      </c>
      <c r="C123" s="112">
        <v>45491</v>
      </c>
      <c r="D123" s="56" t="s">
        <v>215</v>
      </c>
      <c r="E123" s="15">
        <v>20000</v>
      </c>
      <c r="F123" s="69"/>
      <c r="G123" s="63">
        <f t="shared" si="1"/>
        <v>-147432.28809439641</v>
      </c>
      <c r="H123" s="1" t="s">
        <v>307</v>
      </c>
    </row>
    <row r="124" spans="2:10" ht="14" x14ac:dyDescent="0.3">
      <c r="B124" s="1" t="s">
        <v>515</v>
      </c>
      <c r="C124" s="112">
        <v>45491</v>
      </c>
      <c r="D124" s="255" t="s">
        <v>383</v>
      </c>
      <c r="E124" s="15">
        <v>30</v>
      </c>
      <c r="F124" s="69"/>
      <c r="G124" s="63">
        <f t="shared" si="1"/>
        <v>-147402.28809439641</v>
      </c>
      <c r="H124" s="1" t="s">
        <v>307</v>
      </c>
    </row>
    <row r="125" spans="2:10" x14ac:dyDescent="0.3">
      <c r="B125" s="1" t="s">
        <v>514</v>
      </c>
      <c r="C125" s="112">
        <v>45495</v>
      </c>
      <c r="D125" s="15" t="s">
        <v>236</v>
      </c>
      <c r="E125" s="156">
        <f>10000/76.5</f>
        <v>130.718954248366</v>
      </c>
      <c r="F125" s="69"/>
      <c r="G125" s="63">
        <f t="shared" si="1"/>
        <v>-147271.56914014806</v>
      </c>
      <c r="H125" s="1" t="s">
        <v>307</v>
      </c>
    </row>
    <row r="126" spans="2:10" x14ac:dyDescent="0.3">
      <c r="B126" s="1" t="s">
        <v>514</v>
      </c>
      <c r="C126" s="112">
        <v>45495</v>
      </c>
      <c r="D126" s="15" t="s">
        <v>236</v>
      </c>
      <c r="E126" s="156">
        <f>10000/76.5</f>
        <v>130.718954248366</v>
      </c>
      <c r="F126" s="69"/>
      <c r="G126" s="63">
        <f t="shared" si="1"/>
        <v>-147140.8501858997</v>
      </c>
      <c r="H126" s="1" t="s">
        <v>307</v>
      </c>
    </row>
    <row r="127" spans="2:10" ht="14" x14ac:dyDescent="0.3">
      <c r="B127" s="1" t="s">
        <v>515</v>
      </c>
      <c r="C127" s="112">
        <v>45495</v>
      </c>
      <c r="D127" s="90" t="s">
        <v>282</v>
      </c>
      <c r="E127" s="162">
        <f>Total!I197</f>
        <v>70338.995999999999</v>
      </c>
      <c r="F127" s="69"/>
      <c r="G127" s="63">
        <f t="shared" si="1"/>
        <v>-76801.854185899705</v>
      </c>
      <c r="H127" s="1" t="s">
        <v>307</v>
      </c>
    </row>
    <row r="128" spans="2:10" ht="14" x14ac:dyDescent="0.3">
      <c r="B128" s="1" t="s">
        <v>515</v>
      </c>
      <c r="C128" s="112">
        <v>45495</v>
      </c>
      <c r="D128" s="255" t="s">
        <v>405</v>
      </c>
      <c r="E128" s="162">
        <v>40</v>
      </c>
      <c r="F128" s="69"/>
      <c r="G128" s="63">
        <f t="shared" si="1"/>
        <v>-76761.854185899705</v>
      </c>
      <c r="H128" s="1" t="s">
        <v>307</v>
      </c>
    </row>
    <row r="129" spans="2:8" ht="14" x14ac:dyDescent="0.3">
      <c r="B129" s="1" t="s">
        <v>69</v>
      </c>
      <c r="C129" s="88">
        <v>45497</v>
      </c>
      <c r="D129" s="56" t="s">
        <v>343</v>
      </c>
      <c r="E129" s="162"/>
      <c r="F129" s="69">
        <f>1*1180</f>
        <v>1180</v>
      </c>
      <c r="G129" s="63">
        <f t="shared" si="1"/>
        <v>-77941.854185899705</v>
      </c>
      <c r="H129" s="1" t="s">
        <v>307</v>
      </c>
    </row>
    <row r="130" spans="2:8" ht="14" x14ac:dyDescent="0.3">
      <c r="B130" s="1" t="s">
        <v>515</v>
      </c>
      <c r="C130" s="88">
        <v>45497</v>
      </c>
      <c r="D130" s="90" t="s">
        <v>356</v>
      </c>
      <c r="E130" s="162">
        <v>1050</v>
      </c>
      <c r="F130" s="69"/>
      <c r="G130" s="63">
        <f t="shared" si="1"/>
        <v>-76891.854185899705</v>
      </c>
      <c r="H130" s="1" t="s">
        <v>307</v>
      </c>
    </row>
    <row r="131" spans="2:8" ht="14" x14ac:dyDescent="0.3">
      <c r="B131" s="1" t="s">
        <v>515</v>
      </c>
      <c r="C131" s="88">
        <v>45497</v>
      </c>
      <c r="D131" s="90" t="s">
        <v>357</v>
      </c>
      <c r="E131" s="162">
        <v>20</v>
      </c>
      <c r="F131" s="69"/>
      <c r="G131" s="63">
        <f t="shared" si="1"/>
        <v>-76871.854185899705</v>
      </c>
      <c r="H131" s="1" t="s">
        <v>307</v>
      </c>
    </row>
    <row r="132" spans="2:8" ht="14" x14ac:dyDescent="0.3">
      <c r="B132" s="1" t="s">
        <v>69</v>
      </c>
      <c r="C132" s="88">
        <v>45497</v>
      </c>
      <c r="D132" s="56" t="s">
        <v>344</v>
      </c>
      <c r="E132" s="162"/>
      <c r="F132" s="69">
        <f>7*1180</f>
        <v>8260</v>
      </c>
      <c r="G132" s="63">
        <f t="shared" si="1"/>
        <v>-85131.854185899705</v>
      </c>
      <c r="H132" s="1" t="s">
        <v>307</v>
      </c>
    </row>
    <row r="133" spans="2:8" ht="14" x14ac:dyDescent="0.3">
      <c r="B133" s="1" t="s">
        <v>69</v>
      </c>
      <c r="C133" s="88">
        <v>45497</v>
      </c>
      <c r="D133" s="56" t="s">
        <v>345</v>
      </c>
      <c r="E133" s="162"/>
      <c r="F133" s="69">
        <f>20*1180</f>
        <v>23600</v>
      </c>
      <c r="G133" s="63">
        <f t="shared" si="1"/>
        <v>-108731.85418589971</v>
      </c>
      <c r="H133" s="1" t="s">
        <v>307</v>
      </c>
    </row>
    <row r="134" spans="2:8" ht="14" x14ac:dyDescent="0.3">
      <c r="B134" s="1" t="s">
        <v>69</v>
      </c>
      <c r="C134" s="88">
        <v>45497</v>
      </c>
      <c r="D134" s="56" t="s">
        <v>346</v>
      </c>
      <c r="E134" s="162"/>
      <c r="F134" s="69">
        <f>28*1175</f>
        <v>32900</v>
      </c>
      <c r="G134" s="63">
        <f t="shared" si="1"/>
        <v>-141631.85418589972</v>
      </c>
      <c r="H134" s="1" t="s">
        <v>307</v>
      </c>
    </row>
    <row r="135" spans="2:8" ht="14" x14ac:dyDescent="0.3">
      <c r="B135" s="1" t="s">
        <v>515</v>
      </c>
      <c r="C135" s="112">
        <v>45499</v>
      </c>
      <c r="D135" s="90" t="s">
        <v>348</v>
      </c>
      <c r="E135" s="162">
        <v>1050</v>
      </c>
      <c r="F135" s="69"/>
      <c r="G135" s="63">
        <f t="shared" si="1"/>
        <v>-140581.85418589972</v>
      </c>
      <c r="H135" s="1" t="s">
        <v>307</v>
      </c>
    </row>
    <row r="136" spans="2:8" ht="14" x14ac:dyDescent="0.3">
      <c r="B136" s="1" t="s">
        <v>69</v>
      </c>
      <c r="C136" s="25">
        <v>45499</v>
      </c>
      <c r="D136" s="90" t="s">
        <v>349</v>
      </c>
      <c r="E136" s="162"/>
      <c r="F136" s="69">
        <v>35400</v>
      </c>
      <c r="G136" s="63">
        <f t="shared" si="1"/>
        <v>-175981.85418589972</v>
      </c>
      <c r="H136" s="1" t="s">
        <v>307</v>
      </c>
    </row>
    <row r="137" spans="2:8" ht="14" x14ac:dyDescent="0.3">
      <c r="B137" s="1" t="s">
        <v>515</v>
      </c>
      <c r="C137" s="25">
        <v>45501</v>
      </c>
      <c r="D137" s="90" t="s">
        <v>351</v>
      </c>
      <c r="E137" s="162">
        <f>Total!I223</f>
        <v>16284.24</v>
      </c>
      <c r="F137" s="69"/>
      <c r="G137" s="63">
        <f t="shared" si="1"/>
        <v>-159697.61418589973</v>
      </c>
      <c r="H137" s="1" t="s">
        <v>307</v>
      </c>
    </row>
    <row r="138" spans="2:8" ht="14" x14ac:dyDescent="0.3">
      <c r="B138" s="1" t="s">
        <v>515</v>
      </c>
      <c r="C138" s="25">
        <v>45502</v>
      </c>
      <c r="D138" s="56" t="s">
        <v>358</v>
      </c>
      <c r="E138" s="15">
        <v>20</v>
      </c>
      <c r="F138" s="69"/>
      <c r="G138" s="63">
        <f t="shared" si="1"/>
        <v>-159677.61418589973</v>
      </c>
      <c r="H138" t="s">
        <v>307</v>
      </c>
    </row>
    <row r="139" spans="2:8" ht="14" x14ac:dyDescent="0.3">
      <c r="B139" s="1" t="s">
        <v>515</v>
      </c>
      <c r="C139" s="25">
        <v>45502</v>
      </c>
      <c r="D139" s="56" t="s">
        <v>365</v>
      </c>
      <c r="E139" s="13">
        <v>2600</v>
      </c>
      <c r="F139" s="69"/>
      <c r="G139" s="63">
        <f t="shared" si="1"/>
        <v>-157077.61418589973</v>
      </c>
      <c r="H139" t="s">
        <v>307</v>
      </c>
    </row>
    <row r="140" spans="2:8" ht="14" x14ac:dyDescent="0.3">
      <c r="B140" s="1" t="s">
        <v>515</v>
      </c>
      <c r="C140" s="25">
        <v>45502</v>
      </c>
      <c r="D140" s="56" t="s">
        <v>366</v>
      </c>
      <c r="E140" s="13">
        <v>3000</v>
      </c>
      <c r="F140" s="69"/>
      <c r="G140" s="63">
        <f t="shared" si="1"/>
        <v>-154077.61418589973</v>
      </c>
      <c r="H140" t="s">
        <v>307</v>
      </c>
    </row>
    <row r="141" spans="2:8" ht="14" x14ac:dyDescent="0.3">
      <c r="B141" s="1" t="s">
        <v>515</v>
      </c>
      <c r="C141" s="25">
        <v>45502</v>
      </c>
      <c r="D141" s="56" t="s">
        <v>367</v>
      </c>
      <c r="E141" s="13">
        <v>4200</v>
      </c>
      <c r="F141" s="69"/>
      <c r="G141" s="63">
        <f t="shared" ref="G141:G212" si="2">G140+E141-F141</f>
        <v>-149877.61418589973</v>
      </c>
      <c r="H141" t="s">
        <v>307</v>
      </c>
    </row>
    <row r="142" spans="2:8" ht="14" x14ac:dyDescent="0.3">
      <c r="B142" s="1" t="s">
        <v>515</v>
      </c>
      <c r="C142" s="25">
        <v>45502</v>
      </c>
      <c r="D142" s="56" t="s">
        <v>368</v>
      </c>
      <c r="E142" s="13">
        <v>3900</v>
      </c>
      <c r="F142" s="69"/>
      <c r="G142" s="63">
        <f t="shared" si="2"/>
        <v>-145977.61418589973</v>
      </c>
      <c r="H142" t="s">
        <v>307</v>
      </c>
    </row>
    <row r="143" spans="2:8" ht="14" x14ac:dyDescent="0.3">
      <c r="B143" s="1" t="s">
        <v>515</v>
      </c>
      <c r="C143" s="25">
        <v>45502</v>
      </c>
      <c r="D143" s="56" t="s">
        <v>369</v>
      </c>
      <c r="E143" s="13">
        <v>3600</v>
      </c>
      <c r="F143" s="69"/>
      <c r="G143" s="63">
        <f t="shared" si="2"/>
        <v>-142377.61418589973</v>
      </c>
      <c r="H143" t="s">
        <v>307</v>
      </c>
    </row>
    <row r="144" spans="2:8" ht="14" x14ac:dyDescent="0.3">
      <c r="B144" s="1" t="s">
        <v>515</v>
      </c>
      <c r="C144" s="25">
        <v>45502</v>
      </c>
      <c r="D144" s="56" t="s">
        <v>370</v>
      </c>
      <c r="E144" s="13">
        <v>2700</v>
      </c>
      <c r="F144" s="69"/>
      <c r="G144" s="63">
        <f t="shared" si="2"/>
        <v>-139677.61418589973</v>
      </c>
      <c r="H144" t="s">
        <v>307</v>
      </c>
    </row>
    <row r="145" spans="2:8" ht="14" x14ac:dyDescent="0.3">
      <c r="B145" s="1" t="s">
        <v>69</v>
      </c>
      <c r="C145" s="25">
        <v>45502</v>
      </c>
      <c r="D145" s="254" t="s">
        <v>371</v>
      </c>
      <c r="E145" s="13"/>
      <c r="F145" s="125">
        <f>26*1165</f>
        <v>30290</v>
      </c>
      <c r="G145" s="63">
        <f t="shared" si="2"/>
        <v>-169967.61418589973</v>
      </c>
      <c r="H145" s="1" t="s">
        <v>307</v>
      </c>
    </row>
    <row r="146" spans="2:8" ht="14" x14ac:dyDescent="0.3">
      <c r="B146" s="1" t="s">
        <v>515</v>
      </c>
      <c r="C146" s="25">
        <v>45502</v>
      </c>
      <c r="D146" s="254" t="s">
        <v>449</v>
      </c>
      <c r="E146" s="13">
        <v>200</v>
      </c>
      <c r="F146" s="125"/>
      <c r="G146" s="63">
        <f t="shared" si="2"/>
        <v>-169767.61418589973</v>
      </c>
      <c r="H146" s="1"/>
    </row>
    <row r="147" spans="2:8" ht="14" x14ac:dyDescent="0.3">
      <c r="B147" s="1" t="s">
        <v>515</v>
      </c>
      <c r="C147" s="25">
        <v>45504</v>
      </c>
      <c r="D147" s="56" t="s">
        <v>375</v>
      </c>
      <c r="E147" s="15">
        <v>2360</v>
      </c>
      <c r="F147" s="69"/>
      <c r="G147" s="63">
        <f t="shared" si="2"/>
        <v>-167407.61418589973</v>
      </c>
      <c r="H147" s="1" t="s">
        <v>307</v>
      </c>
    </row>
    <row r="148" spans="2:8" ht="14" x14ac:dyDescent="0.3">
      <c r="B148" s="1" t="s">
        <v>69</v>
      </c>
      <c r="C148" s="25">
        <v>45504</v>
      </c>
      <c r="D148" s="90" t="s">
        <v>379</v>
      </c>
      <c r="E148" s="15"/>
      <c r="F148" s="69">
        <f>Total!J217</f>
        <v>23200</v>
      </c>
      <c r="G148" s="63">
        <f t="shared" si="2"/>
        <v>-190607.61418589973</v>
      </c>
      <c r="H148" s="1" t="s">
        <v>307</v>
      </c>
    </row>
    <row r="149" spans="2:8" ht="14" x14ac:dyDescent="0.3">
      <c r="B149" s="1" t="s">
        <v>69</v>
      </c>
      <c r="C149" s="25">
        <v>45504</v>
      </c>
      <c r="D149" s="90" t="s">
        <v>380</v>
      </c>
      <c r="E149" s="15"/>
      <c r="F149" s="69">
        <f>130*1160</f>
        <v>150800</v>
      </c>
      <c r="G149" s="63">
        <f t="shared" si="2"/>
        <v>-341407.61418589973</v>
      </c>
      <c r="H149" s="1" t="s">
        <v>307</v>
      </c>
    </row>
    <row r="150" spans="2:8" ht="14" x14ac:dyDescent="0.3">
      <c r="B150" s="1" t="s">
        <v>515</v>
      </c>
      <c r="C150" s="25">
        <v>45504</v>
      </c>
      <c r="D150" s="255" t="s">
        <v>410</v>
      </c>
      <c r="E150" s="15">
        <v>129000</v>
      </c>
      <c r="F150" s="69"/>
      <c r="G150" s="63">
        <f t="shared" si="2"/>
        <v>-212407.61418589973</v>
      </c>
      <c r="H150" s="1" t="s">
        <v>307</v>
      </c>
    </row>
    <row r="151" spans="2:8" ht="14" x14ac:dyDescent="0.3">
      <c r="B151" s="1" t="s">
        <v>515</v>
      </c>
      <c r="C151" s="25">
        <v>45504</v>
      </c>
      <c r="D151" s="90" t="s">
        <v>438</v>
      </c>
      <c r="E151" s="162">
        <f>Total!I257</f>
        <v>19890</v>
      </c>
      <c r="F151" s="69"/>
      <c r="G151" s="63">
        <f t="shared" si="2"/>
        <v>-192517.61418589973</v>
      </c>
      <c r="H151" s="1"/>
    </row>
    <row r="152" spans="2:8" ht="14" x14ac:dyDescent="0.3">
      <c r="B152" s="1" t="s">
        <v>69</v>
      </c>
      <c r="C152" s="25">
        <v>45506</v>
      </c>
      <c r="D152" s="255" t="s">
        <v>459</v>
      </c>
      <c r="E152" s="15"/>
      <c r="F152" s="69">
        <f>1170*15</f>
        <v>17550</v>
      </c>
      <c r="G152" s="63">
        <f>G151+E152-F152</f>
        <v>-210067.61418589973</v>
      </c>
      <c r="H152" s="1"/>
    </row>
    <row r="153" spans="2:8" ht="14" x14ac:dyDescent="0.3">
      <c r="B153" s="1" t="s">
        <v>515</v>
      </c>
      <c r="C153" s="25">
        <v>45509</v>
      </c>
      <c r="D153" s="255" t="s">
        <v>428</v>
      </c>
      <c r="E153" s="162">
        <f>Total!I224</f>
        <v>17188.920000000002</v>
      </c>
      <c r="F153" s="69"/>
      <c r="G153" s="63">
        <f t="shared" si="2"/>
        <v>-192878.69418589972</v>
      </c>
      <c r="H153" s="1"/>
    </row>
    <row r="154" spans="2:8" x14ac:dyDescent="0.3">
      <c r="B154" s="1" t="s">
        <v>515</v>
      </c>
      <c r="C154" s="25">
        <v>45510</v>
      </c>
      <c r="D154" s="113" t="s">
        <v>434</v>
      </c>
      <c r="E154" s="261">
        <f>65000/77.5</f>
        <v>838.70967741935488</v>
      </c>
      <c r="F154" s="69"/>
      <c r="G154" s="63">
        <f t="shared" si="2"/>
        <v>-192039.98450848035</v>
      </c>
      <c r="H154" s="1"/>
    </row>
    <row r="155" spans="2:8" x14ac:dyDescent="0.3">
      <c r="B155" s="1" t="s">
        <v>515</v>
      </c>
      <c r="C155" s="25">
        <v>45510</v>
      </c>
      <c r="D155" s="16" t="s">
        <v>436</v>
      </c>
      <c r="E155" s="261">
        <v>8500</v>
      </c>
      <c r="F155" s="69"/>
      <c r="G155" s="63">
        <f t="shared" si="2"/>
        <v>-183539.98450848035</v>
      </c>
      <c r="H155" s="1"/>
    </row>
    <row r="156" spans="2:8" ht="14" x14ac:dyDescent="0.3">
      <c r="B156" s="1" t="s">
        <v>514</v>
      </c>
      <c r="C156" s="25">
        <v>45510</v>
      </c>
      <c r="D156" s="255" t="s">
        <v>439</v>
      </c>
      <c r="E156" s="162">
        <f>100000/78</f>
        <v>1282.051282051282</v>
      </c>
      <c r="F156" s="69"/>
      <c r="G156" s="63">
        <f t="shared" si="2"/>
        <v>-182257.93322642907</v>
      </c>
      <c r="H156" s="1"/>
    </row>
    <row r="157" spans="2:8" ht="14" x14ac:dyDescent="0.3">
      <c r="B157" s="1" t="s">
        <v>514</v>
      </c>
      <c r="C157" s="25">
        <v>45510</v>
      </c>
      <c r="D157" s="255" t="s">
        <v>440</v>
      </c>
      <c r="E157" s="162">
        <f>500000/78</f>
        <v>6410.2564102564102</v>
      </c>
      <c r="F157" s="69"/>
      <c r="G157" s="63">
        <f t="shared" si="2"/>
        <v>-175847.67681617266</v>
      </c>
      <c r="H157" s="1"/>
    </row>
    <row r="158" spans="2:8" ht="14" x14ac:dyDescent="0.3">
      <c r="B158" s="1" t="s">
        <v>514</v>
      </c>
      <c r="C158" s="25">
        <v>45510</v>
      </c>
      <c r="D158" s="255" t="s">
        <v>441</v>
      </c>
      <c r="E158" s="162">
        <f>67774/78</f>
        <v>868.89743589743591</v>
      </c>
      <c r="F158" s="69"/>
      <c r="G158" s="63">
        <f t="shared" si="2"/>
        <v>-174978.77938027523</v>
      </c>
      <c r="H158" s="1"/>
    </row>
    <row r="159" spans="2:8" ht="14" x14ac:dyDescent="0.3">
      <c r="B159" s="1" t="s">
        <v>514</v>
      </c>
      <c r="C159" s="25">
        <v>45510</v>
      </c>
      <c r="D159" s="255" t="s">
        <v>441</v>
      </c>
      <c r="E159" s="162">
        <f>164448/78</f>
        <v>2108.3076923076924</v>
      </c>
      <c r="F159" s="69"/>
      <c r="G159" s="63">
        <f t="shared" si="2"/>
        <v>-172870.47168796754</v>
      </c>
      <c r="H159" s="1"/>
    </row>
    <row r="160" spans="2:8" ht="14" x14ac:dyDescent="0.3">
      <c r="B160" s="1" t="s">
        <v>514</v>
      </c>
      <c r="C160" s="25">
        <v>45510</v>
      </c>
      <c r="D160" s="255" t="s">
        <v>442</v>
      </c>
      <c r="E160" s="162">
        <f>300000/78</f>
        <v>3846.1538461538462</v>
      </c>
      <c r="F160" s="69"/>
      <c r="G160" s="63">
        <f t="shared" si="2"/>
        <v>-169024.3178418137</v>
      </c>
      <c r="H160" s="1"/>
    </row>
    <row r="161" spans="2:10" ht="14" x14ac:dyDescent="0.3">
      <c r="B161" s="1" t="s">
        <v>515</v>
      </c>
      <c r="C161" s="25">
        <v>45511</v>
      </c>
      <c r="D161" s="255" t="s">
        <v>447</v>
      </c>
      <c r="E161" s="15">
        <f>355+40</f>
        <v>395</v>
      </c>
      <c r="F161" s="69"/>
      <c r="G161" s="63">
        <f t="shared" si="2"/>
        <v>-168629.3178418137</v>
      </c>
      <c r="H161" s="1"/>
    </row>
    <row r="162" spans="2:10" ht="14" x14ac:dyDescent="0.3">
      <c r="B162" s="1" t="s">
        <v>515</v>
      </c>
      <c r="C162" s="25">
        <v>45516</v>
      </c>
      <c r="D162" s="267" t="s">
        <v>410</v>
      </c>
      <c r="E162" s="269">
        <v>54801</v>
      </c>
      <c r="F162" s="69"/>
      <c r="G162" s="63">
        <f t="shared" si="2"/>
        <v>-113828.3178418137</v>
      </c>
      <c r="H162" s="1"/>
    </row>
    <row r="163" spans="2:10" ht="14" x14ac:dyDescent="0.3">
      <c r="B163" s="1" t="s">
        <v>69</v>
      </c>
      <c r="C163" s="25">
        <v>45517</v>
      </c>
      <c r="D163" s="255" t="s">
        <v>460</v>
      </c>
      <c r="E163" s="15"/>
      <c r="F163" s="69">
        <f>1155*50</f>
        <v>57750</v>
      </c>
      <c r="G163" s="63">
        <f t="shared" si="2"/>
        <v>-171578.3178418137</v>
      </c>
      <c r="H163" s="1"/>
    </row>
    <row r="164" spans="2:10" ht="14" x14ac:dyDescent="0.3">
      <c r="B164" s="1" t="s">
        <v>515</v>
      </c>
      <c r="C164" s="25">
        <v>45517</v>
      </c>
      <c r="D164" s="255" t="s">
        <v>470</v>
      </c>
      <c r="E164" s="15">
        <v>10069.299999999999</v>
      </c>
      <c r="F164" s="69"/>
      <c r="G164" s="63">
        <f t="shared" si="2"/>
        <v>-161509.01784181371</v>
      </c>
      <c r="H164" s="1"/>
    </row>
    <row r="165" spans="2:10" ht="14" x14ac:dyDescent="0.3">
      <c r="B165" s="1" t="s">
        <v>515</v>
      </c>
      <c r="C165" s="25">
        <v>45517</v>
      </c>
      <c r="D165" s="255" t="s">
        <v>470</v>
      </c>
      <c r="E165" s="15">
        <v>40277.19</v>
      </c>
      <c r="F165" s="69"/>
      <c r="G165" s="63">
        <f t="shared" si="2"/>
        <v>-121231.82784181371</v>
      </c>
      <c r="H165" s="1"/>
    </row>
    <row r="166" spans="2:10" ht="14" x14ac:dyDescent="0.3">
      <c r="B166" s="1" t="s">
        <v>514</v>
      </c>
      <c r="C166" s="25">
        <v>45517</v>
      </c>
      <c r="D166" s="255" t="s">
        <v>471</v>
      </c>
      <c r="E166" s="162">
        <f>190000/78</f>
        <v>2435.897435897436</v>
      </c>
      <c r="F166" s="69"/>
      <c r="G166" s="63">
        <f t="shared" si="2"/>
        <v>-118795.93040591627</v>
      </c>
      <c r="H166" s="1"/>
    </row>
    <row r="167" spans="2:10" ht="14" x14ac:dyDescent="0.3">
      <c r="B167" s="1" t="s">
        <v>514</v>
      </c>
      <c r="C167" s="25">
        <v>45517</v>
      </c>
      <c r="D167" s="255" t="s">
        <v>472</v>
      </c>
      <c r="E167" s="162">
        <f>540000/78</f>
        <v>6923.0769230769229</v>
      </c>
      <c r="F167" s="69"/>
      <c r="G167" s="63">
        <f t="shared" si="2"/>
        <v>-111872.85348283935</v>
      </c>
      <c r="H167" s="1"/>
    </row>
    <row r="168" spans="2:10" ht="14" x14ac:dyDescent="0.3">
      <c r="B168" s="1" t="s">
        <v>514</v>
      </c>
      <c r="C168" s="25">
        <v>45517</v>
      </c>
      <c r="D168" s="255" t="s">
        <v>473</v>
      </c>
      <c r="E168" s="162">
        <f>90000/78</f>
        <v>1153.8461538461538</v>
      </c>
      <c r="F168" s="69"/>
      <c r="G168" s="63">
        <f t="shared" si="2"/>
        <v>-110719.00732899319</v>
      </c>
      <c r="H168" s="1"/>
    </row>
    <row r="169" spans="2:10" ht="14" x14ac:dyDescent="0.3">
      <c r="B169" s="1" t="s">
        <v>477</v>
      </c>
      <c r="C169" s="164">
        <v>45520</v>
      </c>
      <c r="D169" s="267" t="s">
        <v>464</v>
      </c>
      <c r="E169" s="163">
        <v>100000</v>
      </c>
      <c r="F169" s="69"/>
      <c r="G169" s="63">
        <f t="shared" si="2"/>
        <v>-10719.00732899319</v>
      </c>
      <c r="H169" s="1"/>
      <c r="J169" s="1" t="s">
        <v>307</v>
      </c>
    </row>
    <row r="170" spans="2:10" x14ac:dyDescent="0.3">
      <c r="B170" s="1" t="s">
        <v>515</v>
      </c>
      <c r="C170" s="25">
        <v>45520</v>
      </c>
      <c r="D170" s="13" t="s">
        <v>540</v>
      </c>
      <c r="E170" s="261">
        <f>630786.1/77</f>
        <v>8192.0272727272732</v>
      </c>
      <c r="F170" s="69"/>
      <c r="G170" s="63">
        <f t="shared" si="2"/>
        <v>-2526.9800562659166</v>
      </c>
      <c r="H170" s="1"/>
      <c r="J170" s="1"/>
    </row>
    <row r="171" spans="2:10" ht="14.5" x14ac:dyDescent="0.35">
      <c r="B171" s="1" t="s">
        <v>69</v>
      </c>
      <c r="C171" s="276">
        <v>45523</v>
      </c>
      <c r="D171" s="9" t="s">
        <v>486</v>
      </c>
      <c r="E171" s="163"/>
      <c r="F171" s="69">
        <f>1140*72</f>
        <v>82080</v>
      </c>
      <c r="G171" s="63">
        <f t="shared" si="2"/>
        <v>-84606.980056265922</v>
      </c>
      <c r="H171" s="1"/>
      <c r="J171" s="1"/>
    </row>
    <row r="172" spans="2:10" ht="14.5" x14ac:dyDescent="0.35">
      <c r="B172" s="1" t="s">
        <v>515</v>
      </c>
      <c r="C172" s="276">
        <v>45528</v>
      </c>
      <c r="D172" s="9" t="s">
        <v>510</v>
      </c>
      <c r="E172" s="15">
        <v>1500</v>
      </c>
      <c r="F172" s="69"/>
      <c r="G172" s="63">
        <f t="shared" si="2"/>
        <v>-83106.980056265922</v>
      </c>
      <c r="H172" s="1"/>
      <c r="J172" s="1"/>
    </row>
    <row r="173" spans="2:10" ht="14.5" x14ac:dyDescent="0.35">
      <c r="B173" s="1" t="s">
        <v>515</v>
      </c>
      <c r="C173" s="276">
        <v>45528</v>
      </c>
      <c r="D173" s="9" t="s">
        <v>511</v>
      </c>
      <c r="E173" s="15">
        <v>1500</v>
      </c>
      <c r="F173" s="69"/>
      <c r="G173" s="63">
        <f t="shared" si="2"/>
        <v>-81606.980056265922</v>
      </c>
      <c r="H173" s="1"/>
      <c r="J173" s="1"/>
    </row>
    <row r="174" spans="2:10" ht="14.5" x14ac:dyDescent="0.35">
      <c r="B174" s="1" t="s">
        <v>515</v>
      </c>
      <c r="C174" s="276">
        <v>45517</v>
      </c>
      <c r="D174" s="9" t="s">
        <v>521</v>
      </c>
      <c r="E174" s="15">
        <f>20000*2.52</f>
        <v>50400</v>
      </c>
      <c r="F174" s="69"/>
      <c r="G174" s="63">
        <f t="shared" si="2"/>
        <v>-31206.980056265922</v>
      </c>
      <c r="H174" s="1"/>
      <c r="J174" s="1"/>
    </row>
    <row r="175" spans="2:10" ht="14.5" x14ac:dyDescent="0.35">
      <c r="B175" s="1" t="s">
        <v>515</v>
      </c>
      <c r="C175" s="276">
        <v>45531</v>
      </c>
      <c r="D175" s="9" t="s">
        <v>523</v>
      </c>
      <c r="E175" s="15">
        <f>400*2.7</f>
        <v>1080</v>
      </c>
      <c r="F175" s="69"/>
      <c r="G175" s="63">
        <f t="shared" si="2"/>
        <v>-30126.980056265922</v>
      </c>
      <c r="H175" s="1"/>
      <c r="J175" s="1"/>
    </row>
    <row r="176" spans="2:10" ht="14.5" x14ac:dyDescent="0.35">
      <c r="B176" s="1"/>
      <c r="C176" s="276"/>
      <c r="D176" s="9"/>
      <c r="E176" s="15"/>
      <c r="F176" s="69"/>
      <c r="G176" s="63">
        <f t="shared" si="2"/>
        <v>-30126.980056265922</v>
      </c>
      <c r="H176" s="1"/>
      <c r="J176" s="1"/>
    </row>
    <row r="177" spans="2:10" ht="14.5" x14ac:dyDescent="0.35">
      <c r="B177" s="1"/>
      <c r="C177" s="276">
        <v>45538</v>
      </c>
      <c r="D177" s="9" t="s">
        <v>541</v>
      </c>
      <c r="E177" s="15">
        <v>3000</v>
      </c>
      <c r="F177" s="69"/>
      <c r="G177" s="63">
        <f t="shared" si="2"/>
        <v>-27126.980056265922</v>
      </c>
      <c r="H177" s="1"/>
      <c r="J177" s="1"/>
    </row>
    <row r="178" spans="2:10" ht="14.5" x14ac:dyDescent="0.35">
      <c r="B178" s="1"/>
      <c r="C178" s="276">
        <v>45539</v>
      </c>
      <c r="D178" s="9" t="s">
        <v>545</v>
      </c>
      <c r="E178" s="15">
        <v>3760</v>
      </c>
      <c r="F178" s="69"/>
      <c r="G178" s="63">
        <f t="shared" si="2"/>
        <v>-23366.980056265922</v>
      </c>
      <c r="H178" s="1"/>
      <c r="J178" s="1"/>
    </row>
    <row r="179" spans="2:10" ht="14.5" x14ac:dyDescent="0.35">
      <c r="B179" s="1"/>
      <c r="C179" s="276">
        <v>45539</v>
      </c>
      <c r="D179" s="9" t="s">
        <v>546</v>
      </c>
      <c r="E179" s="15">
        <v>250</v>
      </c>
      <c r="F179" s="69"/>
      <c r="G179" s="63">
        <f t="shared" si="2"/>
        <v>-23116.980056265922</v>
      </c>
      <c r="H179" s="1"/>
      <c r="J179" s="1"/>
    </row>
    <row r="180" spans="2:10" ht="14" x14ac:dyDescent="0.3">
      <c r="B180" s="1"/>
      <c r="C180" s="84">
        <v>45539</v>
      </c>
      <c r="D180" s="56" t="s">
        <v>575</v>
      </c>
      <c r="E180" s="15"/>
      <c r="F180" s="68">
        <f>150*1170</f>
        <v>175500</v>
      </c>
      <c r="G180" s="63">
        <f t="shared" si="2"/>
        <v>-198616.98005626592</v>
      </c>
      <c r="H180" s="1"/>
      <c r="J180" s="1"/>
    </row>
    <row r="181" spans="2:10" ht="14" x14ac:dyDescent="0.3">
      <c r="B181" s="1"/>
      <c r="C181" s="84">
        <v>45539</v>
      </c>
      <c r="D181" s="56" t="s">
        <v>576</v>
      </c>
      <c r="E181" s="15"/>
      <c r="F181" s="68">
        <f>1170*5</f>
        <v>5850</v>
      </c>
      <c r="G181" s="63">
        <f t="shared" si="2"/>
        <v>-204466.98005626592</v>
      </c>
      <c r="H181" s="1"/>
      <c r="J181" s="1"/>
    </row>
    <row r="182" spans="2:10" ht="14" x14ac:dyDescent="0.3">
      <c r="B182" s="1"/>
      <c r="C182" s="84">
        <v>45539</v>
      </c>
      <c r="D182" s="56" t="s">
        <v>577</v>
      </c>
      <c r="E182" s="15"/>
      <c r="F182" s="68">
        <f>1190*10</f>
        <v>11900</v>
      </c>
      <c r="G182" s="63">
        <f t="shared" si="2"/>
        <v>-216366.98005626592</v>
      </c>
      <c r="H182" s="1"/>
      <c r="J182" s="1"/>
    </row>
    <row r="183" spans="2:10" ht="14" x14ac:dyDescent="0.3">
      <c r="B183" s="1" t="s">
        <v>307</v>
      </c>
      <c r="C183" s="84">
        <v>45540</v>
      </c>
      <c r="D183" s="56" t="s">
        <v>355</v>
      </c>
      <c r="E183" s="15">
        <v>100</v>
      </c>
      <c r="F183" s="68"/>
      <c r="G183" s="63">
        <f t="shared" si="2"/>
        <v>-216266.98005626592</v>
      </c>
      <c r="H183" s="1"/>
      <c r="J183" s="1"/>
    </row>
    <row r="184" spans="2:10" ht="14" x14ac:dyDescent="0.3">
      <c r="B184" s="1" t="s">
        <v>307</v>
      </c>
      <c r="C184" s="84">
        <v>45540</v>
      </c>
      <c r="D184" s="56" t="s">
        <v>578</v>
      </c>
      <c r="E184" s="15"/>
      <c r="F184" s="68">
        <f>1170*20</f>
        <v>23400</v>
      </c>
      <c r="G184" s="63">
        <f t="shared" si="2"/>
        <v>-239666.98005626592</v>
      </c>
      <c r="H184" s="1"/>
      <c r="J184" s="1"/>
    </row>
    <row r="185" spans="2:10" ht="14" x14ac:dyDescent="0.3">
      <c r="B185" s="1" t="s">
        <v>307</v>
      </c>
      <c r="C185" s="84">
        <v>45540</v>
      </c>
      <c r="D185" s="56" t="s">
        <v>579</v>
      </c>
      <c r="E185" s="15"/>
      <c r="F185" s="68">
        <f>100*1170</f>
        <v>117000</v>
      </c>
      <c r="G185" s="63">
        <f t="shared" si="2"/>
        <v>-356666.98005626595</v>
      </c>
      <c r="H185" s="1"/>
      <c r="J185" s="1"/>
    </row>
    <row r="186" spans="2:10" ht="14" x14ac:dyDescent="0.3">
      <c r="B186" s="1" t="s">
        <v>307</v>
      </c>
      <c r="C186" s="84">
        <v>45540</v>
      </c>
      <c r="D186" s="56" t="s">
        <v>580</v>
      </c>
      <c r="E186" s="15"/>
      <c r="F186" s="68">
        <f>60*1175</f>
        <v>70500</v>
      </c>
      <c r="G186" s="63">
        <f t="shared" si="2"/>
        <v>-427166.98005626595</v>
      </c>
      <c r="H186" s="1"/>
      <c r="J186" s="1"/>
    </row>
    <row r="187" spans="2:10" ht="14" x14ac:dyDescent="0.3">
      <c r="B187" s="1" t="s">
        <v>307</v>
      </c>
      <c r="C187" s="84">
        <v>45540</v>
      </c>
      <c r="D187" s="56" t="s">
        <v>576</v>
      </c>
      <c r="E187" s="15"/>
      <c r="F187" s="68">
        <f>1170*5</f>
        <v>5850</v>
      </c>
      <c r="G187" s="63">
        <f t="shared" si="2"/>
        <v>-433016.98005626595</v>
      </c>
      <c r="H187" s="1"/>
      <c r="J187" s="1"/>
    </row>
    <row r="188" spans="2:10" ht="14" x14ac:dyDescent="0.3">
      <c r="B188" s="1" t="s">
        <v>307</v>
      </c>
      <c r="C188" s="84">
        <v>45541</v>
      </c>
      <c r="D188" s="56" t="s">
        <v>581</v>
      </c>
      <c r="E188" s="15"/>
      <c r="F188" s="68">
        <f>1170*44</f>
        <v>51480</v>
      </c>
      <c r="G188" s="63">
        <f t="shared" si="2"/>
        <v>-484496.98005626595</v>
      </c>
      <c r="H188" s="1"/>
      <c r="J188" s="1"/>
    </row>
    <row r="189" spans="2:10" ht="14" x14ac:dyDescent="0.3">
      <c r="B189" s="1" t="s">
        <v>307</v>
      </c>
      <c r="C189" s="84">
        <v>45541</v>
      </c>
      <c r="D189" s="56" t="s">
        <v>582</v>
      </c>
      <c r="E189" s="15"/>
      <c r="F189" s="68">
        <f>1170*6</f>
        <v>7020</v>
      </c>
      <c r="G189" s="63">
        <f t="shared" si="2"/>
        <v>-491516.98005626595</v>
      </c>
      <c r="H189" s="1"/>
      <c r="J189" s="1"/>
    </row>
    <row r="190" spans="2:10" ht="14.5" x14ac:dyDescent="0.35">
      <c r="B190" s="1" t="s">
        <v>307</v>
      </c>
      <c r="C190" s="84">
        <v>45541</v>
      </c>
      <c r="D190" s="9" t="s">
        <v>619</v>
      </c>
      <c r="E190" s="15">
        <v>200000</v>
      </c>
      <c r="F190" s="69"/>
      <c r="G190" s="63">
        <f t="shared" si="2"/>
        <v>-291516.98005626595</v>
      </c>
      <c r="H190" s="1"/>
      <c r="J190" s="1"/>
    </row>
    <row r="191" spans="2:10" ht="14.5" x14ac:dyDescent="0.35">
      <c r="B191" s="1" t="s">
        <v>307</v>
      </c>
      <c r="C191" s="84">
        <v>45541</v>
      </c>
      <c r="D191" s="9" t="s">
        <v>714</v>
      </c>
      <c r="E191" s="15">
        <v>3606</v>
      </c>
      <c r="F191" s="69"/>
      <c r="G191" s="63">
        <f>G190+E191-F191</f>
        <v>-287910.98005626595</v>
      </c>
      <c r="H191" s="1"/>
      <c r="J191" s="1"/>
    </row>
    <row r="192" spans="2:10" ht="14.5" x14ac:dyDescent="0.35">
      <c r="B192" s="1"/>
      <c r="C192" s="86">
        <v>45541</v>
      </c>
      <c r="D192" s="357" t="s">
        <v>780</v>
      </c>
      <c r="E192" s="390">
        <v>2557.54</v>
      </c>
      <c r="F192" s="69"/>
      <c r="G192" s="63">
        <f t="shared" ref="G192:G193" si="3">G191+E192-F192</f>
        <v>-285353.44005626597</v>
      </c>
      <c r="H192" s="1"/>
      <c r="J192" s="1"/>
    </row>
    <row r="193" spans="2:10" ht="14.5" x14ac:dyDescent="0.35">
      <c r="B193" s="1"/>
      <c r="C193" s="88">
        <v>45547</v>
      </c>
      <c r="D193" s="9" t="s">
        <v>692</v>
      </c>
      <c r="E193" s="15">
        <f>6000*2.53</f>
        <v>15179.999999999998</v>
      </c>
      <c r="F193" s="69"/>
      <c r="G193" s="63">
        <f t="shared" si="3"/>
        <v>-270173.44005626597</v>
      </c>
      <c r="H193" s="1"/>
      <c r="J193" s="1"/>
    </row>
    <row r="194" spans="2:10" ht="14.5" x14ac:dyDescent="0.35">
      <c r="B194" s="1"/>
      <c r="C194" s="88">
        <v>45547</v>
      </c>
      <c r="D194" s="9" t="s">
        <v>693</v>
      </c>
      <c r="E194" s="15">
        <f>3850*2.53</f>
        <v>9740.5</v>
      </c>
      <c r="F194" s="69"/>
      <c r="G194" s="63">
        <f t="shared" si="2"/>
        <v>-260432.94005626597</v>
      </c>
      <c r="H194" s="1"/>
      <c r="J194" s="1"/>
    </row>
    <row r="195" spans="2:10" ht="14.5" x14ac:dyDescent="0.35">
      <c r="B195" s="1"/>
      <c r="C195" s="88">
        <v>45547</v>
      </c>
      <c r="D195" s="9" t="s">
        <v>694</v>
      </c>
      <c r="E195" s="15">
        <f>2235*2.53</f>
        <v>5654.5499999999993</v>
      </c>
      <c r="F195" s="69"/>
      <c r="G195" s="63">
        <f t="shared" si="2"/>
        <v>-254778.39005626598</v>
      </c>
      <c r="H195" s="1"/>
      <c r="J195" s="1"/>
    </row>
    <row r="196" spans="2:10" ht="14.5" x14ac:dyDescent="0.35">
      <c r="B196" s="1"/>
      <c r="C196" s="88">
        <v>45547</v>
      </c>
      <c r="D196" s="9" t="s">
        <v>695</v>
      </c>
      <c r="E196" s="15">
        <f>1560*2.53</f>
        <v>3946.7999999999997</v>
      </c>
      <c r="F196" s="69"/>
      <c r="G196" s="63">
        <f t="shared" si="2"/>
        <v>-250831.590056266</v>
      </c>
      <c r="H196" s="1"/>
      <c r="J196" s="1"/>
    </row>
    <row r="197" spans="2:10" ht="14.5" x14ac:dyDescent="0.35">
      <c r="B197" s="1"/>
      <c r="C197" s="88">
        <v>45547</v>
      </c>
      <c r="D197" s="9" t="s">
        <v>696</v>
      </c>
      <c r="E197" s="15">
        <f>745*2.53</f>
        <v>1884.85</v>
      </c>
      <c r="F197" s="69"/>
      <c r="G197" s="63">
        <f t="shared" si="2"/>
        <v>-248946.74005626599</v>
      </c>
      <c r="H197" s="1"/>
      <c r="J197" s="1"/>
    </row>
    <row r="198" spans="2:10" ht="14.5" x14ac:dyDescent="0.35">
      <c r="B198" s="1"/>
      <c r="C198" s="88">
        <v>45547</v>
      </c>
      <c r="D198" s="9" t="s">
        <v>697</v>
      </c>
      <c r="E198" s="15">
        <f>1598*2.53</f>
        <v>4042.9399999999996</v>
      </c>
      <c r="F198" s="69"/>
      <c r="G198" s="63">
        <f t="shared" si="2"/>
        <v>-244903.80005626599</v>
      </c>
      <c r="H198" s="1"/>
      <c r="J198" s="1"/>
    </row>
    <row r="199" spans="2:10" ht="14.5" x14ac:dyDescent="0.35">
      <c r="B199" s="1"/>
      <c r="C199" s="88">
        <v>45547</v>
      </c>
      <c r="D199" s="9" t="s">
        <v>699</v>
      </c>
      <c r="E199" s="15">
        <f>6064*2.53</f>
        <v>15341.919999999998</v>
      </c>
      <c r="F199" s="69"/>
      <c r="G199" s="63">
        <f t="shared" si="2"/>
        <v>-229561.88005626597</v>
      </c>
      <c r="H199" s="1"/>
      <c r="J199" s="1"/>
    </row>
    <row r="200" spans="2:10" ht="14.5" x14ac:dyDescent="0.35">
      <c r="B200" s="1" t="s">
        <v>307</v>
      </c>
      <c r="C200" s="84">
        <v>45548</v>
      </c>
      <c r="D200" s="9" t="s">
        <v>706</v>
      </c>
      <c r="E200" s="15">
        <v>1060</v>
      </c>
      <c r="F200" s="69"/>
      <c r="G200" s="63">
        <f t="shared" si="2"/>
        <v>-228501.88005626597</v>
      </c>
      <c r="H200" s="1"/>
      <c r="J200" s="1"/>
    </row>
    <row r="201" spans="2:10" ht="14.5" x14ac:dyDescent="0.35">
      <c r="B201" s="1" t="s">
        <v>307</v>
      </c>
      <c r="C201" s="84">
        <v>45548</v>
      </c>
      <c r="D201" s="9" t="s">
        <v>708</v>
      </c>
      <c r="E201" s="15"/>
      <c r="F201" s="69">
        <f>23*2780</f>
        <v>63940</v>
      </c>
      <c r="G201" s="63">
        <f t="shared" si="2"/>
        <v>-292441.88005626597</v>
      </c>
      <c r="H201" s="1"/>
      <c r="J201" s="1"/>
    </row>
    <row r="202" spans="2:10" ht="14.5" x14ac:dyDescent="0.35">
      <c r="B202" s="1" t="s">
        <v>307</v>
      </c>
      <c r="C202" s="84">
        <v>45548</v>
      </c>
      <c r="D202" s="9" t="s">
        <v>751</v>
      </c>
      <c r="E202" s="15"/>
      <c r="F202" s="69">
        <f>1165*30</f>
        <v>34950</v>
      </c>
      <c r="G202" s="63">
        <f t="shared" si="2"/>
        <v>-327391.88005626597</v>
      </c>
      <c r="H202" s="1"/>
      <c r="J202" s="1"/>
    </row>
    <row r="203" spans="2:10" ht="14" x14ac:dyDescent="0.3">
      <c r="B203" s="1"/>
      <c r="C203" s="84">
        <v>45549</v>
      </c>
      <c r="D203" s="56" t="s">
        <v>782</v>
      </c>
      <c r="E203" s="388">
        <v>22037.56</v>
      </c>
      <c r="F203" s="69"/>
      <c r="G203" s="63">
        <f t="shared" si="2"/>
        <v>-305354.32005626598</v>
      </c>
      <c r="H203" s="1"/>
      <c r="J203" s="1"/>
    </row>
    <row r="204" spans="2:10" ht="14" x14ac:dyDescent="0.3">
      <c r="B204" s="1"/>
      <c r="C204" s="84">
        <v>45549</v>
      </c>
      <c r="D204" s="56" t="s">
        <v>783</v>
      </c>
      <c r="E204" s="388">
        <v>25630.080000000002</v>
      </c>
      <c r="F204" s="69"/>
      <c r="G204" s="63">
        <f t="shared" si="2"/>
        <v>-279724.24005626596</v>
      </c>
      <c r="H204" s="1"/>
      <c r="J204" s="1"/>
    </row>
    <row r="205" spans="2:10" ht="14.5" x14ac:dyDescent="0.35">
      <c r="B205" s="1" t="s">
        <v>307</v>
      </c>
      <c r="C205" s="84">
        <v>45549</v>
      </c>
      <c r="D205" s="9" t="s">
        <v>711</v>
      </c>
      <c r="E205" s="126">
        <v>1185</v>
      </c>
      <c r="F205" s="69"/>
      <c r="G205" s="63">
        <f t="shared" si="2"/>
        <v>-278539.24005626596</v>
      </c>
      <c r="H205" s="1"/>
      <c r="J205" s="1"/>
    </row>
    <row r="206" spans="2:10" ht="14" x14ac:dyDescent="0.3">
      <c r="B206" s="1"/>
      <c r="C206" s="88">
        <v>45549</v>
      </c>
      <c r="D206" s="56" t="s">
        <v>859</v>
      </c>
      <c r="E206" s="126">
        <v>1770.6</v>
      </c>
      <c r="F206" s="69"/>
      <c r="G206" s="63">
        <f t="shared" si="2"/>
        <v>-276768.64005626598</v>
      </c>
      <c r="H206" s="1"/>
      <c r="J206" s="1"/>
    </row>
    <row r="207" spans="2:10" ht="14" x14ac:dyDescent="0.3">
      <c r="B207" s="1"/>
      <c r="C207" s="88">
        <v>45549</v>
      </c>
      <c r="D207" s="56" t="s">
        <v>785</v>
      </c>
      <c r="E207" s="63">
        <v>4572.7700000000004</v>
      </c>
      <c r="F207" s="69"/>
      <c r="G207" s="63">
        <f t="shared" si="2"/>
        <v>-272195.87005626597</v>
      </c>
      <c r="H207" s="1"/>
      <c r="J207" s="1"/>
    </row>
    <row r="208" spans="2:10" ht="14" x14ac:dyDescent="0.3">
      <c r="B208" s="1"/>
      <c r="C208" s="88">
        <v>45549</v>
      </c>
      <c r="D208" s="56" t="s">
        <v>793</v>
      </c>
      <c r="E208" s="63">
        <v>7621.28</v>
      </c>
      <c r="F208" s="69"/>
      <c r="G208" s="63">
        <f t="shared" si="2"/>
        <v>-264574.59005626594</v>
      </c>
      <c r="H208" s="1"/>
      <c r="J208" s="1"/>
    </row>
    <row r="209" spans="2:10" ht="14" x14ac:dyDescent="0.3">
      <c r="B209" s="1"/>
      <c r="C209" s="88">
        <v>45549</v>
      </c>
      <c r="D209" s="56" t="s">
        <v>794</v>
      </c>
      <c r="E209" s="63">
        <v>762.13</v>
      </c>
      <c r="F209" s="69"/>
      <c r="G209" s="63">
        <f t="shared" si="2"/>
        <v>-263812.46005626593</v>
      </c>
      <c r="H209" s="1"/>
      <c r="J209" s="1"/>
    </row>
    <row r="210" spans="2:10" ht="14.5" x14ac:dyDescent="0.35">
      <c r="B210" s="1" t="s">
        <v>307</v>
      </c>
      <c r="C210" s="84">
        <v>45549</v>
      </c>
      <c r="D210" s="9" t="s">
        <v>712</v>
      </c>
      <c r="E210" s="126">
        <v>85</v>
      </c>
      <c r="F210" s="69"/>
      <c r="G210" s="63">
        <f t="shared" si="2"/>
        <v>-263727.46005626593</v>
      </c>
      <c r="H210" s="1"/>
      <c r="J210" s="1"/>
    </row>
    <row r="211" spans="2:10" ht="14.5" x14ac:dyDescent="0.35">
      <c r="B211" s="1" t="s">
        <v>307</v>
      </c>
      <c r="C211" s="84">
        <v>45549</v>
      </c>
      <c r="D211" s="9" t="s">
        <v>716</v>
      </c>
      <c r="E211" s="126">
        <v>131191</v>
      </c>
      <c r="F211" s="69"/>
      <c r="G211" s="63">
        <f t="shared" si="2"/>
        <v>-132536.46005626593</v>
      </c>
      <c r="H211" s="1"/>
      <c r="J211" s="1"/>
    </row>
    <row r="212" spans="2:10" ht="14.5" x14ac:dyDescent="0.35">
      <c r="B212" s="1" t="s">
        <v>307</v>
      </c>
      <c r="C212" s="391">
        <v>45549</v>
      </c>
      <c r="D212" s="392" t="s">
        <v>752</v>
      </c>
      <c r="E212" s="171">
        <v>100000</v>
      </c>
      <c r="F212" s="69"/>
      <c r="G212" s="63">
        <f t="shared" si="2"/>
        <v>-32536.460056265933</v>
      </c>
      <c r="H212" s="1"/>
      <c r="J212" s="1"/>
    </row>
    <row r="213" spans="2:10" ht="14.5" x14ac:dyDescent="0.35">
      <c r="B213" s="1" t="s">
        <v>307</v>
      </c>
      <c r="C213" s="84">
        <v>45552</v>
      </c>
      <c r="D213" s="9" t="s">
        <v>355</v>
      </c>
      <c r="E213" s="126">
        <v>60</v>
      </c>
      <c r="F213" s="69"/>
      <c r="G213" s="63">
        <f t="shared" ref="G213:G265" si="4">G212+E213-F213</f>
        <v>-32476.460056265933</v>
      </c>
      <c r="H213" s="1"/>
      <c r="J213" s="1"/>
    </row>
    <row r="214" spans="2:10" ht="14" x14ac:dyDescent="0.3">
      <c r="B214" s="1" t="s">
        <v>307</v>
      </c>
      <c r="C214" s="88">
        <v>45552</v>
      </c>
      <c r="D214" s="56" t="s">
        <v>774</v>
      </c>
      <c r="E214" s="126">
        <v>1507.88</v>
      </c>
      <c r="F214" s="69"/>
      <c r="G214" s="63">
        <f t="shared" si="4"/>
        <v>-30968.580056265931</v>
      </c>
      <c r="H214" s="1"/>
      <c r="J214" s="1"/>
    </row>
    <row r="215" spans="2:10" ht="14.5" x14ac:dyDescent="0.35">
      <c r="B215" s="1" t="s">
        <v>307</v>
      </c>
      <c r="C215" s="84">
        <v>45553</v>
      </c>
      <c r="D215" s="9" t="s">
        <v>753</v>
      </c>
      <c r="E215" s="126"/>
      <c r="F215" s="419">
        <f>30*1175</f>
        <v>35250</v>
      </c>
      <c r="G215" s="63">
        <f t="shared" si="4"/>
        <v>-66218.580056265928</v>
      </c>
      <c r="H215" s="1"/>
      <c r="J215" s="1"/>
    </row>
    <row r="216" spans="2:10" ht="14.5" x14ac:dyDescent="0.35">
      <c r="B216" s="1" t="s">
        <v>307</v>
      </c>
      <c r="C216" s="84">
        <v>45553</v>
      </c>
      <c r="D216" s="9" t="s">
        <v>754</v>
      </c>
      <c r="E216" s="126"/>
      <c r="F216" s="419">
        <f>20*1170</f>
        <v>23400</v>
      </c>
      <c r="G216" s="63">
        <f t="shared" si="4"/>
        <v>-89618.580056265928</v>
      </c>
      <c r="H216" s="1"/>
      <c r="J216" s="1"/>
    </row>
    <row r="217" spans="2:10" ht="14.5" x14ac:dyDescent="0.35">
      <c r="B217" s="1" t="s">
        <v>307</v>
      </c>
      <c r="C217" s="84">
        <v>45553</v>
      </c>
      <c r="D217" s="9" t="s">
        <v>755</v>
      </c>
      <c r="E217" s="126"/>
      <c r="F217" s="419">
        <f>1170*10</f>
        <v>11700</v>
      </c>
      <c r="G217" s="63">
        <f t="shared" si="4"/>
        <v>-101318.58005626593</v>
      </c>
      <c r="H217" s="1"/>
      <c r="J217" s="1"/>
    </row>
    <row r="218" spans="2:10" ht="14.5" x14ac:dyDescent="0.35">
      <c r="B218" s="1" t="s">
        <v>307</v>
      </c>
      <c r="C218" s="84">
        <v>45553</v>
      </c>
      <c r="D218" s="9" t="s">
        <v>756</v>
      </c>
      <c r="E218" s="126"/>
      <c r="F218" s="419">
        <f>1170*5</f>
        <v>5850</v>
      </c>
      <c r="G218" s="63">
        <f t="shared" si="4"/>
        <v>-107168.58005626593</v>
      </c>
      <c r="H218" s="1"/>
      <c r="J218" s="1"/>
    </row>
    <row r="219" spans="2:10" ht="14.5" x14ac:dyDescent="0.35">
      <c r="B219" s="1" t="s">
        <v>307</v>
      </c>
      <c r="C219" s="84">
        <v>45553</v>
      </c>
      <c r="D219" s="9" t="s">
        <v>1073</v>
      </c>
      <c r="E219" s="126"/>
      <c r="F219" s="419">
        <f>1170*5</f>
        <v>5850</v>
      </c>
      <c r="G219" s="63">
        <f t="shared" si="4"/>
        <v>-113018.58005626593</v>
      </c>
      <c r="H219" s="1"/>
      <c r="J219" s="1"/>
    </row>
    <row r="220" spans="2:10" ht="14.5" x14ac:dyDescent="0.35">
      <c r="B220" s="1" t="s">
        <v>307</v>
      </c>
      <c r="C220" s="84">
        <v>45553</v>
      </c>
      <c r="D220" s="9" t="s">
        <v>757</v>
      </c>
      <c r="E220" s="126">
        <v>325</v>
      </c>
      <c r="F220" s="69"/>
      <c r="G220" s="63">
        <f t="shared" si="4"/>
        <v>-112693.58005626593</v>
      </c>
      <c r="H220" s="1"/>
      <c r="J220" s="1"/>
    </row>
    <row r="221" spans="2:10" ht="14.5" x14ac:dyDescent="0.35">
      <c r="B221" s="1" t="s">
        <v>307</v>
      </c>
      <c r="C221" s="84">
        <v>45553</v>
      </c>
      <c r="D221" s="9" t="s">
        <v>758</v>
      </c>
      <c r="E221" s="126">
        <v>47762</v>
      </c>
      <c r="F221" s="69"/>
      <c r="G221" s="63">
        <f t="shared" si="4"/>
        <v>-64931.580056265928</v>
      </c>
      <c r="H221" s="1"/>
      <c r="J221" s="1"/>
    </row>
    <row r="222" spans="2:10" ht="14" x14ac:dyDescent="0.3">
      <c r="B222" s="1"/>
      <c r="C222" s="88">
        <v>45553</v>
      </c>
      <c r="D222" s="56" t="s">
        <v>997</v>
      </c>
      <c r="E222" s="126">
        <v>751.41</v>
      </c>
      <c r="F222" s="69"/>
      <c r="G222" s="63">
        <f t="shared" si="4"/>
        <v>-64180.170056265924</v>
      </c>
      <c r="H222" s="1"/>
      <c r="J222" s="1"/>
    </row>
    <row r="223" spans="2:10" ht="14" x14ac:dyDescent="0.3">
      <c r="B223" s="1"/>
      <c r="C223" s="88">
        <v>45553</v>
      </c>
      <c r="D223" s="56" t="s">
        <v>998</v>
      </c>
      <c r="E223" s="126">
        <v>753.94</v>
      </c>
      <c r="F223" s="69"/>
      <c r="G223" s="63">
        <f t="shared" si="4"/>
        <v>-63426.230056265922</v>
      </c>
      <c r="H223" s="1"/>
      <c r="J223" s="1"/>
    </row>
    <row r="224" spans="2:10" ht="14" x14ac:dyDescent="0.3">
      <c r="B224" s="1"/>
      <c r="C224" s="88">
        <v>45554</v>
      </c>
      <c r="D224" s="56" t="s">
        <v>812</v>
      </c>
      <c r="E224" s="126">
        <f>299*2.53</f>
        <v>756.46999999999991</v>
      </c>
      <c r="F224" s="69"/>
      <c r="G224" s="63">
        <f t="shared" si="4"/>
        <v>-62669.760056265921</v>
      </c>
      <c r="H224" s="1"/>
      <c r="J224" s="1"/>
    </row>
    <row r="225" spans="2:10" ht="14" x14ac:dyDescent="0.3">
      <c r="C225" s="88">
        <v>45554</v>
      </c>
      <c r="D225" s="56" t="s">
        <v>814</v>
      </c>
      <c r="E225" s="126">
        <f>297*2.53</f>
        <v>751.41</v>
      </c>
      <c r="F225" s="69"/>
      <c r="G225" s="63">
        <f t="shared" si="4"/>
        <v>-61918.350056265917</v>
      </c>
      <c r="H225" s="1"/>
      <c r="J225" s="1"/>
    </row>
    <row r="226" spans="2:10" ht="14.5" x14ac:dyDescent="0.35">
      <c r="B226" s="1" t="s">
        <v>307</v>
      </c>
      <c r="C226" s="88">
        <v>45556</v>
      </c>
      <c r="D226" s="9" t="s">
        <v>1057</v>
      </c>
      <c r="E226" s="126">
        <v>7500</v>
      </c>
      <c r="F226" s="69"/>
      <c r="G226" s="63">
        <f t="shared" si="4"/>
        <v>-54418.350056265917</v>
      </c>
      <c r="H226" s="1"/>
      <c r="J226" s="1"/>
    </row>
    <row r="227" spans="2:10" ht="14.5" x14ac:dyDescent="0.35">
      <c r="B227" s="1"/>
      <c r="C227" s="88">
        <v>45556</v>
      </c>
      <c r="D227" s="9" t="s">
        <v>1058</v>
      </c>
      <c r="E227" s="126">
        <f>10000*2.53</f>
        <v>25299.999999999996</v>
      </c>
      <c r="F227" s="69"/>
      <c r="G227" s="63">
        <f t="shared" si="4"/>
        <v>-29118.350056265921</v>
      </c>
      <c r="H227" s="1"/>
      <c r="J227" s="1"/>
    </row>
    <row r="228" spans="2:10" ht="14.5" x14ac:dyDescent="0.35">
      <c r="B228" s="1" t="s">
        <v>307</v>
      </c>
      <c r="C228" s="88">
        <v>45558</v>
      </c>
      <c r="D228" s="9" t="s">
        <v>1082</v>
      </c>
      <c r="E228" s="126"/>
      <c r="F228" s="419">
        <v>195520</v>
      </c>
      <c r="G228" s="63">
        <f t="shared" si="4"/>
        <v>-224638.35005626592</v>
      </c>
      <c r="H228" s="1"/>
      <c r="J228" s="1"/>
    </row>
    <row r="229" spans="2:10" ht="14" x14ac:dyDescent="0.3">
      <c r="B229" s="1"/>
      <c r="C229" s="88">
        <v>45558</v>
      </c>
      <c r="D229" s="56" t="s">
        <v>872</v>
      </c>
      <c r="E229" s="126">
        <v>2254.23</v>
      </c>
      <c r="F229" s="69"/>
      <c r="G229" s="63">
        <f t="shared" si="4"/>
        <v>-222384.12005626591</v>
      </c>
      <c r="H229" s="1"/>
      <c r="J229" s="1"/>
    </row>
    <row r="230" spans="2:10" ht="14" x14ac:dyDescent="0.3">
      <c r="B230" s="1"/>
      <c r="C230" s="88">
        <v>45558</v>
      </c>
      <c r="D230" s="56" t="s">
        <v>873</v>
      </c>
      <c r="E230" s="126">
        <f>298*2.53</f>
        <v>753.93999999999994</v>
      </c>
      <c r="F230" s="69"/>
      <c r="G230" s="63">
        <f t="shared" si="4"/>
        <v>-221630.1800562659</v>
      </c>
      <c r="H230" s="1"/>
      <c r="J230" s="1"/>
    </row>
    <row r="231" spans="2:10" ht="14.5" x14ac:dyDescent="0.35">
      <c r="B231" s="1" t="s">
        <v>307</v>
      </c>
      <c r="C231" s="88">
        <v>45558</v>
      </c>
      <c r="D231" s="9" t="s">
        <v>1080</v>
      </c>
      <c r="E231" s="394">
        <v>1155</v>
      </c>
      <c r="F231" s="69"/>
      <c r="G231" s="63">
        <f t="shared" si="4"/>
        <v>-220475.1800562659</v>
      </c>
      <c r="H231" s="1"/>
      <c r="J231" s="1"/>
    </row>
    <row r="232" spans="2:10" ht="14.5" x14ac:dyDescent="0.35">
      <c r="B232" s="1"/>
      <c r="C232" s="397">
        <v>45558</v>
      </c>
      <c r="D232" s="392" t="s">
        <v>1091</v>
      </c>
      <c r="E232" s="396">
        <v>200000</v>
      </c>
      <c r="F232" s="69"/>
      <c r="G232" s="63">
        <f t="shared" si="4"/>
        <v>-20475.180056265905</v>
      </c>
      <c r="H232" s="1"/>
      <c r="J232" s="1"/>
    </row>
    <row r="233" spans="2:10" ht="14.5" x14ac:dyDescent="0.35">
      <c r="B233" s="1"/>
      <c r="C233" s="397">
        <v>45559</v>
      </c>
      <c r="D233" s="392" t="s">
        <v>1092</v>
      </c>
      <c r="E233" s="396">
        <v>77250</v>
      </c>
      <c r="F233" s="69"/>
      <c r="G233" s="63">
        <f t="shared" si="4"/>
        <v>56774.819943734095</v>
      </c>
      <c r="H233" s="1"/>
      <c r="J233" s="1"/>
    </row>
    <row r="234" spans="2:10" ht="14.5" x14ac:dyDescent="0.35">
      <c r="B234" s="1" t="s">
        <v>307</v>
      </c>
      <c r="C234" s="88">
        <v>45559</v>
      </c>
      <c r="D234" s="9" t="s">
        <v>1081</v>
      </c>
      <c r="E234" s="394">
        <v>2085</v>
      </c>
      <c r="F234" s="69"/>
      <c r="G234" s="63">
        <f t="shared" si="4"/>
        <v>58859.819943734095</v>
      </c>
      <c r="H234" s="1"/>
      <c r="J234" s="1"/>
    </row>
    <row r="235" spans="2:10" ht="14" x14ac:dyDescent="0.3">
      <c r="B235" s="1"/>
      <c r="C235" s="88">
        <v>45560</v>
      </c>
      <c r="D235" s="56" t="s">
        <v>1003</v>
      </c>
      <c r="E235" s="388">
        <v>804.54</v>
      </c>
      <c r="F235" s="69"/>
      <c r="G235" s="63">
        <f t="shared" si="4"/>
        <v>59664.359943734096</v>
      </c>
      <c r="H235" s="1"/>
      <c r="J235" s="1"/>
    </row>
    <row r="236" spans="2:10" ht="14" x14ac:dyDescent="0.3">
      <c r="C236" s="88">
        <v>45560</v>
      </c>
      <c r="D236" s="56" t="s">
        <v>1004</v>
      </c>
      <c r="E236" s="388">
        <v>781.77</v>
      </c>
      <c r="F236" s="69"/>
      <c r="G236" s="63">
        <f t="shared" si="4"/>
        <v>60446.129943734093</v>
      </c>
      <c r="H236" s="1"/>
      <c r="J236" s="1"/>
    </row>
    <row r="237" spans="2:10" ht="14" x14ac:dyDescent="0.3">
      <c r="B237" s="1"/>
      <c r="C237" s="88">
        <v>45560</v>
      </c>
      <c r="D237" s="56" t="s">
        <v>1004</v>
      </c>
      <c r="E237" s="388">
        <v>781.77</v>
      </c>
      <c r="F237" s="69"/>
      <c r="G237" s="63">
        <f t="shared" si="4"/>
        <v>61227.89994373409</v>
      </c>
      <c r="H237" s="1"/>
      <c r="J237" s="1"/>
    </row>
    <row r="238" spans="2:10" ht="14" x14ac:dyDescent="0.3">
      <c r="B238" s="1"/>
      <c r="C238" s="88">
        <v>45560</v>
      </c>
      <c r="D238" s="56" t="s">
        <v>1005</v>
      </c>
      <c r="E238" s="388">
        <v>776.71</v>
      </c>
      <c r="F238" s="69"/>
      <c r="G238" s="63">
        <f t="shared" si="4"/>
        <v>62004.609943734089</v>
      </c>
      <c r="H238" s="1"/>
      <c r="J238" s="1"/>
    </row>
    <row r="239" spans="2:10" ht="14" x14ac:dyDescent="0.3">
      <c r="B239" s="1"/>
      <c r="C239" s="88">
        <v>45561</v>
      </c>
      <c r="D239" s="56" t="s">
        <v>1006</v>
      </c>
      <c r="E239" s="388">
        <v>776.71</v>
      </c>
      <c r="F239" s="69"/>
      <c r="G239" s="63">
        <f t="shared" si="4"/>
        <v>62781.319943734088</v>
      </c>
      <c r="H239" s="1"/>
      <c r="J239" s="1"/>
    </row>
    <row r="240" spans="2:10" ht="14.5" x14ac:dyDescent="0.35">
      <c r="B240" s="1"/>
      <c r="C240" s="88">
        <v>45562</v>
      </c>
      <c r="D240" s="9" t="s">
        <v>1093</v>
      </c>
      <c r="E240" s="111"/>
      <c r="F240" s="419">
        <v>37500</v>
      </c>
      <c r="G240" s="63">
        <f t="shared" si="4"/>
        <v>25281.319943734088</v>
      </c>
      <c r="H240" s="1"/>
      <c r="J240" s="1"/>
    </row>
    <row r="241" spans="2:10" ht="14.5" x14ac:dyDescent="0.35">
      <c r="B241" s="1"/>
      <c r="C241" s="88">
        <v>45562</v>
      </c>
      <c r="D241" s="9" t="s">
        <v>1093</v>
      </c>
      <c r="E241" s="111"/>
      <c r="F241" s="419">
        <v>11000</v>
      </c>
      <c r="G241" s="63">
        <f t="shared" si="4"/>
        <v>14281.319943734088</v>
      </c>
      <c r="H241" s="1"/>
      <c r="J241" s="1"/>
    </row>
    <row r="242" spans="2:10" ht="14.5" x14ac:dyDescent="0.35">
      <c r="B242" s="1"/>
      <c r="C242" s="88">
        <v>45562</v>
      </c>
      <c r="D242" s="9" t="s">
        <v>1093</v>
      </c>
      <c r="E242" s="111"/>
      <c r="F242" s="419">
        <v>13000</v>
      </c>
      <c r="G242" s="63">
        <f t="shared" si="4"/>
        <v>1281.3199437340882</v>
      </c>
      <c r="H242" s="1"/>
      <c r="J242" s="1"/>
    </row>
    <row r="243" spans="2:10" ht="14.5" x14ac:dyDescent="0.35">
      <c r="B243" s="1"/>
      <c r="C243" s="88">
        <v>45562</v>
      </c>
      <c r="D243" s="9" t="s">
        <v>1093</v>
      </c>
      <c r="E243" s="111"/>
      <c r="F243" s="419">
        <v>121500</v>
      </c>
      <c r="G243" s="63">
        <f t="shared" si="4"/>
        <v>-120218.6800562659</v>
      </c>
      <c r="H243" s="1"/>
      <c r="J243" s="1"/>
    </row>
    <row r="244" spans="2:10" ht="14.5" x14ac:dyDescent="0.35">
      <c r="B244" s="1"/>
      <c r="C244" s="88">
        <v>45562</v>
      </c>
      <c r="D244" s="9" t="s">
        <v>1094</v>
      </c>
      <c r="E244" s="111"/>
      <c r="F244" s="420">
        <v>24500</v>
      </c>
      <c r="G244" s="63">
        <f t="shared" si="4"/>
        <v>-144718.6800562659</v>
      </c>
      <c r="H244" s="1"/>
      <c r="J244" s="1"/>
    </row>
    <row r="245" spans="2:10" ht="14" x14ac:dyDescent="0.3">
      <c r="B245" s="1"/>
      <c r="C245" s="88">
        <v>45563</v>
      </c>
      <c r="D245" s="56" t="s">
        <v>1033</v>
      </c>
      <c r="E245" s="388">
        <v>751.41</v>
      </c>
      <c r="F245" s="69"/>
      <c r="G245" s="63">
        <f t="shared" si="4"/>
        <v>-143967.2700562659</v>
      </c>
      <c r="H245" s="1"/>
      <c r="J245" s="1"/>
    </row>
    <row r="246" spans="2:10" ht="14" x14ac:dyDescent="0.3">
      <c r="B246" s="1"/>
      <c r="C246" s="88">
        <v>45564</v>
      </c>
      <c r="D246" s="56" t="s">
        <v>1038</v>
      </c>
      <c r="E246" s="388">
        <v>756.47</v>
      </c>
      <c r="F246" s="69"/>
      <c r="G246" s="63">
        <f t="shared" si="4"/>
        <v>-143210.8000562659</v>
      </c>
      <c r="H246" s="1"/>
      <c r="J246" s="1"/>
    </row>
    <row r="247" spans="2:10" ht="14" x14ac:dyDescent="0.3">
      <c r="B247" s="1"/>
      <c r="C247" s="88">
        <v>45564</v>
      </c>
      <c r="D247" s="56" t="s">
        <v>1039</v>
      </c>
      <c r="E247" s="388">
        <v>751.41</v>
      </c>
      <c r="F247" s="69"/>
      <c r="G247" s="63">
        <f t="shared" si="4"/>
        <v>-142459.3900562659</v>
      </c>
      <c r="H247" s="1"/>
      <c r="J247" s="1"/>
    </row>
    <row r="248" spans="2:10" ht="14" x14ac:dyDescent="0.3">
      <c r="B248" s="1"/>
      <c r="C248" s="88">
        <v>45564</v>
      </c>
      <c r="D248" s="56" t="s">
        <v>1040</v>
      </c>
      <c r="E248" s="389">
        <v>751.41</v>
      </c>
      <c r="F248" s="69"/>
      <c r="G248" s="63">
        <f t="shared" si="4"/>
        <v>-141707.98005626589</v>
      </c>
      <c r="H248" s="1"/>
      <c r="J248" s="1"/>
    </row>
    <row r="249" spans="2:10" ht="14" x14ac:dyDescent="0.3">
      <c r="B249" s="1"/>
      <c r="C249" s="88">
        <v>45565</v>
      </c>
      <c r="D249" s="56" t="s">
        <v>1048</v>
      </c>
      <c r="E249" s="389">
        <v>756.47</v>
      </c>
      <c r="F249" s="69"/>
      <c r="G249" s="63">
        <f t="shared" si="4"/>
        <v>-140951.51005626589</v>
      </c>
      <c r="H249" s="1"/>
      <c r="J249" s="1"/>
    </row>
    <row r="250" spans="2:10" ht="14" x14ac:dyDescent="0.3">
      <c r="B250" s="1"/>
      <c r="C250" s="88">
        <v>45565</v>
      </c>
      <c r="D250" s="56" t="s">
        <v>1048</v>
      </c>
      <c r="E250" s="389">
        <v>756.47</v>
      </c>
      <c r="F250" s="69"/>
      <c r="G250" s="63">
        <f t="shared" si="4"/>
        <v>-140195.04005626589</v>
      </c>
      <c r="H250" s="1"/>
      <c r="J250" s="1"/>
    </row>
    <row r="251" spans="2:10" ht="14" x14ac:dyDescent="0.3">
      <c r="B251" s="1"/>
      <c r="C251" s="88">
        <v>45565</v>
      </c>
      <c r="D251" s="348" t="s">
        <v>1053</v>
      </c>
      <c r="E251" s="389">
        <v>753.94</v>
      </c>
      <c r="F251" s="69"/>
      <c r="G251" s="63">
        <f t="shared" si="4"/>
        <v>-139441.10005626589</v>
      </c>
      <c r="H251" s="1"/>
      <c r="J251" s="1"/>
    </row>
    <row r="252" spans="2:10" ht="14" x14ac:dyDescent="0.3">
      <c r="B252" s="1"/>
      <c r="C252" s="88">
        <v>45565</v>
      </c>
      <c r="D252" s="348" t="s">
        <v>1178</v>
      </c>
      <c r="E252" s="389">
        <v>751.41</v>
      </c>
      <c r="F252" s="69"/>
      <c r="G252" s="63">
        <f t="shared" si="4"/>
        <v>-138689.69005626588</v>
      </c>
      <c r="H252" s="1"/>
      <c r="J252" s="1"/>
    </row>
    <row r="253" spans="2:10" ht="14.5" x14ac:dyDescent="0.35">
      <c r="B253" s="1"/>
      <c r="C253" s="88">
        <v>45566</v>
      </c>
      <c r="D253" s="9" t="s">
        <v>1095</v>
      </c>
      <c r="E253" s="111"/>
      <c r="F253" s="419">
        <f>2200*33</f>
        <v>72600</v>
      </c>
      <c r="G253" s="63">
        <f t="shared" si="4"/>
        <v>-211289.69005626588</v>
      </c>
      <c r="H253" s="1"/>
      <c r="J253" s="1"/>
    </row>
    <row r="254" spans="2:10" ht="14.5" x14ac:dyDescent="0.35">
      <c r="B254" s="1"/>
      <c r="C254" s="88">
        <v>45566</v>
      </c>
      <c r="D254" s="9" t="s">
        <v>1096</v>
      </c>
      <c r="E254" s="111"/>
      <c r="F254" s="419">
        <f>44*1180</f>
        <v>51920</v>
      </c>
      <c r="G254" s="63">
        <f t="shared" si="4"/>
        <v>-263209.69005626591</v>
      </c>
      <c r="H254" s="1"/>
      <c r="J254" s="1"/>
    </row>
    <row r="255" spans="2:10" ht="14.5" x14ac:dyDescent="0.35">
      <c r="B255" s="1"/>
      <c r="C255" s="88">
        <v>45566</v>
      </c>
      <c r="D255" s="9" t="s">
        <v>1097</v>
      </c>
      <c r="E255" s="111"/>
      <c r="F255" s="419">
        <f>40*1180</f>
        <v>47200</v>
      </c>
      <c r="G255" s="63">
        <f t="shared" si="4"/>
        <v>-310409.69005626591</v>
      </c>
      <c r="H255" s="1"/>
      <c r="J255" s="1"/>
    </row>
    <row r="256" spans="2:10" ht="14.5" x14ac:dyDescent="0.35">
      <c r="B256" s="1"/>
      <c r="C256" s="88">
        <v>45566</v>
      </c>
      <c r="D256" s="9" t="s">
        <v>709</v>
      </c>
      <c r="E256" s="111">
        <v>600</v>
      </c>
      <c r="F256" s="419"/>
      <c r="G256" s="63">
        <f t="shared" si="4"/>
        <v>-309809.69005626591</v>
      </c>
      <c r="H256" s="1"/>
      <c r="J256" s="1"/>
    </row>
    <row r="257" spans="2:10" ht="14" x14ac:dyDescent="0.3">
      <c r="B257" s="1" t="s">
        <v>50</v>
      </c>
      <c r="C257" s="88">
        <v>45567</v>
      </c>
      <c r="D257" s="56" t="s">
        <v>1186</v>
      </c>
      <c r="E257" s="388">
        <v>759.9</v>
      </c>
      <c r="F257" s="69"/>
      <c r="G257" s="63">
        <f t="shared" si="4"/>
        <v>-309049.79005626589</v>
      </c>
      <c r="H257" s="1"/>
      <c r="J257" s="1"/>
    </row>
    <row r="258" spans="2:10" ht="14" x14ac:dyDescent="0.3">
      <c r="B258" s="1"/>
      <c r="C258" s="88"/>
      <c r="D258" s="56"/>
      <c r="E258" s="388"/>
      <c r="F258" s="69"/>
      <c r="G258" s="63">
        <f t="shared" si="4"/>
        <v>-309049.79005626589</v>
      </c>
      <c r="H258" s="1"/>
      <c r="J258" s="1"/>
    </row>
    <row r="259" spans="2:10" ht="14.5" x14ac:dyDescent="0.35">
      <c r="B259" s="1"/>
      <c r="C259" s="395">
        <v>45567</v>
      </c>
      <c r="D259" s="392" t="s">
        <v>1086</v>
      </c>
      <c r="E259" s="396">
        <v>154800</v>
      </c>
      <c r="F259" s="69"/>
      <c r="G259" s="63">
        <f t="shared" si="4"/>
        <v>-154249.79005626589</v>
      </c>
      <c r="H259" s="1"/>
      <c r="J259" s="1"/>
    </row>
    <row r="260" spans="2:10" ht="14.5" x14ac:dyDescent="0.35">
      <c r="B260" s="1"/>
      <c r="C260" s="395">
        <v>45567</v>
      </c>
      <c r="D260" s="392" t="s">
        <v>1087</v>
      </c>
      <c r="E260" s="396">
        <v>128550</v>
      </c>
      <c r="F260" s="69"/>
      <c r="G260" s="63">
        <f t="shared" si="4"/>
        <v>-25699.790056265891</v>
      </c>
      <c r="H260" s="1"/>
      <c r="J260" s="1"/>
    </row>
    <row r="261" spans="2:10" ht="14.5" x14ac:dyDescent="0.35">
      <c r="B261" s="1"/>
      <c r="C261" s="88">
        <v>45580</v>
      </c>
      <c r="D261" s="9" t="s">
        <v>1304</v>
      </c>
      <c r="E261" s="126"/>
      <c r="F261" s="69">
        <f>5148*2</f>
        <v>10296</v>
      </c>
      <c r="G261" s="63">
        <f t="shared" si="4"/>
        <v>-35995.790056265891</v>
      </c>
      <c r="H261" s="1"/>
      <c r="J261" s="1"/>
    </row>
    <row r="262" spans="2:10" ht="14.5" x14ac:dyDescent="0.35">
      <c r="B262" s="1"/>
      <c r="C262" s="88"/>
      <c r="D262" s="9" t="s">
        <v>1404</v>
      </c>
      <c r="E262" s="111">
        <v>175000</v>
      </c>
      <c r="F262" s="69"/>
      <c r="G262" s="63">
        <f t="shared" si="4"/>
        <v>139004.20994373411</v>
      </c>
      <c r="H262" s="1"/>
      <c r="J262" s="1"/>
    </row>
    <row r="263" spans="2:10" ht="14.5" x14ac:dyDescent="0.35">
      <c r="B263" s="1"/>
      <c r="C263" s="88"/>
      <c r="D263" s="9"/>
      <c r="E263" s="111"/>
      <c r="F263" s="69"/>
      <c r="G263" s="63">
        <f t="shared" si="4"/>
        <v>139004.20994373411</v>
      </c>
      <c r="H263" s="1"/>
      <c r="J263" s="1"/>
    </row>
    <row r="264" spans="2:10" ht="15.5" x14ac:dyDescent="0.35">
      <c r="B264" s="1"/>
      <c r="C264" s="457">
        <v>45597</v>
      </c>
      <c r="D264" s="456" t="s">
        <v>1452</v>
      </c>
      <c r="E264" s="455">
        <v>414050.54</v>
      </c>
      <c r="F264" s="69"/>
      <c r="G264" s="63">
        <f t="shared" si="4"/>
        <v>553054.74994373415</v>
      </c>
      <c r="H264" s="1"/>
      <c r="J264" s="1"/>
    </row>
    <row r="265" spans="2:10" ht="14.5" x14ac:dyDescent="0.35">
      <c r="C265" s="88"/>
      <c r="D265" s="446" t="s">
        <v>1405</v>
      </c>
      <c r="E265" s="111"/>
      <c r="F265" s="69"/>
      <c r="G265" s="63">
        <f t="shared" si="4"/>
        <v>553054.74994373415</v>
      </c>
    </row>
    <row r="266" spans="2:10" x14ac:dyDescent="0.3">
      <c r="C266" s="57"/>
      <c r="D266" s="15"/>
      <c r="E266" s="246">
        <f>SUM(E5:E265)</f>
        <v>3188100.7499437355</v>
      </c>
      <c r="F266" s="247">
        <f>SUM(F12:F265)</f>
        <v>2635046</v>
      </c>
      <c r="G266" s="63">
        <f>E266-F266</f>
        <v>553054.74994373554</v>
      </c>
    </row>
    <row r="267" spans="2:10" x14ac:dyDescent="0.3">
      <c r="C267" s="61"/>
      <c r="D267" s="62"/>
      <c r="E267" s="60"/>
      <c r="F267" s="70"/>
      <c r="G267" s="55"/>
    </row>
    <row r="268" spans="2:10" x14ac:dyDescent="0.3">
      <c r="G268" s="28"/>
    </row>
    <row r="269" spans="2:10" ht="16.5" x14ac:dyDescent="0.3">
      <c r="C269" s="72"/>
      <c r="D269" s="73" t="s">
        <v>70</v>
      </c>
      <c r="E269" s="72"/>
      <c r="F269" s="418"/>
      <c r="G269" s="72"/>
    </row>
    <row r="270" spans="2:10" ht="16.5" x14ac:dyDescent="0.3">
      <c r="C270" s="72" t="s">
        <v>0</v>
      </c>
      <c r="D270" s="73" t="s">
        <v>5</v>
      </c>
      <c r="E270" s="72" t="s">
        <v>75</v>
      </c>
      <c r="F270" s="72" t="s">
        <v>76</v>
      </c>
      <c r="G270" s="72" t="s">
        <v>4</v>
      </c>
    </row>
    <row r="271" spans="2:10" x14ac:dyDescent="0.3">
      <c r="C271" s="23"/>
      <c r="D271" s="1"/>
      <c r="E271" s="23"/>
      <c r="F271" s="71"/>
      <c r="G271" s="71"/>
    </row>
    <row r="272" spans="2:10" x14ac:dyDescent="0.3">
      <c r="C272" s="25">
        <v>45394</v>
      </c>
      <c r="D272" s="16" t="s">
        <v>51</v>
      </c>
      <c r="E272" s="63"/>
      <c r="F272" s="63">
        <f>97774/77</f>
        <v>1269.7922077922078</v>
      </c>
      <c r="G272" s="74">
        <f t="shared" ref="G272:G353" si="5">G271+E272-F272</f>
        <v>-1269.7922077922078</v>
      </c>
    </row>
    <row r="273" spans="3:7" x14ac:dyDescent="0.3">
      <c r="C273" s="25">
        <v>45394</v>
      </c>
      <c r="D273" s="16" t="s">
        <v>51</v>
      </c>
      <c r="E273" s="63"/>
      <c r="F273" s="63">
        <f>164448/77</f>
        <v>2135.6883116883118</v>
      </c>
      <c r="G273" s="74">
        <f t="shared" si="5"/>
        <v>-3405.4805194805194</v>
      </c>
    </row>
    <row r="274" spans="3:7" x14ac:dyDescent="0.3">
      <c r="C274" s="25">
        <v>45397</v>
      </c>
      <c r="D274" s="16" t="s">
        <v>52</v>
      </c>
      <c r="E274" s="63"/>
      <c r="F274" s="63">
        <v>30</v>
      </c>
      <c r="G274" s="74">
        <f t="shared" si="5"/>
        <v>-3435.4805194805194</v>
      </c>
    </row>
    <row r="275" spans="3:7" x14ac:dyDescent="0.3">
      <c r="C275" s="25">
        <v>45410</v>
      </c>
      <c r="D275" s="16" t="s">
        <v>51</v>
      </c>
      <c r="E275" s="63"/>
      <c r="F275" s="63">
        <f>97774/77</f>
        <v>1269.7922077922078</v>
      </c>
      <c r="G275" s="74">
        <f t="shared" si="5"/>
        <v>-4705.272727272727</v>
      </c>
    </row>
    <row r="276" spans="3:7" x14ac:dyDescent="0.3">
      <c r="C276" s="25">
        <v>45410</v>
      </c>
      <c r="D276" s="16" t="s">
        <v>51</v>
      </c>
      <c r="E276" s="63"/>
      <c r="F276" s="63">
        <f>164448/77</f>
        <v>2135.6883116883118</v>
      </c>
      <c r="G276" s="74">
        <f t="shared" si="5"/>
        <v>-6840.9610389610389</v>
      </c>
    </row>
    <row r="277" spans="3:7" x14ac:dyDescent="0.3">
      <c r="C277" s="25">
        <v>45412</v>
      </c>
      <c r="D277" s="16" t="s">
        <v>64</v>
      </c>
      <c r="E277" s="63"/>
      <c r="F277" s="63">
        <v>23870</v>
      </c>
      <c r="G277" s="74">
        <f t="shared" si="5"/>
        <v>-30710.961038961039</v>
      </c>
    </row>
    <row r="278" spans="3:7" ht="26" x14ac:dyDescent="0.3">
      <c r="C278" s="25">
        <v>45397</v>
      </c>
      <c r="D278" s="15" t="s">
        <v>56</v>
      </c>
      <c r="E278" s="63">
        <v>13974.41</v>
      </c>
      <c r="F278" s="63"/>
      <c r="G278" s="74">
        <f t="shared" si="5"/>
        <v>-16736.551038961039</v>
      </c>
    </row>
    <row r="279" spans="3:7" ht="26" x14ac:dyDescent="0.3">
      <c r="C279" s="25">
        <v>45397</v>
      </c>
      <c r="D279" s="15" t="s">
        <v>61</v>
      </c>
      <c r="E279" s="63">
        <v>9607.42</v>
      </c>
      <c r="F279" s="63"/>
      <c r="G279" s="74">
        <f t="shared" si="5"/>
        <v>-7129.1310389610389</v>
      </c>
    </row>
    <row r="280" spans="3:7" x14ac:dyDescent="0.3">
      <c r="C280" s="25">
        <v>45397</v>
      </c>
      <c r="D280" s="15" t="s">
        <v>62</v>
      </c>
      <c r="E280" s="63">
        <v>3668.87</v>
      </c>
      <c r="F280" s="63"/>
      <c r="G280" s="74">
        <f t="shared" si="5"/>
        <v>-3460.261038961039</v>
      </c>
    </row>
    <row r="281" spans="3:7" x14ac:dyDescent="0.3">
      <c r="C281" s="42">
        <v>45423</v>
      </c>
      <c r="D281" s="13" t="s">
        <v>16</v>
      </c>
      <c r="E281" s="63">
        <v>140.36000000000001</v>
      </c>
      <c r="F281" s="63"/>
      <c r="G281" s="74">
        <f t="shared" si="5"/>
        <v>-3319.9010389610389</v>
      </c>
    </row>
    <row r="282" spans="3:7" x14ac:dyDescent="0.3">
      <c r="C282" s="42">
        <v>45423</v>
      </c>
      <c r="D282" s="13" t="s">
        <v>17</v>
      </c>
      <c r="E282" s="63">
        <v>67.760000000000005</v>
      </c>
      <c r="F282" s="63"/>
      <c r="G282" s="74">
        <f t="shared" si="5"/>
        <v>-3252.1410389610387</v>
      </c>
    </row>
    <row r="283" spans="3:7" x14ac:dyDescent="0.3">
      <c r="C283" s="42">
        <v>45423</v>
      </c>
      <c r="D283" s="13" t="s">
        <v>18</v>
      </c>
      <c r="E283" s="63">
        <v>244.42</v>
      </c>
      <c r="F283" s="63"/>
      <c r="G283" s="74">
        <f t="shared" si="5"/>
        <v>-3007.7210389610386</v>
      </c>
    </row>
    <row r="284" spans="3:7" x14ac:dyDescent="0.3">
      <c r="C284" s="42">
        <v>45423</v>
      </c>
      <c r="D284" s="13" t="s">
        <v>19</v>
      </c>
      <c r="E284" s="63">
        <v>1263.3399999999999</v>
      </c>
      <c r="F284" s="63"/>
      <c r="G284" s="74">
        <f t="shared" si="5"/>
        <v>-1744.3810389610387</v>
      </c>
    </row>
    <row r="285" spans="3:7" x14ac:dyDescent="0.3">
      <c r="C285" s="42">
        <v>45423</v>
      </c>
      <c r="D285" s="13" t="s">
        <v>77</v>
      </c>
      <c r="E285" s="63">
        <v>10472.86</v>
      </c>
      <c r="F285" s="63"/>
      <c r="G285" s="74">
        <f t="shared" si="5"/>
        <v>8728.4789610389616</v>
      </c>
    </row>
    <row r="286" spans="3:7" x14ac:dyDescent="0.3">
      <c r="C286" s="42">
        <v>45423</v>
      </c>
      <c r="D286" s="13" t="s">
        <v>25</v>
      </c>
      <c r="E286" s="63">
        <v>1270.02</v>
      </c>
      <c r="F286" s="63"/>
      <c r="G286" s="74">
        <f t="shared" si="5"/>
        <v>9998.4989610389621</v>
      </c>
    </row>
    <row r="287" spans="3:7" x14ac:dyDescent="0.3">
      <c r="C287" s="168">
        <v>45428</v>
      </c>
      <c r="D287" s="163" t="s">
        <v>78</v>
      </c>
      <c r="E287" s="169"/>
      <c r="F287" s="165">
        <v>22000</v>
      </c>
      <c r="G287" s="74">
        <f t="shared" si="5"/>
        <v>-12001.501038961038</v>
      </c>
    </row>
    <row r="288" spans="3:7" x14ac:dyDescent="0.3">
      <c r="C288" s="168">
        <v>45432</v>
      </c>
      <c r="D288" s="163" t="s">
        <v>79</v>
      </c>
      <c r="E288" s="169"/>
      <c r="F288" s="165">
        <v>58000</v>
      </c>
      <c r="G288" s="74">
        <f t="shared" si="5"/>
        <v>-70001.50103896104</v>
      </c>
    </row>
    <row r="289" spans="3:7" x14ac:dyDescent="0.3">
      <c r="C289" s="168">
        <v>45432</v>
      </c>
      <c r="D289" s="163" t="s">
        <v>455</v>
      </c>
      <c r="E289" s="169"/>
      <c r="F289" s="165">
        <f>27000*2.42</f>
        <v>65340</v>
      </c>
      <c r="G289" s="74">
        <f t="shared" si="5"/>
        <v>-135341.50103896105</v>
      </c>
    </row>
    <row r="290" spans="3:7" ht="14" x14ac:dyDescent="0.3">
      <c r="C290" s="40">
        <v>45440</v>
      </c>
      <c r="D290" s="56" t="s">
        <v>327</v>
      </c>
      <c r="E290" s="63">
        <f>Total!I40</f>
        <v>40529.131999999998</v>
      </c>
      <c r="F290" s="165"/>
      <c r="G290" s="74">
        <f t="shared" si="5"/>
        <v>-94812.369038961057</v>
      </c>
    </row>
    <row r="291" spans="3:7" x14ac:dyDescent="0.3">
      <c r="C291" s="42">
        <v>45440</v>
      </c>
      <c r="D291" s="15" t="s">
        <v>84</v>
      </c>
      <c r="E291" s="63">
        <f>126*2.44</f>
        <v>307.44</v>
      </c>
      <c r="F291" s="63"/>
      <c r="G291" s="74">
        <f t="shared" si="5"/>
        <v>-94504.929038961054</v>
      </c>
    </row>
    <row r="292" spans="3:7" x14ac:dyDescent="0.3">
      <c r="C292" s="42">
        <v>45442</v>
      </c>
      <c r="D292" s="58" t="s">
        <v>93</v>
      </c>
      <c r="E292" s="64"/>
      <c r="F292" s="64">
        <v>1264.58</v>
      </c>
      <c r="G292" s="74">
        <f t="shared" si="5"/>
        <v>-95769.509038961056</v>
      </c>
    </row>
    <row r="293" spans="3:7" x14ac:dyDescent="0.3">
      <c r="C293" s="123">
        <v>45448</v>
      </c>
      <c r="D293" s="15" t="s">
        <v>109</v>
      </c>
      <c r="E293" s="63">
        <v>878.4</v>
      </c>
      <c r="F293" s="63"/>
      <c r="G293" s="74">
        <f t="shared" si="5"/>
        <v>-94891.109038961062</v>
      </c>
    </row>
    <row r="294" spans="3:7" x14ac:dyDescent="0.3">
      <c r="C294" s="123">
        <v>45449</v>
      </c>
      <c r="D294" s="15" t="s">
        <v>114</v>
      </c>
      <c r="E294" s="63">
        <f>Total!I66</f>
        <v>97.6</v>
      </c>
      <c r="F294" s="63"/>
      <c r="G294" s="74">
        <f t="shared" si="5"/>
        <v>-94793.509038961056</v>
      </c>
    </row>
    <row r="295" spans="3:7" x14ac:dyDescent="0.3">
      <c r="C295" s="42">
        <v>45453</v>
      </c>
      <c r="D295" s="15" t="s">
        <v>115</v>
      </c>
      <c r="E295" s="63">
        <f>Total!I67</f>
        <v>122</v>
      </c>
      <c r="F295" s="63"/>
      <c r="G295" s="74">
        <f t="shared" si="5"/>
        <v>-94671.509038961056</v>
      </c>
    </row>
    <row r="296" spans="3:7" x14ac:dyDescent="0.3">
      <c r="C296" s="123">
        <v>45463</v>
      </c>
      <c r="D296" s="15" t="s">
        <v>122</v>
      </c>
      <c r="E296" s="63"/>
      <c r="F296" s="59">
        <f>200000/77</f>
        <v>2597.4025974025976</v>
      </c>
      <c r="G296" s="74">
        <f t="shared" si="5"/>
        <v>-97268.911636363657</v>
      </c>
    </row>
    <row r="297" spans="3:7" x14ac:dyDescent="0.3">
      <c r="C297" s="123">
        <v>45463</v>
      </c>
      <c r="D297" s="15" t="s">
        <v>123</v>
      </c>
      <c r="E297" s="63"/>
      <c r="F297" s="59">
        <f>62222/77</f>
        <v>808.07792207792204</v>
      </c>
      <c r="G297" s="74">
        <f t="shared" si="5"/>
        <v>-98076.989558441579</v>
      </c>
    </row>
    <row r="298" spans="3:7" x14ac:dyDescent="0.3">
      <c r="C298" s="123">
        <v>45468</v>
      </c>
      <c r="D298" s="15" t="s">
        <v>130</v>
      </c>
      <c r="E298" s="63">
        <f>Total!I79</f>
        <v>14457</v>
      </c>
      <c r="F298" s="63"/>
      <c r="G298" s="74">
        <f t="shared" si="5"/>
        <v>-83619.989558441579</v>
      </c>
    </row>
    <row r="299" spans="3:7" ht="26" x14ac:dyDescent="0.3">
      <c r="C299" s="123">
        <v>45468</v>
      </c>
      <c r="D299" s="15" t="s">
        <v>135</v>
      </c>
      <c r="E299" s="63">
        <f>Total!I84</f>
        <v>1830</v>
      </c>
      <c r="F299" s="63"/>
      <c r="G299" s="74">
        <f t="shared" si="5"/>
        <v>-81789.989558441579</v>
      </c>
    </row>
    <row r="300" spans="3:7" x14ac:dyDescent="0.3">
      <c r="C300" s="123">
        <v>45468</v>
      </c>
      <c r="D300" s="15" t="s">
        <v>136</v>
      </c>
      <c r="E300" s="63">
        <f>Total!I85</f>
        <v>8997.5244000000002</v>
      </c>
      <c r="F300" s="63"/>
      <c r="G300" s="74">
        <f t="shared" si="5"/>
        <v>-72792.465158441584</v>
      </c>
    </row>
    <row r="301" spans="3:7" x14ac:dyDescent="0.3">
      <c r="C301" s="42">
        <v>45471</v>
      </c>
      <c r="D301" s="15" t="s">
        <v>145</v>
      </c>
      <c r="E301" s="63"/>
      <c r="F301" s="69">
        <v>2726.09</v>
      </c>
      <c r="G301" s="74">
        <f t="shared" si="5"/>
        <v>-75518.555158441581</v>
      </c>
    </row>
    <row r="302" spans="3:7" x14ac:dyDescent="0.3">
      <c r="C302" s="42">
        <v>45471</v>
      </c>
      <c r="D302" s="15" t="s">
        <v>145</v>
      </c>
      <c r="E302" s="63"/>
      <c r="F302" s="69">
        <v>6895.35</v>
      </c>
      <c r="G302" s="74">
        <f t="shared" si="5"/>
        <v>-82413.905158441587</v>
      </c>
    </row>
    <row r="303" spans="3:7" x14ac:dyDescent="0.3">
      <c r="C303" s="42">
        <v>45471</v>
      </c>
      <c r="D303" s="15" t="s">
        <v>145</v>
      </c>
      <c r="E303" s="63"/>
      <c r="F303" s="69">
        <v>2719.57</v>
      </c>
      <c r="G303" s="74">
        <f t="shared" si="5"/>
        <v>-85133.475158441594</v>
      </c>
    </row>
    <row r="304" spans="3:7" x14ac:dyDescent="0.3">
      <c r="C304" s="42">
        <v>45471</v>
      </c>
      <c r="D304" s="15" t="s">
        <v>146</v>
      </c>
      <c r="E304" s="63"/>
      <c r="F304" s="69">
        <f>30000/76</f>
        <v>394.73684210526318</v>
      </c>
      <c r="G304" s="74">
        <f t="shared" si="5"/>
        <v>-85528.212000546861</v>
      </c>
    </row>
    <row r="305" spans="3:7" x14ac:dyDescent="0.3">
      <c r="C305" s="42">
        <v>45471</v>
      </c>
      <c r="D305" s="15" t="s">
        <v>147</v>
      </c>
      <c r="E305" s="63"/>
      <c r="F305" s="69">
        <f>977774/76</f>
        <v>12865.447368421053</v>
      </c>
      <c r="G305" s="74">
        <f t="shared" si="5"/>
        <v>-98393.659368967914</v>
      </c>
    </row>
    <row r="306" spans="3:7" x14ac:dyDescent="0.3">
      <c r="C306" s="42">
        <v>45471</v>
      </c>
      <c r="D306" s="15" t="s">
        <v>148</v>
      </c>
      <c r="E306" s="63"/>
      <c r="F306" s="69">
        <f>164448/76</f>
        <v>2163.7894736842104</v>
      </c>
      <c r="G306" s="74">
        <f t="shared" si="5"/>
        <v>-100557.44884265213</v>
      </c>
    </row>
    <row r="307" spans="3:7" x14ac:dyDescent="0.3">
      <c r="C307" s="123">
        <v>45474</v>
      </c>
      <c r="D307" s="15" t="s">
        <v>149</v>
      </c>
      <c r="E307" s="59"/>
      <c r="F307" s="59">
        <f>250000/76</f>
        <v>3289.4736842105262</v>
      </c>
      <c r="G307" s="74">
        <f t="shared" si="5"/>
        <v>-103846.92252686265</v>
      </c>
    </row>
    <row r="308" spans="3:7" x14ac:dyDescent="0.3">
      <c r="C308" s="123">
        <v>45475</v>
      </c>
      <c r="D308" s="15" t="s">
        <v>150</v>
      </c>
      <c r="E308" s="59"/>
      <c r="F308" s="59">
        <f>40000/76</f>
        <v>526.31578947368416</v>
      </c>
      <c r="G308" s="74">
        <f t="shared" si="5"/>
        <v>-104373.23831633633</v>
      </c>
    </row>
    <row r="309" spans="3:7" x14ac:dyDescent="0.3">
      <c r="C309" s="123">
        <v>45475</v>
      </c>
      <c r="D309" s="15" t="s">
        <v>151</v>
      </c>
      <c r="E309" s="59"/>
      <c r="F309" s="59">
        <f>60000/76</f>
        <v>789.47368421052636</v>
      </c>
      <c r="G309" s="74">
        <f t="shared" si="5"/>
        <v>-105162.71200054685</v>
      </c>
    </row>
    <row r="310" spans="3:7" x14ac:dyDescent="0.3">
      <c r="C310" s="123">
        <v>45479</v>
      </c>
      <c r="D310" s="15" t="s">
        <v>152</v>
      </c>
      <c r="E310" s="59"/>
      <c r="F310" s="59">
        <v>59.38</v>
      </c>
      <c r="G310" s="74">
        <f t="shared" si="5"/>
        <v>-105222.09200054685</v>
      </c>
    </row>
    <row r="311" spans="3:7" x14ac:dyDescent="0.3">
      <c r="C311" s="123">
        <v>45479</v>
      </c>
      <c r="D311" s="15" t="s">
        <v>152</v>
      </c>
      <c r="E311" s="59"/>
      <c r="F311" s="59">
        <v>10.62</v>
      </c>
      <c r="G311" s="74">
        <f t="shared" si="5"/>
        <v>-105232.71200054685</v>
      </c>
    </row>
    <row r="312" spans="3:7" x14ac:dyDescent="0.3">
      <c r="C312" s="123">
        <v>45479</v>
      </c>
      <c r="D312" s="15" t="s">
        <v>153</v>
      </c>
      <c r="E312" s="59"/>
      <c r="F312" s="59">
        <f>14000/76</f>
        <v>184.21052631578948</v>
      </c>
      <c r="G312" s="74">
        <f t="shared" si="5"/>
        <v>-105416.92252686263</v>
      </c>
    </row>
    <row r="313" spans="3:7" x14ac:dyDescent="0.3">
      <c r="C313" s="170">
        <v>45479</v>
      </c>
      <c r="D313" s="163" t="s">
        <v>267</v>
      </c>
      <c r="E313" s="165"/>
      <c r="F313" s="165">
        <v>87500</v>
      </c>
      <c r="G313" s="74">
        <f t="shared" si="5"/>
        <v>-192916.92252686265</v>
      </c>
    </row>
    <row r="314" spans="3:7" x14ac:dyDescent="0.3">
      <c r="C314" s="123">
        <v>45484</v>
      </c>
      <c r="D314" s="15" t="s">
        <v>154</v>
      </c>
      <c r="E314" s="59"/>
      <c r="F314" s="59">
        <f>200000/76</f>
        <v>2631.5789473684213</v>
      </c>
      <c r="G314" s="74">
        <f t="shared" si="5"/>
        <v>-195548.50147423107</v>
      </c>
    </row>
    <row r="315" spans="3:7" x14ac:dyDescent="0.3">
      <c r="C315" s="123">
        <v>45473</v>
      </c>
      <c r="D315" s="15" t="s">
        <v>159</v>
      </c>
      <c r="E315" s="63">
        <f>Total!I100/2</f>
        <v>201.29999999999998</v>
      </c>
      <c r="F315" s="63"/>
      <c r="G315" s="74">
        <f t="shared" si="5"/>
        <v>-195347.20147423109</v>
      </c>
    </row>
    <row r="316" spans="3:7" x14ac:dyDescent="0.3">
      <c r="C316" s="123">
        <v>45473</v>
      </c>
      <c r="D316" s="15" t="s">
        <v>162</v>
      </c>
      <c r="E316" s="63">
        <f>Total!I103</f>
        <v>2440</v>
      </c>
      <c r="F316" s="63"/>
      <c r="G316" s="74">
        <f t="shared" si="5"/>
        <v>-192907.20147423109</v>
      </c>
    </row>
    <row r="317" spans="3:7" x14ac:dyDescent="0.3">
      <c r="C317" s="42">
        <v>45502</v>
      </c>
      <c r="D317" s="15" t="s">
        <v>178</v>
      </c>
      <c r="E317" s="63">
        <f>1960*2.44</f>
        <v>4782.3999999999996</v>
      </c>
      <c r="F317" s="63"/>
      <c r="G317" s="74">
        <f t="shared" si="5"/>
        <v>-188124.80147423109</v>
      </c>
    </row>
    <row r="318" spans="3:7" x14ac:dyDescent="0.3">
      <c r="C318" s="42">
        <v>45502</v>
      </c>
      <c r="D318" s="15" t="s">
        <v>180</v>
      </c>
      <c r="E318" s="63">
        <f>Total!I119</f>
        <v>195.2</v>
      </c>
      <c r="F318" s="63"/>
      <c r="G318" s="74">
        <f t="shared" si="5"/>
        <v>-187929.60147423108</v>
      </c>
    </row>
    <row r="319" spans="3:7" x14ac:dyDescent="0.3">
      <c r="C319" s="123">
        <v>45488</v>
      </c>
      <c r="D319" s="15" t="s">
        <v>184</v>
      </c>
      <c r="E319" s="63">
        <f>Total!I120</f>
        <v>5080.08</v>
      </c>
      <c r="F319" s="63"/>
      <c r="G319" s="74">
        <f t="shared" si="5"/>
        <v>-182849.52147423109</v>
      </c>
    </row>
    <row r="320" spans="3:7" x14ac:dyDescent="0.3">
      <c r="C320" s="42">
        <v>45477</v>
      </c>
      <c r="D320" s="15" t="s">
        <v>186</v>
      </c>
      <c r="E320" s="63">
        <f>Total!I128</f>
        <v>217.16</v>
      </c>
      <c r="F320" s="63"/>
      <c r="G320" s="74">
        <f t="shared" si="5"/>
        <v>-182632.36147423109</v>
      </c>
    </row>
    <row r="321" spans="3:7" x14ac:dyDescent="0.3">
      <c r="C321" s="42">
        <v>45477</v>
      </c>
      <c r="D321" s="15" t="s">
        <v>188</v>
      </c>
      <c r="E321" s="63">
        <f>Total!I130</f>
        <v>209.84</v>
      </c>
      <c r="F321" s="63"/>
      <c r="G321" s="74">
        <f t="shared" si="5"/>
        <v>-182422.52147423109</v>
      </c>
    </row>
    <row r="322" spans="3:7" x14ac:dyDescent="0.3">
      <c r="C322" s="42">
        <v>45477</v>
      </c>
      <c r="D322" s="15" t="s">
        <v>189</v>
      </c>
      <c r="E322" s="63">
        <f>Total!I131</f>
        <v>509.96</v>
      </c>
      <c r="F322" s="63"/>
      <c r="G322" s="74">
        <f t="shared" si="5"/>
        <v>-181912.5614742311</v>
      </c>
    </row>
    <row r="323" spans="3:7" x14ac:dyDescent="0.3">
      <c r="C323" s="42">
        <v>45477</v>
      </c>
      <c r="D323" s="15" t="s">
        <v>190</v>
      </c>
      <c r="E323" s="63">
        <f>Total!I132</f>
        <v>185.44</v>
      </c>
      <c r="F323" s="63"/>
      <c r="G323" s="74">
        <f t="shared" si="5"/>
        <v>-181727.1214742311</v>
      </c>
    </row>
    <row r="324" spans="3:7" x14ac:dyDescent="0.3">
      <c r="C324" s="42">
        <v>45477</v>
      </c>
      <c r="D324" s="15" t="s">
        <v>192</v>
      </c>
      <c r="E324" s="63">
        <f>1000*2.44</f>
        <v>2440</v>
      </c>
      <c r="F324" s="63"/>
      <c r="G324" s="74">
        <f t="shared" si="5"/>
        <v>-179287.1214742311</v>
      </c>
    </row>
    <row r="325" spans="3:7" x14ac:dyDescent="0.3">
      <c r="C325" s="42">
        <v>45488</v>
      </c>
      <c r="D325" s="15" t="s">
        <v>207</v>
      </c>
      <c r="E325" s="63">
        <f>Total!I152</f>
        <v>41170.120000000003</v>
      </c>
      <c r="F325" s="63"/>
      <c r="G325" s="74">
        <f t="shared" si="5"/>
        <v>-138117.0014742311</v>
      </c>
    </row>
    <row r="326" spans="3:7" x14ac:dyDescent="0.3">
      <c r="C326" s="42">
        <v>45488</v>
      </c>
      <c r="D326" s="15" t="s">
        <v>208</v>
      </c>
      <c r="E326" s="63">
        <f>Total!I153</f>
        <v>1439.6</v>
      </c>
      <c r="F326" s="63"/>
      <c r="G326" s="74">
        <f t="shared" si="5"/>
        <v>-136677.4014742311</v>
      </c>
    </row>
    <row r="327" spans="3:7" x14ac:dyDescent="0.3">
      <c r="C327" s="42">
        <v>45488</v>
      </c>
      <c r="D327" s="15" t="s">
        <v>209</v>
      </c>
      <c r="E327" s="63">
        <f>Total!I154</f>
        <v>219.6</v>
      </c>
      <c r="F327" s="63"/>
      <c r="G327" s="74">
        <f t="shared" si="5"/>
        <v>-136457.80147423109</v>
      </c>
    </row>
    <row r="328" spans="3:7" x14ac:dyDescent="0.3">
      <c r="C328" s="166">
        <v>45491</v>
      </c>
      <c r="D328" s="163" t="s">
        <v>266</v>
      </c>
      <c r="E328" s="171"/>
      <c r="F328" s="171">
        <v>51000</v>
      </c>
      <c r="G328" s="74">
        <f t="shared" si="5"/>
        <v>-187457.80147423109</v>
      </c>
    </row>
    <row r="329" spans="3:7" ht="14" x14ac:dyDescent="0.3">
      <c r="C329" s="112">
        <v>45491</v>
      </c>
      <c r="D329" s="90" t="s">
        <v>271</v>
      </c>
      <c r="E329" s="59">
        <f>Total!I165</f>
        <v>6309.9749999999995</v>
      </c>
      <c r="F329" s="126"/>
      <c r="G329" s="74">
        <f t="shared" si="5"/>
        <v>-181147.82647423109</v>
      </c>
    </row>
    <row r="330" spans="3:7" ht="14" x14ac:dyDescent="0.3">
      <c r="C330" s="112">
        <v>45491</v>
      </c>
      <c r="D330" s="90" t="s">
        <v>258</v>
      </c>
      <c r="E330" s="59">
        <f>Total!I167</f>
        <v>6453.5969999999998</v>
      </c>
      <c r="F330" s="126"/>
      <c r="G330" s="74">
        <f t="shared" si="5"/>
        <v>-174694.22947423108</v>
      </c>
    </row>
    <row r="331" spans="3:7" ht="14" x14ac:dyDescent="0.3">
      <c r="C331" s="112">
        <v>45491</v>
      </c>
      <c r="D331" s="90" t="s">
        <v>259</v>
      </c>
      <c r="E331" s="59">
        <f>Total!I181</f>
        <v>224910</v>
      </c>
      <c r="F331" s="126"/>
      <c r="G331" s="74">
        <f t="shared" si="5"/>
        <v>50215.770525768923</v>
      </c>
    </row>
    <row r="332" spans="3:7" ht="14" x14ac:dyDescent="0.3">
      <c r="C332" s="112">
        <v>45491</v>
      </c>
      <c r="D332" s="90" t="s">
        <v>260</v>
      </c>
      <c r="E332" s="59">
        <f>Total!I182</f>
        <v>1008</v>
      </c>
      <c r="F332" s="126"/>
      <c r="G332" s="74">
        <f t="shared" si="5"/>
        <v>51223.770525768923</v>
      </c>
    </row>
    <row r="333" spans="3:7" ht="14" x14ac:dyDescent="0.3">
      <c r="C333" s="166">
        <v>45493</v>
      </c>
      <c r="D333" s="258" t="s">
        <v>456</v>
      </c>
      <c r="E333" s="59"/>
      <c r="F333" s="171">
        <f>54000*2.52</f>
        <v>136080</v>
      </c>
      <c r="G333" s="74">
        <f t="shared" si="5"/>
        <v>-84856.229474231077</v>
      </c>
    </row>
    <row r="334" spans="3:7" x14ac:dyDescent="0.3">
      <c r="C334" s="112">
        <v>45495</v>
      </c>
      <c r="D334" s="15" t="s">
        <v>236</v>
      </c>
      <c r="E334" s="126"/>
      <c r="F334" s="59">
        <f>10000/76.5</f>
        <v>130.718954248366</v>
      </c>
      <c r="G334" s="74">
        <f t="shared" si="5"/>
        <v>-84986.948428479445</v>
      </c>
    </row>
    <row r="335" spans="3:7" x14ac:dyDescent="0.3">
      <c r="C335" s="112">
        <v>45495</v>
      </c>
      <c r="D335" s="15" t="s">
        <v>236</v>
      </c>
      <c r="E335" s="126"/>
      <c r="F335" s="59">
        <f>10000/76.5</f>
        <v>130.718954248366</v>
      </c>
      <c r="G335" s="74">
        <f t="shared" si="5"/>
        <v>-85117.667382727814</v>
      </c>
    </row>
    <row r="336" spans="3:7" ht="14" x14ac:dyDescent="0.3">
      <c r="C336" s="112">
        <v>45495</v>
      </c>
      <c r="D336" s="90" t="s">
        <v>257</v>
      </c>
      <c r="E336" s="59">
        <f>Total!I196</f>
        <v>31562.37</v>
      </c>
      <c r="F336" s="126"/>
      <c r="G336" s="74">
        <f t="shared" si="5"/>
        <v>-53555.297382727818</v>
      </c>
    </row>
    <row r="337" spans="3:7" ht="14" x14ac:dyDescent="0.3">
      <c r="C337" s="112">
        <v>45495</v>
      </c>
      <c r="D337" s="90" t="s">
        <v>256</v>
      </c>
      <c r="E337" s="59">
        <f>Total!I198</f>
        <v>2847.6</v>
      </c>
      <c r="F337" s="126"/>
      <c r="G337" s="74">
        <f t="shared" si="5"/>
        <v>-50707.69738272782</v>
      </c>
    </row>
    <row r="338" spans="3:7" x14ac:dyDescent="0.3">
      <c r="C338" s="112">
        <v>45497</v>
      </c>
      <c r="D338" s="15" t="s">
        <v>281</v>
      </c>
      <c r="E338" s="59">
        <f>Total!I207</f>
        <v>1799.28</v>
      </c>
      <c r="F338" s="126"/>
      <c r="G338" s="74">
        <f t="shared" si="5"/>
        <v>-48908.417382727821</v>
      </c>
    </row>
    <row r="339" spans="3:7" ht="14" x14ac:dyDescent="0.3">
      <c r="C339" s="25">
        <v>45502</v>
      </c>
      <c r="D339" s="90" t="s">
        <v>350</v>
      </c>
      <c r="E339" s="59">
        <f>Total!I212</f>
        <v>882</v>
      </c>
      <c r="F339" s="126"/>
      <c r="G339" s="74">
        <f t="shared" si="5"/>
        <v>-48026.417382727821</v>
      </c>
    </row>
    <row r="340" spans="3:7" ht="14" x14ac:dyDescent="0.3">
      <c r="C340" s="25">
        <v>45502</v>
      </c>
      <c r="D340" s="90" t="s">
        <v>430</v>
      </c>
      <c r="E340" s="59">
        <f>12024*2.52</f>
        <v>30300.48</v>
      </c>
      <c r="F340" s="126"/>
      <c r="G340" s="74">
        <f t="shared" si="5"/>
        <v>-17725.937382727821</v>
      </c>
    </row>
    <row r="341" spans="3:7" ht="14" x14ac:dyDescent="0.3">
      <c r="C341" s="25">
        <v>45502</v>
      </c>
      <c r="D341" s="90" t="s">
        <v>352</v>
      </c>
      <c r="E341" s="59">
        <f>Total!I236</f>
        <v>176.4</v>
      </c>
      <c r="F341" s="126"/>
      <c r="G341" s="74">
        <f t="shared" si="5"/>
        <v>-17549.53738272782</v>
      </c>
    </row>
    <row r="342" spans="3:7" ht="14" x14ac:dyDescent="0.3">
      <c r="C342" s="25">
        <v>45502</v>
      </c>
      <c r="D342" s="258" t="s">
        <v>445</v>
      </c>
      <c r="E342" s="59"/>
      <c r="F342" s="126">
        <f>13673.52*2.52</f>
        <v>34457.270400000001</v>
      </c>
      <c r="G342" s="74">
        <f t="shared" si="5"/>
        <v>-52006.807782727818</v>
      </c>
    </row>
    <row r="343" spans="3:7" ht="14" x14ac:dyDescent="0.3">
      <c r="C343" s="25">
        <v>45510</v>
      </c>
      <c r="D343" s="255" t="s">
        <v>439</v>
      </c>
      <c r="E343" s="162"/>
      <c r="F343" s="59">
        <f>100000/78</f>
        <v>1282.051282051282</v>
      </c>
      <c r="G343" s="74">
        <f t="shared" si="5"/>
        <v>-53288.859064779099</v>
      </c>
    </row>
    <row r="344" spans="3:7" ht="14" x14ac:dyDescent="0.3">
      <c r="C344" s="25">
        <v>45510</v>
      </c>
      <c r="D344" s="255" t="s">
        <v>440</v>
      </c>
      <c r="E344" s="162"/>
      <c r="F344" s="59">
        <f>500000/78</f>
        <v>6410.2564102564102</v>
      </c>
      <c r="G344" s="74">
        <f t="shared" si="5"/>
        <v>-59699.115475035505</v>
      </c>
    </row>
    <row r="345" spans="3:7" ht="14" x14ac:dyDescent="0.3">
      <c r="C345" s="25">
        <v>45510</v>
      </c>
      <c r="D345" s="255" t="s">
        <v>441</v>
      </c>
      <c r="E345" s="162"/>
      <c r="F345" s="59">
        <f>67774/78</f>
        <v>868.89743589743591</v>
      </c>
      <c r="G345" s="74">
        <f t="shared" si="5"/>
        <v>-60568.012910932943</v>
      </c>
    </row>
    <row r="346" spans="3:7" ht="14" x14ac:dyDescent="0.3">
      <c r="C346" s="25">
        <v>45510</v>
      </c>
      <c r="D346" s="255" t="s">
        <v>441</v>
      </c>
      <c r="E346" s="162"/>
      <c r="F346" s="59">
        <f>164448/78</f>
        <v>2108.3076923076924</v>
      </c>
      <c r="G346" s="74">
        <f t="shared" si="5"/>
        <v>-62676.320603240638</v>
      </c>
    </row>
    <row r="347" spans="3:7" ht="14" x14ac:dyDescent="0.3">
      <c r="C347" s="25">
        <v>45510</v>
      </c>
      <c r="D347" s="255" t="s">
        <v>442</v>
      </c>
      <c r="E347" s="162"/>
      <c r="F347" s="59">
        <f>300000/78</f>
        <v>3846.1538461538462</v>
      </c>
      <c r="G347" s="74">
        <f t="shared" si="5"/>
        <v>-66522.474449394489</v>
      </c>
    </row>
    <row r="348" spans="3:7" ht="14" x14ac:dyDescent="0.3">
      <c r="C348" s="25">
        <v>45511</v>
      </c>
      <c r="D348" s="262" t="s">
        <v>457</v>
      </c>
      <c r="E348" s="162">
        <f>3000*2.42</f>
        <v>7260</v>
      </c>
      <c r="F348" s="126"/>
      <c r="G348" s="74">
        <f t="shared" si="5"/>
        <v>-59262.474449394489</v>
      </c>
    </row>
    <row r="349" spans="3:7" ht="14" x14ac:dyDescent="0.3">
      <c r="C349" s="25">
        <v>45517</v>
      </c>
      <c r="D349" s="255" t="s">
        <v>471</v>
      </c>
      <c r="E349" s="162"/>
      <c r="F349" s="59">
        <f>190000/78</f>
        <v>2435.897435897436</v>
      </c>
      <c r="G349" s="74">
        <f t="shared" si="5"/>
        <v>-61698.371885291926</v>
      </c>
    </row>
    <row r="350" spans="3:7" ht="14" x14ac:dyDescent="0.3">
      <c r="C350" s="25">
        <v>45517</v>
      </c>
      <c r="D350" s="255" t="s">
        <v>472</v>
      </c>
      <c r="E350" s="162"/>
      <c r="F350" s="59">
        <f>540000/78</f>
        <v>6923.0769230769229</v>
      </c>
      <c r="G350" s="74">
        <f t="shared" si="5"/>
        <v>-68621.448808368848</v>
      </c>
    </row>
    <row r="351" spans="3:7" ht="14" x14ac:dyDescent="0.3">
      <c r="C351" s="25">
        <v>45517</v>
      </c>
      <c r="D351" s="255" t="s">
        <v>473</v>
      </c>
      <c r="E351" s="162"/>
      <c r="F351" s="59">
        <f>90000/78</f>
        <v>1153.8461538461538</v>
      </c>
      <c r="G351" s="74">
        <f t="shared" si="5"/>
        <v>-69775.294962215004</v>
      </c>
    </row>
    <row r="352" spans="3:7" ht="14" x14ac:dyDescent="0.3">
      <c r="C352" s="164">
        <v>45520</v>
      </c>
      <c r="D352" s="267" t="s">
        <v>464</v>
      </c>
      <c r="E352" s="15"/>
      <c r="F352" s="126">
        <v>100000</v>
      </c>
      <c r="G352" s="74">
        <f t="shared" si="5"/>
        <v>-169775.294962215</v>
      </c>
    </row>
    <row r="353" spans="2:7" ht="14" x14ac:dyDescent="0.3">
      <c r="C353" s="25">
        <v>45524</v>
      </c>
      <c r="D353" s="255" t="s">
        <v>506</v>
      </c>
      <c r="E353" s="15"/>
      <c r="F353" s="126">
        <f>2686*2.52</f>
        <v>6768.72</v>
      </c>
      <c r="G353" s="74">
        <f t="shared" si="5"/>
        <v>-176544.01496221501</v>
      </c>
    </row>
    <row r="354" spans="2:7" ht="14" x14ac:dyDescent="0.3">
      <c r="C354" s="164"/>
      <c r="D354" s="267"/>
      <c r="E354" s="15"/>
      <c r="F354" s="126"/>
      <c r="G354" s="74">
        <f t="shared" ref="G354:G428" si="6">G353+E354-F354</f>
        <v>-176544.01496221501</v>
      </c>
    </row>
    <row r="355" spans="2:7" ht="14.5" x14ac:dyDescent="0.35">
      <c r="C355" s="25">
        <v>45527</v>
      </c>
      <c r="D355" s="9" t="s">
        <v>522</v>
      </c>
      <c r="E355" s="15">
        <f>6000*2.52</f>
        <v>15120</v>
      </c>
      <c r="F355" s="126"/>
      <c r="G355" s="74">
        <f t="shared" si="6"/>
        <v>-161424.01496221501</v>
      </c>
    </row>
    <row r="356" spans="2:7" ht="14.5" x14ac:dyDescent="0.35">
      <c r="C356" s="25">
        <v>45531</v>
      </c>
      <c r="D356" s="9" t="s">
        <v>524</v>
      </c>
      <c r="E356" s="15"/>
      <c r="F356" s="126">
        <f>2.7*400</f>
        <v>1080</v>
      </c>
      <c r="G356" s="74">
        <f t="shared" si="6"/>
        <v>-162504.01496221501</v>
      </c>
    </row>
    <row r="357" spans="2:7" ht="14" x14ac:dyDescent="0.3">
      <c r="C357" s="25">
        <v>45541</v>
      </c>
      <c r="D357" s="313" t="s">
        <v>618</v>
      </c>
      <c r="E357" s="15"/>
      <c r="F357" s="359">
        <v>200000</v>
      </c>
      <c r="G357" s="74">
        <f t="shared" si="6"/>
        <v>-362504.01496221498</v>
      </c>
    </row>
    <row r="358" spans="2:7" ht="14.5" x14ac:dyDescent="0.35">
      <c r="C358" s="25">
        <v>45541</v>
      </c>
      <c r="D358" s="9" t="s">
        <v>715</v>
      </c>
      <c r="E358" s="15"/>
      <c r="F358" s="126">
        <v>3606</v>
      </c>
      <c r="G358" s="74">
        <f t="shared" si="6"/>
        <v>-366110.01496221498</v>
      </c>
    </row>
    <row r="359" spans="2:7" ht="14.5" x14ac:dyDescent="0.35">
      <c r="C359" s="25">
        <v>45541</v>
      </c>
      <c r="D359" s="9" t="s">
        <v>781</v>
      </c>
      <c r="E359" s="15"/>
      <c r="F359" s="439">
        <v>2557.54</v>
      </c>
      <c r="G359" s="74">
        <f t="shared" si="6"/>
        <v>-368667.55496221496</v>
      </c>
    </row>
    <row r="360" spans="2:7" ht="14.5" x14ac:dyDescent="0.35">
      <c r="C360" s="25">
        <v>45541</v>
      </c>
      <c r="D360" s="9" t="s">
        <v>583</v>
      </c>
      <c r="E360" s="15">
        <f>2.53*14320</f>
        <v>36229.599999999999</v>
      </c>
      <c r="F360" s="126"/>
      <c r="G360" s="74">
        <f t="shared" si="6"/>
        <v>-332437.95496221498</v>
      </c>
    </row>
    <row r="361" spans="2:7" ht="14.5" x14ac:dyDescent="0.35">
      <c r="C361" s="88">
        <v>45544</v>
      </c>
      <c r="D361" s="9" t="s">
        <v>691</v>
      </c>
      <c r="E361" s="15">
        <f>87*2.53</f>
        <v>220.10999999999999</v>
      </c>
      <c r="F361" s="126"/>
      <c r="G361" s="74">
        <f t="shared" si="6"/>
        <v>-332217.84496221499</v>
      </c>
    </row>
    <row r="362" spans="2:7" ht="14.5" x14ac:dyDescent="0.35">
      <c r="C362" s="25">
        <v>45547</v>
      </c>
      <c r="D362" s="9" t="s">
        <v>698</v>
      </c>
      <c r="E362" s="15">
        <f>1598*2.53</f>
        <v>4042.9399999999996</v>
      </c>
      <c r="F362" s="126"/>
      <c r="G362" s="74">
        <f t="shared" si="6"/>
        <v>-328174.90496221499</v>
      </c>
    </row>
    <row r="363" spans="2:7" ht="14.5" x14ac:dyDescent="0.35">
      <c r="C363" s="25">
        <v>45547</v>
      </c>
      <c r="D363" s="9" t="s">
        <v>703</v>
      </c>
      <c r="E363" s="15">
        <f>4770*2.53</f>
        <v>12068.099999999999</v>
      </c>
      <c r="F363" s="126"/>
      <c r="G363" s="74">
        <f t="shared" si="6"/>
        <v>-316106.80496221501</v>
      </c>
    </row>
    <row r="364" spans="2:7" ht="14.5" x14ac:dyDescent="0.35">
      <c r="C364" s="88">
        <v>45548</v>
      </c>
      <c r="D364" s="9" t="s">
        <v>704</v>
      </c>
      <c r="E364" s="15">
        <f>7990*2.53</f>
        <v>20214.699999999997</v>
      </c>
      <c r="F364" s="126"/>
      <c r="G364" s="74">
        <f t="shared" si="6"/>
        <v>-295892.104962215</v>
      </c>
    </row>
    <row r="365" spans="2:7" ht="14.5" x14ac:dyDescent="0.35">
      <c r="B365" s="1"/>
      <c r="C365" s="84">
        <v>45549</v>
      </c>
      <c r="D365" s="393" t="s">
        <v>752</v>
      </c>
      <c r="E365" s="15"/>
      <c r="F365" s="358">
        <v>100000</v>
      </c>
      <c r="G365" s="74">
        <f t="shared" si="6"/>
        <v>-395892.104962215</v>
      </c>
    </row>
    <row r="366" spans="2:7" ht="14" x14ac:dyDescent="0.3">
      <c r="C366" s="84">
        <v>45549</v>
      </c>
      <c r="D366" s="56" t="s">
        <v>796</v>
      </c>
      <c r="E366" s="74">
        <v>762.13</v>
      </c>
      <c r="F366" s="126"/>
      <c r="G366" s="74">
        <f t="shared" si="6"/>
        <v>-395129.974962215</v>
      </c>
    </row>
    <row r="367" spans="2:7" ht="14" x14ac:dyDescent="0.3">
      <c r="C367" s="84">
        <v>45549</v>
      </c>
      <c r="D367" s="56" t="s">
        <v>797</v>
      </c>
      <c r="E367" s="74">
        <v>765.86</v>
      </c>
      <c r="F367" s="126"/>
      <c r="G367" s="74">
        <f t="shared" si="6"/>
        <v>-394364.11496221501</v>
      </c>
    </row>
    <row r="368" spans="2:7" ht="14" x14ac:dyDescent="0.3">
      <c r="C368" s="84">
        <v>45549</v>
      </c>
      <c r="D368" s="56" t="s">
        <v>798</v>
      </c>
      <c r="E368" s="74">
        <v>765.86</v>
      </c>
      <c r="F368" s="126"/>
      <c r="G368" s="74">
        <f t="shared" si="6"/>
        <v>-393598.25496221503</v>
      </c>
    </row>
    <row r="369" spans="3:7" ht="14" x14ac:dyDescent="0.3">
      <c r="C369" s="84">
        <v>45549</v>
      </c>
      <c r="D369" s="56" t="s">
        <v>799</v>
      </c>
      <c r="E369" s="74">
        <v>1773.3</v>
      </c>
      <c r="F369" s="126"/>
      <c r="G369" s="74">
        <f t="shared" si="6"/>
        <v>-391824.95496221504</v>
      </c>
    </row>
    <row r="370" spans="3:7" ht="14" x14ac:dyDescent="0.3">
      <c r="C370" s="88">
        <v>45550</v>
      </c>
      <c r="D370" s="56" t="s">
        <v>804</v>
      </c>
      <c r="E370" s="74">
        <v>6031.52</v>
      </c>
      <c r="F370" s="126"/>
      <c r="G370" s="74">
        <f t="shared" si="6"/>
        <v>-385793.43496221502</v>
      </c>
    </row>
    <row r="371" spans="3:7" ht="14" x14ac:dyDescent="0.3">
      <c r="C371" s="88">
        <v>45550</v>
      </c>
      <c r="D371" s="56" t="s">
        <v>805</v>
      </c>
      <c r="E371" s="74">
        <v>2269.41</v>
      </c>
      <c r="F371" s="126"/>
      <c r="G371" s="74">
        <f t="shared" si="6"/>
        <v>-383524.02496221504</v>
      </c>
    </row>
    <row r="372" spans="3:7" ht="14" x14ac:dyDescent="0.3">
      <c r="C372" s="88">
        <v>45550</v>
      </c>
      <c r="D372" s="56" t="s">
        <v>806</v>
      </c>
      <c r="E372" s="74">
        <v>3005.64</v>
      </c>
      <c r="F372" s="126"/>
      <c r="G372" s="74">
        <f t="shared" si="6"/>
        <v>-380518.38496221503</v>
      </c>
    </row>
    <row r="373" spans="3:7" ht="14" x14ac:dyDescent="0.3">
      <c r="C373" s="88">
        <v>45550</v>
      </c>
      <c r="D373" s="56" t="s">
        <v>807</v>
      </c>
      <c r="E373" s="74">
        <v>3769.7</v>
      </c>
      <c r="F373" s="126"/>
      <c r="G373" s="74">
        <f t="shared" si="6"/>
        <v>-376748.68496221502</v>
      </c>
    </row>
    <row r="374" spans="3:7" ht="14" x14ac:dyDescent="0.3">
      <c r="C374" s="88">
        <v>45551</v>
      </c>
      <c r="D374" s="56" t="s">
        <v>763</v>
      </c>
      <c r="E374" s="74">
        <v>5259.87</v>
      </c>
      <c r="F374" s="126"/>
      <c r="G374" s="74">
        <f t="shared" si="6"/>
        <v>-371488.81496221502</v>
      </c>
    </row>
    <row r="375" spans="3:7" ht="14" x14ac:dyDescent="0.3">
      <c r="C375" s="88">
        <v>45551</v>
      </c>
      <c r="D375" s="56" t="s">
        <v>764</v>
      </c>
      <c r="E375" s="74">
        <v>1512.94</v>
      </c>
      <c r="F375" s="126"/>
      <c r="G375" s="74">
        <f t="shared" si="6"/>
        <v>-369975.87496221502</v>
      </c>
    </row>
    <row r="376" spans="3:7" ht="14" x14ac:dyDescent="0.3">
      <c r="C376" s="88">
        <v>45551</v>
      </c>
      <c r="D376" s="56" t="s">
        <v>766</v>
      </c>
      <c r="E376" s="74">
        <v>4037.88</v>
      </c>
      <c r="F376" s="126"/>
      <c r="G376" s="74">
        <f t="shared" si="6"/>
        <v>-365937.99496221502</v>
      </c>
    </row>
    <row r="377" spans="3:7" ht="14" x14ac:dyDescent="0.3">
      <c r="C377" s="88">
        <v>45552</v>
      </c>
      <c r="D377" s="56" t="s">
        <v>772</v>
      </c>
      <c r="E377" s="74">
        <v>753.94</v>
      </c>
      <c r="F377" s="126"/>
      <c r="G377" s="74">
        <f t="shared" si="6"/>
        <v>-365184.05496221501</v>
      </c>
    </row>
    <row r="378" spans="3:7" ht="14" x14ac:dyDescent="0.3">
      <c r="C378" s="88">
        <v>45552</v>
      </c>
      <c r="D378" s="56" t="s">
        <v>771</v>
      </c>
      <c r="E378" s="74">
        <v>789.36</v>
      </c>
      <c r="F378" s="126"/>
      <c r="G378" s="74">
        <f t="shared" si="6"/>
        <v>-364394.69496221503</v>
      </c>
    </row>
    <row r="379" spans="3:7" ht="14" x14ac:dyDescent="0.3">
      <c r="C379" s="88">
        <v>45552</v>
      </c>
      <c r="D379" s="56" t="s">
        <v>773</v>
      </c>
      <c r="E379" s="74">
        <v>2254.23</v>
      </c>
      <c r="F379" s="126"/>
      <c r="G379" s="74">
        <f t="shared" si="6"/>
        <v>-362140.46496221505</v>
      </c>
    </row>
    <row r="380" spans="3:7" ht="14" x14ac:dyDescent="0.3">
      <c r="C380" s="88">
        <v>45553</v>
      </c>
      <c r="D380" s="56" t="s">
        <v>769</v>
      </c>
      <c r="E380" s="15">
        <v>38450.94</v>
      </c>
      <c r="F380" s="126"/>
      <c r="G380" s="74">
        <f t="shared" si="6"/>
        <v>-323689.52496221504</v>
      </c>
    </row>
    <row r="381" spans="3:7" ht="14" x14ac:dyDescent="0.3">
      <c r="C381" s="88">
        <v>45553</v>
      </c>
      <c r="D381" s="56" t="s">
        <v>777</v>
      </c>
      <c r="E381" s="74">
        <v>19101.5</v>
      </c>
      <c r="F381" s="126"/>
      <c r="G381" s="74">
        <f t="shared" si="6"/>
        <v>-304588.02496221504</v>
      </c>
    </row>
    <row r="382" spans="3:7" ht="14" x14ac:dyDescent="0.3">
      <c r="C382" s="88">
        <v>45553</v>
      </c>
      <c r="D382" s="56" t="s">
        <v>778</v>
      </c>
      <c r="E382" s="74">
        <v>107929.8</v>
      </c>
      <c r="F382" s="126"/>
      <c r="G382" s="74">
        <f t="shared" si="6"/>
        <v>-196658.22496221506</v>
      </c>
    </row>
    <row r="383" spans="3:7" ht="14" x14ac:dyDescent="0.3">
      <c r="C383" s="88">
        <v>45553</v>
      </c>
      <c r="D383" s="56" t="s">
        <v>779</v>
      </c>
      <c r="E383" s="74">
        <v>242.88</v>
      </c>
      <c r="F383" s="126"/>
      <c r="G383" s="74">
        <f t="shared" si="6"/>
        <v>-196415.34496221505</v>
      </c>
    </row>
    <row r="384" spans="3:7" ht="14" x14ac:dyDescent="0.3">
      <c r="C384" s="88">
        <v>45554</v>
      </c>
      <c r="D384" s="56" t="s">
        <v>811</v>
      </c>
      <c r="E384" s="74">
        <v>1512.94</v>
      </c>
      <c r="F384" s="126"/>
      <c r="G384" s="74">
        <f t="shared" si="6"/>
        <v>-194902.40496221505</v>
      </c>
    </row>
    <row r="385" spans="3:10" ht="14" x14ac:dyDescent="0.3">
      <c r="C385" s="88">
        <v>45554</v>
      </c>
      <c r="D385" s="56" t="s">
        <v>813</v>
      </c>
      <c r="E385" s="74">
        <f>297*2.53</f>
        <v>751.41</v>
      </c>
      <c r="F385" s="126"/>
      <c r="G385" s="74">
        <f t="shared" si="6"/>
        <v>-194150.99496221505</v>
      </c>
    </row>
    <row r="386" spans="3:10" ht="14" x14ac:dyDescent="0.3">
      <c r="C386" s="88">
        <v>45554</v>
      </c>
      <c r="D386" s="56" t="s">
        <v>815</v>
      </c>
      <c r="E386" s="74">
        <v>13990.9</v>
      </c>
      <c r="F386" s="126"/>
      <c r="G386" s="74">
        <f t="shared" si="6"/>
        <v>-180160.09496221505</v>
      </c>
    </row>
    <row r="387" spans="3:10" ht="14.5" x14ac:dyDescent="0.35">
      <c r="C387" s="88">
        <v>45556</v>
      </c>
      <c r="D387" s="9" t="s">
        <v>1059</v>
      </c>
      <c r="E387" s="74">
        <f>2000*2.53</f>
        <v>5060</v>
      </c>
      <c r="F387" s="126"/>
      <c r="G387" s="74">
        <f t="shared" si="6"/>
        <v>-175100.09496221505</v>
      </c>
    </row>
    <row r="388" spans="3:10" ht="14.5" x14ac:dyDescent="0.35">
      <c r="C388" s="88">
        <v>45556</v>
      </c>
      <c r="D388" s="9" t="s">
        <v>1060</v>
      </c>
      <c r="E388" s="74">
        <f>8970*2.53</f>
        <v>22694.1</v>
      </c>
      <c r="F388" s="126"/>
      <c r="G388" s="74">
        <f t="shared" si="6"/>
        <v>-152405.99496221505</v>
      </c>
    </row>
    <row r="389" spans="3:10" ht="14" x14ac:dyDescent="0.3">
      <c r="C389" s="88">
        <v>45558</v>
      </c>
      <c r="D389" s="56" t="s">
        <v>1061</v>
      </c>
      <c r="E389" s="74">
        <f>361*2.53</f>
        <v>913.32999999999993</v>
      </c>
      <c r="F389" s="126"/>
      <c r="G389" s="74">
        <f t="shared" si="6"/>
        <v>-151492.66496221506</v>
      </c>
    </row>
    <row r="390" spans="3:10" ht="14" x14ac:dyDescent="0.3">
      <c r="C390" s="88">
        <v>45558</v>
      </c>
      <c r="D390" s="56" t="s">
        <v>878</v>
      </c>
      <c r="E390" s="74">
        <v>3769.7</v>
      </c>
      <c r="F390" s="126"/>
      <c r="G390" s="74">
        <f t="shared" si="6"/>
        <v>-147722.96496221505</v>
      </c>
    </row>
    <row r="391" spans="3:10" ht="14" x14ac:dyDescent="0.3">
      <c r="C391" s="88">
        <v>45558</v>
      </c>
      <c r="D391" s="56" t="s">
        <v>879</v>
      </c>
      <c r="E391" s="74">
        <v>2254.23</v>
      </c>
      <c r="F391" s="126"/>
      <c r="G391" s="74">
        <f t="shared" si="6"/>
        <v>-145468.73496221504</v>
      </c>
    </row>
    <row r="392" spans="3:10" ht="14" x14ac:dyDescent="0.3">
      <c r="C392" s="88">
        <v>45558</v>
      </c>
      <c r="D392" s="56" t="s">
        <v>880</v>
      </c>
      <c r="E392" s="74">
        <v>1884.85</v>
      </c>
      <c r="F392" s="126"/>
      <c r="G392" s="74">
        <f t="shared" si="6"/>
        <v>-143583.88496221503</v>
      </c>
    </row>
    <row r="393" spans="3:10" ht="14.5" x14ac:dyDescent="0.35">
      <c r="C393" s="397">
        <v>45558</v>
      </c>
      <c r="D393" s="392" t="s">
        <v>1091</v>
      </c>
      <c r="E393" s="74"/>
      <c r="F393" s="421">
        <v>200000</v>
      </c>
      <c r="G393" s="74">
        <f t="shared" si="6"/>
        <v>-343583.88496221503</v>
      </c>
    </row>
    <row r="394" spans="3:10" ht="14.5" x14ac:dyDescent="0.35">
      <c r="C394" s="397">
        <v>45559</v>
      </c>
      <c r="D394" s="392" t="s">
        <v>1092</v>
      </c>
      <c r="E394" s="74"/>
      <c r="F394" s="421">
        <v>77250</v>
      </c>
      <c r="G394" s="74">
        <f t="shared" si="6"/>
        <v>-420833.88496221503</v>
      </c>
    </row>
    <row r="395" spans="3:10" ht="14" x14ac:dyDescent="0.3">
      <c r="C395" s="88">
        <v>45559</v>
      </c>
      <c r="D395" s="56" t="s">
        <v>884</v>
      </c>
      <c r="E395" s="74">
        <f>299*2.53</f>
        <v>756.46999999999991</v>
      </c>
      <c r="F395" s="126"/>
      <c r="G395" s="74">
        <f t="shared" si="6"/>
        <v>-420077.41496221506</v>
      </c>
    </row>
    <row r="396" spans="3:10" ht="14" x14ac:dyDescent="0.3">
      <c r="C396" s="88">
        <v>45559</v>
      </c>
      <c r="D396" s="56" t="s">
        <v>887</v>
      </c>
      <c r="E396" s="74">
        <v>3769.7</v>
      </c>
      <c r="F396" s="126"/>
      <c r="G396" s="74">
        <f t="shared" si="6"/>
        <v>-416307.71496221505</v>
      </c>
    </row>
    <row r="397" spans="3:10" ht="14" x14ac:dyDescent="0.3">
      <c r="C397" s="88">
        <v>45559</v>
      </c>
      <c r="D397" s="56" t="s">
        <v>889</v>
      </c>
      <c r="E397" s="389">
        <v>19177.400000000001</v>
      </c>
      <c r="F397" s="126"/>
      <c r="G397" s="74">
        <f t="shared" si="6"/>
        <v>-397130.31496221502</v>
      </c>
    </row>
    <row r="398" spans="3:10" ht="14" x14ac:dyDescent="0.3">
      <c r="C398" s="88">
        <v>45559</v>
      </c>
      <c r="D398" s="56" t="s">
        <v>1371</v>
      </c>
      <c r="E398" s="389">
        <v>18975</v>
      </c>
      <c r="F398" s="126"/>
      <c r="G398" s="74">
        <f t="shared" si="6"/>
        <v>-378155.31496221502</v>
      </c>
      <c r="J398" t="s">
        <v>1372</v>
      </c>
    </row>
    <row r="399" spans="3:10" ht="14" x14ac:dyDescent="0.3">
      <c r="C399" s="88">
        <v>45559</v>
      </c>
      <c r="D399" s="56" t="s">
        <v>890</v>
      </c>
      <c r="E399" s="389">
        <v>7539.4</v>
      </c>
      <c r="F399" s="126"/>
      <c r="G399" s="74">
        <f t="shared" si="6"/>
        <v>-370615.914962215</v>
      </c>
    </row>
    <row r="400" spans="3:10" ht="14" x14ac:dyDescent="0.3">
      <c r="C400" s="88">
        <v>45560</v>
      </c>
      <c r="D400" s="56" t="s">
        <v>917</v>
      </c>
      <c r="E400" s="389">
        <v>1502.82</v>
      </c>
      <c r="F400" s="126"/>
      <c r="G400" s="74">
        <f t="shared" si="6"/>
        <v>-369113.09496221499</v>
      </c>
    </row>
    <row r="401" spans="3:7" ht="14" x14ac:dyDescent="0.3">
      <c r="C401" s="84">
        <v>45560</v>
      </c>
      <c r="D401" s="56" t="s">
        <v>1156</v>
      </c>
      <c r="E401" s="389"/>
      <c r="F401" s="63">
        <f>7000*2.53</f>
        <v>17710</v>
      </c>
      <c r="G401" s="74">
        <f t="shared" si="6"/>
        <v>-386823.09496221499</v>
      </c>
    </row>
    <row r="402" spans="3:7" ht="14" x14ac:dyDescent="0.3">
      <c r="C402" s="88">
        <v>45561</v>
      </c>
      <c r="D402" s="56" t="s">
        <v>993</v>
      </c>
      <c r="E402" s="389">
        <v>2254.23</v>
      </c>
      <c r="F402" s="126"/>
      <c r="G402" s="74">
        <f t="shared" si="6"/>
        <v>-384568.86496221501</v>
      </c>
    </row>
    <row r="403" spans="3:7" ht="14" x14ac:dyDescent="0.3">
      <c r="C403" s="88">
        <v>45561</v>
      </c>
      <c r="D403" s="56" t="s">
        <v>994</v>
      </c>
      <c r="E403" s="389">
        <v>753.94</v>
      </c>
      <c r="F403" s="126"/>
      <c r="G403" s="74">
        <f t="shared" si="6"/>
        <v>-383814.92496221501</v>
      </c>
    </row>
    <row r="404" spans="3:7" ht="14" x14ac:dyDescent="0.3">
      <c r="C404" s="88">
        <v>45561</v>
      </c>
      <c r="D404" s="56" t="s">
        <v>995</v>
      </c>
      <c r="E404" s="389">
        <v>776.71</v>
      </c>
      <c r="F404" s="126"/>
      <c r="G404" s="74">
        <f t="shared" si="6"/>
        <v>-383038.21496221499</v>
      </c>
    </row>
    <row r="405" spans="3:7" ht="14" x14ac:dyDescent="0.3">
      <c r="C405" s="88">
        <v>45562</v>
      </c>
      <c r="D405" s="56" t="s">
        <v>1015</v>
      </c>
      <c r="E405" s="389">
        <v>2254.23</v>
      </c>
      <c r="F405" s="126"/>
      <c r="G405" s="74">
        <f t="shared" si="6"/>
        <v>-380783.98496221501</v>
      </c>
    </row>
    <row r="406" spans="3:7" ht="14" x14ac:dyDescent="0.3">
      <c r="C406" s="88">
        <v>45563</v>
      </c>
      <c r="D406" s="56" t="s">
        <v>1017</v>
      </c>
      <c r="E406" s="389">
        <v>3757.05</v>
      </c>
      <c r="F406" s="126"/>
      <c r="G406" s="74">
        <f t="shared" si="6"/>
        <v>-377026.93496221502</v>
      </c>
    </row>
    <row r="407" spans="3:7" ht="14" x14ac:dyDescent="0.3">
      <c r="C407" s="88">
        <v>45562</v>
      </c>
      <c r="D407" s="56" t="s">
        <v>1062</v>
      </c>
      <c r="E407" s="74">
        <f>20000*2.53</f>
        <v>50599.999999999993</v>
      </c>
      <c r="F407" s="126"/>
      <c r="G407" s="74">
        <f t="shared" si="6"/>
        <v>-326426.93496221502</v>
      </c>
    </row>
    <row r="408" spans="3:7" ht="14" x14ac:dyDescent="0.3">
      <c r="C408" s="88">
        <v>45562</v>
      </c>
      <c r="D408" s="56" t="s">
        <v>1063</v>
      </c>
      <c r="E408" s="74">
        <f>8155*2.53</f>
        <v>20632.149999999998</v>
      </c>
      <c r="F408" s="63"/>
      <c r="G408" s="74">
        <f t="shared" si="6"/>
        <v>-305794.784962215</v>
      </c>
    </row>
    <row r="409" spans="3:7" ht="14" x14ac:dyDescent="0.3">
      <c r="C409" s="88">
        <v>45563</v>
      </c>
      <c r="D409" s="56" t="s">
        <v>1032</v>
      </c>
      <c r="E409" s="389">
        <v>6762.69</v>
      </c>
      <c r="F409" s="63"/>
      <c r="G409" s="74">
        <f t="shared" si="6"/>
        <v>-299032.09496221499</v>
      </c>
    </row>
    <row r="410" spans="3:7" ht="14" x14ac:dyDescent="0.3">
      <c r="C410" s="88">
        <v>45563</v>
      </c>
      <c r="D410" s="56" t="s">
        <v>1034</v>
      </c>
      <c r="E410" s="389">
        <v>1507.88</v>
      </c>
      <c r="F410" s="63"/>
      <c r="G410" s="74">
        <f t="shared" si="6"/>
        <v>-297524.21496221499</v>
      </c>
    </row>
    <row r="411" spans="3:7" ht="14" x14ac:dyDescent="0.3">
      <c r="C411" s="88">
        <v>45563</v>
      </c>
      <c r="D411" s="56" t="s">
        <v>1035</v>
      </c>
      <c r="E411" s="389">
        <v>1502.82</v>
      </c>
      <c r="F411" s="63"/>
      <c r="G411" s="74">
        <f t="shared" si="6"/>
        <v>-296021.39496221498</v>
      </c>
    </row>
    <row r="412" spans="3:7" ht="14" x14ac:dyDescent="0.3">
      <c r="C412" s="88">
        <v>45563</v>
      </c>
      <c r="D412" s="56" t="s">
        <v>1174</v>
      </c>
      <c r="E412" s="388">
        <v>751.41</v>
      </c>
      <c r="F412" s="63"/>
      <c r="G412" s="74">
        <f t="shared" si="6"/>
        <v>-295269.98496221501</v>
      </c>
    </row>
    <row r="413" spans="3:7" ht="14" x14ac:dyDescent="0.3">
      <c r="C413" s="88">
        <v>45565</v>
      </c>
      <c r="D413" s="56" t="s">
        <v>1155</v>
      </c>
      <c r="E413" s="63"/>
      <c r="F413" s="63">
        <f>1000*2.53</f>
        <v>2530</v>
      </c>
      <c r="G413" s="74">
        <f t="shared" si="6"/>
        <v>-297799.98496221501</v>
      </c>
    </row>
    <row r="414" spans="3:7" ht="14" x14ac:dyDescent="0.3">
      <c r="C414" s="88">
        <v>45565</v>
      </c>
      <c r="D414" s="56" t="s">
        <v>1069</v>
      </c>
      <c r="E414" s="388">
        <v>12903</v>
      </c>
      <c r="F414" s="63"/>
      <c r="G414" s="74">
        <f t="shared" si="6"/>
        <v>-284896.98496221501</v>
      </c>
    </row>
    <row r="415" spans="3:7" ht="14" x14ac:dyDescent="0.3">
      <c r="C415" s="88">
        <v>45565</v>
      </c>
      <c r="D415" s="56" t="s">
        <v>1044</v>
      </c>
      <c r="E415" s="388">
        <v>753.94</v>
      </c>
      <c r="F415" s="63"/>
      <c r="G415" s="74">
        <f t="shared" si="6"/>
        <v>-284143.044962215</v>
      </c>
    </row>
    <row r="416" spans="3:7" ht="14" x14ac:dyDescent="0.3">
      <c r="C416" s="88">
        <v>45565</v>
      </c>
      <c r="D416" s="56" t="s">
        <v>1044</v>
      </c>
      <c r="E416" s="388">
        <v>753.94</v>
      </c>
      <c r="F416" s="63"/>
      <c r="G416" s="74">
        <f t="shared" si="6"/>
        <v>-283389.104962215</v>
      </c>
    </row>
    <row r="417" spans="2:7" ht="14" x14ac:dyDescent="0.3">
      <c r="C417" s="88">
        <v>45565</v>
      </c>
      <c r="D417" s="56" t="s">
        <v>1049</v>
      </c>
      <c r="E417" s="388">
        <v>756.47</v>
      </c>
      <c r="F417" s="63"/>
      <c r="G417" s="74">
        <f t="shared" si="6"/>
        <v>-282632.63496221503</v>
      </c>
    </row>
    <row r="418" spans="2:7" ht="14" x14ac:dyDescent="0.3">
      <c r="C418" s="88">
        <v>45565</v>
      </c>
      <c r="D418" s="56" t="s">
        <v>1050</v>
      </c>
      <c r="E418" s="388">
        <v>1512.94</v>
      </c>
      <c r="F418" s="63"/>
      <c r="G418" s="74">
        <f t="shared" si="6"/>
        <v>-281119.69496221503</v>
      </c>
    </row>
    <row r="419" spans="2:7" ht="14" x14ac:dyDescent="0.3">
      <c r="C419" s="88">
        <v>45565</v>
      </c>
      <c r="D419" s="56" t="s">
        <v>1049</v>
      </c>
      <c r="E419" s="388">
        <v>756.47</v>
      </c>
      <c r="F419" s="63"/>
      <c r="G419" s="74">
        <f t="shared" si="6"/>
        <v>-280363.22496221506</v>
      </c>
    </row>
    <row r="420" spans="2:7" ht="14" x14ac:dyDescent="0.3">
      <c r="C420" s="88">
        <v>45565</v>
      </c>
      <c r="D420" s="56" t="s">
        <v>1051</v>
      </c>
      <c r="E420" s="388">
        <v>2269.41</v>
      </c>
      <c r="F420" s="63"/>
      <c r="G420" s="74">
        <f t="shared" si="6"/>
        <v>-278093.81496221508</v>
      </c>
    </row>
    <row r="421" spans="2:7" ht="14" x14ac:dyDescent="0.3">
      <c r="C421" s="88">
        <v>45566</v>
      </c>
      <c r="D421" s="56" t="s">
        <v>1181</v>
      </c>
      <c r="E421" s="388">
        <v>22950</v>
      </c>
      <c r="F421" s="63"/>
      <c r="G421" s="74">
        <f t="shared" si="6"/>
        <v>-255143.81496221508</v>
      </c>
    </row>
    <row r="422" spans="2:7" ht="14" x14ac:dyDescent="0.3">
      <c r="C422" s="88">
        <v>45566</v>
      </c>
      <c r="D422" s="75" t="s">
        <v>1183</v>
      </c>
      <c r="E422" s="388">
        <f>5000*2.55</f>
        <v>12750</v>
      </c>
      <c r="F422" s="63"/>
      <c r="G422" s="74">
        <f t="shared" si="6"/>
        <v>-242393.81496221508</v>
      </c>
    </row>
    <row r="423" spans="2:7" ht="14" x14ac:dyDescent="0.3">
      <c r="C423" s="88"/>
      <c r="D423" s="56"/>
      <c r="E423" s="388"/>
      <c r="F423" s="63"/>
      <c r="G423" s="74">
        <f t="shared" si="6"/>
        <v>-242393.81496221508</v>
      </c>
    </row>
    <row r="424" spans="2:7" ht="14.5" x14ac:dyDescent="0.35">
      <c r="B424" t="s">
        <v>1056</v>
      </c>
      <c r="C424" s="408">
        <v>45567</v>
      </c>
      <c r="D424" s="392" t="s">
        <v>1086</v>
      </c>
      <c r="E424" s="63"/>
      <c r="F424" s="421">
        <v>154800</v>
      </c>
      <c r="G424" s="74">
        <f t="shared" si="6"/>
        <v>-397193.81496221508</v>
      </c>
    </row>
    <row r="425" spans="2:7" ht="14.5" x14ac:dyDescent="0.35">
      <c r="C425" s="408">
        <v>45567</v>
      </c>
      <c r="D425" s="392" t="s">
        <v>1087</v>
      </c>
      <c r="E425" s="54"/>
      <c r="F425" s="421">
        <v>128550</v>
      </c>
      <c r="G425" s="74">
        <f t="shared" si="6"/>
        <v>-525743.81496221502</v>
      </c>
    </row>
    <row r="426" spans="2:7" ht="14" x14ac:dyDescent="0.3">
      <c r="C426" s="88">
        <v>45567</v>
      </c>
      <c r="D426" s="56" t="s">
        <v>1187</v>
      </c>
      <c r="E426" s="63">
        <v>759.9</v>
      </c>
      <c r="F426" s="421"/>
      <c r="G426" s="74">
        <f t="shared" si="6"/>
        <v>-524983.914962215</v>
      </c>
    </row>
    <row r="427" spans="2:7" ht="14.5" x14ac:dyDescent="0.35">
      <c r="C427" s="276">
        <v>45567</v>
      </c>
      <c r="D427" s="9" t="s">
        <v>1188</v>
      </c>
      <c r="E427" s="63">
        <f>298*15</f>
        <v>4470</v>
      </c>
      <c r="F427" s="421"/>
      <c r="G427" s="74">
        <f t="shared" si="6"/>
        <v>-520513.914962215</v>
      </c>
    </row>
    <row r="428" spans="2:7" ht="14" x14ac:dyDescent="0.3">
      <c r="C428" s="276">
        <v>45568</v>
      </c>
      <c r="D428" s="56" t="s">
        <v>1298</v>
      </c>
      <c r="E428" s="63">
        <f>298*2.55</f>
        <v>759.9</v>
      </c>
      <c r="F428" s="421"/>
      <c r="G428" s="74">
        <f t="shared" si="6"/>
        <v>-519754.01496221498</v>
      </c>
    </row>
    <row r="429" spans="2:7" ht="14" x14ac:dyDescent="0.3">
      <c r="C429" s="276">
        <v>45568</v>
      </c>
      <c r="D429" s="56" t="s">
        <v>1300</v>
      </c>
      <c r="E429" s="388">
        <v>3978</v>
      </c>
      <c r="F429" s="421"/>
      <c r="G429" s="74">
        <f t="shared" ref="G429:G433" si="7">G428+E429-F429</f>
        <v>-515776.01496221498</v>
      </c>
    </row>
    <row r="430" spans="2:7" ht="14" x14ac:dyDescent="0.3">
      <c r="C430" s="276">
        <v>45568</v>
      </c>
      <c r="D430" s="56" t="s">
        <v>1298</v>
      </c>
      <c r="E430" s="388">
        <v>759.9</v>
      </c>
      <c r="F430" s="421"/>
      <c r="G430" s="74">
        <f t="shared" si="7"/>
        <v>-515016.11496221495</v>
      </c>
    </row>
    <row r="431" spans="2:7" ht="14" x14ac:dyDescent="0.3">
      <c r="C431" s="88">
        <v>45569</v>
      </c>
      <c r="D431" s="56" t="s">
        <v>1201</v>
      </c>
      <c r="E431" s="388">
        <v>19584</v>
      </c>
      <c r="F431" s="421"/>
      <c r="G431" s="74">
        <f t="shared" si="7"/>
        <v>-495432.11496221495</v>
      </c>
    </row>
    <row r="432" spans="2:7" ht="14" x14ac:dyDescent="0.3">
      <c r="C432" s="88">
        <v>45569</v>
      </c>
      <c r="D432" s="56" t="s">
        <v>1200</v>
      </c>
      <c r="E432" s="388">
        <v>1519.8</v>
      </c>
      <c r="F432" s="421"/>
      <c r="G432" s="74">
        <f t="shared" si="7"/>
        <v>-493912.31496221496</v>
      </c>
    </row>
    <row r="433" spans="3:7" ht="14" x14ac:dyDescent="0.3">
      <c r="C433" s="88">
        <v>45570</v>
      </c>
      <c r="D433" s="56" t="s">
        <v>1242</v>
      </c>
      <c r="E433" s="388">
        <v>7624.5</v>
      </c>
      <c r="F433" s="421"/>
      <c r="G433" s="74">
        <f t="shared" si="7"/>
        <v>-486287.81496221496</v>
      </c>
    </row>
    <row r="434" spans="3:7" ht="14.5" x14ac:dyDescent="0.35">
      <c r="C434" s="276">
        <v>45572</v>
      </c>
      <c r="D434" s="9" t="s">
        <v>1210</v>
      </c>
      <c r="E434" s="63">
        <f>130*2.55</f>
        <v>331.5</v>
      </c>
      <c r="F434" s="421"/>
      <c r="G434" s="74">
        <f t="shared" ref="G434" si="8">G433+E434-F434</f>
        <v>-485956.31496221496</v>
      </c>
    </row>
    <row r="435" spans="3:7" ht="14.5" x14ac:dyDescent="0.35">
      <c r="C435" s="276">
        <v>45572</v>
      </c>
      <c r="D435" s="9" t="s">
        <v>1211</v>
      </c>
      <c r="E435" s="63">
        <f>50*2.55</f>
        <v>127.49999999999999</v>
      </c>
      <c r="F435" s="421"/>
      <c r="G435" s="74">
        <f t="shared" ref="G435:G461" si="9">G434+E435-F435</f>
        <v>-485828.81496221496</v>
      </c>
    </row>
    <row r="436" spans="3:7" ht="14" x14ac:dyDescent="0.3">
      <c r="C436" s="88">
        <v>45572</v>
      </c>
      <c r="D436" s="56" t="s">
        <v>1206</v>
      </c>
      <c r="E436" s="388">
        <v>17097.75</v>
      </c>
      <c r="F436" s="421"/>
      <c r="G436" s="74">
        <f t="shared" si="9"/>
        <v>-468731.06496221496</v>
      </c>
    </row>
    <row r="437" spans="3:7" ht="14" x14ac:dyDescent="0.3">
      <c r="C437" s="88">
        <v>45572</v>
      </c>
      <c r="D437" s="56" t="s">
        <v>1207</v>
      </c>
      <c r="E437" s="388">
        <v>3850.5</v>
      </c>
      <c r="F437" s="421"/>
      <c r="G437" s="74">
        <f t="shared" si="9"/>
        <v>-464880.56496221496</v>
      </c>
    </row>
    <row r="438" spans="3:7" ht="14" x14ac:dyDescent="0.3">
      <c r="C438" s="88">
        <v>45573</v>
      </c>
      <c r="D438" s="56" t="s">
        <v>1212</v>
      </c>
      <c r="E438" s="388">
        <v>1524.9</v>
      </c>
      <c r="F438" s="421"/>
      <c r="G438" s="74">
        <f t="shared" si="9"/>
        <v>-463355.66496221494</v>
      </c>
    </row>
    <row r="439" spans="3:7" ht="14" x14ac:dyDescent="0.3">
      <c r="C439" s="88">
        <v>45573</v>
      </c>
      <c r="D439" s="56" t="s">
        <v>1213</v>
      </c>
      <c r="E439" s="388">
        <v>13627.2</v>
      </c>
      <c r="F439" s="421"/>
      <c r="G439" s="74">
        <f t="shared" si="9"/>
        <v>-449728.46496221493</v>
      </c>
    </row>
    <row r="440" spans="3:7" ht="14" x14ac:dyDescent="0.3">
      <c r="C440" s="88">
        <v>45573</v>
      </c>
      <c r="D440" s="56" t="s">
        <v>1214</v>
      </c>
      <c r="E440" s="388">
        <v>11923.8</v>
      </c>
      <c r="F440" s="421"/>
      <c r="G440" s="74">
        <f t="shared" si="9"/>
        <v>-437804.66496221494</v>
      </c>
    </row>
    <row r="441" spans="3:7" ht="14" x14ac:dyDescent="0.3">
      <c r="C441" s="88">
        <v>45573</v>
      </c>
      <c r="D441" s="56" t="s">
        <v>1215</v>
      </c>
      <c r="E441" s="388">
        <v>14320.8</v>
      </c>
      <c r="F441" s="421"/>
      <c r="G441" s="74">
        <f t="shared" si="9"/>
        <v>-423483.86496221495</v>
      </c>
    </row>
    <row r="442" spans="3:7" ht="14" x14ac:dyDescent="0.3">
      <c r="C442" s="88">
        <v>45573</v>
      </c>
      <c r="D442" s="56" t="s">
        <v>1216</v>
      </c>
      <c r="E442" s="388">
        <v>3100.8</v>
      </c>
      <c r="F442" s="421"/>
      <c r="G442" s="74">
        <f t="shared" si="9"/>
        <v>-420383.06496221496</v>
      </c>
    </row>
    <row r="443" spans="3:7" ht="14" x14ac:dyDescent="0.3">
      <c r="C443" s="88">
        <v>45575</v>
      </c>
      <c r="D443" s="56" t="s">
        <v>1228</v>
      </c>
      <c r="E443" s="388">
        <v>17546.32</v>
      </c>
      <c r="F443" s="421"/>
      <c r="G443" s="74">
        <f t="shared" si="9"/>
        <v>-402836.74496221496</v>
      </c>
    </row>
    <row r="444" spans="3:7" ht="14" x14ac:dyDescent="0.3">
      <c r="C444" s="88">
        <v>45575</v>
      </c>
      <c r="D444" s="56" t="s">
        <v>1229</v>
      </c>
      <c r="E444" s="388">
        <v>762.45</v>
      </c>
      <c r="F444" s="421"/>
      <c r="G444" s="74">
        <f t="shared" si="9"/>
        <v>-402074.29496221495</v>
      </c>
    </row>
    <row r="445" spans="3:7" ht="14" x14ac:dyDescent="0.3">
      <c r="C445" s="88">
        <v>45575</v>
      </c>
      <c r="D445" s="56" t="s">
        <v>1230</v>
      </c>
      <c r="E445" s="388">
        <v>1935.45</v>
      </c>
      <c r="F445" s="421"/>
      <c r="G445" s="74">
        <f t="shared" si="9"/>
        <v>-400138.84496221493</v>
      </c>
    </row>
    <row r="446" spans="3:7" ht="14" x14ac:dyDescent="0.3">
      <c r="C446" s="88">
        <v>45575</v>
      </c>
      <c r="D446" s="56" t="s">
        <v>1232</v>
      </c>
      <c r="E446" s="388">
        <v>252.45</v>
      </c>
      <c r="F446" s="421"/>
      <c r="G446" s="74">
        <f t="shared" si="9"/>
        <v>-399886.39496221492</v>
      </c>
    </row>
    <row r="447" spans="3:7" ht="14" x14ac:dyDescent="0.3">
      <c r="C447" s="88">
        <v>45576</v>
      </c>
      <c r="D447" s="56" t="s">
        <v>1236</v>
      </c>
      <c r="E447" s="388">
        <v>13476.75</v>
      </c>
      <c r="F447" s="421"/>
      <c r="G447" s="74">
        <f t="shared" si="9"/>
        <v>-386409.64496221492</v>
      </c>
    </row>
    <row r="448" spans="3:7" ht="14" x14ac:dyDescent="0.3">
      <c r="C448" s="88">
        <v>45577</v>
      </c>
      <c r="D448" s="56" t="s">
        <v>1243</v>
      </c>
      <c r="E448" s="388">
        <v>95625</v>
      </c>
      <c r="F448" s="421"/>
      <c r="G448" s="74">
        <f t="shared" si="9"/>
        <v>-290784.64496221492</v>
      </c>
    </row>
    <row r="449" spans="3:7" ht="14" x14ac:dyDescent="0.3">
      <c r="C449" s="276">
        <v>45579</v>
      </c>
      <c r="D449" s="56" t="s">
        <v>1268</v>
      </c>
      <c r="E449" s="388">
        <v>19584</v>
      </c>
      <c r="F449" s="421"/>
      <c r="G449" s="74">
        <f t="shared" si="9"/>
        <v>-271200.64496221492</v>
      </c>
    </row>
    <row r="450" spans="3:7" x14ac:dyDescent="0.3">
      <c r="C450" s="276">
        <v>45580</v>
      </c>
      <c r="D450" s="16" t="s">
        <v>1342</v>
      </c>
      <c r="E450" s="430">
        <v>29059.8</v>
      </c>
      <c r="F450" s="421"/>
      <c r="G450" s="74">
        <f t="shared" si="9"/>
        <v>-242140.84496221493</v>
      </c>
    </row>
    <row r="451" spans="3:7" x14ac:dyDescent="0.3">
      <c r="C451" s="276">
        <v>45580</v>
      </c>
      <c r="D451" s="16" t="s">
        <v>1343</v>
      </c>
      <c r="E451" s="431">
        <v>109599</v>
      </c>
      <c r="F451" s="421"/>
      <c r="G451" s="74">
        <f t="shared" si="9"/>
        <v>-132541.84496221493</v>
      </c>
    </row>
    <row r="452" spans="3:7" ht="14" x14ac:dyDescent="0.3">
      <c r="C452" s="276">
        <v>45580</v>
      </c>
      <c r="D452" s="56" t="s">
        <v>1340</v>
      </c>
      <c r="E452" s="388">
        <v>44599.5</v>
      </c>
      <c r="F452" s="421"/>
      <c r="G452" s="74">
        <f t="shared" si="9"/>
        <v>-87942.344962214935</v>
      </c>
    </row>
    <row r="453" spans="3:7" ht="14" x14ac:dyDescent="0.3">
      <c r="C453" s="276">
        <v>45580</v>
      </c>
      <c r="D453" s="56" t="s">
        <v>1341</v>
      </c>
      <c r="E453" s="388">
        <v>20374.5</v>
      </c>
      <c r="F453" s="421"/>
      <c r="G453" s="74">
        <f t="shared" si="9"/>
        <v>-67567.844962214935</v>
      </c>
    </row>
    <row r="454" spans="3:7" ht="14" x14ac:dyDescent="0.3">
      <c r="C454" s="276">
        <v>45580</v>
      </c>
      <c r="D454" s="56" t="s">
        <v>1442</v>
      </c>
      <c r="E454" s="388">
        <f>937*2.5</f>
        <v>2342.5</v>
      </c>
      <c r="F454" s="421"/>
      <c r="G454" s="74">
        <f t="shared" si="9"/>
        <v>-65225.344962214935</v>
      </c>
    </row>
    <row r="455" spans="3:7" ht="15.5" x14ac:dyDescent="0.35">
      <c r="C455" s="88">
        <v>45597</v>
      </c>
      <c r="D455" s="456" t="s">
        <v>1452</v>
      </c>
      <c r="E455" s="455">
        <v>414050.54</v>
      </c>
      <c r="F455" s="421"/>
      <c r="G455" s="74">
        <f t="shared" si="9"/>
        <v>348825.19503778504</v>
      </c>
    </row>
    <row r="456" spans="3:7" ht="14.5" x14ac:dyDescent="0.35">
      <c r="C456" s="276"/>
      <c r="D456" s="446" t="s">
        <v>1405</v>
      </c>
      <c r="E456" s="388"/>
      <c r="F456" s="421"/>
      <c r="G456" s="74">
        <f t="shared" si="9"/>
        <v>348825.19503778504</v>
      </c>
    </row>
    <row r="457" spans="3:7" ht="14" x14ac:dyDescent="0.3">
      <c r="C457" s="276"/>
      <c r="D457" s="56"/>
      <c r="E457" s="388"/>
      <c r="F457" s="421"/>
      <c r="G457" s="74">
        <f t="shared" si="9"/>
        <v>348825.19503778504</v>
      </c>
    </row>
    <row r="458" spans="3:7" x14ac:dyDescent="0.3">
      <c r="C458" s="276">
        <v>45581</v>
      </c>
      <c r="D458" s="433" t="s">
        <v>1370</v>
      </c>
      <c r="E458" s="431"/>
      <c r="F458" s="421">
        <f>30000*2.447</f>
        <v>73410</v>
      </c>
      <c r="G458" s="74">
        <f t="shared" si="9"/>
        <v>275415.19503778504</v>
      </c>
    </row>
    <row r="459" spans="3:7" x14ac:dyDescent="0.3">
      <c r="C459" s="276"/>
      <c r="D459" s="16"/>
      <c r="E459" s="431"/>
      <c r="F459" s="421"/>
      <c r="G459" s="74">
        <f t="shared" si="9"/>
        <v>275415.19503778504</v>
      </c>
    </row>
    <row r="460" spans="3:7" x14ac:dyDescent="0.3">
      <c r="C460" s="276">
        <v>45583</v>
      </c>
      <c r="D460" s="16" t="s">
        <v>1391</v>
      </c>
      <c r="E460" s="431">
        <v>6500</v>
      </c>
      <c r="F460" s="421"/>
      <c r="G460" s="74">
        <f t="shared" si="9"/>
        <v>281915.19503778504</v>
      </c>
    </row>
    <row r="461" spans="3:7" ht="14.5" x14ac:dyDescent="0.35">
      <c r="C461" s="88"/>
      <c r="D461" s="446"/>
      <c r="E461" s="54"/>
      <c r="F461" s="63"/>
      <c r="G461" s="74">
        <f t="shared" si="9"/>
        <v>281915.19503778504</v>
      </c>
    </row>
    <row r="462" spans="3:7" ht="15" x14ac:dyDescent="0.3">
      <c r="C462" s="41"/>
      <c r="D462" s="416" t="s">
        <v>1267</v>
      </c>
      <c r="E462" s="417">
        <f>SUM(E273:E461)</f>
        <v>1900481.7083999994</v>
      </c>
      <c r="F462" s="417">
        <f>SUM(F272:F461)</f>
        <v>1618566.5133622149</v>
      </c>
      <c r="G462" s="74">
        <f>E462-F462</f>
        <v>281915.19503778452</v>
      </c>
    </row>
    <row r="463" spans="3:7" x14ac:dyDescent="0.3">
      <c r="C463" s="23"/>
      <c r="D463" s="1"/>
      <c r="E463" s="55"/>
      <c r="F463" s="55"/>
      <c r="G463" s="188"/>
    </row>
    <row r="464" spans="3:7" ht="18.5" x14ac:dyDescent="0.45">
      <c r="C464" s="2"/>
      <c r="D464" s="114" t="s">
        <v>1443</v>
      </c>
      <c r="E464" s="2"/>
      <c r="F464" s="422"/>
      <c r="G464" s="2"/>
    </row>
    <row r="465" spans="3:7" ht="18.5" x14ac:dyDescent="0.3">
      <c r="C465" s="7" t="s">
        <v>0</v>
      </c>
      <c r="D465" s="7" t="s">
        <v>1</v>
      </c>
      <c r="E465" s="7" t="s">
        <v>2</v>
      </c>
      <c r="F465" s="423" t="s">
        <v>3</v>
      </c>
      <c r="G465" s="7" t="s">
        <v>4</v>
      </c>
    </row>
    <row r="466" spans="3:7" x14ac:dyDescent="0.3">
      <c r="C466" s="8"/>
      <c r="D466" s="8"/>
      <c r="E466" s="8"/>
      <c r="F466" s="424"/>
      <c r="G466" s="8"/>
    </row>
    <row r="467" spans="3:7" ht="14" x14ac:dyDescent="0.3">
      <c r="C467" s="25">
        <v>45572</v>
      </c>
      <c r="D467" s="90" t="s">
        <v>1444</v>
      </c>
      <c r="E467" s="117">
        <f>13754.7*2.67</f>
        <v>36725.048999999999</v>
      </c>
      <c r="F467" s="425"/>
      <c r="G467" s="118">
        <f>G466+E467-F467</f>
        <v>36725.048999999999</v>
      </c>
    </row>
    <row r="468" spans="3:7" ht="14" x14ac:dyDescent="0.3">
      <c r="C468" s="25">
        <v>45596</v>
      </c>
      <c r="D468" s="56" t="s">
        <v>1445</v>
      </c>
      <c r="E468" s="117">
        <f>2000*2.45</f>
        <v>4900</v>
      </c>
      <c r="F468" s="425"/>
      <c r="G468" s="118">
        <f t="shared" ref="G468:G471" si="10">G467+E468-F468</f>
        <v>41625.048999999999</v>
      </c>
    </row>
    <row r="469" spans="3:7" ht="14" x14ac:dyDescent="0.3">
      <c r="C469" s="25"/>
      <c r="D469" s="56"/>
      <c r="E469" s="117"/>
      <c r="F469" s="425"/>
      <c r="G469" s="118">
        <f t="shared" si="10"/>
        <v>41625.048999999999</v>
      </c>
    </row>
    <row r="470" spans="3:7" ht="14" x14ac:dyDescent="0.3">
      <c r="C470" s="25"/>
      <c r="D470" s="56"/>
      <c r="E470" s="117"/>
      <c r="F470" s="425"/>
      <c r="G470" s="118">
        <f t="shared" si="10"/>
        <v>41625.048999999999</v>
      </c>
    </row>
    <row r="471" spans="3:7" ht="14" x14ac:dyDescent="0.3">
      <c r="C471" s="25"/>
      <c r="D471" s="56"/>
      <c r="E471" s="117"/>
      <c r="F471" s="425"/>
      <c r="G471" s="118">
        <f t="shared" si="10"/>
        <v>41625.048999999999</v>
      </c>
    </row>
    <row r="472" spans="3:7" x14ac:dyDescent="0.3">
      <c r="C472" s="23"/>
      <c r="D472" s="1"/>
      <c r="E472" s="55"/>
      <c r="F472" s="55"/>
      <c r="G472" s="188"/>
    </row>
    <row r="473" spans="3:7" x14ac:dyDescent="0.3">
      <c r="C473" s="23"/>
      <c r="D473" s="1"/>
      <c r="E473" s="55"/>
      <c r="F473" s="55"/>
      <c r="G473" s="188"/>
    </row>
    <row r="474" spans="3:7" x14ac:dyDescent="0.3">
      <c r="C474" s="23"/>
      <c r="D474" s="1"/>
      <c r="E474" s="55"/>
      <c r="F474" s="55"/>
      <c r="G474" s="188"/>
    </row>
    <row r="475" spans="3:7" x14ac:dyDescent="0.3">
      <c r="C475" s="23"/>
      <c r="D475" s="1"/>
      <c r="E475" s="55"/>
      <c r="F475" s="55"/>
      <c r="G475" s="188"/>
    </row>
    <row r="476" spans="3:7" ht="18.5" x14ac:dyDescent="0.45">
      <c r="C476" s="2"/>
      <c r="D476" s="114" t="s">
        <v>342</v>
      </c>
      <c r="E476" s="2"/>
      <c r="F476" s="422"/>
      <c r="G476" s="2"/>
    </row>
    <row r="477" spans="3:7" ht="18.5" x14ac:dyDescent="0.3">
      <c r="C477" s="7" t="s">
        <v>0</v>
      </c>
      <c r="D477" s="7" t="s">
        <v>1</v>
      </c>
      <c r="E477" s="7" t="s">
        <v>2</v>
      </c>
      <c r="F477" s="423" t="s">
        <v>3</v>
      </c>
      <c r="G477" s="7" t="s">
        <v>4</v>
      </c>
    </row>
    <row r="478" spans="3:7" x14ac:dyDescent="0.3">
      <c r="C478" s="8"/>
      <c r="D478" s="8"/>
      <c r="E478" s="8"/>
      <c r="F478" s="424"/>
      <c r="G478" s="8"/>
    </row>
    <row r="479" spans="3:7" ht="14" x14ac:dyDescent="0.3">
      <c r="C479" s="25">
        <v>45502</v>
      </c>
      <c r="D479" s="90" t="s">
        <v>430</v>
      </c>
      <c r="E479" s="117">
        <f>5567*2.62</f>
        <v>14585.54</v>
      </c>
      <c r="F479" s="425"/>
      <c r="G479" s="118">
        <f>G478+E479-F479</f>
        <v>14585.54</v>
      </c>
    </row>
    <row r="480" spans="3:7" ht="14" x14ac:dyDescent="0.3">
      <c r="C480" s="25">
        <v>45502</v>
      </c>
      <c r="D480" s="56" t="s">
        <v>365</v>
      </c>
      <c r="E480" s="117"/>
      <c r="F480" s="425">
        <v>2600</v>
      </c>
      <c r="G480" s="118">
        <f t="shared" ref="G480:G488" si="11">G479+E480-F480</f>
        <v>11985.54</v>
      </c>
    </row>
    <row r="481" spans="3:7" ht="14" x14ac:dyDescent="0.3">
      <c r="C481" s="25">
        <v>45502</v>
      </c>
      <c r="D481" s="56" t="s">
        <v>366</v>
      </c>
      <c r="E481" s="117"/>
      <c r="F481" s="425">
        <v>3000</v>
      </c>
      <c r="G481" s="118">
        <f t="shared" si="11"/>
        <v>8985.5400000000009</v>
      </c>
    </row>
    <row r="482" spans="3:7" ht="14" x14ac:dyDescent="0.3">
      <c r="C482" s="25">
        <v>45502</v>
      </c>
      <c r="D482" s="56" t="s">
        <v>367</v>
      </c>
      <c r="E482" s="117"/>
      <c r="F482" s="425">
        <v>4200</v>
      </c>
      <c r="G482" s="118">
        <f t="shared" si="11"/>
        <v>4785.5400000000009</v>
      </c>
    </row>
    <row r="483" spans="3:7" ht="14" x14ac:dyDescent="0.3">
      <c r="C483" s="25">
        <v>45502</v>
      </c>
      <c r="D483" s="56" t="s">
        <v>368</v>
      </c>
      <c r="E483" s="117"/>
      <c r="F483" s="425">
        <v>3900</v>
      </c>
      <c r="G483" s="118">
        <f t="shared" si="11"/>
        <v>885.54000000000087</v>
      </c>
    </row>
    <row r="484" spans="3:7" ht="14" x14ac:dyDescent="0.3">
      <c r="C484" s="25">
        <v>45502</v>
      </c>
      <c r="D484" s="56" t="s">
        <v>369</v>
      </c>
      <c r="E484" s="117"/>
      <c r="F484" s="425">
        <v>3600</v>
      </c>
      <c r="G484" s="118">
        <f t="shared" si="11"/>
        <v>-2714.4599999999991</v>
      </c>
    </row>
    <row r="485" spans="3:7" ht="14" x14ac:dyDescent="0.3">
      <c r="C485" s="25">
        <v>45502</v>
      </c>
      <c r="D485" s="56" t="s">
        <v>370</v>
      </c>
      <c r="E485" s="117"/>
      <c r="F485" s="425">
        <v>2700</v>
      </c>
      <c r="G485" s="118">
        <f t="shared" si="11"/>
        <v>-5414.4599999999991</v>
      </c>
    </row>
    <row r="486" spans="3:7" ht="14" x14ac:dyDescent="0.3">
      <c r="C486" s="25">
        <v>45509</v>
      </c>
      <c r="D486" s="56" t="s">
        <v>429</v>
      </c>
      <c r="E486" s="117">
        <f>Total!I237</f>
        <v>5643.4800000000005</v>
      </c>
      <c r="F486" s="425"/>
      <c r="G486" s="118">
        <f t="shared" si="11"/>
        <v>229.02000000000135</v>
      </c>
    </row>
    <row r="487" spans="3:7" ht="14" x14ac:dyDescent="0.3">
      <c r="C487" s="13"/>
      <c r="D487" s="119"/>
      <c r="E487" s="13"/>
      <c r="F487" s="69"/>
      <c r="G487" s="118">
        <f t="shared" si="11"/>
        <v>229.02000000000135</v>
      </c>
    </row>
    <row r="488" spans="3:7" ht="14" x14ac:dyDescent="0.3">
      <c r="C488" s="121"/>
      <c r="D488" s="121"/>
      <c r="E488" s="121"/>
      <c r="F488" s="426"/>
      <c r="G488" s="122">
        <f t="shared" si="11"/>
        <v>229.02000000000135</v>
      </c>
    </row>
    <row r="489" spans="3:7" x14ac:dyDescent="0.3">
      <c r="C489" s="23"/>
      <c r="D489" s="1"/>
      <c r="E489" s="55"/>
      <c r="F489" s="55"/>
      <c r="G489" s="188"/>
    </row>
    <row r="490" spans="3:7" x14ac:dyDescent="0.3">
      <c r="C490" s="23"/>
      <c r="D490" s="1"/>
      <c r="E490" s="55"/>
      <c r="F490" s="55"/>
      <c r="G490" s="188"/>
    </row>
    <row r="491" spans="3:7" x14ac:dyDescent="0.3">
      <c r="C491" s="23"/>
      <c r="D491" s="1"/>
      <c r="E491" s="55"/>
      <c r="F491" s="55"/>
      <c r="G491" s="188"/>
    </row>
    <row r="492" spans="3:7" x14ac:dyDescent="0.3">
      <c r="C492" s="23"/>
      <c r="D492" s="1"/>
      <c r="E492" s="55"/>
      <c r="F492" s="55"/>
      <c r="G492" s="188"/>
    </row>
    <row r="493" spans="3:7" x14ac:dyDescent="0.3">
      <c r="C493" s="23"/>
      <c r="D493" s="1"/>
      <c r="E493" s="55"/>
      <c r="F493" s="55"/>
      <c r="G493" s="188"/>
    </row>
    <row r="494" spans="3:7" x14ac:dyDescent="0.3">
      <c r="C494" s="23"/>
      <c r="D494" s="1"/>
      <c r="E494" s="23"/>
      <c r="F494" s="71"/>
      <c r="G494" s="71"/>
    </row>
    <row r="495" spans="3:7" x14ac:dyDescent="0.3">
      <c r="C495" s="23"/>
      <c r="D495" s="1"/>
      <c r="E495" s="23"/>
      <c r="F495" s="71"/>
      <c r="G495" s="71"/>
    </row>
    <row r="496" spans="3:7" x14ac:dyDescent="0.3">
      <c r="C496" s="23"/>
      <c r="D496" s="1"/>
      <c r="E496" s="23"/>
      <c r="F496" s="71"/>
      <c r="G496" s="71"/>
    </row>
    <row r="497" spans="3:18" ht="18.5" x14ac:dyDescent="0.45">
      <c r="C497" s="2"/>
      <c r="D497" s="114" t="s">
        <v>261</v>
      </c>
      <c r="E497" s="2"/>
      <c r="F497" s="422"/>
      <c r="G497" s="2"/>
      <c r="K497" s="2"/>
      <c r="L497" s="114" t="s">
        <v>263</v>
      </c>
      <c r="M497" s="2"/>
      <c r="N497" s="2"/>
      <c r="O497" s="2"/>
    </row>
    <row r="498" spans="3:18" ht="18.5" x14ac:dyDescent="0.3">
      <c r="C498" s="7" t="s">
        <v>0</v>
      </c>
      <c r="D498" s="7" t="s">
        <v>1</v>
      </c>
      <c r="E498" s="7" t="s">
        <v>2</v>
      </c>
      <c r="F498" s="423" t="s">
        <v>3</v>
      </c>
      <c r="G498" s="7" t="s">
        <v>4</v>
      </c>
      <c r="K498" s="7" t="s">
        <v>0</v>
      </c>
      <c r="L498" s="7" t="s">
        <v>1</v>
      </c>
      <c r="M498" s="7" t="s">
        <v>2</v>
      </c>
      <c r="N498" s="7" t="s">
        <v>3</v>
      </c>
      <c r="O498" s="7" t="s">
        <v>4</v>
      </c>
    </row>
    <row r="499" spans="3:18" x14ac:dyDescent="0.3">
      <c r="C499" s="8"/>
      <c r="D499" s="8"/>
      <c r="E499" s="8"/>
      <c r="F499" s="424"/>
      <c r="G499" s="8"/>
      <c r="K499" s="8"/>
      <c r="L499" s="8"/>
      <c r="M499" s="8"/>
      <c r="N499" s="8"/>
      <c r="O499" s="8"/>
    </row>
    <row r="500" spans="3:18" ht="14" x14ac:dyDescent="0.3">
      <c r="C500" s="116">
        <v>45431</v>
      </c>
      <c r="D500" s="56" t="s">
        <v>231</v>
      </c>
      <c r="E500" s="117">
        <f>27000*2.44</f>
        <v>65880</v>
      </c>
      <c r="F500" s="425"/>
      <c r="G500" s="118">
        <f>G499+E500-F500</f>
        <v>65880</v>
      </c>
      <c r="K500" s="116">
        <v>45431</v>
      </c>
      <c r="L500" s="56" t="s">
        <v>262</v>
      </c>
      <c r="M500" s="117">
        <v>27500</v>
      </c>
      <c r="N500" s="13"/>
      <c r="O500" s="118">
        <f>O499+M500-N500</f>
        <v>27500</v>
      </c>
      <c r="Q500">
        <v>2.4300000000000002</v>
      </c>
      <c r="R500" s="259">
        <f>Q500*M500</f>
        <v>66825</v>
      </c>
    </row>
    <row r="501" spans="3:18" ht="28" x14ac:dyDescent="0.3">
      <c r="C501" s="116">
        <v>45452</v>
      </c>
      <c r="D501" s="56" t="s">
        <v>234</v>
      </c>
      <c r="E501" s="117">
        <f>350*2.44</f>
        <v>854</v>
      </c>
      <c r="F501" s="425"/>
      <c r="G501" s="118">
        <f t="shared" ref="G501:G506" si="12">G500+E501-F501</f>
        <v>66734</v>
      </c>
      <c r="K501" s="116">
        <v>45452</v>
      </c>
      <c r="L501" s="56" t="s">
        <v>234</v>
      </c>
      <c r="M501" s="117">
        <v>350</v>
      </c>
      <c r="N501" s="13"/>
      <c r="O501" s="118">
        <f t="shared" ref="O501:O517" si="13">O500+M501-N501</f>
        <v>27850</v>
      </c>
      <c r="Q501">
        <v>2.4300000000000002</v>
      </c>
      <c r="R501" s="259">
        <f t="shared" ref="R501:R506" si="14">Q501*M501</f>
        <v>850.5</v>
      </c>
    </row>
    <row r="502" spans="3:18" ht="28" x14ac:dyDescent="0.3">
      <c r="C502" s="116">
        <v>45452</v>
      </c>
      <c r="D502" s="56" t="s">
        <v>235</v>
      </c>
      <c r="E502" s="117">
        <f>150*2.44</f>
        <v>366</v>
      </c>
      <c r="F502" s="425"/>
      <c r="G502" s="118">
        <f t="shared" si="12"/>
        <v>67100</v>
      </c>
      <c r="K502" s="116">
        <v>45452</v>
      </c>
      <c r="L502" s="56" t="s">
        <v>235</v>
      </c>
      <c r="M502" s="117">
        <v>150</v>
      </c>
      <c r="N502" s="13"/>
      <c r="O502" s="118">
        <f t="shared" si="13"/>
        <v>28000</v>
      </c>
      <c r="Q502">
        <v>2.4300000000000002</v>
      </c>
      <c r="R502" s="259">
        <f t="shared" si="14"/>
        <v>364.5</v>
      </c>
    </row>
    <row r="503" spans="3:18" ht="14" x14ac:dyDescent="0.3">
      <c r="C503" s="116">
        <v>45474</v>
      </c>
      <c r="D503" s="13" t="s">
        <v>232</v>
      </c>
      <c r="E503" s="117">
        <f>500*2.44</f>
        <v>1220</v>
      </c>
      <c r="F503" s="425"/>
      <c r="G503" s="118">
        <f t="shared" si="12"/>
        <v>68320</v>
      </c>
      <c r="K503" s="116">
        <v>45474</v>
      </c>
      <c r="L503" s="13" t="s">
        <v>232</v>
      </c>
      <c r="M503" s="117">
        <v>500</v>
      </c>
      <c r="N503" s="13"/>
      <c r="O503" s="118">
        <f t="shared" si="13"/>
        <v>28500</v>
      </c>
      <c r="Q503">
        <v>2.4300000000000002</v>
      </c>
      <c r="R503" s="259">
        <f t="shared" si="14"/>
        <v>1215</v>
      </c>
    </row>
    <row r="504" spans="3:18" ht="14" x14ac:dyDescent="0.3">
      <c r="C504" s="116">
        <v>45492</v>
      </c>
      <c r="D504" s="13" t="s">
        <v>233</v>
      </c>
      <c r="E504" s="117">
        <f>500*2.44</f>
        <v>1220</v>
      </c>
      <c r="F504" s="425"/>
      <c r="G504" s="118">
        <f t="shared" si="12"/>
        <v>69540</v>
      </c>
      <c r="K504" s="116">
        <v>45492</v>
      </c>
      <c r="L504" s="13" t="s">
        <v>233</v>
      </c>
      <c r="M504" s="117">
        <v>500</v>
      </c>
      <c r="N504" s="13"/>
      <c r="O504" s="118">
        <f t="shared" si="13"/>
        <v>29000</v>
      </c>
      <c r="Q504">
        <v>2.4300000000000002</v>
      </c>
      <c r="R504" s="259">
        <f t="shared" si="14"/>
        <v>1215</v>
      </c>
    </row>
    <row r="505" spans="3:18" ht="14" x14ac:dyDescent="0.3">
      <c r="C505" s="116">
        <v>45493</v>
      </c>
      <c r="D505" s="13" t="s">
        <v>454</v>
      </c>
      <c r="E505" s="117">
        <f>54000*2.52</f>
        <v>136080</v>
      </c>
      <c r="F505" s="425"/>
      <c r="G505" s="118">
        <f t="shared" si="12"/>
        <v>205620</v>
      </c>
      <c r="K505" s="116">
        <v>45493</v>
      </c>
      <c r="L505" s="13" t="s">
        <v>268</v>
      </c>
      <c r="M505" s="117">
        <v>54000</v>
      </c>
      <c r="N505" s="13"/>
      <c r="O505" s="118">
        <f t="shared" si="13"/>
        <v>83000</v>
      </c>
      <c r="Q505">
        <v>2.52</v>
      </c>
      <c r="R505" s="259">
        <f t="shared" si="14"/>
        <v>136080</v>
      </c>
    </row>
    <row r="506" spans="3:18" ht="14" x14ac:dyDescent="0.3">
      <c r="C506" s="116"/>
      <c r="D506" s="13"/>
      <c r="E506" s="117"/>
      <c r="F506" s="425"/>
      <c r="G506" s="118">
        <f t="shared" si="12"/>
        <v>205620</v>
      </c>
      <c r="K506" s="116">
        <v>45510</v>
      </c>
      <c r="L506" s="13" t="s">
        <v>433</v>
      </c>
      <c r="M506" s="117">
        <v>1500</v>
      </c>
      <c r="N506" s="13"/>
      <c r="O506" s="118">
        <f t="shared" si="13"/>
        <v>84500</v>
      </c>
      <c r="Q506">
        <v>2.52</v>
      </c>
      <c r="R506" s="259">
        <f t="shared" si="14"/>
        <v>3780</v>
      </c>
    </row>
    <row r="507" spans="3:18" ht="14" x14ac:dyDescent="0.3">
      <c r="C507" s="116"/>
      <c r="D507" s="13"/>
      <c r="E507" s="117"/>
      <c r="F507" s="425"/>
      <c r="G507" s="118"/>
      <c r="K507" s="116">
        <v>45511</v>
      </c>
      <c r="L507" s="268" t="s">
        <v>465</v>
      </c>
      <c r="M507" s="117"/>
      <c r="N507" s="13">
        <v>3000</v>
      </c>
      <c r="O507" s="118">
        <f t="shared" si="13"/>
        <v>81500</v>
      </c>
      <c r="Q507">
        <v>2.52</v>
      </c>
      <c r="R507" s="259">
        <f>-N507*Q507</f>
        <v>-7560</v>
      </c>
    </row>
    <row r="508" spans="3:18" ht="14" x14ac:dyDescent="0.3">
      <c r="C508" s="116"/>
      <c r="D508" s="13"/>
      <c r="E508" s="117"/>
      <c r="F508" s="425"/>
      <c r="G508" s="118"/>
      <c r="K508" s="405">
        <v>45588</v>
      </c>
      <c r="L508" s="13" t="s">
        <v>1406</v>
      </c>
      <c r="M508" s="13"/>
      <c r="N508" s="120">
        <v>27500</v>
      </c>
      <c r="O508" s="118">
        <f t="shared" si="13"/>
        <v>54000</v>
      </c>
      <c r="R508" s="259"/>
    </row>
    <row r="509" spans="3:18" ht="14" x14ac:dyDescent="0.3">
      <c r="C509" s="13"/>
      <c r="D509" s="119"/>
      <c r="E509" s="13"/>
      <c r="F509" s="69"/>
      <c r="G509" s="118">
        <f>G506+E509-F509</f>
        <v>205620</v>
      </c>
      <c r="K509" s="405">
        <v>45591</v>
      </c>
      <c r="L509" s="13" t="s">
        <v>1407</v>
      </c>
      <c r="M509" s="13">
        <v>27500</v>
      </c>
      <c r="N509" s="120"/>
      <c r="O509" s="118">
        <f t="shared" si="13"/>
        <v>81500</v>
      </c>
    </row>
    <row r="510" spans="3:18" ht="14" x14ac:dyDescent="0.3">
      <c r="C510" s="121"/>
      <c r="D510" s="240"/>
      <c r="E510" s="121"/>
      <c r="F510" s="70"/>
      <c r="G510" s="118"/>
      <c r="K510" s="405">
        <v>45609</v>
      </c>
      <c r="L510" s="13" t="s">
        <v>1561</v>
      </c>
      <c r="M510" s="13"/>
      <c r="N510" s="120">
        <v>80000</v>
      </c>
      <c r="O510" s="118">
        <f t="shared" si="13"/>
        <v>1500</v>
      </c>
    </row>
    <row r="511" spans="3:18" ht="14" x14ac:dyDescent="0.3">
      <c r="C511" s="121"/>
      <c r="D511" s="240"/>
      <c r="E511" s="121"/>
      <c r="F511" s="70"/>
      <c r="G511" s="118"/>
      <c r="K511" s="405">
        <v>45610</v>
      </c>
      <c r="L511" s="13" t="s">
        <v>1569</v>
      </c>
      <c r="M511" s="13">
        <v>50000</v>
      </c>
      <c r="N511" s="120"/>
      <c r="O511" s="118">
        <f t="shared" si="13"/>
        <v>51500</v>
      </c>
    </row>
    <row r="512" spans="3:18" ht="14" x14ac:dyDescent="0.3">
      <c r="C512" s="121"/>
      <c r="D512" s="240"/>
      <c r="E512" s="121"/>
      <c r="F512" s="70"/>
      <c r="G512" s="118"/>
      <c r="K512" s="405">
        <v>45633</v>
      </c>
      <c r="L512" s="13" t="s">
        <v>1601</v>
      </c>
      <c r="M512" s="13">
        <v>3288</v>
      </c>
      <c r="N512" s="120"/>
      <c r="O512" s="118">
        <f t="shared" si="13"/>
        <v>54788</v>
      </c>
    </row>
    <row r="513" spans="3:18" ht="14" x14ac:dyDescent="0.3">
      <c r="C513" s="121"/>
      <c r="D513" s="240"/>
      <c r="E513" s="121"/>
      <c r="F513" s="70"/>
      <c r="G513" s="118"/>
      <c r="K513" s="468">
        <v>45633</v>
      </c>
      <c r="L513" s="13" t="s">
        <v>1602</v>
      </c>
      <c r="M513" s="13"/>
      <c r="N513" s="120">
        <v>3000</v>
      </c>
      <c r="O513" s="118">
        <f t="shared" si="13"/>
        <v>51788</v>
      </c>
    </row>
    <row r="514" spans="3:18" ht="14" x14ac:dyDescent="0.3">
      <c r="C514" s="121"/>
      <c r="D514" s="240"/>
      <c r="E514" s="121"/>
      <c r="F514" s="70"/>
      <c r="G514" s="118"/>
      <c r="K514" s="469">
        <v>45651</v>
      </c>
      <c r="L514" s="113" t="s">
        <v>1682</v>
      </c>
      <c r="M514" s="470">
        <v>20000</v>
      </c>
      <c r="N514" s="467"/>
      <c r="O514" s="118">
        <f t="shared" si="13"/>
        <v>71788</v>
      </c>
    </row>
    <row r="515" spans="3:18" ht="14" x14ac:dyDescent="0.3">
      <c r="C515" s="121"/>
      <c r="D515" s="240"/>
      <c r="E515" s="121"/>
      <c r="F515" s="70"/>
      <c r="G515" s="118"/>
      <c r="K515" s="469">
        <v>45665</v>
      </c>
      <c r="L515" s="113" t="s">
        <v>1681</v>
      </c>
      <c r="M515" s="467"/>
      <c r="N515" s="467">
        <v>71500</v>
      </c>
      <c r="O515" s="118">
        <f t="shared" si="13"/>
        <v>288</v>
      </c>
    </row>
    <row r="516" spans="3:18" ht="14" x14ac:dyDescent="0.3">
      <c r="C516" s="121"/>
      <c r="D516" s="240"/>
      <c r="E516" s="121"/>
      <c r="F516" s="70"/>
      <c r="G516" s="118"/>
      <c r="K516" s="405"/>
      <c r="L516" s="13"/>
      <c r="M516" s="13"/>
      <c r="N516" s="120"/>
      <c r="O516" s="118">
        <f t="shared" si="13"/>
        <v>288</v>
      </c>
    </row>
    <row r="517" spans="3:18" ht="15" x14ac:dyDescent="0.3">
      <c r="C517" s="121"/>
      <c r="D517" s="121"/>
      <c r="E517" s="121"/>
      <c r="F517" s="426"/>
      <c r="G517" s="122">
        <f>G509+E517-F517</f>
        <v>205620</v>
      </c>
      <c r="K517" s="13"/>
      <c r="L517" s="13"/>
      <c r="M517" s="13"/>
      <c r="N517" s="13"/>
      <c r="O517" s="458">
        <f t="shared" si="13"/>
        <v>288</v>
      </c>
      <c r="R517" s="260">
        <f>SUM(R500:R509)</f>
        <v>202770</v>
      </c>
    </row>
    <row r="518" spans="3:18" ht="14.5" x14ac:dyDescent="0.35">
      <c r="C518" s="2"/>
      <c r="D518" s="2"/>
      <c r="E518" s="2"/>
      <c r="F518" s="422"/>
      <c r="G518" s="115"/>
    </row>
    <row r="524" spans="3:18" x14ac:dyDescent="0.3">
      <c r="D524" s="14" t="s">
        <v>513</v>
      </c>
      <c r="E524" s="21">
        <f>55346+1273.68</f>
        <v>56619.68</v>
      </c>
    </row>
    <row r="525" spans="3:18" x14ac:dyDescent="0.3">
      <c r="D525" s="14" t="s">
        <v>512</v>
      </c>
      <c r="E525" s="278">
        <v>201873.96</v>
      </c>
      <c r="F525" s="27">
        <v>2.52</v>
      </c>
      <c r="G525" s="28">
        <f>E525/F525</f>
        <v>80108.714285714275</v>
      </c>
    </row>
    <row r="526" spans="3:18" x14ac:dyDescent="0.3">
      <c r="D526" s="14" t="s">
        <v>507</v>
      </c>
      <c r="E526" s="21">
        <f>6525.45*2.52</f>
        <v>16444.133999999998</v>
      </c>
    </row>
    <row r="527" spans="3:18" x14ac:dyDescent="0.3">
      <c r="D527" s="17"/>
    </row>
    <row r="528" spans="3:18" x14ac:dyDescent="0.3">
      <c r="D528" s="14" t="s">
        <v>504</v>
      </c>
      <c r="E528" s="22">
        <f>G266</f>
        <v>553054.74994373554</v>
      </c>
    </row>
    <row r="529" spans="3:15" x14ac:dyDescent="0.3">
      <c r="D529" s="14" t="s">
        <v>505</v>
      </c>
      <c r="E529" s="22">
        <f>G462</f>
        <v>281915.19503778452</v>
      </c>
    </row>
    <row r="530" spans="3:15" x14ac:dyDescent="0.3">
      <c r="D530" s="17"/>
    </row>
    <row r="531" spans="3:15" x14ac:dyDescent="0.3">
      <c r="D531" s="17"/>
      <c r="E531" s="278">
        <f>E524+E525+E526-E528-E529</f>
        <v>-560032.17098152009</v>
      </c>
    </row>
    <row r="532" spans="3:15" x14ac:dyDescent="0.3">
      <c r="D532" s="279" t="s">
        <v>508</v>
      </c>
      <c r="E532" s="21">
        <f>-81000*2.52</f>
        <v>-204120</v>
      </c>
    </row>
    <row r="533" spans="3:15" x14ac:dyDescent="0.3">
      <c r="D533" s="279"/>
    </row>
    <row r="534" spans="3:15" x14ac:dyDescent="0.3">
      <c r="D534" s="279" t="s">
        <v>509</v>
      </c>
      <c r="E534" s="21">
        <v>-175000</v>
      </c>
    </row>
    <row r="535" spans="3:15" x14ac:dyDescent="0.3">
      <c r="D535" s="17"/>
    </row>
    <row r="536" spans="3:15" ht="15" x14ac:dyDescent="0.3">
      <c r="D536" s="280" t="s">
        <v>217</v>
      </c>
      <c r="E536" s="281">
        <f>E531+E532+E534</f>
        <v>-939152.17098152009</v>
      </c>
    </row>
    <row r="540" spans="3:15" s="214" customFormat="1" x14ac:dyDescent="0.3">
      <c r="C540" s="282"/>
      <c r="E540" s="282"/>
      <c r="F540" s="283"/>
      <c r="G540" s="283"/>
      <c r="K540" s="282"/>
      <c r="M540" s="282"/>
      <c r="N540" s="282"/>
      <c r="O540" s="283"/>
    </row>
    <row r="542" spans="3:15" x14ac:dyDescent="0.3">
      <c r="D542" s="284" t="s">
        <v>531</v>
      </c>
    </row>
    <row r="543" spans="3:15" ht="16.5" x14ac:dyDescent="0.3">
      <c r="C543" s="72" t="s">
        <v>0</v>
      </c>
      <c r="D543" s="73" t="s">
        <v>5</v>
      </c>
      <c r="E543" s="72" t="s">
        <v>75</v>
      </c>
      <c r="F543" s="418" t="s">
        <v>76</v>
      </c>
      <c r="G543" s="72" t="s">
        <v>4</v>
      </c>
    </row>
    <row r="545" spans="3:7" x14ac:dyDescent="0.3">
      <c r="C545" s="25"/>
      <c r="D545" s="16"/>
      <c r="E545" s="63"/>
      <c r="F545" s="63"/>
      <c r="G545" s="63">
        <f>G544+E545-F545</f>
        <v>0</v>
      </c>
    </row>
    <row r="546" spans="3:7" x14ac:dyDescent="0.3">
      <c r="C546" s="25"/>
      <c r="D546" s="16" t="s">
        <v>532</v>
      </c>
      <c r="E546" s="63">
        <f>1900*3.674</f>
        <v>6980.5999999999995</v>
      </c>
      <c r="F546" s="63"/>
      <c r="G546" s="63">
        <f t="shared" ref="G546:G561" si="15">G545+E546-F546</f>
        <v>6980.5999999999995</v>
      </c>
    </row>
    <row r="547" spans="3:7" x14ac:dyDescent="0.3">
      <c r="C547" s="25"/>
      <c r="D547" s="16"/>
      <c r="E547" s="63"/>
      <c r="F547" s="63"/>
      <c r="G547" s="63">
        <f t="shared" si="15"/>
        <v>6980.5999999999995</v>
      </c>
    </row>
    <row r="548" spans="3:7" x14ac:dyDescent="0.3">
      <c r="C548" s="25"/>
      <c r="D548" s="16"/>
      <c r="E548" s="63"/>
      <c r="F548" s="63"/>
      <c r="G548" s="63">
        <f t="shared" si="15"/>
        <v>6980.5999999999995</v>
      </c>
    </row>
    <row r="549" spans="3:7" x14ac:dyDescent="0.3">
      <c r="C549" s="25"/>
      <c r="D549" s="16"/>
      <c r="E549" s="63"/>
      <c r="F549" s="63"/>
      <c r="G549" s="63">
        <f t="shared" si="15"/>
        <v>6980.5999999999995</v>
      </c>
    </row>
    <row r="550" spans="3:7" x14ac:dyDescent="0.3">
      <c r="C550" s="25"/>
      <c r="D550" s="16"/>
      <c r="E550" s="63"/>
      <c r="F550" s="63"/>
      <c r="G550" s="63">
        <f t="shared" si="15"/>
        <v>6980.5999999999995</v>
      </c>
    </row>
    <row r="551" spans="3:7" x14ac:dyDescent="0.3">
      <c r="C551" s="25"/>
      <c r="D551" s="39"/>
      <c r="E551" s="63"/>
      <c r="F551" s="63"/>
      <c r="G551" s="63">
        <f t="shared" si="15"/>
        <v>6980.5999999999995</v>
      </c>
    </row>
    <row r="552" spans="3:7" x14ac:dyDescent="0.3">
      <c r="C552" s="41"/>
      <c r="D552" s="39"/>
      <c r="E552" s="63"/>
      <c r="F552" s="63"/>
      <c r="G552" s="63">
        <f t="shared" si="15"/>
        <v>6980.5999999999995</v>
      </c>
    </row>
    <row r="553" spans="3:7" x14ac:dyDescent="0.3">
      <c r="C553" s="25"/>
      <c r="D553" s="13"/>
      <c r="E553" s="63"/>
      <c r="F553" s="68"/>
      <c r="G553" s="63">
        <f t="shared" si="15"/>
        <v>6980.5999999999995</v>
      </c>
    </row>
    <row r="554" spans="3:7" ht="14" x14ac:dyDescent="0.3">
      <c r="C554" s="270"/>
      <c r="D554" s="254"/>
      <c r="E554" s="271"/>
      <c r="F554" s="68"/>
      <c r="G554" s="63">
        <f t="shared" si="15"/>
        <v>6980.5999999999995</v>
      </c>
    </row>
    <row r="555" spans="3:7" x14ac:dyDescent="0.3">
      <c r="C555" s="25"/>
      <c r="D555" s="13"/>
      <c r="E555" s="63"/>
      <c r="F555" s="68"/>
      <c r="G555" s="63">
        <f t="shared" si="15"/>
        <v>6980.5999999999995</v>
      </c>
    </row>
    <row r="556" spans="3:7" x14ac:dyDescent="0.3">
      <c r="C556" s="25"/>
      <c r="D556" s="13"/>
      <c r="E556" s="63"/>
      <c r="F556" s="68"/>
      <c r="G556" s="63">
        <f t="shared" si="15"/>
        <v>6980.5999999999995</v>
      </c>
    </row>
    <row r="557" spans="3:7" x14ac:dyDescent="0.3">
      <c r="C557" s="25"/>
      <c r="D557" s="15"/>
      <c r="E557" s="63"/>
      <c r="F557" s="63"/>
      <c r="G557" s="63">
        <f t="shared" si="15"/>
        <v>6980.5999999999995</v>
      </c>
    </row>
    <row r="558" spans="3:7" x14ac:dyDescent="0.3">
      <c r="C558" s="42"/>
      <c r="D558" s="15"/>
      <c r="E558" s="63"/>
      <c r="F558" s="63"/>
      <c r="G558" s="63">
        <f t="shared" si="15"/>
        <v>6980.5999999999995</v>
      </c>
    </row>
    <row r="559" spans="3:7" x14ac:dyDescent="0.3">
      <c r="C559" s="42"/>
      <c r="D559" s="13"/>
      <c r="E559" s="63"/>
      <c r="F559" s="63"/>
      <c r="G559" s="63">
        <f t="shared" si="15"/>
        <v>6980.5999999999995</v>
      </c>
    </row>
    <row r="560" spans="3:7" x14ac:dyDescent="0.3">
      <c r="C560" s="42"/>
      <c r="D560" s="13"/>
      <c r="E560" s="63"/>
      <c r="F560" s="63"/>
      <c r="G560" s="63">
        <f t="shared" si="15"/>
        <v>6980.5999999999995</v>
      </c>
    </row>
    <row r="561" spans="3:7" x14ac:dyDescent="0.3">
      <c r="C561" s="25"/>
      <c r="D561" s="285" t="s">
        <v>230</v>
      </c>
      <c r="E561" s="63"/>
      <c r="F561" s="63"/>
      <c r="G561" s="63">
        <f t="shared" si="15"/>
        <v>6980.5999999999995</v>
      </c>
    </row>
    <row r="564" spans="3:7" x14ac:dyDescent="0.3">
      <c r="D564" s="284" t="s">
        <v>516</v>
      </c>
    </row>
    <row r="565" spans="3:7" ht="16.5" x14ac:dyDescent="0.3">
      <c r="C565" s="72" t="s">
        <v>0</v>
      </c>
      <c r="D565" s="73" t="s">
        <v>5</v>
      </c>
      <c r="E565" s="72" t="s">
        <v>75</v>
      </c>
      <c r="F565" s="418" t="s">
        <v>76</v>
      </c>
      <c r="G565" s="72" t="s">
        <v>4</v>
      </c>
    </row>
    <row r="567" spans="3:7" x14ac:dyDescent="0.3">
      <c r="C567" s="25"/>
      <c r="D567" s="16"/>
      <c r="E567" s="63"/>
      <c r="F567" s="63"/>
      <c r="G567" s="63">
        <f>G566+E567-F567</f>
        <v>0</v>
      </c>
    </row>
    <row r="568" spans="3:7" x14ac:dyDescent="0.3">
      <c r="C568" s="25"/>
      <c r="D568" s="16" t="s">
        <v>533</v>
      </c>
      <c r="E568" s="63"/>
      <c r="F568" s="63">
        <f>1900*3.674</f>
        <v>6980.5999999999995</v>
      </c>
      <c r="G568" s="63">
        <f t="shared" ref="G568:G583" si="16">G567+E568-F568</f>
        <v>-6980.5999999999995</v>
      </c>
    </row>
    <row r="569" spans="3:7" x14ac:dyDescent="0.3">
      <c r="C569" s="25"/>
      <c r="D569" s="16"/>
      <c r="E569" s="63"/>
      <c r="F569" s="63"/>
      <c r="G569" s="63">
        <f t="shared" si="16"/>
        <v>-6980.5999999999995</v>
      </c>
    </row>
    <row r="570" spans="3:7" x14ac:dyDescent="0.3">
      <c r="C570" s="25"/>
      <c r="D570" s="16"/>
      <c r="E570" s="63"/>
      <c r="F570" s="63"/>
      <c r="G570" s="63">
        <f t="shared" si="16"/>
        <v>-6980.5999999999995</v>
      </c>
    </row>
    <row r="571" spans="3:7" x14ac:dyDescent="0.3">
      <c r="C571" s="25"/>
      <c r="D571" s="16"/>
      <c r="E571" s="63"/>
      <c r="F571" s="63"/>
      <c r="G571" s="63">
        <f t="shared" si="16"/>
        <v>-6980.5999999999995</v>
      </c>
    </row>
    <row r="572" spans="3:7" x14ac:dyDescent="0.3">
      <c r="C572" s="25"/>
      <c r="D572" s="16"/>
      <c r="E572" s="63"/>
      <c r="F572" s="63"/>
      <c r="G572" s="63">
        <f t="shared" si="16"/>
        <v>-6980.5999999999995</v>
      </c>
    </row>
    <row r="573" spans="3:7" x14ac:dyDescent="0.3">
      <c r="C573" s="25"/>
      <c r="D573" s="39"/>
      <c r="E573" s="63"/>
      <c r="F573" s="63"/>
      <c r="G573" s="63">
        <f t="shared" si="16"/>
        <v>-6980.5999999999995</v>
      </c>
    </row>
    <row r="574" spans="3:7" x14ac:dyDescent="0.3">
      <c r="C574" s="41"/>
      <c r="D574" s="39"/>
      <c r="E574" s="63"/>
      <c r="F574" s="63"/>
      <c r="G574" s="63">
        <f t="shared" si="16"/>
        <v>-6980.5999999999995</v>
      </c>
    </row>
    <row r="575" spans="3:7" x14ac:dyDescent="0.3">
      <c r="C575" s="25"/>
      <c r="D575" s="13"/>
      <c r="E575" s="63"/>
      <c r="F575" s="68"/>
      <c r="G575" s="63">
        <f t="shared" si="16"/>
        <v>-6980.5999999999995</v>
      </c>
    </row>
    <row r="576" spans="3:7" ht="14" x14ac:dyDescent="0.3">
      <c r="C576" s="270"/>
      <c r="D576" s="254"/>
      <c r="E576" s="271"/>
      <c r="F576" s="68"/>
      <c r="G576" s="63">
        <f t="shared" si="16"/>
        <v>-6980.5999999999995</v>
      </c>
    </row>
    <row r="577" spans="3:7" x14ac:dyDescent="0.3">
      <c r="C577" s="25"/>
      <c r="D577" s="13"/>
      <c r="E577" s="63"/>
      <c r="F577" s="68"/>
      <c r="G577" s="63">
        <f t="shared" si="16"/>
        <v>-6980.5999999999995</v>
      </c>
    </row>
    <row r="578" spans="3:7" x14ac:dyDescent="0.3">
      <c r="C578" s="25"/>
      <c r="D578" s="13"/>
      <c r="E578" s="63"/>
      <c r="F578" s="68"/>
      <c r="G578" s="63">
        <f t="shared" si="16"/>
        <v>-6980.5999999999995</v>
      </c>
    </row>
    <row r="579" spans="3:7" x14ac:dyDescent="0.3">
      <c r="C579" s="25"/>
      <c r="D579" s="15"/>
      <c r="E579" s="63"/>
      <c r="F579" s="63"/>
      <c r="G579" s="63">
        <f t="shared" si="16"/>
        <v>-6980.5999999999995</v>
      </c>
    </row>
    <row r="580" spans="3:7" x14ac:dyDescent="0.3">
      <c r="C580" s="42"/>
      <c r="D580" s="15"/>
      <c r="E580" s="63"/>
      <c r="F580" s="63"/>
      <c r="G580" s="63">
        <f t="shared" si="16"/>
        <v>-6980.5999999999995</v>
      </c>
    </row>
    <row r="581" spans="3:7" x14ac:dyDescent="0.3">
      <c r="C581" s="42"/>
      <c r="D581" s="13"/>
      <c r="E581" s="63"/>
      <c r="F581" s="63"/>
      <c r="G581" s="63">
        <f t="shared" si="16"/>
        <v>-6980.5999999999995</v>
      </c>
    </row>
    <row r="582" spans="3:7" x14ac:dyDescent="0.3">
      <c r="C582" s="42"/>
      <c r="D582" s="13"/>
      <c r="E582" s="63"/>
      <c r="F582" s="63"/>
      <c r="G582" s="63">
        <f t="shared" si="16"/>
        <v>-6980.5999999999995</v>
      </c>
    </row>
    <row r="583" spans="3:7" x14ac:dyDescent="0.3">
      <c r="C583" s="25"/>
      <c r="D583" s="285" t="s">
        <v>230</v>
      </c>
      <c r="E583" s="63"/>
      <c r="F583" s="63"/>
      <c r="G583" s="63">
        <f t="shared" si="16"/>
        <v>-6980.5999999999995</v>
      </c>
    </row>
    <row r="586" spans="3:7" x14ac:dyDescent="0.3">
      <c r="D586" s="284" t="s">
        <v>517</v>
      </c>
    </row>
    <row r="587" spans="3:7" ht="16.5" x14ac:dyDescent="0.3">
      <c r="C587" s="72" t="s">
        <v>0</v>
      </c>
      <c r="D587" s="73" t="s">
        <v>5</v>
      </c>
      <c r="E587" s="72" t="s">
        <v>75</v>
      </c>
      <c r="F587" s="418" t="s">
        <v>76</v>
      </c>
      <c r="G587" s="72" t="s">
        <v>4</v>
      </c>
    </row>
    <row r="589" spans="3:7" x14ac:dyDescent="0.3">
      <c r="C589" s="25"/>
      <c r="D589" s="16"/>
      <c r="E589" s="63"/>
      <c r="F589" s="63"/>
      <c r="G589" s="63">
        <f>G588+E589-F589</f>
        <v>0</v>
      </c>
    </row>
    <row r="590" spans="3:7" x14ac:dyDescent="0.3">
      <c r="C590" s="25">
        <v>45517</v>
      </c>
      <c r="D590" s="16" t="s">
        <v>518</v>
      </c>
      <c r="E590" s="63">
        <f>20000*2.484</f>
        <v>49680</v>
      </c>
      <c r="F590" s="63"/>
      <c r="G590" s="63">
        <f t="shared" ref="G590:G605" si="17">G589+E590-F590</f>
        <v>49680</v>
      </c>
    </row>
    <row r="591" spans="3:7" x14ac:dyDescent="0.3">
      <c r="C591" s="25">
        <v>45517</v>
      </c>
      <c r="D591" s="16" t="s">
        <v>519</v>
      </c>
      <c r="E591" s="63">
        <f>52800*2.4847</f>
        <v>131192.16</v>
      </c>
      <c r="F591" s="63"/>
      <c r="G591" s="63">
        <f t="shared" si="17"/>
        <v>180872.16</v>
      </c>
    </row>
    <row r="592" spans="3:7" x14ac:dyDescent="0.3">
      <c r="C592" s="256">
        <v>45530</v>
      </c>
      <c r="D592" s="257" t="s">
        <v>520</v>
      </c>
      <c r="E592" s="343"/>
      <c r="F592" s="343">
        <v>113530</v>
      </c>
      <c r="G592" s="63">
        <f t="shared" si="17"/>
        <v>67342.16</v>
      </c>
    </row>
    <row r="593" spans="3:7" x14ac:dyDescent="0.3">
      <c r="C593" s="25"/>
      <c r="D593" s="16"/>
      <c r="E593" s="63"/>
      <c r="F593" s="63"/>
      <c r="G593" s="63">
        <f t="shared" si="17"/>
        <v>67342.16</v>
      </c>
    </row>
    <row r="594" spans="3:7" x14ac:dyDescent="0.3">
      <c r="C594" s="25"/>
      <c r="D594" s="16"/>
      <c r="E594" s="63"/>
      <c r="F594" s="63"/>
      <c r="G594" s="63">
        <f t="shared" si="17"/>
        <v>67342.16</v>
      </c>
    </row>
    <row r="595" spans="3:7" x14ac:dyDescent="0.3">
      <c r="C595" s="25"/>
      <c r="D595" s="39"/>
      <c r="E595" s="63"/>
      <c r="F595" s="63"/>
      <c r="G595" s="63">
        <f t="shared" si="17"/>
        <v>67342.16</v>
      </c>
    </row>
    <row r="596" spans="3:7" x14ac:dyDescent="0.3">
      <c r="C596" s="41"/>
      <c r="D596" s="39"/>
      <c r="E596" s="63"/>
      <c r="F596" s="63"/>
      <c r="G596" s="63">
        <f t="shared" si="17"/>
        <v>67342.16</v>
      </c>
    </row>
    <row r="597" spans="3:7" x14ac:dyDescent="0.3">
      <c r="C597" s="25"/>
      <c r="D597" s="13"/>
      <c r="E597" s="63"/>
      <c r="F597" s="68"/>
      <c r="G597" s="63">
        <f t="shared" si="17"/>
        <v>67342.16</v>
      </c>
    </row>
    <row r="598" spans="3:7" ht="14" x14ac:dyDescent="0.3">
      <c r="C598" s="270"/>
      <c r="D598" s="254"/>
      <c r="E598" s="271"/>
      <c r="F598" s="68"/>
      <c r="G598" s="63">
        <f t="shared" si="17"/>
        <v>67342.16</v>
      </c>
    </row>
    <row r="599" spans="3:7" x14ac:dyDescent="0.3">
      <c r="C599" s="25"/>
      <c r="D599" s="13"/>
      <c r="E599" s="63"/>
      <c r="F599" s="68"/>
      <c r="G599" s="63">
        <f t="shared" si="17"/>
        <v>67342.16</v>
      </c>
    </row>
    <row r="600" spans="3:7" x14ac:dyDescent="0.3">
      <c r="C600" s="25"/>
      <c r="D600" s="13"/>
      <c r="E600" s="63"/>
      <c r="F600" s="68"/>
      <c r="G600" s="63">
        <f t="shared" si="17"/>
        <v>67342.16</v>
      </c>
    </row>
    <row r="601" spans="3:7" x14ac:dyDescent="0.3">
      <c r="C601" s="25"/>
      <c r="D601" s="15"/>
      <c r="E601" s="63"/>
      <c r="F601" s="63"/>
      <c r="G601" s="63">
        <f t="shared" si="17"/>
        <v>67342.16</v>
      </c>
    </row>
    <row r="602" spans="3:7" x14ac:dyDescent="0.3">
      <c r="C602" s="42"/>
      <c r="D602" s="15"/>
      <c r="E602" s="63"/>
      <c r="F602" s="63"/>
      <c r="G602" s="63">
        <f t="shared" si="17"/>
        <v>67342.16</v>
      </c>
    </row>
    <row r="603" spans="3:7" x14ac:dyDescent="0.3">
      <c r="C603" s="42"/>
      <c r="D603" s="13"/>
      <c r="E603" s="63"/>
      <c r="F603" s="63"/>
      <c r="G603" s="63">
        <f t="shared" si="17"/>
        <v>67342.16</v>
      </c>
    </row>
    <row r="604" spans="3:7" x14ac:dyDescent="0.3">
      <c r="C604" s="42"/>
      <c r="D604" s="13"/>
      <c r="E604" s="63"/>
      <c r="F604" s="63"/>
      <c r="G604" s="63">
        <f t="shared" si="17"/>
        <v>67342.16</v>
      </c>
    </row>
    <row r="605" spans="3:7" x14ac:dyDescent="0.3">
      <c r="C605" s="25"/>
      <c r="D605" s="285" t="s">
        <v>230</v>
      </c>
      <c r="E605" s="63"/>
      <c r="F605" s="63"/>
      <c r="G605" s="63">
        <f t="shared" si="17"/>
        <v>67342.16</v>
      </c>
    </row>
    <row r="608" spans="3:7" x14ac:dyDescent="0.3">
      <c r="D608" s="284" t="s">
        <v>687</v>
      </c>
    </row>
    <row r="609" spans="3:7" ht="16.5" x14ac:dyDescent="0.3">
      <c r="C609" s="72" t="s">
        <v>0</v>
      </c>
      <c r="D609" s="73" t="s">
        <v>5</v>
      </c>
      <c r="E609" s="72" t="s">
        <v>75</v>
      </c>
      <c r="F609" s="418" t="s">
        <v>76</v>
      </c>
      <c r="G609" s="72" t="s">
        <v>4</v>
      </c>
    </row>
    <row r="611" spans="3:7" x14ac:dyDescent="0.3">
      <c r="C611" s="25"/>
      <c r="D611" s="16"/>
      <c r="E611" s="63"/>
      <c r="F611" s="63"/>
      <c r="G611" s="63">
        <f>G610+E611-F611</f>
        <v>0</v>
      </c>
    </row>
    <row r="612" spans="3:7" ht="14" x14ac:dyDescent="0.3">
      <c r="C612" s="88">
        <v>45517</v>
      </c>
      <c r="D612" s="16" t="s">
        <v>688</v>
      </c>
      <c r="E612" s="63">
        <f>30000*2.52</f>
        <v>75600</v>
      </c>
      <c r="F612" s="63"/>
      <c r="G612" s="63">
        <f t="shared" ref="G612:G627" si="18">G611+E612-F612</f>
        <v>75600</v>
      </c>
    </row>
    <row r="613" spans="3:7" ht="14" x14ac:dyDescent="0.3">
      <c r="C613" s="88">
        <v>45527</v>
      </c>
      <c r="D613" s="16" t="s">
        <v>689</v>
      </c>
      <c r="E613" s="63">
        <f>14000*2.52</f>
        <v>35280</v>
      </c>
      <c r="F613" s="63"/>
      <c r="G613" s="63">
        <f t="shared" si="18"/>
        <v>110880</v>
      </c>
    </row>
    <row r="614" spans="3:7" ht="14" x14ac:dyDescent="0.3">
      <c r="C614" s="88">
        <v>45547</v>
      </c>
      <c r="D614" s="16" t="s">
        <v>700</v>
      </c>
      <c r="E614" s="63">
        <f>759*2.53</f>
        <v>1920.2699999999998</v>
      </c>
      <c r="F614" s="63"/>
      <c r="G614" s="63">
        <f t="shared" si="18"/>
        <v>112800.27</v>
      </c>
    </row>
    <row r="615" spans="3:7" ht="14" x14ac:dyDescent="0.3">
      <c r="C615" s="88">
        <v>45547</v>
      </c>
      <c r="D615" s="16" t="s">
        <v>701</v>
      </c>
      <c r="E615" s="63">
        <f>799*2.53</f>
        <v>2021.4699999999998</v>
      </c>
      <c r="F615" s="63"/>
      <c r="G615" s="63">
        <f t="shared" si="18"/>
        <v>114821.74</v>
      </c>
    </row>
    <row r="616" spans="3:7" ht="14" x14ac:dyDescent="0.3">
      <c r="C616" s="88">
        <v>45547</v>
      </c>
      <c r="D616" s="16" t="s">
        <v>702</v>
      </c>
      <c r="E616" s="63">
        <f>2397*2.53</f>
        <v>6064.41</v>
      </c>
      <c r="F616" s="63"/>
      <c r="G616" s="63">
        <f t="shared" si="18"/>
        <v>120886.15000000001</v>
      </c>
    </row>
    <row r="617" spans="3:7" x14ac:dyDescent="0.3">
      <c r="C617" s="25"/>
      <c r="D617" s="39"/>
      <c r="E617" s="63"/>
      <c r="F617" s="63"/>
      <c r="G617" s="63">
        <f t="shared" si="18"/>
        <v>120886.15000000001</v>
      </c>
    </row>
    <row r="618" spans="3:7" x14ac:dyDescent="0.3">
      <c r="C618" s="41"/>
      <c r="D618" s="39"/>
      <c r="E618" s="63"/>
      <c r="F618" s="63"/>
      <c r="G618" s="63">
        <f t="shared" si="18"/>
        <v>120886.15000000001</v>
      </c>
    </row>
    <row r="619" spans="3:7" x14ac:dyDescent="0.3">
      <c r="C619" s="25"/>
      <c r="D619" s="13"/>
      <c r="E619" s="63"/>
      <c r="F619" s="68"/>
      <c r="G619" s="63">
        <f t="shared" si="18"/>
        <v>120886.15000000001</v>
      </c>
    </row>
    <row r="620" spans="3:7" ht="14" x14ac:dyDescent="0.3">
      <c r="C620" s="270"/>
      <c r="D620" s="254"/>
      <c r="E620" s="271"/>
      <c r="F620" s="68"/>
      <c r="G620" s="63">
        <f t="shared" si="18"/>
        <v>120886.15000000001</v>
      </c>
    </row>
    <row r="621" spans="3:7" x14ac:dyDescent="0.3">
      <c r="C621" s="25"/>
      <c r="D621" s="13"/>
      <c r="E621" s="63"/>
      <c r="F621" s="68"/>
      <c r="G621" s="63">
        <f t="shared" si="18"/>
        <v>120886.15000000001</v>
      </c>
    </row>
    <row r="622" spans="3:7" x14ac:dyDescent="0.3">
      <c r="C622" s="25"/>
      <c r="D622" s="13"/>
      <c r="E622" s="63"/>
      <c r="F622" s="68"/>
      <c r="G622" s="63">
        <f t="shared" si="18"/>
        <v>120886.15000000001</v>
      </c>
    </row>
    <row r="623" spans="3:7" x14ac:dyDescent="0.3">
      <c r="C623" s="25"/>
      <c r="D623" s="15"/>
      <c r="E623" s="63"/>
      <c r="F623" s="63"/>
      <c r="G623" s="63">
        <f t="shared" si="18"/>
        <v>120886.15000000001</v>
      </c>
    </row>
    <row r="624" spans="3:7" x14ac:dyDescent="0.3">
      <c r="C624" s="42"/>
      <c r="D624" s="15"/>
      <c r="E624" s="63"/>
      <c r="F624" s="63"/>
      <c r="G624" s="63">
        <f t="shared" si="18"/>
        <v>120886.15000000001</v>
      </c>
    </row>
    <row r="625" spans="3:7" x14ac:dyDescent="0.3">
      <c r="C625" s="42"/>
      <c r="D625" s="13"/>
      <c r="E625" s="63"/>
      <c r="F625" s="63"/>
      <c r="G625" s="63">
        <f t="shared" si="18"/>
        <v>120886.15000000001</v>
      </c>
    </row>
    <row r="626" spans="3:7" x14ac:dyDescent="0.3">
      <c r="C626" s="42"/>
      <c r="D626" s="13"/>
      <c r="E626" s="63"/>
      <c r="F626" s="63"/>
      <c r="G626" s="63">
        <f t="shared" si="18"/>
        <v>120886.15000000001</v>
      </c>
    </row>
    <row r="627" spans="3:7" x14ac:dyDescent="0.3">
      <c r="C627" s="25"/>
      <c r="D627" s="285" t="s">
        <v>230</v>
      </c>
      <c r="E627" s="63"/>
      <c r="F627" s="63"/>
      <c r="G627" s="63">
        <f t="shared" si="18"/>
        <v>120886.15000000001</v>
      </c>
    </row>
  </sheetData>
  <autoFilter ref="B2:B534" xr:uid="{00000000-0009-0000-0000-000006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F127"/>
  <sheetViews>
    <sheetView topLeftCell="A25" workbookViewId="0">
      <selection activeCell="F100" sqref="F100"/>
    </sheetView>
  </sheetViews>
  <sheetFormatPr defaultRowHeight="13" x14ac:dyDescent="0.3"/>
  <cols>
    <col min="3" max="3" width="10.09765625" bestFit="1" customWidth="1"/>
    <col min="4" max="4" width="14.796875" customWidth="1"/>
    <col min="5" max="5" width="36.3984375" customWidth="1"/>
    <col min="6" max="6" width="11.09765625" bestFit="1" customWidth="1"/>
  </cols>
  <sheetData>
    <row r="4" spans="2:6" x14ac:dyDescent="0.3">
      <c r="C4" t="s">
        <v>0</v>
      </c>
      <c r="D4" s="1" t="s">
        <v>847</v>
      </c>
      <c r="E4" t="s">
        <v>216</v>
      </c>
      <c r="F4" t="s">
        <v>822</v>
      </c>
    </row>
    <row r="6" spans="2:6" x14ac:dyDescent="0.3">
      <c r="B6" s="1" t="s">
        <v>156</v>
      </c>
      <c r="C6" s="180">
        <v>45549</v>
      </c>
      <c r="D6" s="1" t="s">
        <v>816</v>
      </c>
      <c r="E6" s="1" t="s">
        <v>845</v>
      </c>
      <c r="F6" s="17">
        <f>2147*2</f>
        <v>4294</v>
      </c>
    </row>
    <row r="7" spans="2:6" x14ac:dyDescent="0.3">
      <c r="B7" s="1" t="s">
        <v>156</v>
      </c>
      <c r="C7" s="180">
        <v>45549</v>
      </c>
      <c r="D7" s="1" t="s">
        <v>816</v>
      </c>
      <c r="E7" s="1" t="s">
        <v>846</v>
      </c>
      <c r="F7" s="17">
        <f>2497*1</f>
        <v>2497</v>
      </c>
    </row>
    <row r="8" spans="2:6" x14ac:dyDescent="0.3">
      <c r="F8" s="17"/>
    </row>
    <row r="9" spans="2:6" x14ac:dyDescent="0.3">
      <c r="B9" s="1" t="s">
        <v>725</v>
      </c>
      <c r="C9" s="180">
        <v>45549</v>
      </c>
      <c r="D9" s="1" t="s">
        <v>817</v>
      </c>
      <c r="E9" s="1" t="s">
        <v>848</v>
      </c>
      <c r="F9" s="17">
        <v>1000</v>
      </c>
    </row>
    <row r="10" spans="2:6" x14ac:dyDescent="0.3">
      <c r="F10" s="17"/>
    </row>
    <row r="11" spans="2:6" x14ac:dyDescent="0.3">
      <c r="B11" s="1" t="s">
        <v>725</v>
      </c>
      <c r="C11" s="180">
        <v>45550</v>
      </c>
      <c r="D11" s="1" t="s">
        <v>835</v>
      </c>
      <c r="E11" s="1" t="s">
        <v>849</v>
      </c>
      <c r="F11" s="17">
        <v>3500</v>
      </c>
    </row>
    <row r="12" spans="2:6" x14ac:dyDescent="0.3">
      <c r="B12" s="1" t="s">
        <v>725</v>
      </c>
      <c r="C12" s="180">
        <v>45550</v>
      </c>
      <c r="D12" s="1" t="s">
        <v>835</v>
      </c>
      <c r="E12" s="1" t="s">
        <v>849</v>
      </c>
      <c r="F12" s="17">
        <v>3500</v>
      </c>
    </row>
    <row r="13" spans="2:6" x14ac:dyDescent="0.3">
      <c r="B13" s="1" t="s">
        <v>725</v>
      </c>
      <c r="C13" s="180">
        <v>45550</v>
      </c>
      <c r="D13" s="1" t="s">
        <v>835</v>
      </c>
      <c r="E13" s="1" t="s">
        <v>850</v>
      </c>
      <c r="F13" s="17">
        <v>7491</v>
      </c>
    </row>
    <row r="14" spans="2:6" x14ac:dyDescent="0.3">
      <c r="B14" s="1"/>
      <c r="C14" s="180"/>
      <c r="D14" s="1"/>
      <c r="E14" s="14" t="s">
        <v>853</v>
      </c>
      <c r="F14" s="277">
        <f>SUM(F6:F13)</f>
        <v>22282</v>
      </c>
    </row>
    <row r="15" spans="2:6" x14ac:dyDescent="0.3">
      <c r="B15" s="1"/>
      <c r="C15" s="180"/>
      <c r="D15" s="1"/>
      <c r="E15" s="14"/>
      <c r="F15" s="277"/>
    </row>
    <row r="16" spans="2:6" x14ac:dyDescent="0.3">
      <c r="B16" s="1" t="s">
        <v>72</v>
      </c>
      <c r="C16" s="180">
        <v>45560</v>
      </c>
      <c r="D16" s="1"/>
      <c r="E16" s="14" t="s">
        <v>1036</v>
      </c>
      <c r="F16" s="277">
        <v>-7000</v>
      </c>
    </row>
    <row r="17" spans="2:6" x14ac:dyDescent="0.3">
      <c r="B17" s="1"/>
      <c r="C17" s="180"/>
      <c r="D17" s="1"/>
      <c r="E17" s="14"/>
      <c r="F17" s="277"/>
    </row>
    <row r="18" spans="2:6" x14ac:dyDescent="0.3">
      <c r="B18" s="1" t="s">
        <v>72</v>
      </c>
      <c r="C18" s="180">
        <v>45565</v>
      </c>
      <c r="D18" s="1"/>
      <c r="E18" s="14" t="s">
        <v>1036</v>
      </c>
      <c r="F18" s="277">
        <v>-1000</v>
      </c>
    </row>
    <row r="19" spans="2:6" x14ac:dyDescent="0.3">
      <c r="B19" s="1"/>
      <c r="C19" s="180">
        <v>45565</v>
      </c>
      <c r="D19" s="1"/>
      <c r="E19" s="14" t="s">
        <v>1083</v>
      </c>
      <c r="F19" s="277">
        <v>-6791</v>
      </c>
    </row>
    <row r="20" spans="2:6" x14ac:dyDescent="0.3">
      <c r="B20" s="1"/>
      <c r="C20" s="180"/>
      <c r="D20" s="1"/>
      <c r="E20" s="14"/>
      <c r="F20" s="277"/>
    </row>
    <row r="21" spans="2:6" x14ac:dyDescent="0.3">
      <c r="B21" s="1"/>
      <c r="C21" s="180"/>
      <c r="D21" s="1"/>
      <c r="E21" s="14"/>
      <c r="F21" s="277"/>
    </row>
    <row r="22" spans="2:6" x14ac:dyDescent="0.3">
      <c r="B22" s="1"/>
      <c r="C22" s="180"/>
      <c r="D22" s="1"/>
      <c r="E22" s="18" t="s">
        <v>4</v>
      </c>
      <c r="F22" s="277">
        <f>SUM(F14:F21)</f>
        <v>7491</v>
      </c>
    </row>
    <row r="23" spans="2:6" x14ac:dyDescent="0.3">
      <c r="B23" s="1"/>
      <c r="C23" s="180"/>
      <c r="D23" s="1"/>
      <c r="E23" s="14"/>
      <c r="F23" s="277"/>
    </row>
    <row r="24" spans="2:6" x14ac:dyDescent="0.3">
      <c r="B24" s="1"/>
      <c r="C24" s="180"/>
      <c r="D24" s="1"/>
      <c r="E24" s="14"/>
      <c r="F24" s="277"/>
    </row>
    <row r="25" spans="2:6" x14ac:dyDescent="0.3">
      <c r="B25" s="1"/>
      <c r="C25" s="180"/>
      <c r="D25" s="1"/>
      <c r="E25" s="14"/>
      <c r="F25" s="277"/>
    </row>
    <row r="26" spans="2:6" x14ac:dyDescent="0.3">
      <c r="B26" s="1"/>
      <c r="C26" s="180"/>
      <c r="D26" s="1"/>
      <c r="E26" s="14"/>
      <c r="F26" s="277"/>
    </row>
    <row r="27" spans="2:6" x14ac:dyDescent="0.3">
      <c r="B27" s="1"/>
      <c r="C27" s="180"/>
      <c r="D27" s="1"/>
      <c r="E27" s="14"/>
      <c r="F27" s="277"/>
    </row>
    <row r="28" spans="2:6" x14ac:dyDescent="0.3">
      <c r="B28" s="1"/>
      <c r="C28" s="180"/>
      <c r="D28" s="1"/>
      <c r="E28" s="14"/>
      <c r="F28" s="277"/>
    </row>
    <row r="29" spans="2:6" x14ac:dyDescent="0.3">
      <c r="B29" s="1"/>
      <c r="C29" s="180"/>
      <c r="D29" s="1"/>
      <c r="E29" s="14"/>
      <c r="F29" s="277"/>
    </row>
    <row r="30" spans="2:6" x14ac:dyDescent="0.3">
      <c r="B30" s="1"/>
      <c r="C30" s="180"/>
      <c r="D30" s="1"/>
      <c r="E30" s="1"/>
    </row>
    <row r="32" spans="2:6" x14ac:dyDescent="0.3">
      <c r="B32" s="1" t="s">
        <v>725</v>
      </c>
      <c r="C32" s="180">
        <v>45550</v>
      </c>
      <c r="D32" s="1" t="s">
        <v>851</v>
      </c>
      <c r="E32" s="1" t="s">
        <v>852</v>
      </c>
      <c r="F32" s="17">
        <f>2497*4</f>
        <v>9988</v>
      </c>
    </row>
    <row r="34" spans="2:6" x14ac:dyDescent="0.3">
      <c r="B34" s="1"/>
      <c r="C34" s="180"/>
      <c r="D34" s="1"/>
      <c r="E34" s="279" t="s">
        <v>854</v>
      </c>
      <c r="F34" s="279">
        <v>9988</v>
      </c>
    </row>
    <row r="35" spans="2:6" x14ac:dyDescent="0.3">
      <c r="B35" s="1"/>
      <c r="C35" s="180"/>
      <c r="D35" s="1"/>
    </row>
    <row r="36" spans="2:6" x14ac:dyDescent="0.3">
      <c r="D36" s="380">
        <v>45558</v>
      </c>
      <c r="E36" s="16" t="s">
        <v>855</v>
      </c>
      <c r="F36" s="383">
        <f>2*759</f>
        <v>1518</v>
      </c>
    </row>
    <row r="37" spans="2:6" x14ac:dyDescent="0.3">
      <c r="D37" s="380">
        <v>45558</v>
      </c>
      <c r="E37" s="16" t="s">
        <v>856</v>
      </c>
      <c r="F37" s="383">
        <f>297*2</f>
        <v>594</v>
      </c>
    </row>
    <row r="38" spans="2:6" x14ac:dyDescent="0.3">
      <c r="D38" s="380">
        <v>45558</v>
      </c>
      <c r="E38" s="16" t="s">
        <v>855</v>
      </c>
      <c r="F38" s="383">
        <f>2*759</f>
        <v>1518</v>
      </c>
    </row>
    <row r="39" spans="2:6" x14ac:dyDescent="0.3">
      <c r="D39" s="380">
        <v>45558</v>
      </c>
      <c r="E39" s="16" t="s">
        <v>857</v>
      </c>
      <c r="F39" s="383">
        <v>299</v>
      </c>
    </row>
    <row r="40" spans="2:6" x14ac:dyDescent="0.3">
      <c r="D40" s="380">
        <v>45558</v>
      </c>
      <c r="E40" s="160" t="s">
        <v>858</v>
      </c>
      <c r="F40" s="383">
        <v>-361</v>
      </c>
    </row>
    <row r="41" spans="2:6" x14ac:dyDescent="0.3">
      <c r="D41" s="25">
        <v>45559</v>
      </c>
      <c r="E41" s="15" t="s">
        <v>885</v>
      </c>
      <c r="F41" s="381">
        <v>299</v>
      </c>
    </row>
    <row r="42" spans="2:6" x14ac:dyDescent="0.3">
      <c r="D42" s="25">
        <v>45559</v>
      </c>
      <c r="E42" s="15" t="s">
        <v>886</v>
      </c>
      <c r="F42" s="381">
        <v>796</v>
      </c>
    </row>
    <row r="43" spans="2:6" x14ac:dyDescent="0.3">
      <c r="D43" s="25">
        <v>45559</v>
      </c>
      <c r="E43" s="15" t="s">
        <v>885</v>
      </c>
      <c r="F43" s="381">
        <v>299</v>
      </c>
    </row>
    <row r="44" spans="2:6" x14ac:dyDescent="0.3">
      <c r="D44" s="25">
        <v>45559</v>
      </c>
      <c r="E44" s="15" t="s">
        <v>886</v>
      </c>
      <c r="F44" s="382">
        <v>796</v>
      </c>
    </row>
    <row r="45" spans="2:6" x14ac:dyDescent="0.3">
      <c r="D45" s="25">
        <v>45559</v>
      </c>
      <c r="E45" s="15" t="s">
        <v>888</v>
      </c>
      <c r="F45" s="381">
        <v>299</v>
      </c>
    </row>
    <row r="46" spans="2:6" x14ac:dyDescent="0.3">
      <c r="D46" s="25">
        <v>45560</v>
      </c>
      <c r="E46" s="15" t="s">
        <v>918</v>
      </c>
      <c r="F46" s="381">
        <f>6*299</f>
        <v>1794</v>
      </c>
    </row>
    <row r="47" spans="2:6" x14ac:dyDescent="0.3">
      <c r="D47" s="25">
        <v>45560</v>
      </c>
      <c r="E47" s="15" t="s">
        <v>919</v>
      </c>
      <c r="F47" s="381">
        <v>796</v>
      </c>
    </row>
    <row r="48" spans="2:6" ht="14" x14ac:dyDescent="0.3">
      <c r="D48" s="88">
        <v>45563</v>
      </c>
      <c r="E48" s="56" t="s">
        <v>1016</v>
      </c>
      <c r="F48" s="381">
        <f>299*6</f>
        <v>1794</v>
      </c>
    </row>
    <row r="49" spans="4:6" ht="14" x14ac:dyDescent="0.3">
      <c r="D49" s="88">
        <v>45563</v>
      </c>
      <c r="E49" s="15" t="s">
        <v>1028</v>
      </c>
      <c r="F49" s="381">
        <v>250</v>
      </c>
    </row>
    <row r="50" spans="4:6" x14ac:dyDescent="0.3">
      <c r="D50" s="25"/>
      <c r="E50" s="15"/>
      <c r="F50" s="381"/>
    </row>
    <row r="51" spans="4:6" ht="14" x14ac:dyDescent="0.3">
      <c r="D51" s="88"/>
      <c r="E51" s="56"/>
      <c r="F51" s="54"/>
    </row>
    <row r="52" spans="4:6" x14ac:dyDescent="0.3">
      <c r="D52" s="113"/>
      <c r="E52" s="160" t="s">
        <v>44</v>
      </c>
      <c r="F52" s="384">
        <f>SUM(F36:F51)</f>
        <v>10691</v>
      </c>
    </row>
    <row r="53" spans="4:6" x14ac:dyDescent="0.3">
      <c r="D53" s="113"/>
      <c r="E53" s="113"/>
      <c r="F53" s="113"/>
    </row>
    <row r="54" spans="4:6" x14ac:dyDescent="0.3">
      <c r="D54" s="113"/>
      <c r="E54" s="160" t="s">
        <v>1014</v>
      </c>
      <c r="F54" s="384">
        <f>F34-F52</f>
        <v>-703</v>
      </c>
    </row>
    <row r="57" spans="4:6" x14ac:dyDescent="0.3">
      <c r="D57" s="1"/>
      <c r="E57" s="279" t="s">
        <v>1084</v>
      </c>
      <c r="F57" s="279">
        <v>6791</v>
      </c>
    </row>
    <row r="58" spans="4:6" x14ac:dyDescent="0.3">
      <c r="D58" s="1"/>
    </row>
    <row r="59" spans="4:6" x14ac:dyDescent="0.3">
      <c r="D59" s="380"/>
      <c r="E59" s="16"/>
      <c r="F59" s="383"/>
    </row>
    <row r="60" spans="4:6" x14ac:dyDescent="0.3">
      <c r="D60" s="380">
        <v>45565</v>
      </c>
      <c r="E60" s="16" t="s">
        <v>1085</v>
      </c>
      <c r="F60" s="383">
        <f>2*299</f>
        <v>598</v>
      </c>
    </row>
    <row r="61" spans="4:6" x14ac:dyDescent="0.3">
      <c r="D61" s="380">
        <v>45566</v>
      </c>
      <c r="E61" s="16" t="s">
        <v>1085</v>
      </c>
      <c r="F61" s="383">
        <f>2*299</f>
        <v>598</v>
      </c>
    </row>
    <row r="62" spans="4:6" x14ac:dyDescent="0.3">
      <c r="D62" s="380">
        <v>45567</v>
      </c>
      <c r="E62" s="16" t="s">
        <v>1085</v>
      </c>
      <c r="F62" s="383">
        <f>2*299</f>
        <v>598</v>
      </c>
    </row>
    <row r="63" spans="4:6" ht="14" x14ac:dyDescent="0.3">
      <c r="D63" s="380">
        <v>45568</v>
      </c>
      <c r="E63" s="56" t="s">
        <v>1297</v>
      </c>
      <c r="F63" s="383">
        <f>298*4</f>
        <v>1192</v>
      </c>
    </row>
    <row r="64" spans="4:6" ht="28" x14ac:dyDescent="0.3">
      <c r="D64" s="88">
        <v>45569</v>
      </c>
      <c r="E64" s="56" t="s">
        <v>1202</v>
      </c>
      <c r="F64" s="383">
        <f>299*4</f>
        <v>1196</v>
      </c>
    </row>
    <row r="65" spans="4:6" ht="28" x14ac:dyDescent="0.3">
      <c r="D65" s="88">
        <v>45570</v>
      </c>
      <c r="E65" s="56" t="s">
        <v>1203</v>
      </c>
      <c r="F65" s="381">
        <f>299*2</f>
        <v>598</v>
      </c>
    </row>
    <row r="66" spans="4:6" x14ac:dyDescent="0.3">
      <c r="D66" s="25"/>
      <c r="E66" s="15"/>
      <c r="F66" s="381"/>
    </row>
    <row r="67" spans="4:6" x14ac:dyDescent="0.3">
      <c r="D67" s="25"/>
      <c r="E67" s="15"/>
      <c r="F67" s="381"/>
    </row>
    <row r="68" spans="4:6" x14ac:dyDescent="0.3">
      <c r="D68" s="25"/>
      <c r="E68" s="15"/>
      <c r="F68" s="382"/>
    </row>
    <row r="69" spans="4:6" x14ac:dyDescent="0.3">
      <c r="D69" s="25"/>
      <c r="E69" s="15"/>
      <c r="F69" s="381"/>
    </row>
    <row r="70" spans="4:6" x14ac:dyDescent="0.3">
      <c r="D70" s="25"/>
      <c r="E70" s="15"/>
      <c r="F70" s="381"/>
    </row>
    <row r="71" spans="4:6" x14ac:dyDescent="0.3">
      <c r="D71" s="25"/>
      <c r="E71" s="15"/>
      <c r="F71" s="381"/>
    </row>
    <row r="72" spans="4:6" ht="14" x14ac:dyDescent="0.3">
      <c r="D72" s="88"/>
      <c r="E72" s="56"/>
      <c r="F72" s="54"/>
    </row>
    <row r="73" spans="4:6" x14ac:dyDescent="0.3">
      <c r="D73" s="113"/>
      <c r="E73" s="160" t="s">
        <v>44</v>
      </c>
      <c r="F73" s="384">
        <f>SUM(F59:F72)</f>
        <v>4780</v>
      </c>
    </row>
    <row r="74" spans="4:6" x14ac:dyDescent="0.3">
      <c r="D74" s="113"/>
      <c r="E74" s="113"/>
      <c r="F74" s="113"/>
    </row>
    <row r="75" spans="4:6" x14ac:dyDescent="0.3">
      <c r="D75" s="113"/>
      <c r="E75" s="160" t="s">
        <v>1014</v>
      </c>
      <c r="F75" s="384">
        <f>F57-F73</f>
        <v>2011</v>
      </c>
    </row>
    <row r="78" spans="4:6" x14ac:dyDescent="0.3">
      <c r="D78" s="1"/>
      <c r="E78" s="279" t="s">
        <v>1088</v>
      </c>
      <c r="F78" s="279">
        <f>298*15</f>
        <v>4470</v>
      </c>
    </row>
    <row r="79" spans="4:6" x14ac:dyDescent="0.3">
      <c r="D79" s="1"/>
    </row>
    <row r="80" spans="4:6" x14ac:dyDescent="0.3">
      <c r="D80" s="380"/>
      <c r="E80" s="16"/>
      <c r="F80" s="383"/>
    </row>
    <row r="81" spans="3:6" x14ac:dyDescent="0.3">
      <c r="C81" s="1" t="s">
        <v>1030</v>
      </c>
      <c r="D81" s="380">
        <v>45567</v>
      </c>
      <c r="E81" s="16" t="s">
        <v>1089</v>
      </c>
      <c r="F81" s="383">
        <f>5*298</f>
        <v>1490</v>
      </c>
    </row>
    <row r="82" spans="3:6" x14ac:dyDescent="0.3">
      <c r="D82" s="380">
        <v>45567</v>
      </c>
      <c r="E82" s="16" t="s">
        <v>1090</v>
      </c>
      <c r="F82" s="383">
        <f>2*298</f>
        <v>596</v>
      </c>
    </row>
    <row r="83" spans="3:6" x14ac:dyDescent="0.3">
      <c r="C83" s="1" t="s">
        <v>1030</v>
      </c>
      <c r="D83" s="380">
        <v>45567</v>
      </c>
      <c r="E83" s="16" t="s">
        <v>1194</v>
      </c>
      <c r="F83" s="383">
        <f>3*298</f>
        <v>894</v>
      </c>
    </row>
    <row r="84" spans="3:6" x14ac:dyDescent="0.3">
      <c r="D84" s="380"/>
      <c r="E84" s="160"/>
      <c r="F84" s="383"/>
    </row>
    <row r="85" spans="3:6" x14ac:dyDescent="0.3">
      <c r="D85" s="25"/>
      <c r="E85" s="15"/>
      <c r="F85" s="381"/>
    </row>
    <row r="86" spans="3:6" x14ac:dyDescent="0.3">
      <c r="D86" s="25"/>
      <c r="E86" s="15"/>
      <c r="F86" s="381"/>
    </row>
    <row r="87" spans="3:6" x14ac:dyDescent="0.3">
      <c r="D87" s="25"/>
      <c r="E87" s="15"/>
      <c r="F87" s="381"/>
    </row>
    <row r="88" spans="3:6" x14ac:dyDescent="0.3">
      <c r="D88" s="25"/>
      <c r="E88" s="15"/>
      <c r="F88" s="382"/>
    </row>
    <row r="89" spans="3:6" x14ac:dyDescent="0.3">
      <c r="D89" s="25"/>
      <c r="E89" s="15"/>
      <c r="F89" s="381"/>
    </row>
    <row r="90" spans="3:6" x14ac:dyDescent="0.3">
      <c r="D90" s="25"/>
      <c r="E90" s="15"/>
      <c r="F90" s="381"/>
    </row>
    <row r="91" spans="3:6" x14ac:dyDescent="0.3">
      <c r="D91" s="25"/>
      <c r="E91" s="15"/>
      <c r="F91" s="381"/>
    </row>
    <row r="92" spans="3:6" ht="14" x14ac:dyDescent="0.3">
      <c r="D92" s="88"/>
      <c r="E92" s="56"/>
      <c r="F92" s="54"/>
    </row>
    <row r="93" spans="3:6" x14ac:dyDescent="0.3">
      <c r="D93" s="113"/>
      <c r="E93" s="160" t="s">
        <v>44</v>
      </c>
      <c r="F93" s="384">
        <f>SUM(F80:F92)</f>
        <v>2980</v>
      </c>
    </row>
    <row r="94" spans="3:6" x14ac:dyDescent="0.3">
      <c r="D94" s="113"/>
      <c r="E94" s="113"/>
      <c r="F94" s="113"/>
    </row>
    <row r="95" spans="3:6" x14ac:dyDescent="0.3">
      <c r="D95" s="113"/>
      <c r="E95" s="160" t="s">
        <v>1014</v>
      </c>
      <c r="F95" s="384">
        <f>F78-F93</f>
        <v>1490</v>
      </c>
    </row>
    <row r="96" spans="3:6" x14ac:dyDescent="0.3">
      <c r="F96" s="17"/>
    </row>
    <row r="97" spans="4:6" x14ac:dyDescent="0.3">
      <c r="D97" s="180"/>
      <c r="E97" s="1"/>
      <c r="F97" s="17"/>
    </row>
    <row r="98" spans="4:6" x14ac:dyDescent="0.3">
      <c r="D98" s="180"/>
      <c r="E98" s="279" t="s">
        <v>1419</v>
      </c>
      <c r="F98" s="17"/>
    </row>
    <row r="99" spans="4:6" x14ac:dyDescent="0.3">
      <c r="D99" s="180"/>
      <c r="E99" s="1"/>
      <c r="F99" s="17"/>
    </row>
    <row r="100" spans="4:6" x14ac:dyDescent="0.3">
      <c r="D100" s="180">
        <v>45591</v>
      </c>
      <c r="E100" s="1" t="s">
        <v>1420</v>
      </c>
      <c r="F100" s="366" t="s">
        <v>1421</v>
      </c>
    </row>
    <row r="101" spans="4:6" x14ac:dyDescent="0.3">
      <c r="D101" s="180"/>
      <c r="E101" s="1"/>
      <c r="F101" s="17"/>
    </row>
    <row r="102" spans="4:6" x14ac:dyDescent="0.3">
      <c r="D102" s="180"/>
      <c r="E102" s="1"/>
      <c r="F102" s="17"/>
    </row>
    <row r="103" spans="4:6" x14ac:dyDescent="0.3">
      <c r="D103" s="180"/>
      <c r="E103" s="1"/>
      <c r="F103" s="17"/>
    </row>
    <row r="104" spans="4:6" x14ac:dyDescent="0.3">
      <c r="D104" s="180"/>
      <c r="E104" s="1"/>
      <c r="F104" s="17"/>
    </row>
    <row r="105" spans="4:6" x14ac:dyDescent="0.3">
      <c r="D105" s="180"/>
      <c r="E105" s="1"/>
      <c r="F105" s="17"/>
    </row>
    <row r="106" spans="4:6" x14ac:dyDescent="0.3">
      <c r="D106" s="180"/>
      <c r="E106" s="1"/>
      <c r="F106" s="17"/>
    </row>
    <row r="107" spans="4:6" x14ac:dyDescent="0.3">
      <c r="D107" s="180"/>
      <c r="E107" s="1"/>
      <c r="F107" s="17"/>
    </row>
    <row r="108" spans="4:6" x14ac:dyDescent="0.3">
      <c r="D108" s="180"/>
      <c r="E108" s="1"/>
      <c r="F108" s="17"/>
    </row>
    <row r="109" spans="4:6" x14ac:dyDescent="0.3">
      <c r="D109" s="180"/>
      <c r="E109" s="1"/>
      <c r="F109" s="17"/>
    </row>
    <row r="110" spans="4:6" x14ac:dyDescent="0.3">
      <c r="D110" s="180"/>
      <c r="E110" s="1"/>
      <c r="F110" s="17"/>
    </row>
    <row r="111" spans="4:6" x14ac:dyDescent="0.3">
      <c r="D111" s="180"/>
      <c r="E111" s="1"/>
      <c r="F111" s="17"/>
    </row>
    <row r="112" spans="4:6" x14ac:dyDescent="0.3">
      <c r="D112" s="180"/>
      <c r="E112" s="1"/>
      <c r="F112" s="17"/>
    </row>
    <row r="113" spans="4:6" x14ac:dyDescent="0.3">
      <c r="D113" s="180"/>
      <c r="E113" s="1"/>
      <c r="F113" s="17"/>
    </row>
    <row r="114" spans="4:6" x14ac:dyDescent="0.3">
      <c r="D114" s="180"/>
      <c r="E114" s="1"/>
      <c r="F114" s="17"/>
    </row>
    <row r="115" spans="4:6" x14ac:dyDescent="0.3">
      <c r="D115" s="180"/>
      <c r="E115" s="1"/>
      <c r="F115" s="17"/>
    </row>
    <row r="116" spans="4:6" x14ac:dyDescent="0.3">
      <c r="D116" s="180"/>
      <c r="E116" s="1"/>
      <c r="F116" s="17"/>
    </row>
    <row r="117" spans="4:6" x14ac:dyDescent="0.3">
      <c r="D117" s="180"/>
      <c r="E117" s="1"/>
      <c r="F117" s="17"/>
    </row>
    <row r="118" spans="4:6" x14ac:dyDescent="0.3">
      <c r="D118" s="180"/>
      <c r="E118" s="1"/>
      <c r="F118" s="17"/>
    </row>
    <row r="119" spans="4:6" x14ac:dyDescent="0.3">
      <c r="D119" s="180"/>
      <c r="E119" s="1"/>
      <c r="F119" s="17"/>
    </row>
    <row r="120" spans="4:6" x14ac:dyDescent="0.3">
      <c r="D120" s="180"/>
      <c r="E120" s="1"/>
      <c r="F120" s="17"/>
    </row>
    <row r="121" spans="4:6" x14ac:dyDescent="0.3">
      <c r="D121" s="180"/>
      <c r="E121" s="1"/>
      <c r="F121" s="17"/>
    </row>
    <row r="123" spans="4:6" x14ac:dyDescent="0.3">
      <c r="E123" s="18"/>
      <c r="F123" s="18"/>
    </row>
    <row r="125" spans="4:6" x14ac:dyDescent="0.3">
      <c r="E125" s="18"/>
      <c r="F125" s="18"/>
    </row>
    <row r="126" spans="4:6" x14ac:dyDescent="0.3">
      <c r="E126" s="18"/>
      <c r="F126" s="18"/>
    </row>
    <row r="127" spans="4:6" x14ac:dyDescent="0.3">
      <c r="E127" s="353"/>
      <c r="F127" s="35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198"/>
  <sheetViews>
    <sheetView topLeftCell="A172" workbookViewId="0">
      <selection activeCell="F191" sqref="F191"/>
    </sheetView>
  </sheetViews>
  <sheetFormatPr defaultRowHeight="13" x14ac:dyDescent="0.3"/>
  <cols>
    <col min="1" max="1" width="9.8984375" bestFit="1" customWidth="1"/>
    <col min="4" max="4" width="10.8984375" bestFit="1" customWidth="1"/>
    <col min="5" max="5" width="10.69921875" bestFit="1" customWidth="1"/>
    <col min="6" max="6" width="46.19921875" customWidth="1"/>
    <col min="7" max="7" width="9.8984375" style="17" bestFit="1" customWidth="1"/>
    <col min="8" max="8" width="8.796875" style="17"/>
    <col min="13" max="13" width="9.3984375" bestFit="1" customWidth="1"/>
  </cols>
  <sheetData>
    <row r="2" spans="1:20" x14ac:dyDescent="0.3">
      <c r="D2" s="161" t="s">
        <v>0</v>
      </c>
      <c r="E2" s="161" t="s">
        <v>54</v>
      </c>
      <c r="F2" s="161" t="s">
        <v>5</v>
      </c>
      <c r="G2" s="161" t="s">
        <v>448</v>
      </c>
      <c r="H2" s="161" t="s">
        <v>976</v>
      </c>
      <c r="I2" s="161"/>
      <c r="J2" s="161" t="s">
        <v>822</v>
      </c>
      <c r="R2" t="s">
        <v>527</v>
      </c>
    </row>
    <row r="3" spans="1:20" x14ac:dyDescent="0.3">
      <c r="D3" s="161"/>
      <c r="E3" s="161"/>
      <c r="F3" s="161"/>
      <c r="G3" s="161"/>
      <c r="H3" s="161"/>
      <c r="I3" s="161"/>
      <c r="J3" s="161"/>
      <c r="N3" s="1" t="s">
        <v>467</v>
      </c>
      <c r="O3" s="1" t="s">
        <v>1272</v>
      </c>
      <c r="P3" s="1" t="s">
        <v>1167</v>
      </c>
      <c r="Q3" s="1" t="s">
        <v>1273</v>
      </c>
    </row>
    <row r="4" spans="1:20" ht="14" x14ac:dyDescent="0.3">
      <c r="D4" s="161"/>
      <c r="E4" s="89" t="s">
        <v>603</v>
      </c>
      <c r="F4" s="161" t="s">
        <v>979</v>
      </c>
      <c r="G4" s="161">
        <v>19</v>
      </c>
      <c r="H4" s="161"/>
      <c r="I4" s="161"/>
      <c r="J4" s="161"/>
      <c r="K4" s="1" t="s">
        <v>808</v>
      </c>
      <c r="M4" s="1" t="s">
        <v>1269</v>
      </c>
      <c r="N4">
        <v>265</v>
      </c>
      <c r="O4">
        <v>144</v>
      </c>
      <c r="P4">
        <f>5</f>
        <v>5</v>
      </c>
      <c r="Q4">
        <f>N4-O4-P4</f>
        <v>116</v>
      </c>
      <c r="R4" s="428">
        <v>93555</v>
      </c>
      <c r="S4">
        <v>2.5499999999999998</v>
      </c>
      <c r="T4">
        <f>R4*S4</f>
        <v>238565.24999999997</v>
      </c>
    </row>
    <row r="5" spans="1:20" x14ac:dyDescent="0.3">
      <c r="D5" s="113"/>
      <c r="E5" s="113"/>
      <c r="F5" s="113"/>
      <c r="G5" s="26"/>
      <c r="H5" s="26"/>
      <c r="I5" s="113"/>
      <c r="J5" s="113"/>
      <c r="M5" s="1" t="s">
        <v>1270</v>
      </c>
      <c r="N5">
        <v>450</v>
      </c>
      <c r="O5">
        <v>377</v>
      </c>
      <c r="P5">
        <f>2+2+1+1+23+2</f>
        <v>31</v>
      </c>
      <c r="Q5">
        <f>N5-O5-P5</f>
        <v>42</v>
      </c>
      <c r="R5" s="428">
        <v>12562</v>
      </c>
      <c r="S5">
        <v>2.5499999999999998</v>
      </c>
      <c r="T5">
        <f>R5*S5</f>
        <v>32033.1</v>
      </c>
    </row>
    <row r="6" spans="1:20" ht="14" x14ac:dyDescent="0.3">
      <c r="A6" t="s">
        <v>1001</v>
      </c>
      <c r="C6" s="1" t="s">
        <v>76</v>
      </c>
      <c r="D6" s="88">
        <v>45548</v>
      </c>
      <c r="E6" s="89" t="s">
        <v>681</v>
      </c>
      <c r="F6" s="56" t="s">
        <v>684</v>
      </c>
      <c r="G6" s="160">
        <v>10</v>
      </c>
      <c r="H6" s="160" t="s">
        <v>72</v>
      </c>
      <c r="I6" s="113"/>
      <c r="J6" s="26">
        <f>799*10</f>
        <v>7990</v>
      </c>
      <c r="K6" s="1" t="s">
        <v>808</v>
      </c>
      <c r="Q6">
        <v>3</v>
      </c>
    </row>
    <row r="7" spans="1:20" ht="14" x14ac:dyDescent="0.3">
      <c r="C7" s="1"/>
      <c r="D7" s="88"/>
      <c r="E7" s="89"/>
      <c r="F7" s="56"/>
      <c r="G7" s="160"/>
      <c r="H7" s="160"/>
      <c r="I7" s="113"/>
      <c r="J7" s="113"/>
    </row>
    <row r="8" spans="1:20" ht="14" x14ac:dyDescent="0.3">
      <c r="A8" t="s">
        <v>1002</v>
      </c>
      <c r="C8" s="1" t="s">
        <v>76</v>
      </c>
      <c r="D8" s="88">
        <v>45549</v>
      </c>
      <c r="E8" s="89" t="s">
        <v>977</v>
      </c>
      <c r="F8" s="56" t="s">
        <v>859</v>
      </c>
      <c r="G8" s="26">
        <v>3</v>
      </c>
      <c r="H8" s="160" t="s">
        <v>978</v>
      </c>
      <c r="I8" s="113"/>
      <c r="J8" s="54">
        <f>230*3</f>
        <v>690</v>
      </c>
      <c r="K8" s="1" t="s">
        <v>792</v>
      </c>
    </row>
    <row r="9" spans="1:20" ht="14" x14ac:dyDescent="0.3">
      <c r="A9" t="s">
        <v>1002</v>
      </c>
      <c r="C9" s="1" t="s">
        <v>76</v>
      </c>
      <c r="D9" s="88">
        <v>45549</v>
      </c>
      <c r="E9" s="89" t="s">
        <v>977</v>
      </c>
      <c r="F9" s="56" t="s">
        <v>860</v>
      </c>
      <c r="G9" s="26">
        <v>3</v>
      </c>
      <c r="H9" s="160" t="s">
        <v>71</v>
      </c>
      <c r="I9" s="113"/>
      <c r="J9" s="54">
        <f>230*3</f>
        <v>690</v>
      </c>
      <c r="K9" s="1" t="s">
        <v>792</v>
      </c>
    </row>
    <row r="10" spans="1:20" ht="14" x14ac:dyDescent="0.3">
      <c r="A10" t="s">
        <v>1002</v>
      </c>
      <c r="C10" s="1" t="s">
        <v>76</v>
      </c>
      <c r="D10" s="88">
        <v>45549</v>
      </c>
      <c r="E10" s="89" t="s">
        <v>977</v>
      </c>
      <c r="F10" s="56" t="s">
        <v>785</v>
      </c>
      <c r="G10" s="26">
        <v>6</v>
      </c>
      <c r="H10" s="160" t="s">
        <v>978</v>
      </c>
      <c r="I10" s="113"/>
      <c r="J10" s="54">
        <f>297*6</f>
        <v>1782</v>
      </c>
      <c r="K10" s="1" t="s">
        <v>792</v>
      </c>
    </row>
    <row r="11" spans="1:20" ht="14" x14ac:dyDescent="0.3">
      <c r="A11" t="s">
        <v>1002</v>
      </c>
      <c r="C11" s="1" t="s">
        <v>76</v>
      </c>
      <c r="D11" s="88">
        <v>45549</v>
      </c>
      <c r="E11" s="89" t="s">
        <v>977</v>
      </c>
      <c r="F11" s="56" t="s">
        <v>786</v>
      </c>
      <c r="G11" s="26">
        <v>3</v>
      </c>
      <c r="H11" s="160" t="s">
        <v>71</v>
      </c>
      <c r="I11" s="113"/>
      <c r="J11" s="54">
        <f>298*3</f>
        <v>894</v>
      </c>
      <c r="K11" s="1" t="s">
        <v>792</v>
      </c>
    </row>
    <row r="12" spans="1:20" ht="14" x14ac:dyDescent="0.3">
      <c r="A12" t="s">
        <v>1002</v>
      </c>
      <c r="C12" s="378" t="s">
        <v>775</v>
      </c>
      <c r="D12" s="385">
        <v>45549</v>
      </c>
      <c r="E12" s="106" t="s">
        <v>977</v>
      </c>
      <c r="F12" s="77" t="s">
        <v>793</v>
      </c>
      <c r="G12" s="374">
        <v>10</v>
      </c>
      <c r="H12" s="386" t="s">
        <v>978</v>
      </c>
      <c r="I12" s="387"/>
      <c r="J12" s="136">
        <f>297*10</f>
        <v>2970</v>
      </c>
      <c r="K12" s="1" t="s">
        <v>792</v>
      </c>
    </row>
    <row r="13" spans="1:20" ht="14" x14ac:dyDescent="0.3">
      <c r="A13" t="s">
        <v>1002</v>
      </c>
      <c r="C13" s="1" t="s">
        <v>76</v>
      </c>
      <c r="D13" s="88">
        <v>45549</v>
      </c>
      <c r="E13" s="89" t="s">
        <v>977</v>
      </c>
      <c r="F13" s="56" t="s">
        <v>794</v>
      </c>
      <c r="G13" s="26">
        <v>1</v>
      </c>
      <c r="H13" s="160" t="s">
        <v>978</v>
      </c>
      <c r="I13" s="113"/>
      <c r="J13" s="54">
        <v>297</v>
      </c>
      <c r="K13" s="1" t="s">
        <v>792</v>
      </c>
    </row>
    <row r="14" spans="1:20" ht="14" x14ac:dyDescent="0.3">
      <c r="A14" t="s">
        <v>1002</v>
      </c>
      <c r="C14" s="1" t="s">
        <v>76</v>
      </c>
      <c r="D14" s="88">
        <v>45549</v>
      </c>
      <c r="E14" s="89" t="s">
        <v>977</v>
      </c>
      <c r="F14" s="56" t="s">
        <v>795</v>
      </c>
      <c r="G14" s="26">
        <v>2</v>
      </c>
      <c r="H14" s="160" t="s">
        <v>71</v>
      </c>
      <c r="I14" s="113"/>
      <c r="J14" s="54">
        <f>298*2</f>
        <v>596</v>
      </c>
      <c r="K14" s="1" t="s">
        <v>792</v>
      </c>
    </row>
    <row r="15" spans="1:20" ht="14" x14ac:dyDescent="0.3">
      <c r="A15" t="s">
        <v>1002</v>
      </c>
      <c r="C15" s="1" t="s">
        <v>76</v>
      </c>
      <c r="D15" s="88">
        <v>45549</v>
      </c>
      <c r="E15" s="89" t="s">
        <v>977</v>
      </c>
      <c r="F15" s="56" t="s">
        <v>796</v>
      </c>
      <c r="G15" s="26">
        <v>1</v>
      </c>
      <c r="H15" s="160" t="s">
        <v>72</v>
      </c>
      <c r="I15" s="113"/>
      <c r="J15" s="54">
        <v>297</v>
      </c>
      <c r="K15" s="1" t="s">
        <v>792</v>
      </c>
    </row>
    <row r="16" spans="1:20" ht="14" x14ac:dyDescent="0.3">
      <c r="A16" t="s">
        <v>1002</v>
      </c>
      <c r="C16" s="1" t="s">
        <v>76</v>
      </c>
      <c r="D16" s="88">
        <v>45549</v>
      </c>
      <c r="E16" s="89" t="s">
        <v>977</v>
      </c>
      <c r="F16" s="56" t="s">
        <v>797</v>
      </c>
      <c r="G16" s="26">
        <v>1</v>
      </c>
      <c r="H16" s="160" t="s">
        <v>72</v>
      </c>
      <c r="I16" s="113"/>
      <c r="J16" s="54">
        <v>298</v>
      </c>
      <c r="K16" s="1" t="s">
        <v>792</v>
      </c>
    </row>
    <row r="17" spans="1:11" ht="14" x14ac:dyDescent="0.3">
      <c r="A17" t="s">
        <v>1002</v>
      </c>
      <c r="C17" s="1" t="s">
        <v>76</v>
      </c>
      <c r="D17" s="88">
        <v>45549</v>
      </c>
      <c r="E17" s="89" t="s">
        <v>977</v>
      </c>
      <c r="F17" s="56" t="s">
        <v>798</v>
      </c>
      <c r="G17" s="26">
        <v>1</v>
      </c>
      <c r="H17" s="160" t="s">
        <v>72</v>
      </c>
      <c r="I17" s="113"/>
      <c r="J17" s="54">
        <v>298</v>
      </c>
      <c r="K17" s="1" t="s">
        <v>792</v>
      </c>
    </row>
    <row r="18" spans="1:11" ht="14" x14ac:dyDescent="0.3">
      <c r="A18" t="s">
        <v>1002</v>
      </c>
      <c r="C18" s="1" t="s">
        <v>76</v>
      </c>
      <c r="D18" s="88">
        <v>45549</v>
      </c>
      <c r="E18" s="89" t="s">
        <v>977</v>
      </c>
      <c r="F18" s="56" t="s">
        <v>799</v>
      </c>
      <c r="G18" s="26">
        <v>3</v>
      </c>
      <c r="H18" s="160" t="s">
        <v>72</v>
      </c>
      <c r="I18" s="113"/>
      <c r="J18" s="54">
        <f>230*3</f>
        <v>690</v>
      </c>
      <c r="K18" s="1" t="s">
        <v>792</v>
      </c>
    </row>
    <row r="19" spans="1:11" x14ac:dyDescent="0.3">
      <c r="D19" s="113"/>
      <c r="E19" s="113"/>
      <c r="F19" s="113"/>
      <c r="G19" s="26"/>
      <c r="H19" s="26"/>
      <c r="I19" s="113"/>
      <c r="J19" s="113"/>
    </row>
    <row r="20" spans="1:11" ht="14" x14ac:dyDescent="0.3">
      <c r="A20" t="s">
        <v>1001</v>
      </c>
      <c r="C20" s="1" t="s">
        <v>76</v>
      </c>
      <c r="D20" s="88">
        <v>45550</v>
      </c>
      <c r="E20" s="89" t="s">
        <v>980</v>
      </c>
      <c r="F20" s="56" t="s">
        <v>802</v>
      </c>
      <c r="G20" s="26">
        <v>8</v>
      </c>
      <c r="H20" s="160" t="s">
        <v>71</v>
      </c>
      <c r="I20" s="113"/>
      <c r="J20" s="54">
        <f>8*299</f>
        <v>2392</v>
      </c>
      <c r="K20" s="1" t="s">
        <v>792</v>
      </c>
    </row>
    <row r="21" spans="1:11" ht="14" x14ac:dyDescent="0.3">
      <c r="A21" t="s">
        <v>1001</v>
      </c>
      <c r="C21" s="1" t="s">
        <v>76</v>
      </c>
      <c r="D21" s="88">
        <v>45550</v>
      </c>
      <c r="E21" s="89" t="s">
        <v>980</v>
      </c>
      <c r="F21" s="56" t="s">
        <v>803</v>
      </c>
      <c r="G21" s="26">
        <v>9</v>
      </c>
      <c r="H21" s="160" t="s">
        <v>71</v>
      </c>
      <c r="I21" s="113"/>
      <c r="J21" s="54">
        <f>9*298</f>
        <v>2682</v>
      </c>
      <c r="K21" s="1" t="s">
        <v>792</v>
      </c>
    </row>
    <row r="22" spans="1:11" ht="14" x14ac:dyDescent="0.3">
      <c r="A22" t="s">
        <v>1001</v>
      </c>
      <c r="C22" s="1" t="s">
        <v>76</v>
      </c>
      <c r="D22" s="88">
        <v>45550</v>
      </c>
      <c r="E22" s="89" t="s">
        <v>980</v>
      </c>
      <c r="F22" s="56" t="s">
        <v>804</v>
      </c>
      <c r="G22" s="26">
        <v>8</v>
      </c>
      <c r="H22" s="160" t="s">
        <v>72</v>
      </c>
      <c r="I22" s="113"/>
      <c r="J22" s="54">
        <f>8*298</f>
        <v>2384</v>
      </c>
      <c r="K22" s="1" t="s">
        <v>792</v>
      </c>
    </row>
    <row r="23" spans="1:11" ht="14" x14ac:dyDescent="0.3">
      <c r="A23" t="s">
        <v>1001</v>
      </c>
      <c r="C23" s="1" t="s">
        <v>76</v>
      </c>
      <c r="D23" s="88">
        <v>45550</v>
      </c>
      <c r="E23" s="89" t="s">
        <v>980</v>
      </c>
      <c r="F23" s="56" t="s">
        <v>805</v>
      </c>
      <c r="G23" s="26">
        <v>3</v>
      </c>
      <c r="H23" s="160" t="s">
        <v>72</v>
      </c>
      <c r="I23" s="113"/>
      <c r="J23" s="54">
        <f>3*299</f>
        <v>897</v>
      </c>
      <c r="K23" s="1" t="s">
        <v>792</v>
      </c>
    </row>
    <row r="24" spans="1:11" ht="14" x14ac:dyDescent="0.3">
      <c r="A24" t="s">
        <v>1001</v>
      </c>
      <c r="C24" s="1" t="s">
        <v>76</v>
      </c>
      <c r="D24" s="88">
        <v>45550</v>
      </c>
      <c r="E24" s="89" t="s">
        <v>980</v>
      </c>
      <c r="F24" s="56" t="s">
        <v>806</v>
      </c>
      <c r="G24" s="26">
        <v>4</v>
      </c>
      <c r="H24" s="160" t="s">
        <v>72</v>
      </c>
      <c r="I24" s="113"/>
      <c r="J24" s="54">
        <f>4*297</f>
        <v>1188</v>
      </c>
      <c r="K24" s="1" t="s">
        <v>792</v>
      </c>
    </row>
    <row r="25" spans="1:11" ht="14" x14ac:dyDescent="0.3">
      <c r="A25" t="s">
        <v>1001</v>
      </c>
      <c r="C25" s="1" t="s">
        <v>76</v>
      </c>
      <c r="D25" s="88">
        <v>45550</v>
      </c>
      <c r="E25" s="89" t="s">
        <v>980</v>
      </c>
      <c r="F25" s="56" t="s">
        <v>807</v>
      </c>
      <c r="G25" s="26">
        <v>5</v>
      </c>
      <c r="H25" s="160" t="s">
        <v>72</v>
      </c>
      <c r="I25" s="113"/>
      <c r="J25" s="54">
        <f>5*298</f>
        <v>1490</v>
      </c>
      <c r="K25" s="1" t="s">
        <v>792</v>
      </c>
    </row>
    <row r="26" spans="1:11" x14ac:dyDescent="0.3">
      <c r="D26" s="113"/>
      <c r="E26" s="113"/>
      <c r="F26" s="113"/>
      <c r="G26" s="26"/>
      <c r="H26" s="26"/>
      <c r="I26" s="113"/>
      <c r="J26" s="113"/>
    </row>
    <row r="27" spans="1:11" ht="14" x14ac:dyDescent="0.3">
      <c r="A27" t="s">
        <v>1001</v>
      </c>
      <c r="C27" s="1" t="s">
        <v>76</v>
      </c>
      <c r="D27" s="88">
        <v>45551</v>
      </c>
      <c r="E27" s="89" t="s">
        <v>981</v>
      </c>
      <c r="F27" s="56" t="s">
        <v>760</v>
      </c>
      <c r="G27" s="26">
        <v>6</v>
      </c>
      <c r="H27" s="160" t="s">
        <v>71</v>
      </c>
      <c r="I27" s="113"/>
      <c r="J27" s="54">
        <f>299*6</f>
        <v>1794</v>
      </c>
      <c r="K27" s="1" t="s">
        <v>792</v>
      </c>
    </row>
    <row r="28" spans="1:11" ht="14" x14ac:dyDescent="0.3">
      <c r="A28" t="s">
        <v>1001</v>
      </c>
      <c r="C28" s="1" t="s">
        <v>76</v>
      </c>
      <c r="D28" s="88">
        <v>45551</v>
      </c>
      <c r="E28" s="89" t="s">
        <v>981</v>
      </c>
      <c r="F28" s="56" t="s">
        <v>761</v>
      </c>
      <c r="G28" s="26">
        <v>12</v>
      </c>
      <c r="H28" s="160" t="s">
        <v>71</v>
      </c>
      <c r="I28" s="113"/>
      <c r="J28" s="54">
        <f>298*12</f>
        <v>3576</v>
      </c>
      <c r="K28" s="1" t="s">
        <v>792</v>
      </c>
    </row>
    <row r="29" spans="1:11" ht="14" x14ac:dyDescent="0.3">
      <c r="A29" t="s">
        <v>1001</v>
      </c>
      <c r="C29" s="1" t="s">
        <v>76</v>
      </c>
      <c r="D29" s="88">
        <v>45551</v>
      </c>
      <c r="E29" s="89" t="s">
        <v>981</v>
      </c>
      <c r="F29" s="56" t="s">
        <v>762</v>
      </c>
      <c r="G29" s="26">
        <v>5</v>
      </c>
      <c r="H29" s="160" t="s">
        <v>71</v>
      </c>
      <c r="I29" s="113"/>
      <c r="J29" s="54">
        <f>297*5</f>
        <v>1485</v>
      </c>
      <c r="K29" s="1" t="s">
        <v>792</v>
      </c>
    </row>
    <row r="30" spans="1:11" ht="14" x14ac:dyDescent="0.3">
      <c r="A30" t="s">
        <v>1001</v>
      </c>
      <c r="C30" s="1" t="s">
        <v>76</v>
      </c>
      <c r="D30" s="88">
        <v>45551</v>
      </c>
      <c r="E30" s="89" t="s">
        <v>981</v>
      </c>
      <c r="F30" s="56" t="s">
        <v>763</v>
      </c>
      <c r="G30" s="26">
        <v>7</v>
      </c>
      <c r="H30" s="160" t="s">
        <v>72</v>
      </c>
      <c r="I30" s="113"/>
      <c r="J30" s="54">
        <f>297*7</f>
        <v>2079</v>
      </c>
      <c r="K30" s="1" t="s">
        <v>792</v>
      </c>
    </row>
    <row r="31" spans="1:11" ht="14" x14ac:dyDescent="0.3">
      <c r="A31" t="s">
        <v>1001</v>
      </c>
      <c r="C31" s="1" t="s">
        <v>76</v>
      </c>
      <c r="D31" s="88">
        <v>45551</v>
      </c>
      <c r="E31" s="89" t="s">
        <v>981</v>
      </c>
      <c r="F31" s="56" t="s">
        <v>764</v>
      </c>
      <c r="G31" s="26">
        <v>2</v>
      </c>
      <c r="H31" s="160" t="s">
        <v>72</v>
      </c>
      <c r="I31" s="113"/>
      <c r="J31" s="54">
        <f>299*2</f>
        <v>598</v>
      </c>
      <c r="K31" s="1" t="s">
        <v>792</v>
      </c>
    </row>
    <row r="32" spans="1:11" ht="14" x14ac:dyDescent="0.3">
      <c r="A32" t="s">
        <v>1001</v>
      </c>
      <c r="C32" s="1" t="s">
        <v>767</v>
      </c>
      <c r="D32" s="88">
        <v>45551</v>
      </c>
      <c r="E32" s="89" t="s">
        <v>981</v>
      </c>
      <c r="F32" s="56" t="s">
        <v>765</v>
      </c>
      <c r="G32" s="26">
        <v>2</v>
      </c>
      <c r="H32" s="160" t="s">
        <v>71</v>
      </c>
      <c r="I32" s="113"/>
      <c r="J32" s="54">
        <f>765*2</f>
        <v>1530</v>
      </c>
      <c r="K32" s="1" t="s">
        <v>808</v>
      </c>
    </row>
    <row r="33" spans="1:11" ht="14" x14ac:dyDescent="0.3">
      <c r="A33" t="s">
        <v>1001</v>
      </c>
      <c r="C33" s="1" t="s">
        <v>767</v>
      </c>
      <c r="D33" s="88">
        <v>45551</v>
      </c>
      <c r="E33" s="89" t="s">
        <v>981</v>
      </c>
      <c r="F33" s="56" t="s">
        <v>766</v>
      </c>
      <c r="G33" s="26">
        <v>2</v>
      </c>
      <c r="H33" s="160" t="s">
        <v>72</v>
      </c>
      <c r="I33" s="113"/>
      <c r="J33" s="54">
        <f>798*2</f>
        <v>1596</v>
      </c>
      <c r="K33" s="1" t="s">
        <v>808</v>
      </c>
    </row>
    <row r="34" spans="1:11" x14ac:dyDescent="0.3">
      <c r="D34" s="113"/>
      <c r="E34" s="113"/>
      <c r="F34" s="113"/>
      <c r="G34" s="26"/>
      <c r="H34" s="26"/>
      <c r="I34" s="113"/>
      <c r="J34" s="113"/>
    </row>
    <row r="35" spans="1:11" ht="14" x14ac:dyDescent="0.3">
      <c r="A35" t="s">
        <v>1001</v>
      </c>
      <c r="C35" s="1" t="s">
        <v>76</v>
      </c>
      <c r="D35" s="88">
        <v>45552</v>
      </c>
      <c r="E35" s="89" t="s">
        <v>982</v>
      </c>
      <c r="F35" s="56" t="s">
        <v>770</v>
      </c>
      <c r="G35" s="26">
        <v>7</v>
      </c>
      <c r="H35" s="160" t="s">
        <v>71</v>
      </c>
      <c r="I35" s="113"/>
      <c r="J35" s="54">
        <f>299*7</f>
        <v>2093</v>
      </c>
      <c r="K35" s="1" t="s">
        <v>792</v>
      </c>
    </row>
    <row r="36" spans="1:11" ht="14" x14ac:dyDescent="0.3">
      <c r="A36" t="s">
        <v>1001</v>
      </c>
      <c r="C36" s="378" t="s">
        <v>775</v>
      </c>
      <c r="D36" s="385">
        <v>45552</v>
      </c>
      <c r="E36" s="106" t="s">
        <v>982</v>
      </c>
      <c r="F36" s="77" t="s">
        <v>772</v>
      </c>
      <c r="G36" s="374">
        <v>1</v>
      </c>
      <c r="H36" s="386" t="s">
        <v>72</v>
      </c>
      <c r="I36" s="387"/>
      <c r="J36" s="136">
        <f>298*1</f>
        <v>298</v>
      </c>
      <c r="K36" s="1" t="s">
        <v>792</v>
      </c>
    </row>
    <row r="37" spans="1:11" ht="14" x14ac:dyDescent="0.3">
      <c r="A37" t="s">
        <v>1001</v>
      </c>
      <c r="C37" s="1" t="s">
        <v>76</v>
      </c>
      <c r="D37" s="88">
        <v>45552</v>
      </c>
      <c r="E37" s="89" t="s">
        <v>982</v>
      </c>
      <c r="F37" s="56" t="s">
        <v>771</v>
      </c>
      <c r="G37" s="26">
        <v>1</v>
      </c>
      <c r="H37" s="160" t="s">
        <v>72</v>
      </c>
      <c r="I37" s="113"/>
      <c r="J37" s="54">
        <f>1*312</f>
        <v>312</v>
      </c>
      <c r="K37" s="1" t="s">
        <v>792</v>
      </c>
    </row>
    <row r="38" spans="1:11" ht="14" x14ac:dyDescent="0.3">
      <c r="A38" t="s">
        <v>1001</v>
      </c>
      <c r="C38" s="1" t="s">
        <v>76</v>
      </c>
      <c r="D38" s="88">
        <v>45552</v>
      </c>
      <c r="E38" s="89" t="s">
        <v>982</v>
      </c>
      <c r="F38" s="56" t="s">
        <v>773</v>
      </c>
      <c r="G38" s="26">
        <v>3</v>
      </c>
      <c r="H38" s="160" t="s">
        <v>72</v>
      </c>
      <c r="I38" s="113"/>
      <c r="J38" s="54">
        <f>297*3</f>
        <v>891</v>
      </c>
      <c r="K38" s="1" t="s">
        <v>792</v>
      </c>
    </row>
    <row r="39" spans="1:11" ht="14" x14ac:dyDescent="0.3">
      <c r="A39" t="s">
        <v>1001</v>
      </c>
      <c r="C39" s="378" t="s">
        <v>776</v>
      </c>
      <c r="D39" s="385">
        <v>45552</v>
      </c>
      <c r="E39" s="106" t="s">
        <v>982</v>
      </c>
      <c r="F39" s="77" t="s">
        <v>774</v>
      </c>
      <c r="G39" s="374">
        <v>2</v>
      </c>
      <c r="H39" s="386" t="s">
        <v>978</v>
      </c>
      <c r="I39" s="387"/>
      <c r="J39" s="136">
        <f>298*2</f>
        <v>596</v>
      </c>
      <c r="K39" s="1" t="s">
        <v>792</v>
      </c>
    </row>
    <row r="40" spans="1:11" x14ac:dyDescent="0.3">
      <c r="D40" s="113"/>
      <c r="E40" s="113"/>
      <c r="F40" s="113"/>
      <c r="G40" s="26"/>
      <c r="H40" s="26"/>
      <c r="I40" s="113"/>
      <c r="J40" s="113"/>
    </row>
    <row r="41" spans="1:11" ht="14" x14ac:dyDescent="0.3">
      <c r="A41" t="s">
        <v>1001</v>
      </c>
      <c r="C41" s="1" t="s">
        <v>76</v>
      </c>
      <c r="D41" s="88">
        <v>45553</v>
      </c>
      <c r="E41" s="89" t="s">
        <v>983</v>
      </c>
      <c r="F41" s="56" t="s">
        <v>768</v>
      </c>
      <c r="G41" s="26">
        <v>9</v>
      </c>
      <c r="H41" s="160" t="s">
        <v>71</v>
      </c>
      <c r="I41" s="113"/>
      <c r="J41" s="54">
        <f>298*9</f>
        <v>2682</v>
      </c>
      <c r="K41" s="1" t="s">
        <v>792</v>
      </c>
    </row>
    <row r="42" spans="1:11" ht="14" x14ac:dyDescent="0.3">
      <c r="A42" t="s">
        <v>1001</v>
      </c>
      <c r="C42" s="1" t="s">
        <v>76</v>
      </c>
      <c r="D42" s="88">
        <v>45553</v>
      </c>
      <c r="E42" s="89" t="s">
        <v>983</v>
      </c>
      <c r="F42" s="56" t="s">
        <v>769</v>
      </c>
      <c r="G42" s="26">
        <v>51</v>
      </c>
      <c r="H42" s="160" t="s">
        <v>72</v>
      </c>
      <c r="I42" s="113"/>
      <c r="J42" s="54">
        <f>298*51</f>
        <v>15198</v>
      </c>
      <c r="K42" s="1" t="s">
        <v>792</v>
      </c>
    </row>
    <row r="43" spans="1:11" ht="14" x14ac:dyDescent="0.3">
      <c r="A43" t="s">
        <v>1001</v>
      </c>
      <c r="C43" s="1" t="s">
        <v>76</v>
      </c>
      <c r="D43" s="88">
        <v>45553</v>
      </c>
      <c r="E43" s="89" t="s">
        <v>983</v>
      </c>
      <c r="F43" s="56" t="s">
        <v>777</v>
      </c>
      <c r="G43" s="26">
        <v>10</v>
      </c>
      <c r="H43" s="160" t="s">
        <v>72</v>
      </c>
      <c r="I43" s="113"/>
      <c r="J43" s="54">
        <f>755*10</f>
        <v>7550</v>
      </c>
      <c r="K43" s="1" t="s">
        <v>808</v>
      </c>
    </row>
    <row r="44" spans="1:11" ht="14" x14ac:dyDescent="0.3">
      <c r="A44" t="s">
        <v>1001</v>
      </c>
      <c r="C44" s="1" t="s">
        <v>76</v>
      </c>
      <c r="D44" s="88">
        <v>45553</v>
      </c>
      <c r="E44" s="89" t="s">
        <v>983</v>
      </c>
      <c r="F44" s="56" t="s">
        <v>778</v>
      </c>
      <c r="G44" s="26">
        <v>54</v>
      </c>
      <c r="H44" s="160" t="s">
        <v>72</v>
      </c>
      <c r="I44" s="113"/>
      <c r="J44" s="54">
        <f>790*54</f>
        <v>42660</v>
      </c>
      <c r="K44" s="1" t="s">
        <v>808</v>
      </c>
    </row>
    <row r="45" spans="1:11" ht="14" x14ac:dyDescent="0.3">
      <c r="A45" t="s">
        <v>1002</v>
      </c>
      <c r="C45" s="1" t="s">
        <v>76</v>
      </c>
      <c r="D45" s="88">
        <v>45553</v>
      </c>
      <c r="E45" s="89" t="s">
        <v>983</v>
      </c>
      <c r="F45" s="56" t="s">
        <v>997</v>
      </c>
      <c r="G45" s="26">
        <v>1</v>
      </c>
      <c r="H45" s="160" t="s">
        <v>978</v>
      </c>
      <c r="I45" s="113"/>
      <c r="J45" s="54">
        <f>297*1</f>
        <v>297</v>
      </c>
      <c r="K45" s="1" t="s">
        <v>792</v>
      </c>
    </row>
    <row r="46" spans="1:11" ht="14" x14ac:dyDescent="0.3">
      <c r="A46" t="s">
        <v>1002</v>
      </c>
      <c r="C46" s="1" t="s">
        <v>76</v>
      </c>
      <c r="D46" s="88">
        <v>45553</v>
      </c>
      <c r="E46" s="89" t="s">
        <v>983</v>
      </c>
      <c r="F46" s="56" t="s">
        <v>998</v>
      </c>
      <c r="G46" s="26">
        <v>1</v>
      </c>
      <c r="H46" s="160" t="s">
        <v>978</v>
      </c>
      <c r="I46" s="113"/>
      <c r="J46" s="54">
        <v>298</v>
      </c>
      <c r="K46" s="1" t="s">
        <v>792</v>
      </c>
    </row>
    <row r="47" spans="1:11" x14ac:dyDescent="0.3">
      <c r="D47" s="409"/>
      <c r="E47" s="409"/>
      <c r="F47" s="409"/>
      <c r="G47" s="410"/>
      <c r="H47" s="410"/>
      <c r="I47" s="409"/>
      <c r="J47" s="409"/>
    </row>
    <row r="48" spans="1:11" ht="14" x14ac:dyDescent="0.3">
      <c r="A48" t="s">
        <v>1001</v>
      </c>
      <c r="C48" s="16" t="s">
        <v>76</v>
      </c>
      <c r="D48" s="88">
        <v>45554</v>
      </c>
      <c r="E48" s="89" t="s">
        <v>984</v>
      </c>
      <c r="F48" s="56" t="s">
        <v>811</v>
      </c>
      <c r="G48" s="26">
        <v>2</v>
      </c>
      <c r="H48" s="160" t="s">
        <v>72</v>
      </c>
      <c r="I48" s="113"/>
      <c r="J48" s="54">
        <f>299*2</f>
        <v>598</v>
      </c>
      <c r="K48" s="1" t="s">
        <v>792</v>
      </c>
    </row>
    <row r="49" spans="1:13" ht="14" x14ac:dyDescent="0.3">
      <c r="A49" t="s">
        <v>1001</v>
      </c>
      <c r="C49" s="16" t="s">
        <v>76</v>
      </c>
      <c r="D49" s="88">
        <v>45554</v>
      </c>
      <c r="E49" s="89" t="s">
        <v>984</v>
      </c>
      <c r="F49" s="56" t="s">
        <v>812</v>
      </c>
      <c r="G49" s="26">
        <v>1</v>
      </c>
      <c r="H49" s="160" t="s">
        <v>978</v>
      </c>
      <c r="I49" s="113"/>
      <c r="J49" s="54">
        <v>299</v>
      </c>
      <c r="K49" s="1" t="s">
        <v>792</v>
      </c>
    </row>
    <row r="50" spans="1:13" ht="14" x14ac:dyDescent="0.3">
      <c r="A50" t="s">
        <v>1001</v>
      </c>
      <c r="C50" s="16" t="s">
        <v>76</v>
      </c>
      <c r="D50" s="88">
        <v>45554</v>
      </c>
      <c r="E50" s="89" t="s">
        <v>984</v>
      </c>
      <c r="F50" s="56" t="s">
        <v>813</v>
      </c>
      <c r="G50" s="26">
        <v>1</v>
      </c>
      <c r="H50" s="160" t="s">
        <v>72</v>
      </c>
      <c r="I50" s="113"/>
      <c r="J50" s="54">
        <v>297</v>
      </c>
      <c r="K50" s="1" t="s">
        <v>792</v>
      </c>
    </row>
    <row r="51" spans="1:13" ht="14" x14ac:dyDescent="0.3">
      <c r="A51" t="s">
        <v>1001</v>
      </c>
      <c r="C51" s="16" t="s">
        <v>76</v>
      </c>
      <c r="D51" s="88">
        <v>45554</v>
      </c>
      <c r="E51" s="89" t="s">
        <v>984</v>
      </c>
      <c r="F51" s="56" t="s">
        <v>814</v>
      </c>
      <c r="G51" s="26">
        <v>1</v>
      </c>
      <c r="H51" s="160" t="s">
        <v>978</v>
      </c>
      <c r="I51" s="113"/>
      <c r="J51" s="54">
        <v>297</v>
      </c>
      <c r="K51" s="1" t="s">
        <v>792</v>
      </c>
    </row>
    <row r="52" spans="1:13" ht="14" x14ac:dyDescent="0.3">
      <c r="A52" t="s">
        <v>1001</v>
      </c>
      <c r="C52" s="16" t="s">
        <v>775</v>
      </c>
      <c r="D52" s="88">
        <v>45554</v>
      </c>
      <c r="E52" s="89" t="s">
        <v>984</v>
      </c>
      <c r="F52" s="56" t="s">
        <v>815</v>
      </c>
      <c r="G52" s="26">
        <v>7</v>
      </c>
      <c r="H52" s="160" t="s">
        <v>72</v>
      </c>
      <c r="I52" s="113"/>
      <c r="J52" s="54">
        <f>7*790</f>
        <v>5530</v>
      </c>
      <c r="K52" s="1" t="s">
        <v>808</v>
      </c>
    </row>
    <row r="53" spans="1:13" x14ac:dyDescent="0.3">
      <c r="C53" s="113"/>
      <c r="D53" s="113"/>
      <c r="E53" s="113"/>
      <c r="F53" s="113"/>
      <c r="G53" s="26"/>
      <c r="H53" s="26"/>
      <c r="I53" s="113"/>
      <c r="J53" s="113"/>
    </row>
    <row r="54" spans="1:13" ht="14" x14ac:dyDescent="0.3">
      <c r="A54" t="s">
        <v>1001</v>
      </c>
      <c r="C54" s="16" t="s">
        <v>76</v>
      </c>
      <c r="D54" s="88">
        <v>45556</v>
      </c>
      <c r="E54" s="89" t="s">
        <v>987</v>
      </c>
      <c r="F54" s="56" t="s">
        <v>868</v>
      </c>
      <c r="G54" s="26">
        <v>30</v>
      </c>
      <c r="H54" s="160" t="s">
        <v>988</v>
      </c>
      <c r="I54" s="113"/>
      <c r="J54" s="54">
        <f>30*799</f>
        <v>23970</v>
      </c>
      <c r="K54" s="1" t="s">
        <v>808</v>
      </c>
      <c r="M54" s="1" t="s">
        <v>1292</v>
      </c>
    </row>
    <row r="55" spans="1:13" x14ac:dyDescent="0.3">
      <c r="C55" s="113"/>
      <c r="D55" s="113"/>
      <c r="E55" s="113"/>
      <c r="F55" s="113"/>
      <c r="G55" s="26"/>
      <c r="H55" s="26"/>
      <c r="I55" s="113"/>
      <c r="J55" s="113"/>
    </row>
    <row r="56" spans="1:13" ht="14" x14ac:dyDescent="0.3">
      <c r="A56" t="s">
        <v>1001</v>
      </c>
      <c r="C56" s="16" t="s">
        <v>76</v>
      </c>
      <c r="D56" s="88">
        <v>45558</v>
      </c>
      <c r="E56" s="89" t="s">
        <v>989</v>
      </c>
      <c r="F56" s="56" t="s">
        <v>872</v>
      </c>
      <c r="G56" s="26">
        <v>3</v>
      </c>
      <c r="H56" s="160" t="s">
        <v>978</v>
      </c>
      <c r="I56" s="113"/>
      <c r="J56" s="54">
        <f>297*3</f>
        <v>891</v>
      </c>
      <c r="K56" s="1" t="s">
        <v>792</v>
      </c>
    </row>
    <row r="57" spans="1:13" ht="14" x14ac:dyDescent="0.3">
      <c r="A57" t="s">
        <v>1001</v>
      </c>
      <c r="C57" s="16" t="s">
        <v>76</v>
      </c>
      <c r="D57" s="88">
        <v>45558</v>
      </c>
      <c r="E57" s="89" t="s">
        <v>989</v>
      </c>
      <c r="F57" s="56" t="s">
        <v>873</v>
      </c>
      <c r="G57" s="26">
        <v>1</v>
      </c>
      <c r="H57" s="160" t="s">
        <v>978</v>
      </c>
      <c r="I57" s="113"/>
      <c r="J57" s="54">
        <v>298</v>
      </c>
      <c r="K57" s="1" t="s">
        <v>792</v>
      </c>
    </row>
    <row r="58" spans="1:13" ht="14" x14ac:dyDescent="0.3">
      <c r="A58" t="s">
        <v>1001</v>
      </c>
      <c r="C58" s="16" t="s">
        <v>76</v>
      </c>
      <c r="D58" s="88">
        <v>45558</v>
      </c>
      <c r="E58" s="89" t="s">
        <v>989</v>
      </c>
      <c r="F58" s="56" t="s">
        <v>874</v>
      </c>
      <c r="G58" s="26">
        <v>2</v>
      </c>
      <c r="H58" s="160" t="s">
        <v>991</v>
      </c>
      <c r="I58" s="113"/>
      <c r="J58" s="54">
        <f>759*2</f>
        <v>1518</v>
      </c>
      <c r="K58" s="1" t="s">
        <v>808</v>
      </c>
    </row>
    <row r="59" spans="1:13" ht="14" x14ac:dyDescent="0.3">
      <c r="A59" t="s">
        <v>1001</v>
      </c>
      <c r="C59" s="16" t="s">
        <v>775</v>
      </c>
      <c r="D59" s="88">
        <v>45558</v>
      </c>
      <c r="E59" s="89" t="s">
        <v>989</v>
      </c>
      <c r="F59" s="56" t="s">
        <v>877</v>
      </c>
      <c r="G59" s="26">
        <v>2</v>
      </c>
      <c r="H59" s="160" t="s">
        <v>991</v>
      </c>
      <c r="I59" s="113"/>
      <c r="J59" s="54">
        <f>759*2</f>
        <v>1518</v>
      </c>
      <c r="K59" s="1" t="s">
        <v>808</v>
      </c>
    </row>
    <row r="60" spans="1:13" ht="14" x14ac:dyDescent="0.3">
      <c r="A60" t="s">
        <v>1001</v>
      </c>
      <c r="C60" s="16" t="s">
        <v>76</v>
      </c>
      <c r="D60" s="88">
        <v>45558</v>
      </c>
      <c r="E60" s="89" t="s">
        <v>989</v>
      </c>
      <c r="F60" s="56" t="s">
        <v>875</v>
      </c>
      <c r="G60" s="26">
        <v>2</v>
      </c>
      <c r="H60" s="160" t="s">
        <v>991</v>
      </c>
      <c r="I60" s="113"/>
      <c r="J60" s="349">
        <f>297*2</f>
        <v>594</v>
      </c>
      <c r="K60" s="1" t="s">
        <v>792</v>
      </c>
    </row>
    <row r="61" spans="1:13" ht="14" x14ac:dyDescent="0.3">
      <c r="A61" t="s">
        <v>1001</v>
      </c>
      <c r="C61" s="16" t="s">
        <v>76</v>
      </c>
      <c r="D61" s="88">
        <v>45558</v>
      </c>
      <c r="E61" s="89" t="s">
        <v>989</v>
      </c>
      <c r="F61" s="56" t="s">
        <v>876</v>
      </c>
      <c r="G61" s="26">
        <v>1</v>
      </c>
      <c r="H61" s="160" t="s">
        <v>991</v>
      </c>
      <c r="I61" s="113"/>
      <c r="J61" s="54">
        <v>299</v>
      </c>
      <c r="K61" s="1" t="s">
        <v>792</v>
      </c>
    </row>
    <row r="62" spans="1:13" ht="14" x14ac:dyDescent="0.3">
      <c r="A62" t="s">
        <v>1001</v>
      </c>
      <c r="C62" s="16" t="s">
        <v>76</v>
      </c>
      <c r="D62" s="88">
        <v>45558</v>
      </c>
      <c r="E62" s="89" t="s">
        <v>989</v>
      </c>
      <c r="F62" s="56" t="s">
        <v>878</v>
      </c>
      <c r="G62" s="26">
        <v>5</v>
      </c>
      <c r="H62" s="160" t="s">
        <v>72</v>
      </c>
      <c r="I62" s="113"/>
      <c r="J62" s="54">
        <f>298*5</f>
        <v>1490</v>
      </c>
      <c r="K62" s="1" t="s">
        <v>792</v>
      </c>
    </row>
    <row r="63" spans="1:13" ht="14" x14ac:dyDescent="0.3">
      <c r="A63" t="s">
        <v>1001</v>
      </c>
      <c r="C63" s="16" t="s">
        <v>76</v>
      </c>
      <c r="D63" s="88">
        <v>45558</v>
      </c>
      <c r="E63" s="89" t="s">
        <v>989</v>
      </c>
      <c r="F63" s="56" t="s">
        <v>879</v>
      </c>
      <c r="G63" s="26">
        <v>3</v>
      </c>
      <c r="H63" s="160" t="s">
        <v>72</v>
      </c>
      <c r="I63" s="113"/>
      <c r="J63" s="54">
        <f>297*3</f>
        <v>891</v>
      </c>
      <c r="K63" s="1" t="s">
        <v>792</v>
      </c>
    </row>
    <row r="64" spans="1:13" ht="14" x14ac:dyDescent="0.3">
      <c r="A64" t="s">
        <v>1001</v>
      </c>
      <c r="C64" s="16" t="s">
        <v>76</v>
      </c>
      <c r="D64" s="88">
        <v>45558</v>
      </c>
      <c r="E64" s="89" t="s">
        <v>989</v>
      </c>
      <c r="F64" s="56" t="s">
        <v>880</v>
      </c>
      <c r="G64" s="26">
        <v>1</v>
      </c>
      <c r="H64" s="160" t="s">
        <v>72</v>
      </c>
      <c r="I64" s="113"/>
      <c r="J64" s="54">
        <v>745</v>
      </c>
      <c r="K64" s="1" t="s">
        <v>808</v>
      </c>
    </row>
    <row r="65" spans="1:11" x14ac:dyDescent="0.3">
      <c r="C65" s="113"/>
      <c r="D65" s="113"/>
      <c r="E65" s="113"/>
      <c r="F65" s="113"/>
      <c r="G65" s="26"/>
      <c r="H65" s="26"/>
      <c r="I65" s="113"/>
      <c r="J65" s="113"/>
    </row>
    <row r="66" spans="1:11" ht="14" x14ac:dyDescent="0.3">
      <c r="A66" t="s">
        <v>1001</v>
      </c>
      <c r="C66" s="16" t="s">
        <v>76</v>
      </c>
      <c r="D66" s="88">
        <v>45559</v>
      </c>
      <c r="E66" s="89" t="s">
        <v>990</v>
      </c>
      <c r="F66" s="56" t="s">
        <v>884</v>
      </c>
      <c r="G66" s="26">
        <v>1</v>
      </c>
      <c r="H66" s="160" t="s">
        <v>72</v>
      </c>
      <c r="I66" s="113"/>
      <c r="J66" s="54">
        <v>299</v>
      </c>
      <c r="K66" s="1" t="s">
        <v>792</v>
      </c>
    </row>
    <row r="67" spans="1:11" ht="14" x14ac:dyDescent="0.3">
      <c r="A67" t="s">
        <v>1001</v>
      </c>
      <c r="C67" s="16" t="s">
        <v>76</v>
      </c>
      <c r="D67" s="88">
        <v>45559</v>
      </c>
      <c r="E67" s="89" t="s">
        <v>990</v>
      </c>
      <c r="F67" s="56" t="s">
        <v>885</v>
      </c>
      <c r="G67" s="26">
        <v>1</v>
      </c>
      <c r="H67" s="160" t="s">
        <v>991</v>
      </c>
      <c r="I67" s="113"/>
      <c r="J67" s="54">
        <v>299</v>
      </c>
      <c r="K67" s="1" t="s">
        <v>792</v>
      </c>
    </row>
    <row r="68" spans="1:11" ht="14" x14ac:dyDescent="0.3">
      <c r="A68" t="s">
        <v>1001</v>
      </c>
      <c r="C68" s="16" t="s">
        <v>76</v>
      </c>
      <c r="D68" s="88">
        <v>45559</v>
      </c>
      <c r="E68" s="89" t="s">
        <v>990</v>
      </c>
      <c r="F68" s="56" t="s">
        <v>886</v>
      </c>
      <c r="G68" s="26">
        <v>1</v>
      </c>
      <c r="H68" s="160" t="s">
        <v>991</v>
      </c>
      <c r="I68" s="113"/>
      <c r="J68" s="54">
        <v>796</v>
      </c>
      <c r="K68" s="1" t="s">
        <v>808</v>
      </c>
    </row>
    <row r="69" spans="1:11" ht="14" x14ac:dyDescent="0.3">
      <c r="A69" t="s">
        <v>1001</v>
      </c>
      <c r="C69" s="16" t="s">
        <v>76</v>
      </c>
      <c r="D69" s="88">
        <v>45559</v>
      </c>
      <c r="E69" s="89" t="s">
        <v>990</v>
      </c>
      <c r="F69" s="56" t="s">
        <v>885</v>
      </c>
      <c r="G69" s="26">
        <v>1</v>
      </c>
      <c r="H69" s="160" t="s">
        <v>991</v>
      </c>
      <c r="I69" s="113"/>
      <c r="J69" s="54">
        <v>299</v>
      </c>
      <c r="K69" s="1" t="s">
        <v>792</v>
      </c>
    </row>
    <row r="70" spans="1:11" ht="14" x14ac:dyDescent="0.3">
      <c r="A70" t="s">
        <v>1001</v>
      </c>
      <c r="C70" s="16" t="s">
        <v>76</v>
      </c>
      <c r="D70" s="88">
        <v>45559</v>
      </c>
      <c r="E70" s="89" t="s">
        <v>990</v>
      </c>
      <c r="F70" s="56" t="s">
        <v>886</v>
      </c>
      <c r="G70" s="26">
        <v>1</v>
      </c>
      <c r="H70" s="160" t="s">
        <v>991</v>
      </c>
      <c r="I70" s="113"/>
      <c r="J70" s="349">
        <v>796</v>
      </c>
      <c r="K70" s="1" t="s">
        <v>808</v>
      </c>
    </row>
    <row r="71" spans="1:11" ht="14" x14ac:dyDescent="0.3">
      <c r="A71" t="s">
        <v>1001</v>
      </c>
      <c r="C71" s="16" t="s">
        <v>76</v>
      </c>
      <c r="D71" s="88">
        <v>45559</v>
      </c>
      <c r="E71" s="89" t="s">
        <v>990</v>
      </c>
      <c r="F71" s="56" t="s">
        <v>887</v>
      </c>
      <c r="G71" s="26">
        <v>5</v>
      </c>
      <c r="H71" s="160" t="s">
        <v>72</v>
      </c>
      <c r="I71" s="113"/>
      <c r="J71" s="54">
        <f>298*5</f>
        <v>1490</v>
      </c>
      <c r="K71" s="1" t="s">
        <v>792</v>
      </c>
    </row>
    <row r="72" spans="1:11" ht="14" x14ac:dyDescent="0.3">
      <c r="A72" t="s">
        <v>1001</v>
      </c>
      <c r="C72" s="16" t="s">
        <v>76</v>
      </c>
      <c r="D72" s="88">
        <v>45559</v>
      </c>
      <c r="E72" s="89" t="s">
        <v>990</v>
      </c>
      <c r="F72" s="56" t="s">
        <v>888</v>
      </c>
      <c r="G72" s="26">
        <v>1</v>
      </c>
      <c r="H72" s="160" t="s">
        <v>991</v>
      </c>
      <c r="I72" s="113"/>
      <c r="J72" s="54">
        <v>299</v>
      </c>
      <c r="K72" s="1" t="s">
        <v>792</v>
      </c>
    </row>
    <row r="73" spans="1:11" ht="14" x14ac:dyDescent="0.3">
      <c r="A73" t="s">
        <v>1001</v>
      </c>
      <c r="C73" s="16" t="s">
        <v>775</v>
      </c>
      <c r="D73" s="88">
        <v>45559</v>
      </c>
      <c r="E73" s="89" t="s">
        <v>990</v>
      </c>
      <c r="F73" s="56" t="s">
        <v>889</v>
      </c>
      <c r="G73" s="26">
        <v>10</v>
      </c>
      <c r="H73" s="160" t="s">
        <v>72</v>
      </c>
      <c r="I73" s="113"/>
      <c r="J73" s="54">
        <f>758*10</f>
        <v>7580</v>
      </c>
      <c r="K73" s="1" t="s">
        <v>808</v>
      </c>
    </row>
    <row r="74" spans="1:11" ht="28" x14ac:dyDescent="0.3">
      <c r="A74" t="s">
        <v>1001</v>
      </c>
      <c r="C74" s="16" t="s">
        <v>775</v>
      </c>
      <c r="D74" s="88">
        <v>45559</v>
      </c>
      <c r="E74" s="89" t="s">
        <v>990</v>
      </c>
      <c r="F74" s="56" t="s">
        <v>891</v>
      </c>
      <c r="G74" s="26">
        <v>10</v>
      </c>
      <c r="H74" s="160" t="s">
        <v>72</v>
      </c>
      <c r="I74" s="113"/>
      <c r="J74" s="54">
        <f>750*10</f>
        <v>7500</v>
      </c>
      <c r="K74" s="1" t="s">
        <v>808</v>
      </c>
    </row>
    <row r="75" spans="1:11" ht="14" x14ac:dyDescent="0.3">
      <c r="A75" t="s">
        <v>1001</v>
      </c>
      <c r="C75" s="16" t="s">
        <v>76</v>
      </c>
      <c r="D75" s="88">
        <v>45559</v>
      </c>
      <c r="E75" s="89" t="s">
        <v>990</v>
      </c>
      <c r="F75" s="56" t="s">
        <v>890</v>
      </c>
      <c r="G75" s="26">
        <v>10</v>
      </c>
      <c r="H75" s="160" t="s">
        <v>72</v>
      </c>
      <c r="I75" s="113"/>
      <c r="J75" s="349">
        <f>298*10</f>
        <v>2980</v>
      </c>
      <c r="K75" s="1" t="s">
        <v>792</v>
      </c>
    </row>
    <row r="76" spans="1:11" x14ac:dyDescent="0.3">
      <c r="C76" s="113"/>
      <c r="D76" s="113"/>
      <c r="E76" s="113"/>
      <c r="F76" s="113"/>
      <c r="G76" s="26"/>
      <c r="H76" s="26"/>
      <c r="I76" s="113"/>
      <c r="J76" s="113"/>
    </row>
    <row r="77" spans="1:11" ht="14" x14ac:dyDescent="0.3">
      <c r="A77" t="s">
        <v>1001</v>
      </c>
      <c r="C77" s="16" t="s">
        <v>76</v>
      </c>
      <c r="D77" s="88">
        <v>45560</v>
      </c>
      <c r="E77" s="89" t="s">
        <v>992</v>
      </c>
      <c r="F77" s="56" t="s">
        <v>917</v>
      </c>
      <c r="G77" s="26">
        <v>2</v>
      </c>
      <c r="H77" s="160" t="s">
        <v>72</v>
      </c>
      <c r="I77" s="113"/>
      <c r="J77" s="54">
        <f>2*297</f>
        <v>594</v>
      </c>
      <c r="K77" s="1" t="s">
        <v>792</v>
      </c>
    </row>
    <row r="78" spans="1:11" ht="14" x14ac:dyDescent="0.3">
      <c r="A78" t="s">
        <v>1001</v>
      </c>
      <c r="C78" s="16" t="s">
        <v>76</v>
      </c>
      <c r="D78" s="88">
        <v>45560</v>
      </c>
      <c r="E78" s="89" t="s">
        <v>992</v>
      </c>
      <c r="F78" s="56" t="s">
        <v>918</v>
      </c>
      <c r="G78" s="26">
        <v>6</v>
      </c>
      <c r="H78" s="160" t="s">
        <v>991</v>
      </c>
      <c r="I78" s="113"/>
      <c r="J78" s="54">
        <f>6*299</f>
        <v>1794</v>
      </c>
      <c r="K78" s="1" t="s">
        <v>792</v>
      </c>
    </row>
    <row r="79" spans="1:11" ht="14" x14ac:dyDescent="0.3">
      <c r="A79" t="s">
        <v>1001</v>
      </c>
      <c r="C79" s="16" t="s">
        <v>76</v>
      </c>
      <c r="D79" s="88">
        <v>45560</v>
      </c>
      <c r="E79" s="89" t="s">
        <v>992</v>
      </c>
      <c r="F79" s="56" t="s">
        <v>919</v>
      </c>
      <c r="G79" s="26">
        <v>1</v>
      </c>
      <c r="H79" s="160" t="s">
        <v>991</v>
      </c>
      <c r="I79" s="113"/>
      <c r="J79" s="54">
        <v>796</v>
      </c>
      <c r="K79" s="1" t="s">
        <v>808</v>
      </c>
    </row>
    <row r="80" spans="1:11" ht="14" x14ac:dyDescent="0.3">
      <c r="A80" t="s">
        <v>1002</v>
      </c>
      <c r="C80" s="16" t="s">
        <v>76</v>
      </c>
      <c r="D80" s="88">
        <v>45560</v>
      </c>
      <c r="E80" s="89" t="s">
        <v>992</v>
      </c>
      <c r="F80" s="56" t="s">
        <v>1003</v>
      </c>
      <c r="G80" s="26">
        <v>1</v>
      </c>
      <c r="H80" s="160" t="s">
        <v>978</v>
      </c>
      <c r="I80" s="113"/>
      <c r="J80" s="54">
        <v>318</v>
      </c>
      <c r="K80" s="1" t="s">
        <v>792</v>
      </c>
    </row>
    <row r="81" spans="1:11" ht="14" x14ac:dyDescent="0.3">
      <c r="A81" t="s">
        <v>1002</v>
      </c>
      <c r="C81" s="16" t="s">
        <v>76</v>
      </c>
      <c r="D81" s="88">
        <v>45560</v>
      </c>
      <c r="E81" s="89" t="s">
        <v>992</v>
      </c>
      <c r="F81" s="56" t="s">
        <v>1004</v>
      </c>
      <c r="G81" s="26">
        <v>1</v>
      </c>
      <c r="H81" s="160" t="s">
        <v>978</v>
      </c>
      <c r="I81" s="113"/>
      <c r="J81" s="54">
        <v>309</v>
      </c>
      <c r="K81" s="1" t="s">
        <v>792</v>
      </c>
    </row>
    <row r="82" spans="1:11" ht="14" x14ac:dyDescent="0.3">
      <c r="A82" t="s">
        <v>1002</v>
      </c>
      <c r="C82" s="16" t="s">
        <v>76</v>
      </c>
      <c r="D82" s="385">
        <v>45560</v>
      </c>
      <c r="E82" s="106" t="s">
        <v>992</v>
      </c>
      <c r="F82" s="77" t="s">
        <v>1004</v>
      </c>
      <c r="G82" s="374">
        <v>1</v>
      </c>
      <c r="H82" s="386" t="s">
        <v>978</v>
      </c>
      <c r="I82" s="387"/>
      <c r="J82" s="136">
        <v>309</v>
      </c>
      <c r="K82" s="1" t="s">
        <v>792</v>
      </c>
    </row>
    <row r="83" spans="1:11" ht="14" x14ac:dyDescent="0.3">
      <c r="A83" t="s">
        <v>1002</v>
      </c>
      <c r="C83" s="16" t="s">
        <v>76</v>
      </c>
      <c r="D83" s="88">
        <v>45560</v>
      </c>
      <c r="E83" s="89" t="s">
        <v>992</v>
      </c>
      <c r="F83" s="56" t="s">
        <v>1005</v>
      </c>
      <c r="G83" s="26">
        <v>1</v>
      </c>
      <c r="H83" s="160" t="s">
        <v>978</v>
      </c>
      <c r="I83" s="113"/>
      <c r="J83" s="54">
        <v>307</v>
      </c>
      <c r="K83" s="1" t="s">
        <v>792</v>
      </c>
    </row>
    <row r="84" spans="1:11" x14ac:dyDescent="0.3">
      <c r="C84" s="113"/>
      <c r="D84" s="113"/>
      <c r="E84" s="113"/>
      <c r="F84" s="113"/>
      <c r="G84" s="26"/>
      <c r="H84" s="26"/>
      <c r="I84" s="113"/>
      <c r="J84" s="113"/>
    </row>
    <row r="85" spans="1:11" ht="14" x14ac:dyDescent="0.3">
      <c r="A85" t="s">
        <v>1001</v>
      </c>
      <c r="C85" s="113" t="s">
        <v>775</v>
      </c>
      <c r="D85" s="88">
        <v>45561</v>
      </c>
      <c r="E85" s="89" t="s">
        <v>996</v>
      </c>
      <c r="F85" s="56" t="s">
        <v>993</v>
      </c>
      <c r="G85" s="26">
        <v>3</v>
      </c>
      <c r="H85" s="160" t="s">
        <v>72</v>
      </c>
      <c r="I85" s="113"/>
      <c r="J85" s="54">
        <f>3*297</f>
        <v>891</v>
      </c>
      <c r="K85" s="1" t="s">
        <v>792</v>
      </c>
    </row>
    <row r="86" spans="1:11" ht="14" x14ac:dyDescent="0.3">
      <c r="A86" t="s">
        <v>1001</v>
      </c>
      <c r="C86" s="113" t="s">
        <v>775</v>
      </c>
      <c r="D86" s="88">
        <v>45561</v>
      </c>
      <c r="E86" s="89" t="s">
        <v>996</v>
      </c>
      <c r="F86" s="56" t="s">
        <v>994</v>
      </c>
      <c r="G86" s="26">
        <v>1</v>
      </c>
      <c r="H86" s="160" t="s">
        <v>72</v>
      </c>
      <c r="I86" s="113"/>
      <c r="J86" s="54">
        <v>298</v>
      </c>
      <c r="K86" s="1" t="s">
        <v>792</v>
      </c>
    </row>
    <row r="87" spans="1:11" ht="14" x14ac:dyDescent="0.3">
      <c r="A87" t="s">
        <v>1001</v>
      </c>
      <c r="C87" s="113" t="s">
        <v>775</v>
      </c>
      <c r="D87" s="88">
        <v>45561</v>
      </c>
      <c r="E87" s="89" t="s">
        <v>996</v>
      </c>
      <c r="F87" s="56" t="s">
        <v>995</v>
      </c>
      <c r="G87" s="26">
        <v>1</v>
      </c>
      <c r="H87" s="160" t="s">
        <v>72</v>
      </c>
      <c r="I87" s="113"/>
      <c r="J87" s="54">
        <v>307</v>
      </c>
      <c r="K87" s="1" t="s">
        <v>792</v>
      </c>
    </row>
    <row r="88" spans="1:11" ht="14" x14ac:dyDescent="0.3">
      <c r="A88" t="s">
        <v>1002</v>
      </c>
      <c r="C88" s="113" t="s">
        <v>775</v>
      </c>
      <c r="D88" s="88">
        <v>45561</v>
      </c>
      <c r="E88" s="89" t="s">
        <v>996</v>
      </c>
      <c r="F88" s="56" t="s">
        <v>1006</v>
      </c>
      <c r="G88" s="26">
        <v>1</v>
      </c>
      <c r="H88" s="26" t="s">
        <v>978</v>
      </c>
      <c r="I88" s="113"/>
      <c r="J88" s="54">
        <v>307</v>
      </c>
      <c r="K88" s="1" t="s">
        <v>792</v>
      </c>
    </row>
    <row r="89" spans="1:11" ht="14" x14ac:dyDescent="0.3">
      <c r="C89" s="113"/>
      <c r="D89" s="88"/>
      <c r="E89" s="89"/>
      <c r="F89" s="56"/>
      <c r="G89" s="26"/>
      <c r="H89" s="26"/>
      <c r="I89" s="113"/>
      <c r="J89" s="54"/>
    </row>
    <row r="90" spans="1:11" ht="14" x14ac:dyDescent="0.3">
      <c r="A90" s="1" t="s">
        <v>1030</v>
      </c>
      <c r="C90" s="113" t="s">
        <v>775</v>
      </c>
      <c r="D90" s="88">
        <v>45562</v>
      </c>
      <c r="E90" s="89" t="s">
        <v>1029</v>
      </c>
      <c r="F90" s="56" t="s">
        <v>1015</v>
      </c>
      <c r="G90" s="26">
        <v>3</v>
      </c>
      <c r="H90" s="160" t="s">
        <v>72</v>
      </c>
      <c r="I90" s="113"/>
      <c r="J90" s="54">
        <f>3*297</f>
        <v>891</v>
      </c>
      <c r="K90" s="1" t="s">
        <v>792</v>
      </c>
    </row>
    <row r="91" spans="1:11" ht="14" x14ac:dyDescent="0.3">
      <c r="A91" s="1" t="s">
        <v>1001</v>
      </c>
      <c r="C91" s="113" t="s">
        <v>775</v>
      </c>
      <c r="D91" s="88">
        <v>45563</v>
      </c>
      <c r="E91" s="89" t="s">
        <v>1029</v>
      </c>
      <c r="F91" s="56" t="s">
        <v>1016</v>
      </c>
      <c r="G91" s="26">
        <v>6</v>
      </c>
      <c r="H91" s="160" t="s">
        <v>991</v>
      </c>
      <c r="I91" s="113"/>
      <c r="J91" s="54">
        <f>6*299</f>
        <v>1794</v>
      </c>
      <c r="K91" s="1" t="s">
        <v>792</v>
      </c>
    </row>
    <row r="92" spans="1:11" ht="14" x14ac:dyDescent="0.3">
      <c r="A92" s="1" t="s">
        <v>1001</v>
      </c>
      <c r="C92" s="113" t="s">
        <v>775</v>
      </c>
      <c r="D92" s="88">
        <v>45563</v>
      </c>
      <c r="E92" s="89" t="s">
        <v>1029</v>
      </c>
      <c r="F92" s="56" t="s">
        <v>1017</v>
      </c>
      <c r="G92" s="26">
        <v>5</v>
      </c>
      <c r="H92" s="160" t="s">
        <v>72</v>
      </c>
      <c r="I92" s="113"/>
      <c r="J92" s="54">
        <f>5*297</f>
        <v>1485</v>
      </c>
      <c r="K92" s="1" t="s">
        <v>792</v>
      </c>
    </row>
    <row r="93" spans="1:11" ht="14" x14ac:dyDescent="0.3">
      <c r="C93" s="113"/>
      <c r="D93" s="88"/>
      <c r="E93" s="89"/>
      <c r="F93" s="56"/>
      <c r="G93" s="26"/>
      <c r="H93" s="26"/>
      <c r="I93" s="113"/>
      <c r="J93" s="54"/>
    </row>
    <row r="94" spans="1:11" ht="14" x14ac:dyDescent="0.3">
      <c r="A94" s="1" t="s">
        <v>1002</v>
      </c>
      <c r="C94" s="113" t="s">
        <v>775</v>
      </c>
      <c r="D94" s="88">
        <v>45563</v>
      </c>
      <c r="E94" s="89" t="s">
        <v>1031</v>
      </c>
      <c r="F94" s="56" t="s">
        <v>1021</v>
      </c>
      <c r="G94" s="26">
        <v>100</v>
      </c>
      <c r="H94" s="160" t="s">
        <v>72</v>
      </c>
      <c r="I94" s="113"/>
      <c r="J94" s="54">
        <f>298*100</f>
        <v>29800</v>
      </c>
      <c r="K94" s="1" t="s">
        <v>792</v>
      </c>
    </row>
    <row r="95" spans="1:11" ht="14" x14ac:dyDescent="0.3">
      <c r="A95" s="1"/>
      <c r="C95" s="113"/>
      <c r="D95" s="88"/>
      <c r="E95" s="89"/>
      <c r="F95" s="56"/>
      <c r="G95" s="26"/>
      <c r="H95" s="160"/>
      <c r="I95" s="113"/>
      <c r="J95" s="54"/>
    </row>
    <row r="96" spans="1:11" ht="14" x14ac:dyDescent="0.3">
      <c r="A96" s="1" t="s">
        <v>1001</v>
      </c>
      <c r="C96" s="113"/>
      <c r="D96" s="88">
        <v>45563</v>
      </c>
      <c r="E96" s="89" t="s">
        <v>1037</v>
      </c>
      <c r="F96" s="56" t="s">
        <v>1032</v>
      </c>
      <c r="G96" s="26">
        <v>9</v>
      </c>
      <c r="H96" s="160" t="s">
        <v>72</v>
      </c>
      <c r="I96" s="113"/>
      <c r="J96" s="54">
        <f>297*9</f>
        <v>2673</v>
      </c>
      <c r="K96" s="1" t="s">
        <v>792</v>
      </c>
    </row>
    <row r="97" spans="1:11" ht="14" x14ac:dyDescent="0.3">
      <c r="A97" s="1" t="s">
        <v>1001</v>
      </c>
      <c r="C97" s="113"/>
      <c r="D97" s="88">
        <v>45563</v>
      </c>
      <c r="E97" s="89" t="s">
        <v>1037</v>
      </c>
      <c r="F97" s="56" t="s">
        <v>1033</v>
      </c>
      <c r="G97" s="26">
        <v>1</v>
      </c>
      <c r="H97" s="160" t="s">
        <v>978</v>
      </c>
      <c r="I97" s="113"/>
      <c r="J97" s="54">
        <v>297</v>
      </c>
      <c r="K97" s="1" t="s">
        <v>792</v>
      </c>
    </row>
    <row r="98" spans="1:11" ht="14" x14ac:dyDescent="0.3">
      <c r="A98" s="1" t="s">
        <v>1001</v>
      </c>
      <c r="C98" s="113"/>
      <c r="D98" s="88">
        <v>45563</v>
      </c>
      <c r="E98" s="89" t="s">
        <v>1037</v>
      </c>
      <c r="F98" s="56" t="s">
        <v>1034</v>
      </c>
      <c r="G98" s="26">
        <v>2</v>
      </c>
      <c r="H98" s="160" t="s">
        <v>72</v>
      </c>
      <c r="I98" s="113"/>
      <c r="J98" s="349">
        <f>298*2</f>
        <v>596</v>
      </c>
      <c r="K98" s="1" t="s">
        <v>792</v>
      </c>
    </row>
    <row r="99" spans="1:11" ht="14" x14ac:dyDescent="0.3">
      <c r="A99" s="1" t="s">
        <v>1001</v>
      </c>
      <c r="C99" s="113"/>
      <c r="D99" s="88">
        <v>45563</v>
      </c>
      <c r="E99" s="89" t="s">
        <v>1037</v>
      </c>
      <c r="F99" s="56" t="s">
        <v>1172</v>
      </c>
      <c r="G99" s="26">
        <v>4</v>
      </c>
      <c r="H99" s="160" t="s">
        <v>72</v>
      </c>
      <c r="I99" s="113"/>
      <c r="J99" s="54">
        <f>297*2</f>
        <v>594</v>
      </c>
      <c r="K99" s="1" t="s">
        <v>792</v>
      </c>
    </row>
    <row r="100" spans="1:11" ht="14" x14ac:dyDescent="0.3">
      <c r="A100" s="1" t="s">
        <v>1030</v>
      </c>
      <c r="C100" s="113"/>
      <c r="D100" s="88">
        <v>45563</v>
      </c>
      <c r="E100" s="89" t="s">
        <v>1037</v>
      </c>
      <c r="F100" s="56" t="s">
        <v>1174</v>
      </c>
      <c r="G100" s="26">
        <v>1</v>
      </c>
      <c r="H100" s="160" t="s">
        <v>72</v>
      </c>
      <c r="I100" s="113"/>
      <c r="J100" s="54">
        <v>297</v>
      </c>
      <c r="K100" s="1" t="s">
        <v>792</v>
      </c>
    </row>
    <row r="101" spans="1:11" ht="14" x14ac:dyDescent="0.3">
      <c r="A101" s="1"/>
      <c r="C101" s="113"/>
      <c r="D101" s="88"/>
      <c r="E101" s="89"/>
      <c r="F101" s="56"/>
      <c r="G101" s="26"/>
      <c r="H101" s="160"/>
      <c r="I101" s="113"/>
      <c r="J101" s="54"/>
    </row>
    <row r="102" spans="1:11" ht="14" x14ac:dyDescent="0.3">
      <c r="A102" s="1"/>
      <c r="C102" s="113"/>
      <c r="D102" s="88"/>
      <c r="E102" s="89"/>
      <c r="F102" s="56"/>
      <c r="G102" s="26"/>
      <c r="H102" s="160"/>
      <c r="I102" s="113"/>
      <c r="J102" s="54"/>
    </row>
    <row r="103" spans="1:11" ht="14" x14ac:dyDescent="0.3">
      <c r="A103" t="s">
        <v>1002</v>
      </c>
      <c r="C103" s="113"/>
      <c r="D103" s="88">
        <v>45565</v>
      </c>
      <c r="E103" s="89" t="s">
        <v>1177</v>
      </c>
      <c r="F103" s="56" t="s">
        <v>1069</v>
      </c>
      <c r="G103" s="26">
        <v>2</v>
      </c>
      <c r="H103" s="160" t="s">
        <v>72</v>
      </c>
      <c r="I103" s="113"/>
      <c r="J103" s="54">
        <f>2550*2</f>
        <v>5100</v>
      </c>
      <c r="K103" s="1" t="s">
        <v>1043</v>
      </c>
    </row>
    <row r="104" spans="1:11" ht="14" x14ac:dyDescent="0.3">
      <c r="A104" t="s">
        <v>1002</v>
      </c>
      <c r="C104" s="113"/>
      <c r="D104" s="88">
        <v>45565</v>
      </c>
      <c r="E104" s="89" t="s">
        <v>1177</v>
      </c>
      <c r="F104" s="56" t="s">
        <v>1044</v>
      </c>
      <c r="G104" s="26">
        <v>1</v>
      </c>
      <c r="H104" s="160" t="s">
        <v>72</v>
      </c>
      <c r="I104" s="113"/>
      <c r="J104" s="54">
        <v>298</v>
      </c>
      <c r="K104" s="1" t="s">
        <v>792</v>
      </c>
    </row>
    <row r="105" spans="1:11" ht="14" x14ac:dyDescent="0.3">
      <c r="A105" t="s">
        <v>1002</v>
      </c>
      <c r="C105" s="113"/>
      <c r="D105" s="88">
        <v>45565</v>
      </c>
      <c r="E105" s="89" t="s">
        <v>1177</v>
      </c>
      <c r="F105" s="56" t="s">
        <v>1044</v>
      </c>
      <c r="G105" s="26">
        <v>1</v>
      </c>
      <c r="H105" s="160" t="s">
        <v>72</v>
      </c>
      <c r="I105" s="113"/>
      <c r="J105" s="54">
        <v>298</v>
      </c>
      <c r="K105" s="1" t="s">
        <v>792</v>
      </c>
    </row>
    <row r="106" spans="1:11" ht="14" x14ac:dyDescent="0.3">
      <c r="A106" t="s">
        <v>1002</v>
      </c>
      <c r="C106" s="113"/>
      <c r="D106" s="88">
        <v>45565</v>
      </c>
      <c r="E106" s="89" t="s">
        <v>1177</v>
      </c>
      <c r="F106" s="56" t="s">
        <v>1048</v>
      </c>
      <c r="G106" s="26">
        <v>1</v>
      </c>
      <c r="H106" s="160" t="s">
        <v>978</v>
      </c>
      <c r="I106" s="113"/>
      <c r="J106" s="54">
        <v>299</v>
      </c>
      <c r="K106" s="1" t="s">
        <v>792</v>
      </c>
    </row>
    <row r="107" spans="1:11" ht="14" x14ac:dyDescent="0.3">
      <c r="A107" t="s">
        <v>1002</v>
      </c>
      <c r="C107" s="113"/>
      <c r="D107" s="88">
        <v>45565</v>
      </c>
      <c r="E107" s="89" t="s">
        <v>1177</v>
      </c>
      <c r="F107" s="56" t="s">
        <v>1049</v>
      </c>
      <c r="G107" s="26">
        <v>1</v>
      </c>
      <c r="H107" s="160" t="s">
        <v>72</v>
      </c>
      <c r="I107" s="113"/>
      <c r="J107" s="349">
        <v>299</v>
      </c>
      <c r="K107" s="1" t="s">
        <v>792</v>
      </c>
    </row>
    <row r="108" spans="1:11" ht="14" x14ac:dyDescent="0.3">
      <c r="A108" t="s">
        <v>1002</v>
      </c>
      <c r="C108" s="113"/>
      <c r="D108" s="88">
        <v>45565</v>
      </c>
      <c r="E108" s="89" t="s">
        <v>1177</v>
      </c>
      <c r="F108" s="56" t="s">
        <v>1050</v>
      </c>
      <c r="G108" s="26">
        <v>2</v>
      </c>
      <c r="H108" s="160" t="s">
        <v>72</v>
      </c>
      <c r="I108" s="113"/>
      <c r="J108" s="349">
        <f>299*2</f>
        <v>598</v>
      </c>
      <c r="K108" s="1" t="s">
        <v>792</v>
      </c>
    </row>
    <row r="109" spans="1:11" ht="14" x14ac:dyDescent="0.3">
      <c r="A109" t="s">
        <v>1002</v>
      </c>
      <c r="C109" s="113"/>
      <c r="D109" s="88">
        <v>45565</v>
      </c>
      <c r="E109" s="89" t="s">
        <v>1177</v>
      </c>
      <c r="F109" s="56" t="s">
        <v>1049</v>
      </c>
      <c r="G109" s="26">
        <v>1</v>
      </c>
      <c r="H109" s="160" t="s">
        <v>72</v>
      </c>
      <c r="I109" s="113"/>
      <c r="J109" s="349">
        <v>299</v>
      </c>
      <c r="K109" s="1" t="s">
        <v>792</v>
      </c>
    </row>
    <row r="110" spans="1:11" ht="14" x14ac:dyDescent="0.3">
      <c r="A110" t="s">
        <v>1002</v>
      </c>
      <c r="C110" s="113"/>
      <c r="D110" s="88">
        <v>45565</v>
      </c>
      <c r="E110" s="89" t="s">
        <v>1177</v>
      </c>
      <c r="F110" s="56" t="s">
        <v>1048</v>
      </c>
      <c r="G110" s="26">
        <v>1</v>
      </c>
      <c r="H110" s="160" t="s">
        <v>978</v>
      </c>
      <c r="I110" s="113"/>
      <c r="J110" s="349">
        <v>299</v>
      </c>
      <c r="K110" s="1" t="s">
        <v>792</v>
      </c>
    </row>
    <row r="111" spans="1:11" ht="14" x14ac:dyDescent="0.3">
      <c r="A111" t="s">
        <v>1002</v>
      </c>
      <c r="C111" s="113"/>
      <c r="D111" s="88">
        <v>45565</v>
      </c>
      <c r="E111" s="89" t="s">
        <v>1177</v>
      </c>
      <c r="F111" s="56" t="s">
        <v>1051</v>
      </c>
      <c r="G111" s="26">
        <v>3</v>
      </c>
      <c r="H111" s="160" t="s">
        <v>72</v>
      </c>
      <c r="I111" s="113"/>
      <c r="J111" s="349">
        <f>299*3</f>
        <v>897</v>
      </c>
      <c r="K111" s="1" t="s">
        <v>792</v>
      </c>
    </row>
    <row r="112" spans="1:11" ht="14" x14ac:dyDescent="0.3">
      <c r="A112" t="s">
        <v>1002</v>
      </c>
      <c r="C112" s="113"/>
      <c r="D112" s="88">
        <v>45565</v>
      </c>
      <c r="E112" s="89" t="s">
        <v>1177</v>
      </c>
      <c r="F112" s="56" t="s">
        <v>1052</v>
      </c>
      <c r="G112" s="26">
        <v>2</v>
      </c>
      <c r="H112" s="160" t="s">
        <v>991</v>
      </c>
      <c r="I112" s="113"/>
      <c r="J112" s="349">
        <f>299*2</f>
        <v>598</v>
      </c>
      <c r="K112" s="1" t="s">
        <v>792</v>
      </c>
    </row>
    <row r="113" spans="1:11" ht="14" x14ac:dyDescent="0.3">
      <c r="A113" t="s">
        <v>1002</v>
      </c>
      <c r="C113" s="113"/>
      <c r="D113" s="88">
        <v>45565</v>
      </c>
      <c r="E113" s="89" t="s">
        <v>1177</v>
      </c>
      <c r="F113" s="348" t="s">
        <v>1053</v>
      </c>
      <c r="G113" s="26">
        <v>1</v>
      </c>
      <c r="H113" s="160" t="s">
        <v>978</v>
      </c>
      <c r="I113" s="113"/>
      <c r="J113" s="349">
        <v>298</v>
      </c>
      <c r="K113" s="1" t="s">
        <v>792</v>
      </c>
    </row>
    <row r="114" spans="1:11" ht="14" x14ac:dyDescent="0.3">
      <c r="A114" t="s">
        <v>1002</v>
      </c>
      <c r="C114" s="113"/>
      <c r="D114" s="88">
        <v>45565</v>
      </c>
      <c r="E114" s="89" t="s">
        <v>1177</v>
      </c>
      <c r="F114" s="348" t="s">
        <v>1178</v>
      </c>
      <c r="G114" s="26">
        <v>1</v>
      </c>
      <c r="H114" s="160" t="s">
        <v>978</v>
      </c>
      <c r="I114" s="113"/>
      <c r="J114" s="349">
        <v>297</v>
      </c>
      <c r="K114" s="1" t="s">
        <v>792</v>
      </c>
    </row>
    <row r="115" spans="1:11" ht="14" x14ac:dyDescent="0.3">
      <c r="A115" s="1"/>
      <c r="C115" s="113"/>
      <c r="D115" s="88"/>
      <c r="E115" s="89"/>
      <c r="F115" s="56"/>
      <c r="G115" s="26"/>
      <c r="H115" s="160"/>
      <c r="I115" s="113"/>
      <c r="J115" s="54"/>
    </row>
    <row r="116" spans="1:11" ht="14" x14ac:dyDescent="0.3">
      <c r="A116" s="1" t="s">
        <v>1001</v>
      </c>
      <c r="C116" s="113"/>
      <c r="D116" s="88">
        <v>45566</v>
      </c>
      <c r="E116" s="89" t="s">
        <v>1185</v>
      </c>
      <c r="F116" s="56" t="s">
        <v>1181</v>
      </c>
      <c r="G116" s="26">
        <v>12</v>
      </c>
      <c r="H116" s="160" t="s">
        <v>72</v>
      </c>
      <c r="I116" s="113"/>
      <c r="J116" s="54">
        <f>12*750</f>
        <v>9000</v>
      </c>
      <c r="K116" s="1" t="s">
        <v>808</v>
      </c>
    </row>
    <row r="117" spans="1:11" ht="14" x14ac:dyDescent="0.3">
      <c r="A117" s="1" t="s">
        <v>1001</v>
      </c>
      <c r="C117" s="113"/>
      <c r="D117" s="88">
        <v>45566</v>
      </c>
      <c r="E117" s="89" t="s">
        <v>1185</v>
      </c>
      <c r="F117" s="56" t="s">
        <v>1182</v>
      </c>
      <c r="G117" s="26">
        <v>2</v>
      </c>
      <c r="H117" s="160" t="s">
        <v>991</v>
      </c>
      <c r="I117" s="113"/>
      <c r="J117" s="54">
        <f>299*2</f>
        <v>598</v>
      </c>
      <c r="K117" s="1" t="s">
        <v>792</v>
      </c>
    </row>
    <row r="118" spans="1:11" ht="14" x14ac:dyDescent="0.3">
      <c r="A118" s="1"/>
      <c r="C118" s="113"/>
      <c r="D118" s="88"/>
      <c r="E118" s="89"/>
      <c r="F118" s="56"/>
      <c r="G118" s="26"/>
      <c r="H118" s="160"/>
      <c r="I118" s="113"/>
      <c r="J118" s="54"/>
    </row>
    <row r="119" spans="1:11" ht="14" x14ac:dyDescent="0.3">
      <c r="A119" s="1" t="s">
        <v>1001</v>
      </c>
      <c r="C119" s="113"/>
      <c r="D119" s="88">
        <v>45567</v>
      </c>
      <c r="E119" s="89" t="s">
        <v>1192</v>
      </c>
      <c r="F119" s="56" t="s">
        <v>1191</v>
      </c>
      <c r="G119" s="26">
        <v>2</v>
      </c>
      <c r="H119" s="160" t="s">
        <v>991</v>
      </c>
      <c r="I119" s="113"/>
      <c r="J119" s="54">
        <f>2*299</f>
        <v>598</v>
      </c>
      <c r="K119" s="1" t="s">
        <v>792</v>
      </c>
    </row>
    <row r="120" spans="1:11" ht="14" x14ac:dyDescent="0.3">
      <c r="A120" s="1" t="s">
        <v>1001</v>
      </c>
      <c r="C120" s="113"/>
      <c r="D120" s="88">
        <v>45567</v>
      </c>
      <c r="E120" s="89" t="s">
        <v>1192</v>
      </c>
      <c r="F120" s="56" t="s">
        <v>1186</v>
      </c>
      <c r="G120" s="26">
        <v>1</v>
      </c>
      <c r="H120" s="160" t="s">
        <v>978</v>
      </c>
      <c r="I120" s="113"/>
      <c r="J120" s="54">
        <v>298</v>
      </c>
      <c r="K120" s="1" t="s">
        <v>792</v>
      </c>
    </row>
    <row r="121" spans="1:11" ht="14" x14ac:dyDescent="0.3">
      <c r="A121" s="1" t="s">
        <v>1001</v>
      </c>
      <c r="C121" s="113"/>
      <c r="D121" s="88">
        <v>45567</v>
      </c>
      <c r="E121" s="89" t="s">
        <v>1192</v>
      </c>
      <c r="F121" s="56" t="s">
        <v>1187</v>
      </c>
      <c r="G121" s="26">
        <v>1</v>
      </c>
      <c r="H121" s="160" t="s">
        <v>72</v>
      </c>
      <c r="I121" s="113"/>
      <c r="J121" s="349">
        <v>298</v>
      </c>
      <c r="K121" s="1" t="s">
        <v>792</v>
      </c>
    </row>
    <row r="122" spans="1:11" ht="14" x14ac:dyDescent="0.3">
      <c r="A122" s="1" t="s">
        <v>1001</v>
      </c>
      <c r="C122" s="113"/>
      <c r="D122" s="88">
        <v>45567</v>
      </c>
      <c r="E122" s="89" t="s">
        <v>1192</v>
      </c>
      <c r="F122" s="56" t="s">
        <v>1189</v>
      </c>
      <c r="G122" s="26">
        <v>5</v>
      </c>
      <c r="H122" s="160" t="s">
        <v>991</v>
      </c>
      <c r="I122" s="113"/>
      <c r="J122" s="54">
        <f>298*5</f>
        <v>1490</v>
      </c>
      <c r="K122" s="1" t="s">
        <v>792</v>
      </c>
    </row>
    <row r="123" spans="1:11" ht="14" x14ac:dyDescent="0.3">
      <c r="A123" s="1" t="s">
        <v>1001</v>
      </c>
      <c r="C123" s="113"/>
      <c r="D123" s="88">
        <v>45567</v>
      </c>
      <c r="E123" s="89" t="s">
        <v>1192</v>
      </c>
      <c r="F123" s="56" t="s">
        <v>1190</v>
      </c>
      <c r="G123" s="26">
        <v>2</v>
      </c>
      <c r="H123" s="160" t="s">
        <v>991</v>
      </c>
      <c r="I123" s="113"/>
      <c r="J123" s="349">
        <f>298*2</f>
        <v>596</v>
      </c>
      <c r="K123" s="1" t="s">
        <v>792</v>
      </c>
    </row>
    <row r="124" spans="1:11" ht="14" x14ac:dyDescent="0.3">
      <c r="A124" s="1" t="s">
        <v>1030</v>
      </c>
      <c r="C124" s="113"/>
      <c r="D124" s="88">
        <v>45567</v>
      </c>
      <c r="E124" s="89" t="s">
        <v>1192</v>
      </c>
      <c r="F124" s="56" t="s">
        <v>1193</v>
      </c>
      <c r="G124" s="26">
        <v>3</v>
      </c>
      <c r="H124" s="160" t="s">
        <v>991</v>
      </c>
      <c r="I124" s="113"/>
      <c r="J124" s="349">
        <f>298*3</f>
        <v>894</v>
      </c>
      <c r="K124" s="1" t="s">
        <v>792</v>
      </c>
    </row>
    <row r="125" spans="1:11" ht="14" x14ac:dyDescent="0.3">
      <c r="A125" s="1"/>
      <c r="C125" s="113"/>
      <c r="D125" s="88"/>
      <c r="E125" s="89"/>
      <c r="F125" s="56"/>
      <c r="G125" s="26"/>
      <c r="H125" s="160"/>
      <c r="I125" s="113"/>
      <c r="J125" s="54"/>
    </row>
    <row r="126" spans="1:11" ht="14" x14ac:dyDescent="0.3">
      <c r="A126" s="1"/>
      <c r="C126" s="113"/>
      <c r="D126" s="88">
        <v>45568</v>
      </c>
      <c r="E126" s="89" t="s">
        <v>1220</v>
      </c>
      <c r="F126" s="56" t="s">
        <v>1297</v>
      </c>
      <c r="G126" s="26">
        <v>4</v>
      </c>
      <c r="H126" s="160" t="s">
        <v>991</v>
      </c>
      <c r="I126" s="113"/>
      <c r="J126" s="160">
        <f>289*4</f>
        <v>1156</v>
      </c>
      <c r="K126" s="1" t="s">
        <v>792</v>
      </c>
    </row>
    <row r="127" spans="1:11" ht="14" x14ac:dyDescent="0.3">
      <c r="A127" s="1"/>
      <c r="C127" s="113"/>
      <c r="D127" s="88">
        <v>45568</v>
      </c>
      <c r="E127" s="89" t="s">
        <v>1220</v>
      </c>
      <c r="F127" s="56" t="s">
        <v>1298</v>
      </c>
      <c r="G127" s="26">
        <v>1</v>
      </c>
      <c r="H127" s="160" t="s">
        <v>72</v>
      </c>
      <c r="I127" s="113"/>
      <c r="J127" s="160">
        <v>298</v>
      </c>
      <c r="K127" s="1" t="s">
        <v>792</v>
      </c>
    </row>
    <row r="128" spans="1:11" ht="14" x14ac:dyDescent="0.3">
      <c r="A128" s="1"/>
      <c r="C128" s="113"/>
      <c r="D128" s="88">
        <v>45568</v>
      </c>
      <c r="E128" s="89" t="s">
        <v>1220</v>
      </c>
      <c r="F128" s="56" t="s">
        <v>1299</v>
      </c>
      <c r="G128" s="26">
        <v>1</v>
      </c>
      <c r="H128" s="160" t="s">
        <v>978</v>
      </c>
      <c r="I128" s="113"/>
      <c r="J128" s="160">
        <v>298</v>
      </c>
      <c r="K128" s="1" t="s">
        <v>792</v>
      </c>
    </row>
    <row r="129" spans="1:11" ht="14" x14ac:dyDescent="0.3">
      <c r="A129" s="1"/>
      <c r="C129" s="113"/>
      <c r="D129" s="88">
        <v>45568</v>
      </c>
      <c r="E129" s="89" t="s">
        <v>1220</v>
      </c>
      <c r="F129" s="56" t="s">
        <v>1300</v>
      </c>
      <c r="G129" s="26">
        <v>2</v>
      </c>
      <c r="H129" s="160" t="s">
        <v>72</v>
      </c>
      <c r="I129" s="113"/>
      <c r="J129" s="160">
        <f>780*2</f>
        <v>1560</v>
      </c>
      <c r="K129" s="1" t="s">
        <v>808</v>
      </c>
    </row>
    <row r="130" spans="1:11" ht="14" x14ac:dyDescent="0.3">
      <c r="A130" s="1"/>
      <c r="C130" s="113"/>
      <c r="D130" s="88">
        <v>45568</v>
      </c>
      <c r="E130" s="89" t="s">
        <v>1220</v>
      </c>
      <c r="F130" s="56" t="s">
        <v>1301</v>
      </c>
      <c r="G130" s="26">
        <v>1</v>
      </c>
      <c r="H130" s="160" t="s">
        <v>991</v>
      </c>
      <c r="I130" s="113"/>
      <c r="J130" s="160">
        <v>298</v>
      </c>
      <c r="K130" s="1" t="s">
        <v>792</v>
      </c>
    </row>
    <row r="131" spans="1:11" ht="14" x14ac:dyDescent="0.3">
      <c r="A131" s="1"/>
      <c r="C131" s="113"/>
      <c r="D131" s="88">
        <v>45568</v>
      </c>
      <c r="E131" s="89" t="s">
        <v>1220</v>
      </c>
      <c r="F131" s="56" t="s">
        <v>1298</v>
      </c>
      <c r="G131" s="26">
        <v>1</v>
      </c>
      <c r="H131" s="160" t="s">
        <v>72</v>
      </c>
      <c r="I131" s="113"/>
      <c r="J131" s="160">
        <v>298</v>
      </c>
      <c r="K131" s="1" t="s">
        <v>792</v>
      </c>
    </row>
    <row r="132" spans="1:11" ht="14" x14ac:dyDescent="0.3">
      <c r="A132" s="1"/>
      <c r="C132" s="113"/>
      <c r="D132" s="88">
        <v>45568</v>
      </c>
      <c r="E132" s="89" t="s">
        <v>1220</v>
      </c>
      <c r="F132" s="56" t="s">
        <v>1302</v>
      </c>
      <c r="G132" s="26">
        <v>3</v>
      </c>
      <c r="H132" s="160"/>
      <c r="I132" s="113"/>
      <c r="J132" s="160"/>
      <c r="K132" s="1" t="s">
        <v>65</v>
      </c>
    </row>
    <row r="133" spans="1:11" ht="14" x14ac:dyDescent="0.3">
      <c r="A133" s="1"/>
      <c r="C133" s="113"/>
      <c r="D133" s="88"/>
      <c r="E133" s="89"/>
      <c r="F133" s="56"/>
      <c r="G133" s="26"/>
      <c r="H133" s="160"/>
      <c r="I133" s="113"/>
      <c r="J133" s="54"/>
    </row>
    <row r="134" spans="1:11" ht="14" x14ac:dyDescent="0.3">
      <c r="A134" s="1"/>
      <c r="C134" s="113"/>
      <c r="D134" s="88">
        <v>45569</v>
      </c>
      <c r="E134" s="89" t="s">
        <v>1221</v>
      </c>
      <c r="F134" s="56" t="s">
        <v>1201</v>
      </c>
      <c r="G134" s="26">
        <v>10</v>
      </c>
      <c r="H134" s="160" t="s">
        <v>72</v>
      </c>
      <c r="I134" s="113"/>
      <c r="J134" s="54">
        <f>768*10</f>
        <v>7680</v>
      </c>
      <c r="K134" s="1" t="s">
        <v>808</v>
      </c>
    </row>
    <row r="135" spans="1:11" ht="14" x14ac:dyDescent="0.3">
      <c r="A135" s="1"/>
      <c r="C135" s="113"/>
      <c r="D135" s="88">
        <v>45569</v>
      </c>
      <c r="E135" s="89" t="s">
        <v>1221</v>
      </c>
      <c r="F135" s="56" t="s">
        <v>1200</v>
      </c>
      <c r="G135" s="26">
        <v>2</v>
      </c>
      <c r="H135" s="160" t="s">
        <v>72</v>
      </c>
      <c r="I135" s="113"/>
      <c r="J135" s="54">
        <f>298*2</f>
        <v>596</v>
      </c>
      <c r="K135" s="1" t="s">
        <v>792</v>
      </c>
    </row>
    <row r="136" spans="1:11" ht="14" x14ac:dyDescent="0.3">
      <c r="A136" s="1"/>
      <c r="C136" s="113"/>
      <c r="D136" s="88">
        <v>45569</v>
      </c>
      <c r="E136" s="89" t="s">
        <v>1221</v>
      </c>
      <c r="F136" s="56" t="s">
        <v>1202</v>
      </c>
      <c r="G136" s="26">
        <v>4</v>
      </c>
      <c r="H136" s="160" t="s">
        <v>991</v>
      </c>
      <c r="I136" s="113"/>
      <c r="J136" s="349">
        <f>4*299</f>
        <v>1196</v>
      </c>
      <c r="K136" s="1" t="s">
        <v>792</v>
      </c>
    </row>
    <row r="137" spans="1:11" ht="14" x14ac:dyDescent="0.3">
      <c r="A137" s="1"/>
      <c r="C137" s="113"/>
      <c r="D137" s="88"/>
      <c r="E137" s="89"/>
      <c r="F137" s="56"/>
      <c r="G137" s="26"/>
      <c r="H137" s="160"/>
      <c r="I137" s="113"/>
      <c r="J137" s="54"/>
    </row>
    <row r="138" spans="1:11" ht="14" x14ac:dyDescent="0.3">
      <c r="A138" s="1"/>
      <c r="C138" s="113"/>
      <c r="D138" s="88">
        <v>45570</v>
      </c>
      <c r="E138" s="89" t="s">
        <v>1221</v>
      </c>
      <c r="F138" s="56" t="s">
        <v>1203</v>
      </c>
      <c r="G138" s="26">
        <v>2</v>
      </c>
      <c r="H138" s="160" t="s">
        <v>991</v>
      </c>
      <c r="I138" s="113"/>
      <c r="J138" s="349">
        <f>299*2</f>
        <v>598</v>
      </c>
      <c r="K138" s="1" t="s">
        <v>792</v>
      </c>
    </row>
    <row r="139" spans="1:11" ht="14" x14ac:dyDescent="0.3">
      <c r="A139" s="1"/>
      <c r="C139" s="113"/>
      <c r="D139" s="88">
        <v>45570</v>
      </c>
      <c r="E139" s="89" t="s">
        <v>1221</v>
      </c>
      <c r="F139" s="56" t="s">
        <v>1204</v>
      </c>
      <c r="G139" s="26">
        <v>10</v>
      </c>
      <c r="H139" s="160" t="s">
        <v>72</v>
      </c>
      <c r="I139" s="113"/>
      <c r="J139" s="160">
        <f>299*10</f>
        <v>2990</v>
      </c>
      <c r="K139" s="1" t="s">
        <v>792</v>
      </c>
    </row>
    <row r="140" spans="1:11" ht="14" x14ac:dyDescent="0.3">
      <c r="A140" s="1"/>
      <c r="C140" s="113"/>
      <c r="D140" s="88"/>
      <c r="E140" s="89"/>
      <c r="F140" s="56"/>
      <c r="G140" s="26"/>
      <c r="H140" s="160"/>
      <c r="I140" s="113"/>
      <c r="J140" s="160"/>
    </row>
    <row r="141" spans="1:11" ht="14" x14ac:dyDescent="0.3">
      <c r="A141" s="1"/>
      <c r="C141" s="113"/>
      <c r="D141" s="88">
        <v>45572</v>
      </c>
      <c r="E141" s="89" t="s">
        <v>1222</v>
      </c>
      <c r="F141" s="56" t="s">
        <v>1206</v>
      </c>
      <c r="G141" s="160">
        <v>9</v>
      </c>
      <c r="H141" s="160" t="s">
        <v>72</v>
      </c>
      <c r="I141" s="113"/>
      <c r="J141" s="54">
        <f>745*9</f>
        <v>6705</v>
      </c>
      <c r="K141" s="1" t="s">
        <v>808</v>
      </c>
    </row>
    <row r="142" spans="1:11" ht="14" x14ac:dyDescent="0.3">
      <c r="A142" s="1"/>
      <c r="C142" s="113"/>
      <c r="D142" s="88">
        <v>45572</v>
      </c>
      <c r="E142" s="89" t="s">
        <v>1222</v>
      </c>
      <c r="F142" s="56" t="s">
        <v>1207</v>
      </c>
      <c r="G142" s="160">
        <v>2</v>
      </c>
      <c r="H142" s="160" t="s">
        <v>72</v>
      </c>
      <c r="I142" s="113"/>
      <c r="J142" s="54">
        <f>755*2</f>
        <v>1510</v>
      </c>
      <c r="K142" s="1" t="s">
        <v>808</v>
      </c>
    </row>
    <row r="143" spans="1:11" ht="14" x14ac:dyDescent="0.3">
      <c r="A143" s="1"/>
      <c r="C143" s="113"/>
      <c r="D143" s="88">
        <v>45573</v>
      </c>
      <c r="E143" s="89" t="s">
        <v>1222</v>
      </c>
      <c r="F143" s="56" t="s">
        <v>1212</v>
      </c>
      <c r="G143" s="160">
        <v>2</v>
      </c>
      <c r="H143" s="160" t="s">
        <v>72</v>
      </c>
      <c r="I143" s="113"/>
      <c r="J143" s="349">
        <f>2*299</f>
        <v>598</v>
      </c>
      <c r="K143" s="1" t="s">
        <v>792</v>
      </c>
    </row>
    <row r="144" spans="1:11" ht="14" x14ac:dyDescent="0.3">
      <c r="A144" s="1"/>
      <c r="C144" s="113"/>
      <c r="D144" s="88"/>
      <c r="E144" s="89"/>
      <c r="F144" s="56"/>
      <c r="G144" s="160"/>
      <c r="H144" s="160"/>
      <c r="I144" s="113"/>
      <c r="J144" s="349"/>
    </row>
    <row r="145" spans="1:11" ht="14" x14ac:dyDescent="0.3">
      <c r="A145" s="1"/>
      <c r="C145" s="113"/>
      <c r="D145" s="88">
        <v>45575</v>
      </c>
      <c r="E145" s="89" t="s">
        <v>1237</v>
      </c>
      <c r="F145" s="56" t="s">
        <v>1228</v>
      </c>
      <c r="G145" s="160">
        <v>23</v>
      </c>
      <c r="H145" s="160" t="s">
        <v>72</v>
      </c>
      <c r="I145" s="113"/>
      <c r="J145" s="54">
        <f>299.17*23</f>
        <v>6880.9100000000008</v>
      </c>
      <c r="K145" s="1" t="s">
        <v>792</v>
      </c>
    </row>
    <row r="146" spans="1:11" ht="14" x14ac:dyDescent="0.3">
      <c r="A146" s="1"/>
      <c r="C146" s="113"/>
      <c r="D146" s="88">
        <v>45575</v>
      </c>
      <c r="E146" s="89" t="s">
        <v>1237</v>
      </c>
      <c r="F146" s="56" t="s">
        <v>1229</v>
      </c>
      <c r="G146" s="160">
        <v>1</v>
      </c>
      <c r="H146" s="160" t="s">
        <v>72</v>
      </c>
      <c r="I146" s="113"/>
      <c r="J146" s="54">
        <v>299</v>
      </c>
      <c r="K146" s="1" t="s">
        <v>792</v>
      </c>
    </row>
    <row r="147" spans="1:11" ht="14" x14ac:dyDescent="0.3">
      <c r="A147" s="1"/>
      <c r="C147" s="113"/>
      <c r="D147" s="88">
        <v>45575</v>
      </c>
      <c r="E147" s="89" t="s">
        <v>1237</v>
      </c>
      <c r="F147" s="56" t="s">
        <v>1230</v>
      </c>
      <c r="G147" s="160">
        <v>1</v>
      </c>
      <c r="H147" s="160" t="s">
        <v>72</v>
      </c>
      <c r="I147" s="113"/>
      <c r="J147" s="349">
        <v>759</v>
      </c>
      <c r="K147" s="1" t="s">
        <v>808</v>
      </c>
    </row>
    <row r="148" spans="1:11" ht="14" x14ac:dyDescent="0.3">
      <c r="A148" s="1"/>
      <c r="C148" s="113"/>
      <c r="D148" s="88"/>
      <c r="E148" s="89"/>
      <c r="F148" s="56"/>
      <c r="G148" s="160"/>
      <c r="H148" s="160"/>
      <c r="I148" s="113"/>
      <c r="J148" s="349"/>
    </row>
    <row r="149" spans="1:11" ht="14" x14ac:dyDescent="0.3">
      <c r="A149" s="1"/>
      <c r="C149" s="113"/>
      <c r="D149" s="88">
        <v>45576</v>
      </c>
      <c r="E149" s="89" t="s">
        <v>1238</v>
      </c>
      <c r="F149" s="56" t="s">
        <v>1236</v>
      </c>
      <c r="G149" s="160">
        <v>7</v>
      </c>
      <c r="H149" s="160" t="s">
        <v>72</v>
      </c>
      <c r="I149" s="113"/>
      <c r="J149" s="54">
        <f>755*7</f>
        <v>5285</v>
      </c>
      <c r="K149" s="1" t="s">
        <v>808</v>
      </c>
    </row>
    <row r="150" spans="1:11" ht="14" x14ac:dyDescent="0.3">
      <c r="A150" s="1"/>
      <c r="C150" s="113"/>
      <c r="D150" s="88">
        <v>45577</v>
      </c>
      <c r="E150" s="89" t="s">
        <v>1238</v>
      </c>
      <c r="F150" s="56" t="s">
        <v>1243</v>
      </c>
      <c r="G150" s="26">
        <v>50</v>
      </c>
      <c r="H150" s="160" t="s">
        <v>72</v>
      </c>
      <c r="I150" s="113"/>
      <c r="J150" s="54">
        <f>750*50</f>
        <v>37500</v>
      </c>
      <c r="K150" s="1" t="s">
        <v>808</v>
      </c>
    </row>
    <row r="151" spans="1:11" ht="14" x14ac:dyDescent="0.3">
      <c r="C151" s="113"/>
      <c r="D151" s="88">
        <v>45579</v>
      </c>
      <c r="E151" s="89" t="s">
        <v>1238</v>
      </c>
      <c r="F151" s="56" t="s">
        <v>1268</v>
      </c>
      <c r="G151" s="26">
        <v>10</v>
      </c>
      <c r="H151" s="160" t="s">
        <v>72</v>
      </c>
      <c r="I151" s="113"/>
      <c r="J151" s="349">
        <f>768*10</f>
        <v>7680</v>
      </c>
      <c r="K151" s="1" t="s">
        <v>808</v>
      </c>
    </row>
    <row r="152" spans="1:11" ht="14" x14ac:dyDescent="0.3">
      <c r="D152" s="234"/>
      <c r="E152" s="286"/>
      <c r="F152" s="236"/>
      <c r="J152" s="287"/>
    </row>
    <row r="153" spans="1:11" x14ac:dyDescent="0.3">
      <c r="F153" s="18" t="s">
        <v>1223</v>
      </c>
      <c r="G153" s="18">
        <f>SUM(G4:G152)</f>
        <v>720</v>
      </c>
    </row>
    <row r="154" spans="1:11" x14ac:dyDescent="0.3">
      <c r="F154" s="18"/>
      <c r="G154" s="18"/>
    </row>
    <row r="155" spans="1:11" ht="14" x14ac:dyDescent="0.3">
      <c r="E155" s="180">
        <v>45560</v>
      </c>
      <c r="F155" s="411" t="s">
        <v>916</v>
      </c>
      <c r="G155" s="18">
        <f>-164-84</f>
        <v>-248</v>
      </c>
    </row>
    <row r="156" spans="1:11" ht="14" x14ac:dyDescent="0.3">
      <c r="E156" s="180">
        <v>45565</v>
      </c>
      <c r="F156" s="411" t="s">
        <v>1064</v>
      </c>
      <c r="G156" s="18">
        <f>-104-48-2</f>
        <v>-154</v>
      </c>
    </row>
    <row r="157" spans="1:11" ht="14" x14ac:dyDescent="0.3">
      <c r="E157" s="180">
        <v>45568</v>
      </c>
      <c r="F157" s="411" t="s">
        <v>1271</v>
      </c>
      <c r="G157" s="18">
        <f>-109-12</f>
        <v>-121</v>
      </c>
    </row>
    <row r="158" spans="1:11" x14ac:dyDescent="0.3">
      <c r="E158" s="180"/>
      <c r="F158" s="18"/>
      <c r="G158" s="18"/>
    </row>
    <row r="159" spans="1:11" x14ac:dyDescent="0.3">
      <c r="F159" s="18" t="s">
        <v>882</v>
      </c>
      <c r="G159" s="18">
        <v>-36</v>
      </c>
    </row>
    <row r="160" spans="1:11" x14ac:dyDescent="0.3">
      <c r="F160" s="353" t="s">
        <v>1009</v>
      </c>
      <c r="G160" s="353">
        <f>SUM(G153:G159)</f>
        <v>161</v>
      </c>
    </row>
    <row r="163" spans="4:10" s="214" customFormat="1" x14ac:dyDescent="0.3">
      <c r="G163" s="351"/>
      <c r="H163" s="351"/>
    </row>
    <row r="166" spans="4:10" ht="14" x14ac:dyDescent="0.3">
      <c r="D166" s="88">
        <v>45573</v>
      </c>
      <c r="E166" s="89" t="s">
        <v>1222</v>
      </c>
      <c r="F166" s="56" t="s">
        <v>1213</v>
      </c>
      <c r="G166" s="26">
        <v>8</v>
      </c>
      <c r="H166" s="160" t="s">
        <v>72</v>
      </c>
      <c r="I166" s="113"/>
      <c r="J166" s="54">
        <f>8*668</f>
        <v>5344</v>
      </c>
    </row>
    <row r="167" spans="4:10" ht="14" x14ac:dyDescent="0.3">
      <c r="D167" s="88">
        <v>45573</v>
      </c>
      <c r="E167" s="89" t="s">
        <v>1222</v>
      </c>
      <c r="F167" s="56" t="s">
        <v>1214</v>
      </c>
      <c r="G167" s="26">
        <v>7</v>
      </c>
      <c r="H167" s="160" t="s">
        <v>72</v>
      </c>
      <c r="I167" s="113"/>
      <c r="J167" s="54">
        <f>7*668</f>
        <v>4676</v>
      </c>
    </row>
    <row r="168" spans="4:10" ht="14" x14ac:dyDescent="0.3">
      <c r="D168" s="88">
        <v>45573</v>
      </c>
      <c r="E168" s="89" t="s">
        <v>1222</v>
      </c>
      <c r="F168" s="56" t="s">
        <v>1215</v>
      </c>
      <c r="G168" s="26">
        <v>18</v>
      </c>
      <c r="H168" s="160" t="s">
        <v>72</v>
      </c>
      <c r="I168" s="113"/>
      <c r="J168" s="349">
        <f>18*312</f>
        <v>5616</v>
      </c>
    </row>
    <row r="169" spans="4:10" ht="14" x14ac:dyDescent="0.3">
      <c r="D169" s="88">
        <v>45573</v>
      </c>
      <c r="E169" s="89" t="s">
        <v>1222</v>
      </c>
      <c r="F169" s="56" t="s">
        <v>1216</v>
      </c>
      <c r="G169" s="26">
        <v>16</v>
      </c>
      <c r="H169" s="160" t="s">
        <v>72</v>
      </c>
      <c r="I169" s="113"/>
      <c r="J169" s="349">
        <f>16*76</f>
        <v>1216</v>
      </c>
    </row>
    <row r="170" spans="4:10" x14ac:dyDescent="0.3">
      <c r="D170" s="113"/>
      <c r="E170" s="113"/>
      <c r="F170" s="113"/>
      <c r="G170" s="26"/>
      <c r="H170" s="26"/>
      <c r="I170" s="113"/>
      <c r="J170" s="113"/>
    </row>
    <row r="171" spans="4:10" x14ac:dyDescent="0.3">
      <c r="D171" s="113"/>
      <c r="E171" s="113"/>
      <c r="F171" s="113"/>
      <c r="G171" s="26"/>
      <c r="H171" s="26"/>
      <c r="I171" s="113"/>
      <c r="J171" s="113"/>
    </row>
    <row r="172" spans="4:10" ht="14" x14ac:dyDescent="0.3">
      <c r="D172" s="88">
        <v>45575</v>
      </c>
      <c r="E172" s="89" t="s">
        <v>1237</v>
      </c>
      <c r="F172" s="56" t="s">
        <v>1232</v>
      </c>
      <c r="G172" s="26">
        <v>1</v>
      </c>
      <c r="H172" s="26" t="s">
        <v>72</v>
      </c>
      <c r="I172" s="113"/>
      <c r="J172" s="349">
        <v>99</v>
      </c>
    </row>
    <row r="173" spans="4:10" x14ac:dyDescent="0.3">
      <c r="D173" s="113"/>
      <c r="E173" s="113"/>
      <c r="F173" s="113"/>
      <c r="G173" s="26"/>
      <c r="H173" s="26"/>
      <c r="I173" s="113"/>
      <c r="J173" s="113"/>
    </row>
    <row r="174" spans="4:10" ht="14" x14ac:dyDescent="0.3">
      <c r="D174" s="88">
        <v>45575</v>
      </c>
      <c r="E174" s="89" t="s">
        <v>1238</v>
      </c>
      <c r="F174" s="56" t="s">
        <v>1234</v>
      </c>
      <c r="G174" s="26">
        <v>14</v>
      </c>
      <c r="H174" s="26" t="s">
        <v>1239</v>
      </c>
      <c r="I174" s="113"/>
      <c r="J174" s="54">
        <f>2149*14</f>
        <v>30086</v>
      </c>
    </row>
    <row r="175" spans="4:10" ht="14" x14ac:dyDescent="0.3">
      <c r="D175" s="88">
        <v>45575</v>
      </c>
      <c r="E175" s="89" t="s">
        <v>1238</v>
      </c>
      <c r="F175" s="56" t="s">
        <v>1233</v>
      </c>
      <c r="G175" s="26">
        <v>4</v>
      </c>
      <c r="H175" s="26" t="s">
        <v>72</v>
      </c>
      <c r="I175" s="113"/>
      <c r="J175" s="54">
        <f>2149*4</f>
        <v>8596</v>
      </c>
    </row>
    <row r="180" spans="4:10" x14ac:dyDescent="0.3">
      <c r="D180" s="113"/>
      <c r="E180" s="113"/>
      <c r="F180" s="161" t="s">
        <v>1344</v>
      </c>
      <c r="G180" s="161" t="s">
        <v>527</v>
      </c>
      <c r="H180" s="161" t="s">
        <v>7</v>
      </c>
      <c r="I180" s="433" t="s">
        <v>287</v>
      </c>
    </row>
    <row r="181" spans="4:10" x14ac:dyDescent="0.3">
      <c r="D181" s="157">
        <v>45579</v>
      </c>
      <c r="E181" s="16" t="s">
        <v>1313</v>
      </c>
      <c r="F181" s="16" t="s">
        <v>1315</v>
      </c>
      <c r="G181" s="432">
        <v>21769.91</v>
      </c>
      <c r="H181" s="26">
        <v>2.5499999999999998</v>
      </c>
      <c r="I181" s="26">
        <f>G181*H181</f>
        <v>55513.270499999999</v>
      </c>
    </row>
    <row r="182" spans="4:10" x14ac:dyDescent="0.3">
      <c r="D182" s="157">
        <v>45579</v>
      </c>
      <c r="E182" s="16" t="s">
        <v>1313</v>
      </c>
      <c r="F182" s="16" t="s">
        <v>1316</v>
      </c>
      <c r="G182" s="403">
        <v>91281</v>
      </c>
      <c r="H182" s="26">
        <v>2.5499999999999998</v>
      </c>
      <c r="I182" s="26">
        <f>G182*H182</f>
        <v>232766.55</v>
      </c>
    </row>
    <row r="183" spans="4:10" x14ac:dyDescent="0.3">
      <c r="D183" s="157">
        <v>45579</v>
      </c>
      <c r="E183" s="16" t="s">
        <v>1313</v>
      </c>
      <c r="F183" s="16" t="s">
        <v>1306</v>
      </c>
      <c r="G183" s="403">
        <v>10020</v>
      </c>
      <c r="H183" s="26">
        <v>2.5499999999999998</v>
      </c>
      <c r="I183" s="26">
        <f t="shared" ref="I183:I189" si="0">G183*H183</f>
        <v>25551</v>
      </c>
      <c r="J183" t="s">
        <v>1397</v>
      </c>
    </row>
    <row r="184" spans="4:10" x14ac:dyDescent="0.3">
      <c r="D184" s="157">
        <v>45579</v>
      </c>
      <c r="E184" s="16" t="s">
        <v>1313</v>
      </c>
      <c r="F184" s="16" t="s">
        <v>1307</v>
      </c>
      <c r="G184" s="26">
        <v>5616</v>
      </c>
      <c r="H184" s="26">
        <v>2.5499999999999998</v>
      </c>
      <c r="I184" s="26">
        <f t="shared" si="0"/>
        <v>14320.8</v>
      </c>
      <c r="J184" t="s">
        <v>1397</v>
      </c>
    </row>
    <row r="185" spans="4:10" x14ac:dyDescent="0.3">
      <c r="D185" s="157">
        <v>45579</v>
      </c>
      <c r="E185" s="16" t="s">
        <v>1313</v>
      </c>
      <c r="F185" s="16" t="s">
        <v>1308</v>
      </c>
      <c r="G185" s="26">
        <v>1216</v>
      </c>
      <c r="H185" s="26">
        <v>2.5499999999999998</v>
      </c>
      <c r="I185" s="26">
        <f t="shared" si="0"/>
        <v>3100.7999999999997</v>
      </c>
      <c r="J185" t="s">
        <v>1397</v>
      </c>
    </row>
    <row r="186" spans="4:10" x14ac:dyDescent="0.3">
      <c r="D186" s="157">
        <v>45579</v>
      </c>
      <c r="E186" s="16" t="s">
        <v>1313</v>
      </c>
      <c r="F186" s="16" t="s">
        <v>1323</v>
      </c>
      <c r="G186" s="26">
        <v>99</v>
      </c>
      <c r="H186" s="26">
        <v>2.5499999999999998</v>
      </c>
      <c r="I186" s="26">
        <f t="shared" si="0"/>
        <v>252.45</v>
      </c>
    </row>
    <row r="187" spans="4:10" x14ac:dyDescent="0.3">
      <c r="D187" s="157"/>
      <c r="E187" s="16"/>
      <c r="F187" s="16"/>
      <c r="G187" s="26"/>
      <c r="H187" s="26"/>
      <c r="I187" s="26"/>
    </row>
    <row r="188" spans="4:10" x14ac:dyDescent="0.3">
      <c r="D188" s="157">
        <v>45579</v>
      </c>
      <c r="E188" s="16" t="s">
        <v>1314</v>
      </c>
      <c r="F188" s="16" t="s">
        <v>1309</v>
      </c>
      <c r="G188" s="26">
        <f>2149*4</f>
        <v>8596</v>
      </c>
      <c r="H188" s="26">
        <v>2.5499999999999998</v>
      </c>
      <c r="I188" s="26">
        <f t="shared" si="0"/>
        <v>21919.8</v>
      </c>
    </row>
    <row r="189" spans="4:10" x14ac:dyDescent="0.3">
      <c r="D189" s="157">
        <v>45579</v>
      </c>
      <c r="E189" s="16" t="s">
        <v>1314</v>
      </c>
      <c r="F189" s="16" t="s">
        <v>1310</v>
      </c>
      <c r="G189" s="26">
        <v>5698</v>
      </c>
      <c r="H189" s="26">
        <v>2.5499999999999998</v>
      </c>
      <c r="I189" s="26">
        <f t="shared" si="0"/>
        <v>14529.9</v>
      </c>
    </row>
    <row r="190" spans="4:10" x14ac:dyDescent="0.3">
      <c r="D190" s="157">
        <v>45579</v>
      </c>
      <c r="E190" s="16" t="s">
        <v>1314</v>
      </c>
      <c r="F190" s="16" t="s">
        <v>1311</v>
      </c>
      <c r="G190" s="26">
        <v>290</v>
      </c>
      <c r="H190" s="26">
        <v>2.5499999999999998</v>
      </c>
      <c r="I190" s="26">
        <f>G190*H190</f>
        <v>739.5</v>
      </c>
    </row>
    <row r="191" spans="4:10" x14ac:dyDescent="0.3">
      <c r="D191" s="157">
        <v>45580</v>
      </c>
      <c r="E191" s="16" t="s">
        <v>1314</v>
      </c>
      <c r="F191" s="16" t="s">
        <v>1339</v>
      </c>
      <c r="G191" s="26">
        <f>55*318</f>
        <v>17490</v>
      </c>
      <c r="H191" s="26">
        <v>2.5499999999999998</v>
      </c>
      <c r="I191" s="26">
        <f>G191*H191</f>
        <v>44599.5</v>
      </c>
    </row>
    <row r="192" spans="4:10" x14ac:dyDescent="0.3">
      <c r="D192" s="157">
        <v>45580</v>
      </c>
      <c r="E192" s="16" t="s">
        <v>1314</v>
      </c>
      <c r="F192" s="16" t="s">
        <v>1312</v>
      </c>
      <c r="G192" s="26">
        <f>799*10</f>
        <v>7990</v>
      </c>
      <c r="H192" s="26">
        <v>2.5499999999999998</v>
      </c>
      <c r="I192" s="26">
        <f>G192*H192</f>
        <v>20374.5</v>
      </c>
    </row>
    <row r="193" spans="4:9" x14ac:dyDescent="0.3">
      <c r="D193" s="157"/>
      <c r="E193" s="16"/>
      <c r="F193" s="16"/>
      <c r="G193" s="26"/>
      <c r="H193" s="26"/>
      <c r="I193" s="26"/>
    </row>
    <row r="194" spans="4:9" x14ac:dyDescent="0.3">
      <c r="D194" s="157">
        <v>45575</v>
      </c>
      <c r="E194" s="16" t="s">
        <v>1320</v>
      </c>
      <c r="F194" s="16" t="s">
        <v>1321</v>
      </c>
      <c r="G194" s="26"/>
      <c r="H194" s="26"/>
      <c r="I194" s="26">
        <f>1225*49</f>
        <v>60025</v>
      </c>
    </row>
    <row r="195" spans="4:9" x14ac:dyDescent="0.3">
      <c r="D195" s="157">
        <v>45575</v>
      </c>
      <c r="E195" s="16" t="s">
        <v>1320</v>
      </c>
      <c r="F195" s="16" t="s">
        <v>1322</v>
      </c>
      <c r="G195" s="26"/>
      <c r="H195" s="26"/>
      <c r="I195" s="26">
        <f>32*2120</f>
        <v>67840</v>
      </c>
    </row>
    <row r="196" spans="4:9" x14ac:dyDescent="0.3">
      <c r="D196" s="113"/>
      <c r="E196" s="113"/>
      <c r="F196" s="160" t="s">
        <v>230</v>
      </c>
      <c r="G196" s="432">
        <f>SUM(G181:G195)</f>
        <v>170065.91</v>
      </c>
      <c r="H196" s="26"/>
      <c r="I196" s="161">
        <f>SUM(I181:I195)</f>
        <v>561533.07049999991</v>
      </c>
    </row>
    <row r="198" spans="4:9" s="214" customFormat="1" x14ac:dyDescent="0.3">
      <c r="G198" s="351"/>
      <c r="H198" s="351"/>
    </row>
  </sheetData>
  <autoFilter ref="K2:K179" xr:uid="{00000000-0009-0000-0000-000008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L100"/>
  <sheetViews>
    <sheetView workbookViewId="0">
      <selection activeCell="I17" sqref="I17"/>
    </sheetView>
  </sheetViews>
  <sheetFormatPr defaultRowHeight="13" x14ac:dyDescent="0.3"/>
  <cols>
    <col min="3" max="3" width="10.8984375" bestFit="1" customWidth="1"/>
    <col min="4" max="4" width="1.3984375" customWidth="1"/>
    <col min="5" max="5" width="50.8984375" customWidth="1"/>
    <col min="6" max="6" width="8.796875" style="17"/>
    <col min="7" max="7" width="11.3984375" customWidth="1"/>
    <col min="8" max="8" width="15.8984375" style="17" customWidth="1"/>
    <col min="11" max="11" width="11.3984375" bestFit="1" customWidth="1"/>
    <col min="12" max="12" width="10" bestFit="1" customWidth="1"/>
  </cols>
  <sheetData>
    <row r="2" spans="3:8" s="279" customFormat="1" x14ac:dyDescent="0.3">
      <c r="C2" s="279" t="s">
        <v>1225</v>
      </c>
      <c r="E2" s="279" t="s">
        <v>5</v>
      </c>
      <c r="F2" s="279" t="s">
        <v>448</v>
      </c>
      <c r="G2" s="279" t="s">
        <v>7</v>
      </c>
      <c r="H2" s="279" t="s">
        <v>822</v>
      </c>
    </row>
    <row r="3" spans="3:8" ht="14" x14ac:dyDescent="0.3">
      <c r="C3" s="346">
        <v>45562</v>
      </c>
      <c r="E3" s="348" t="s">
        <v>1045</v>
      </c>
      <c r="F3" s="26">
        <v>50</v>
      </c>
      <c r="G3" s="412">
        <v>1170</v>
      </c>
      <c r="H3" s="26">
        <f>F3*G3</f>
        <v>58500</v>
      </c>
    </row>
    <row r="4" spans="3:8" ht="14" x14ac:dyDescent="0.3">
      <c r="C4" s="346">
        <v>45562</v>
      </c>
      <c r="E4" s="348" t="s">
        <v>1046</v>
      </c>
      <c r="F4" s="26">
        <v>1</v>
      </c>
      <c r="G4" s="412">
        <v>2250</v>
      </c>
      <c r="H4" s="26">
        <f t="shared" ref="H4:H20" si="0">F4*G4</f>
        <v>2250</v>
      </c>
    </row>
    <row r="5" spans="3:8" ht="14" x14ac:dyDescent="0.3">
      <c r="C5" s="346">
        <v>45562</v>
      </c>
      <c r="E5" s="348" t="s">
        <v>1047</v>
      </c>
      <c r="F5" s="26">
        <v>50</v>
      </c>
      <c r="G5" s="412">
        <v>2230</v>
      </c>
      <c r="H5" s="26">
        <f t="shared" si="0"/>
        <v>111500</v>
      </c>
    </row>
    <row r="6" spans="3:8" ht="14" x14ac:dyDescent="0.3">
      <c r="C6" s="346">
        <v>45562</v>
      </c>
      <c r="E6" s="348" t="s">
        <v>1224</v>
      </c>
      <c r="F6" s="26">
        <v>30</v>
      </c>
      <c r="G6" s="412">
        <v>1175</v>
      </c>
      <c r="H6" s="26">
        <f t="shared" si="0"/>
        <v>35250</v>
      </c>
    </row>
    <row r="7" spans="3:8" x14ac:dyDescent="0.3">
      <c r="E7" s="113"/>
      <c r="F7" s="26"/>
      <c r="G7" s="113"/>
      <c r="H7" s="26"/>
    </row>
    <row r="8" spans="3:8" ht="14" x14ac:dyDescent="0.3">
      <c r="C8" s="346">
        <v>45566</v>
      </c>
      <c r="E8" s="348" t="s">
        <v>1070</v>
      </c>
      <c r="F8" s="26">
        <v>33</v>
      </c>
      <c r="G8" s="412">
        <v>2200</v>
      </c>
      <c r="H8" s="26">
        <f t="shared" si="0"/>
        <v>72600</v>
      </c>
    </row>
    <row r="9" spans="3:8" ht="14" x14ac:dyDescent="0.3">
      <c r="C9" s="346">
        <v>45566</v>
      </c>
      <c r="E9" s="348" t="s">
        <v>1071</v>
      </c>
      <c r="F9" s="26">
        <v>44</v>
      </c>
      <c r="G9" s="412">
        <v>1180</v>
      </c>
      <c r="H9" s="26">
        <f t="shared" si="0"/>
        <v>51920</v>
      </c>
    </row>
    <row r="10" spans="3:8" ht="14" x14ac:dyDescent="0.3">
      <c r="C10" s="346">
        <v>45566</v>
      </c>
      <c r="E10" s="348" t="s">
        <v>1072</v>
      </c>
      <c r="F10" s="26">
        <v>40</v>
      </c>
      <c r="G10" s="412">
        <v>1180</v>
      </c>
      <c r="H10" s="26">
        <f t="shared" si="0"/>
        <v>47200</v>
      </c>
    </row>
    <row r="12" spans="3:8" x14ac:dyDescent="0.3">
      <c r="C12" s="157">
        <v>45576</v>
      </c>
      <c r="E12" s="113" t="s">
        <v>1241</v>
      </c>
      <c r="F12" s="26">
        <v>104</v>
      </c>
      <c r="G12" s="26">
        <v>1230</v>
      </c>
      <c r="H12" s="26">
        <f t="shared" si="0"/>
        <v>127920</v>
      </c>
    </row>
    <row r="13" spans="3:8" x14ac:dyDescent="0.3">
      <c r="C13" s="157">
        <v>45576</v>
      </c>
      <c r="E13" s="113" t="s">
        <v>1241</v>
      </c>
      <c r="F13" s="26">
        <v>109</v>
      </c>
      <c r="G13" s="26">
        <v>1235</v>
      </c>
      <c r="H13" s="26">
        <f t="shared" si="0"/>
        <v>134615</v>
      </c>
    </row>
    <row r="14" spans="3:8" x14ac:dyDescent="0.3">
      <c r="C14" s="157">
        <v>45576</v>
      </c>
      <c r="E14" s="113" t="s">
        <v>1240</v>
      </c>
      <c r="F14" s="412">
        <v>5</v>
      </c>
      <c r="G14" s="412">
        <v>2200</v>
      </c>
      <c r="H14" s="26">
        <f t="shared" si="0"/>
        <v>11000</v>
      </c>
    </row>
    <row r="15" spans="3:8" x14ac:dyDescent="0.3">
      <c r="C15" s="157">
        <v>45576</v>
      </c>
      <c r="E15" s="113" t="s">
        <v>1240</v>
      </c>
      <c r="F15" s="412">
        <v>10</v>
      </c>
      <c r="G15" s="412">
        <v>2180</v>
      </c>
      <c r="H15" s="26">
        <f t="shared" si="0"/>
        <v>21800</v>
      </c>
    </row>
    <row r="16" spans="3:8" x14ac:dyDescent="0.3">
      <c r="C16" s="157">
        <v>45576</v>
      </c>
      <c r="E16" s="113" t="s">
        <v>1240</v>
      </c>
      <c r="F16" s="412">
        <v>2</v>
      </c>
      <c r="G16" s="412">
        <v>2140</v>
      </c>
      <c r="H16" s="26">
        <f t="shared" si="0"/>
        <v>4280</v>
      </c>
    </row>
    <row r="17" spans="3:8" x14ac:dyDescent="0.3">
      <c r="C17" s="157">
        <v>45576</v>
      </c>
      <c r="E17" s="113" t="s">
        <v>1240</v>
      </c>
      <c r="F17" s="412">
        <v>15</v>
      </c>
      <c r="G17" s="412">
        <v>2100</v>
      </c>
      <c r="H17" s="26">
        <f t="shared" si="0"/>
        <v>31500</v>
      </c>
    </row>
    <row r="18" spans="3:8" x14ac:dyDescent="0.3">
      <c r="C18" s="157">
        <v>45576</v>
      </c>
      <c r="E18" s="113" t="s">
        <v>1240</v>
      </c>
      <c r="F18" s="412">
        <v>3</v>
      </c>
      <c r="G18" s="412">
        <v>2150</v>
      </c>
      <c r="H18" s="26">
        <f t="shared" si="0"/>
        <v>6450</v>
      </c>
    </row>
    <row r="19" spans="3:8" x14ac:dyDescent="0.3">
      <c r="C19" s="157">
        <v>45576</v>
      </c>
      <c r="E19" s="113" t="s">
        <v>1240</v>
      </c>
      <c r="F19" s="412">
        <v>10</v>
      </c>
      <c r="G19" s="412">
        <v>2200</v>
      </c>
      <c r="H19" s="26">
        <f t="shared" si="0"/>
        <v>22000</v>
      </c>
    </row>
    <row r="20" spans="3:8" x14ac:dyDescent="0.3">
      <c r="C20" s="157">
        <v>45576</v>
      </c>
      <c r="E20" s="113" t="s">
        <v>1240</v>
      </c>
      <c r="F20" s="412">
        <v>15</v>
      </c>
      <c r="G20" s="412">
        <v>2200</v>
      </c>
      <c r="H20" s="26">
        <f t="shared" si="0"/>
        <v>33000</v>
      </c>
    </row>
    <row r="54" spans="3:8" x14ac:dyDescent="0.3">
      <c r="E54" s="18" t="s">
        <v>971</v>
      </c>
      <c r="F54" s="18">
        <f>SUM(F3:F53)</f>
        <v>521</v>
      </c>
    </row>
    <row r="57" spans="3:8" x14ac:dyDescent="0.3">
      <c r="C57" s="161" t="s">
        <v>0</v>
      </c>
      <c r="D57" s="161"/>
      <c r="E57" s="161" t="s">
        <v>5</v>
      </c>
      <c r="F57" s="161" t="s">
        <v>7</v>
      </c>
      <c r="G57" s="161" t="s">
        <v>448</v>
      </c>
      <c r="H57" s="161" t="s">
        <v>44</v>
      </c>
    </row>
    <row r="58" spans="3:8" ht="14.5" x14ac:dyDescent="0.35">
      <c r="C58" s="413">
        <v>45474</v>
      </c>
      <c r="D58" s="113"/>
      <c r="E58" s="414" t="s">
        <v>1255</v>
      </c>
      <c r="F58" s="412">
        <v>1530</v>
      </c>
      <c r="G58" s="412">
        <v>48</v>
      </c>
      <c r="H58" s="412">
        <f>F58*G58</f>
        <v>73440</v>
      </c>
    </row>
    <row r="59" spans="3:8" ht="14.5" x14ac:dyDescent="0.35">
      <c r="C59" s="413">
        <v>45474</v>
      </c>
      <c r="D59" s="113"/>
      <c r="E59" s="414" t="s">
        <v>1255</v>
      </c>
      <c r="F59" s="412">
        <v>1530</v>
      </c>
      <c r="G59" s="412">
        <v>24</v>
      </c>
      <c r="H59" s="412">
        <f t="shared" ref="H59" si="1">F59*G59</f>
        <v>36720</v>
      </c>
    </row>
    <row r="60" spans="3:8" ht="14.5" x14ac:dyDescent="0.35">
      <c r="C60" s="413">
        <v>45478</v>
      </c>
      <c r="D60" s="113"/>
      <c r="E60" s="414" t="s">
        <v>1255</v>
      </c>
      <c r="F60" s="412">
        <v>1500</v>
      </c>
      <c r="G60" s="412">
        <v>31</v>
      </c>
      <c r="H60" s="412">
        <f>F60*G60</f>
        <v>46500</v>
      </c>
    </row>
    <row r="61" spans="3:8" ht="14.5" x14ac:dyDescent="0.35">
      <c r="C61" s="413">
        <v>45482</v>
      </c>
      <c r="D61" s="113"/>
      <c r="E61" s="414" t="s">
        <v>1255</v>
      </c>
      <c r="F61" s="412">
        <v>1425</v>
      </c>
      <c r="G61" s="412">
        <v>23</v>
      </c>
      <c r="H61" s="412">
        <f>F61*G61</f>
        <v>32775</v>
      </c>
    </row>
    <row r="62" spans="3:8" ht="14.5" x14ac:dyDescent="0.35">
      <c r="C62" s="413">
        <v>45482</v>
      </c>
      <c r="D62" s="113"/>
      <c r="E62" s="414" t="s">
        <v>1255</v>
      </c>
      <c r="F62" s="412">
        <v>1470</v>
      </c>
      <c r="G62" s="412">
        <v>5</v>
      </c>
      <c r="H62" s="412">
        <f t="shared" ref="H62" si="2">F62*G62</f>
        <v>7350</v>
      </c>
    </row>
    <row r="63" spans="3:8" ht="14.5" x14ac:dyDescent="0.35">
      <c r="C63" s="413">
        <v>45484</v>
      </c>
      <c r="D63" s="113"/>
      <c r="E63" s="414" t="s">
        <v>1255</v>
      </c>
      <c r="F63" s="412">
        <v>1425</v>
      </c>
      <c r="G63" s="412">
        <v>10</v>
      </c>
      <c r="H63" s="412">
        <f>F63*G63</f>
        <v>14250</v>
      </c>
    </row>
    <row r="64" spans="3:8" ht="14.5" x14ac:dyDescent="0.35">
      <c r="C64" s="413">
        <v>45484</v>
      </c>
      <c r="D64" s="113"/>
      <c r="E64" s="414" t="s">
        <v>1255</v>
      </c>
      <c r="F64" s="412">
        <v>1370</v>
      </c>
      <c r="G64" s="412">
        <v>20</v>
      </c>
      <c r="H64" s="412">
        <f t="shared" ref="H64:H65" si="3">F64*G64</f>
        <v>27400</v>
      </c>
    </row>
    <row r="65" spans="3:8" ht="14.5" x14ac:dyDescent="0.35">
      <c r="C65" s="413">
        <v>45484</v>
      </c>
      <c r="D65" s="113"/>
      <c r="E65" s="414" t="s">
        <v>1255</v>
      </c>
      <c r="F65" s="412">
        <v>1390</v>
      </c>
      <c r="G65" s="412">
        <v>37</v>
      </c>
      <c r="H65" s="412">
        <f t="shared" si="3"/>
        <v>51430</v>
      </c>
    </row>
    <row r="66" spans="3:8" ht="14.5" x14ac:dyDescent="0.35">
      <c r="C66" s="413">
        <v>45491</v>
      </c>
      <c r="D66" s="113"/>
      <c r="E66" s="414" t="s">
        <v>1255</v>
      </c>
      <c r="F66" s="412">
        <v>1240</v>
      </c>
      <c r="G66" s="412">
        <v>30</v>
      </c>
      <c r="H66" s="412">
        <f>F66*G66</f>
        <v>37200</v>
      </c>
    </row>
    <row r="67" spans="3:8" ht="14.5" x14ac:dyDescent="0.35">
      <c r="C67" s="413">
        <v>45491</v>
      </c>
      <c r="D67" s="113"/>
      <c r="E67" s="414" t="s">
        <v>1255</v>
      </c>
      <c r="F67" s="412">
        <v>1230</v>
      </c>
      <c r="G67" s="412">
        <v>22</v>
      </c>
      <c r="H67" s="412">
        <f t="shared" ref="H67:H68" si="4">F67*G67</f>
        <v>27060</v>
      </c>
    </row>
    <row r="68" spans="3:8" ht="14.5" x14ac:dyDescent="0.35">
      <c r="C68" s="413">
        <v>45491</v>
      </c>
      <c r="D68" s="113"/>
      <c r="E68" s="414" t="s">
        <v>1255</v>
      </c>
      <c r="F68" s="412">
        <v>1220</v>
      </c>
      <c r="G68" s="412">
        <v>43</v>
      </c>
      <c r="H68" s="412">
        <f t="shared" si="4"/>
        <v>52460</v>
      </c>
    </row>
    <row r="69" spans="3:8" ht="14.5" x14ac:dyDescent="0.35">
      <c r="C69" s="413">
        <v>45497</v>
      </c>
      <c r="D69" s="113"/>
      <c r="E69" s="414" t="s">
        <v>1255</v>
      </c>
      <c r="F69" s="412">
        <v>1180</v>
      </c>
      <c r="G69" s="412">
        <v>8</v>
      </c>
      <c r="H69" s="412">
        <f>F69*G69</f>
        <v>9440</v>
      </c>
    </row>
    <row r="70" spans="3:8" ht="14.5" x14ac:dyDescent="0.35">
      <c r="C70" s="413">
        <v>45497</v>
      </c>
      <c r="D70" s="113"/>
      <c r="E70" s="414" t="s">
        <v>1255</v>
      </c>
      <c r="F70" s="412">
        <v>1180</v>
      </c>
      <c r="G70" s="412">
        <v>20</v>
      </c>
      <c r="H70" s="412">
        <f t="shared" ref="H70:H71" si="5">F70*G70</f>
        <v>23600</v>
      </c>
    </row>
    <row r="71" spans="3:8" ht="14.5" x14ac:dyDescent="0.35">
      <c r="C71" s="413">
        <v>45497</v>
      </c>
      <c r="D71" s="113"/>
      <c r="E71" s="414" t="s">
        <v>1255</v>
      </c>
      <c r="F71" s="412">
        <v>1175</v>
      </c>
      <c r="G71" s="412">
        <v>28</v>
      </c>
      <c r="H71" s="412">
        <f t="shared" si="5"/>
        <v>32900</v>
      </c>
    </row>
    <row r="72" spans="3:8" ht="14.5" x14ac:dyDescent="0.35">
      <c r="C72" s="413">
        <v>45499</v>
      </c>
      <c r="D72" s="113"/>
      <c r="E72" s="414" t="s">
        <v>1256</v>
      </c>
      <c r="F72" s="412">
        <v>1180</v>
      </c>
      <c r="G72" s="412">
        <v>30</v>
      </c>
      <c r="H72" s="412">
        <f>F72*G72</f>
        <v>35400</v>
      </c>
    </row>
    <row r="73" spans="3:8" ht="14.5" x14ac:dyDescent="0.35">
      <c r="C73" s="413">
        <v>45502</v>
      </c>
      <c r="D73" s="113"/>
      <c r="E73" s="414" t="s">
        <v>1255</v>
      </c>
      <c r="F73" s="412">
        <v>1165</v>
      </c>
      <c r="G73" s="412">
        <v>26</v>
      </c>
      <c r="H73" s="412">
        <f>F73*G73</f>
        <v>30290</v>
      </c>
    </row>
    <row r="74" spans="3:8" ht="14.5" x14ac:dyDescent="0.35">
      <c r="C74" s="413">
        <v>45504</v>
      </c>
      <c r="D74" s="113"/>
      <c r="E74" s="414" t="s">
        <v>1256</v>
      </c>
      <c r="F74" s="412">
        <v>1160</v>
      </c>
      <c r="G74" s="412">
        <v>150</v>
      </c>
      <c r="H74" s="412">
        <f>F74*G74</f>
        <v>174000</v>
      </c>
    </row>
    <row r="75" spans="3:8" ht="14.5" x14ac:dyDescent="0.35">
      <c r="C75" s="413">
        <v>45506</v>
      </c>
      <c r="D75" s="113"/>
      <c r="E75" s="414" t="s">
        <v>1255</v>
      </c>
      <c r="F75" s="412">
        <v>1170</v>
      </c>
      <c r="G75" s="412">
        <v>15</v>
      </c>
      <c r="H75" s="412">
        <f t="shared" ref="H75" si="6">F75*G75</f>
        <v>17550</v>
      </c>
    </row>
    <row r="76" spans="3:8" ht="14.5" x14ac:dyDescent="0.35">
      <c r="C76" s="413">
        <v>45517</v>
      </c>
      <c r="D76" s="113"/>
      <c r="E76" s="414" t="s">
        <v>1255</v>
      </c>
      <c r="F76" s="412">
        <v>1155</v>
      </c>
      <c r="G76" s="412">
        <v>50</v>
      </c>
      <c r="H76" s="412">
        <f>F76*G76</f>
        <v>57750</v>
      </c>
    </row>
    <row r="77" spans="3:8" ht="14.5" x14ac:dyDescent="0.35">
      <c r="C77" s="413">
        <v>45523</v>
      </c>
      <c r="D77" s="113"/>
      <c r="E77" s="414" t="s">
        <v>1256</v>
      </c>
      <c r="F77" s="412">
        <v>1140</v>
      </c>
      <c r="G77" s="412">
        <v>72</v>
      </c>
      <c r="H77" s="412">
        <f>F77*G77</f>
        <v>82080</v>
      </c>
    </row>
    <row r="78" spans="3:8" ht="14.5" x14ac:dyDescent="0.35">
      <c r="C78" s="413">
        <v>45538</v>
      </c>
      <c r="D78" s="113"/>
      <c r="E78" s="414" t="s">
        <v>1257</v>
      </c>
      <c r="F78" s="412">
        <v>1170</v>
      </c>
      <c r="G78" s="412">
        <v>150</v>
      </c>
      <c r="H78" s="412">
        <f>F78*G78</f>
        <v>175500</v>
      </c>
    </row>
    <row r="79" spans="3:8" ht="14.5" x14ac:dyDescent="0.35">
      <c r="C79" s="413">
        <v>45538</v>
      </c>
      <c r="D79" s="113"/>
      <c r="E79" s="414" t="s">
        <v>1257</v>
      </c>
      <c r="F79" s="412">
        <v>1170</v>
      </c>
      <c r="G79" s="412">
        <v>5</v>
      </c>
      <c r="H79" s="412">
        <f t="shared" ref="H79:H81" si="7">F79*G79</f>
        <v>5850</v>
      </c>
    </row>
    <row r="80" spans="3:8" ht="14.5" x14ac:dyDescent="0.35">
      <c r="C80" s="413">
        <v>45538</v>
      </c>
      <c r="D80" s="113"/>
      <c r="E80" s="414" t="s">
        <v>1257</v>
      </c>
      <c r="F80" s="412">
        <v>1190</v>
      </c>
      <c r="G80" s="412">
        <v>6</v>
      </c>
      <c r="H80" s="412">
        <f t="shared" si="7"/>
        <v>7140</v>
      </c>
    </row>
    <row r="81" spans="3:12" ht="14.5" x14ac:dyDescent="0.35">
      <c r="C81" s="413">
        <v>45538</v>
      </c>
      <c r="D81" s="113"/>
      <c r="E81" s="414" t="s">
        <v>1257</v>
      </c>
      <c r="F81" s="412">
        <v>1190</v>
      </c>
      <c r="G81" s="412">
        <v>4</v>
      </c>
      <c r="H81" s="412">
        <f t="shared" si="7"/>
        <v>4760</v>
      </c>
    </row>
    <row r="82" spans="3:12" ht="14.5" x14ac:dyDescent="0.35">
      <c r="C82" s="413">
        <v>45540</v>
      </c>
      <c r="D82" s="113"/>
      <c r="E82" s="414" t="s">
        <v>1257</v>
      </c>
      <c r="F82" s="412">
        <v>1170</v>
      </c>
      <c r="G82" s="412">
        <v>20</v>
      </c>
      <c r="H82" s="412">
        <f>F82*G82</f>
        <v>23400</v>
      </c>
    </row>
    <row r="83" spans="3:12" ht="14.5" x14ac:dyDescent="0.35">
      <c r="C83" s="413">
        <v>45540</v>
      </c>
      <c r="D83" s="113"/>
      <c r="E83" s="414" t="s">
        <v>1257</v>
      </c>
      <c r="F83" s="412">
        <v>1170</v>
      </c>
      <c r="G83" s="412">
        <v>100</v>
      </c>
      <c r="H83" s="412">
        <f t="shared" ref="H83:H84" si="8">F83*G83</f>
        <v>117000</v>
      </c>
    </row>
    <row r="84" spans="3:12" ht="14.5" x14ac:dyDescent="0.35">
      <c r="C84" s="413">
        <v>45540</v>
      </c>
      <c r="D84" s="113"/>
      <c r="E84" s="414" t="s">
        <v>1257</v>
      </c>
      <c r="F84" s="412">
        <v>1175</v>
      </c>
      <c r="G84" s="412">
        <v>60</v>
      </c>
      <c r="H84" s="412">
        <f t="shared" si="8"/>
        <v>70500</v>
      </c>
    </row>
    <row r="85" spans="3:12" ht="14.5" x14ac:dyDescent="0.35">
      <c r="C85" s="413">
        <v>45540</v>
      </c>
      <c r="D85" s="113"/>
      <c r="E85" s="414" t="s">
        <v>1257</v>
      </c>
      <c r="F85" s="412">
        <v>1170</v>
      </c>
      <c r="G85" s="412">
        <v>5</v>
      </c>
      <c r="H85" s="412">
        <f>F85*G85</f>
        <v>5850</v>
      </c>
    </row>
    <row r="86" spans="3:12" ht="14.5" x14ac:dyDescent="0.35">
      <c r="C86" s="413">
        <v>45541</v>
      </c>
      <c r="D86" s="113"/>
      <c r="E86" s="414" t="s">
        <v>1257</v>
      </c>
      <c r="F86" s="412">
        <v>1170</v>
      </c>
      <c r="G86" s="412">
        <v>44</v>
      </c>
      <c r="H86" s="412">
        <f>F86*G86</f>
        <v>51480</v>
      </c>
    </row>
    <row r="87" spans="3:12" ht="14.5" x14ac:dyDescent="0.35">
      <c r="C87" s="413">
        <v>45541</v>
      </c>
      <c r="D87" s="113"/>
      <c r="E87" s="414" t="s">
        <v>1257</v>
      </c>
      <c r="F87" s="412">
        <v>1170</v>
      </c>
      <c r="G87" s="412">
        <v>6</v>
      </c>
      <c r="H87" s="412">
        <f t="shared" ref="H87" si="9">F87*G87</f>
        <v>7020</v>
      </c>
    </row>
    <row r="88" spans="3:12" ht="14.5" x14ac:dyDescent="0.35">
      <c r="C88" s="413">
        <v>45553</v>
      </c>
      <c r="D88" s="113"/>
      <c r="E88" s="414" t="s">
        <v>1255</v>
      </c>
      <c r="F88" s="412">
        <v>1170</v>
      </c>
      <c r="G88" s="412">
        <v>5</v>
      </c>
      <c r="H88" s="412">
        <f>F88*G88</f>
        <v>5850</v>
      </c>
    </row>
    <row r="89" spans="3:12" ht="14.5" x14ac:dyDescent="0.35">
      <c r="C89" s="413">
        <v>45548</v>
      </c>
      <c r="D89" s="16"/>
      <c r="E89" s="414" t="s">
        <v>1258</v>
      </c>
      <c r="F89" s="412">
        <v>2780</v>
      </c>
      <c r="G89" s="412">
        <v>23</v>
      </c>
      <c r="H89" s="412">
        <f>F89*G89</f>
        <v>63940</v>
      </c>
    </row>
    <row r="90" spans="3:12" ht="14.5" x14ac:dyDescent="0.35">
      <c r="C90" s="413">
        <v>45548</v>
      </c>
      <c r="D90" s="113"/>
      <c r="E90" s="414" t="s">
        <v>1259</v>
      </c>
      <c r="F90" s="412">
        <v>1165</v>
      </c>
      <c r="G90" s="412">
        <v>30</v>
      </c>
      <c r="H90" s="412">
        <f t="shared" ref="H90" si="10">F90*G90</f>
        <v>34950</v>
      </c>
    </row>
    <row r="91" spans="3:12" ht="14.5" x14ac:dyDescent="0.35">
      <c r="C91" s="413">
        <v>45553</v>
      </c>
      <c r="D91" s="113"/>
      <c r="E91" s="414" t="s">
        <v>1259</v>
      </c>
      <c r="F91" s="412">
        <v>1175</v>
      </c>
      <c r="G91" s="412">
        <v>30</v>
      </c>
      <c r="H91" s="412">
        <f>F91*G91</f>
        <v>35250</v>
      </c>
    </row>
    <row r="92" spans="3:12" ht="14.5" x14ac:dyDescent="0.35">
      <c r="C92" s="413">
        <v>45553</v>
      </c>
      <c r="D92" s="113"/>
      <c r="E92" s="414" t="s">
        <v>1259</v>
      </c>
      <c r="F92" s="412">
        <v>1170</v>
      </c>
      <c r="G92" s="412">
        <v>20</v>
      </c>
      <c r="H92" s="412">
        <f t="shared" ref="H92:H94" si="11">F92*G92</f>
        <v>23400</v>
      </c>
    </row>
    <row r="93" spans="3:12" ht="14.5" x14ac:dyDescent="0.35">
      <c r="C93" s="413">
        <v>45553</v>
      </c>
      <c r="D93" s="113"/>
      <c r="E93" s="414" t="s">
        <v>1259</v>
      </c>
      <c r="F93" s="412">
        <v>1170</v>
      </c>
      <c r="G93" s="412">
        <v>10</v>
      </c>
      <c r="H93" s="412">
        <f t="shared" si="11"/>
        <v>11700</v>
      </c>
    </row>
    <row r="94" spans="3:12" ht="14.5" x14ac:dyDescent="0.35">
      <c r="C94" s="413">
        <v>45553</v>
      </c>
      <c r="D94" s="113"/>
      <c r="E94" s="414" t="s">
        <v>1259</v>
      </c>
      <c r="F94" s="412">
        <v>1170</v>
      </c>
      <c r="G94" s="412">
        <v>5</v>
      </c>
      <c r="H94" s="412">
        <f t="shared" si="11"/>
        <v>5850</v>
      </c>
      <c r="K94" s="1" t="s">
        <v>1263</v>
      </c>
      <c r="L94" s="1" t="s">
        <v>1262</v>
      </c>
    </row>
    <row r="95" spans="3:12" ht="14.5" x14ac:dyDescent="0.35">
      <c r="C95" s="413">
        <v>45562</v>
      </c>
      <c r="D95" s="113"/>
      <c r="E95" s="414" t="s">
        <v>1260</v>
      </c>
      <c r="F95" s="412">
        <v>1170</v>
      </c>
      <c r="G95" s="412">
        <v>50</v>
      </c>
      <c r="H95" s="412">
        <f>F95*G95</f>
        <v>58500</v>
      </c>
      <c r="K95" s="1" t="s">
        <v>1264</v>
      </c>
      <c r="L95" s="1" t="s">
        <v>1265</v>
      </c>
    </row>
    <row r="96" spans="3:12" ht="14.5" x14ac:dyDescent="0.35">
      <c r="C96" s="413">
        <v>45562</v>
      </c>
      <c r="D96" s="16"/>
      <c r="E96" s="414" t="s">
        <v>1261</v>
      </c>
      <c r="F96" s="412">
        <v>2250</v>
      </c>
      <c r="G96" s="412">
        <v>1</v>
      </c>
      <c r="H96" s="412">
        <f t="shared" ref="H96:H98" si="12">F96*G96</f>
        <v>2250</v>
      </c>
    </row>
    <row r="97" spans="3:8" ht="14.5" x14ac:dyDescent="0.35">
      <c r="C97" s="413">
        <v>45562</v>
      </c>
      <c r="D97" s="16"/>
      <c r="E97" s="414" t="s">
        <v>1261</v>
      </c>
      <c r="F97" s="412">
        <v>2230</v>
      </c>
      <c r="G97" s="412">
        <v>50</v>
      </c>
      <c r="H97" s="412">
        <f t="shared" si="12"/>
        <v>111500</v>
      </c>
    </row>
    <row r="98" spans="3:8" ht="14.5" x14ac:dyDescent="0.35">
      <c r="C98" s="413">
        <v>45562</v>
      </c>
      <c r="D98" s="113"/>
      <c r="E98" s="414" t="s">
        <v>1260</v>
      </c>
      <c r="F98" s="412">
        <v>1175</v>
      </c>
      <c r="G98" s="412">
        <v>30</v>
      </c>
      <c r="H98" s="412">
        <f t="shared" si="12"/>
        <v>35250</v>
      </c>
    </row>
    <row r="100" spans="3:8" x14ac:dyDescent="0.3">
      <c r="G100" s="18">
        <f>SUM(G58:G99)</f>
        <v>1346</v>
      </c>
      <c r="H100" s="415">
        <f>SUM(H58:H99)</f>
        <v>1726535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W217"/>
  <sheetViews>
    <sheetView topLeftCell="B184" workbookViewId="0">
      <selection activeCell="V202" sqref="V202"/>
    </sheetView>
  </sheetViews>
  <sheetFormatPr defaultRowHeight="13" x14ac:dyDescent="0.3"/>
  <cols>
    <col min="1" max="1" width="3.8984375" bestFit="1" customWidth="1"/>
    <col min="3" max="3" width="10.8984375" bestFit="1" customWidth="1"/>
    <col min="4" max="4" width="13.3984375" bestFit="1" customWidth="1"/>
    <col min="5" max="5" width="13.3984375" customWidth="1"/>
    <col min="6" max="6" width="57.59765625" bestFit="1" customWidth="1"/>
    <col min="7" max="7" width="10.69921875" bestFit="1" customWidth="1"/>
    <col min="8" max="8" width="17.69921875" bestFit="1" customWidth="1"/>
    <col min="9" max="9" width="13.8984375" bestFit="1" customWidth="1"/>
    <col min="11" max="11" width="9.3984375" bestFit="1" customWidth="1"/>
    <col min="13" max="13" width="2.8984375" bestFit="1" customWidth="1"/>
    <col min="15" max="15" width="14.8984375" customWidth="1"/>
    <col min="16" max="16" width="12" customWidth="1"/>
    <col min="17" max="17" width="13.09765625" customWidth="1"/>
    <col min="18" max="18" width="34.3984375" bestFit="1" customWidth="1"/>
    <col min="19" max="19" width="12.09765625" bestFit="1" customWidth="1"/>
    <col min="20" max="20" width="14.3984375" customWidth="1"/>
    <col min="21" max="21" width="16" style="17" customWidth="1"/>
    <col min="22" max="22" width="20.19921875" style="17" bestFit="1" customWidth="1"/>
    <col min="23" max="23" width="19" style="17" bestFit="1" customWidth="1"/>
  </cols>
  <sheetData>
    <row r="4" spans="1:23" s="1" customFormat="1" ht="14" x14ac:dyDescent="0.3">
      <c r="A4" s="79" t="s">
        <v>71</v>
      </c>
      <c r="B4" s="79"/>
      <c r="C4" s="40">
        <v>45423</v>
      </c>
      <c r="D4" s="89" t="s">
        <v>220</v>
      </c>
      <c r="E4" s="89" t="s">
        <v>13</v>
      </c>
      <c r="F4" s="80" t="s">
        <v>22</v>
      </c>
      <c r="G4" s="54">
        <v>24013.84</v>
      </c>
      <c r="H4" s="54">
        <v>2.42</v>
      </c>
      <c r="I4" s="54">
        <f t="shared" ref="I4:I5" si="0">G4*H4</f>
        <v>58113.4928</v>
      </c>
      <c r="J4" s="132"/>
      <c r="K4" s="54">
        <f t="shared" ref="K4:K22" si="1">K3+I4-J4</f>
        <v>58113.4928</v>
      </c>
      <c r="M4" s="14">
        <v>46</v>
      </c>
      <c r="U4" s="14"/>
      <c r="V4" s="14"/>
      <c r="W4" s="14"/>
    </row>
    <row r="5" spans="1:23" s="1" customFormat="1" ht="14" x14ac:dyDescent="0.3">
      <c r="A5" s="79" t="s">
        <v>71</v>
      </c>
      <c r="B5" s="79"/>
      <c r="C5" s="40">
        <v>45423</v>
      </c>
      <c r="D5" s="89" t="s">
        <v>220</v>
      </c>
      <c r="E5" s="89" t="s">
        <v>13</v>
      </c>
      <c r="F5" s="80" t="s">
        <v>23</v>
      </c>
      <c r="G5" s="54">
        <v>18944</v>
      </c>
      <c r="H5" s="54">
        <v>2.42</v>
      </c>
      <c r="I5" s="54">
        <f t="shared" si="0"/>
        <v>45844.479999999996</v>
      </c>
      <c r="J5" s="132"/>
      <c r="K5" s="54">
        <f t="shared" si="1"/>
        <v>103957.97279999999</v>
      </c>
      <c r="M5" s="14">
        <v>36</v>
      </c>
      <c r="U5" s="14"/>
      <c r="V5" s="14"/>
      <c r="W5" s="14"/>
    </row>
    <row r="6" spans="1:23" s="1" customFormat="1" ht="14" x14ac:dyDescent="0.3">
      <c r="A6" s="79" t="s">
        <v>71</v>
      </c>
      <c r="B6" s="79"/>
      <c r="C6" s="84">
        <v>45468</v>
      </c>
      <c r="D6" s="89" t="s">
        <v>127</v>
      </c>
      <c r="E6" s="89" t="s">
        <v>13</v>
      </c>
      <c r="F6" s="56" t="s">
        <v>128</v>
      </c>
      <c r="G6" s="59">
        <f>57.5*474</f>
        <v>27255</v>
      </c>
      <c r="H6" s="94">
        <v>2.44</v>
      </c>
      <c r="I6" s="66">
        <f>G6*H6</f>
        <v>66502.2</v>
      </c>
      <c r="J6" s="132"/>
      <c r="K6" s="54">
        <f t="shared" si="1"/>
        <v>170460.1728</v>
      </c>
      <c r="M6" s="14"/>
      <c r="U6" s="14"/>
      <c r="V6" s="14"/>
      <c r="W6" s="14"/>
    </row>
    <row r="7" spans="1:23" s="1" customFormat="1" ht="14" x14ac:dyDescent="0.3">
      <c r="A7" s="79" t="s">
        <v>71</v>
      </c>
      <c r="B7" s="79"/>
      <c r="C7" s="84">
        <v>45468</v>
      </c>
      <c r="D7" s="89" t="s">
        <v>127</v>
      </c>
      <c r="E7" s="89" t="s">
        <v>13</v>
      </c>
      <c r="F7" s="56" t="s">
        <v>129</v>
      </c>
      <c r="G7" s="138">
        <f>24*474</f>
        <v>11376</v>
      </c>
      <c r="H7" s="94">
        <v>2.44</v>
      </c>
      <c r="I7" s="66">
        <f t="shared" ref="I7:I10" si="2">G7*H7</f>
        <v>27757.439999999999</v>
      </c>
      <c r="J7" s="132"/>
      <c r="K7" s="54">
        <f t="shared" si="1"/>
        <v>198217.6128</v>
      </c>
      <c r="M7" s="14"/>
      <c r="U7" s="14"/>
      <c r="V7" s="14"/>
      <c r="W7" s="14"/>
    </row>
    <row r="8" spans="1:23" s="1" customFormat="1" ht="14" x14ac:dyDescent="0.3">
      <c r="A8" s="79" t="s">
        <v>168</v>
      </c>
      <c r="B8" s="79"/>
      <c r="C8" s="84">
        <v>45473</v>
      </c>
      <c r="D8" s="89" t="s">
        <v>167</v>
      </c>
      <c r="E8" s="89" t="s">
        <v>13</v>
      </c>
      <c r="F8" s="56" t="s">
        <v>159</v>
      </c>
      <c r="G8" s="138">
        <v>165</v>
      </c>
      <c r="H8" s="94">
        <v>2.44</v>
      </c>
      <c r="I8" s="66">
        <f t="shared" si="2"/>
        <v>402.59999999999997</v>
      </c>
      <c r="J8" s="132"/>
      <c r="K8" s="54">
        <f t="shared" si="1"/>
        <v>198620.21280000001</v>
      </c>
      <c r="M8" s="14"/>
      <c r="U8" s="14"/>
      <c r="V8" s="14"/>
      <c r="W8" s="14"/>
    </row>
    <row r="9" spans="1:23" s="1" customFormat="1" ht="14" x14ac:dyDescent="0.3">
      <c r="A9" s="79" t="s">
        <v>71</v>
      </c>
      <c r="B9" s="79"/>
      <c r="C9" s="84">
        <v>45473</v>
      </c>
      <c r="D9" s="89" t="s">
        <v>167</v>
      </c>
      <c r="E9" s="89" t="s">
        <v>13</v>
      </c>
      <c r="F9" s="56" t="s">
        <v>160</v>
      </c>
      <c r="G9" s="138">
        <f>4*500</f>
        <v>2000</v>
      </c>
      <c r="H9" s="94">
        <v>2.44</v>
      </c>
      <c r="I9" s="66">
        <f t="shared" si="2"/>
        <v>4880</v>
      </c>
      <c r="J9" s="132"/>
      <c r="K9" s="54">
        <f t="shared" si="1"/>
        <v>203500.21280000001</v>
      </c>
      <c r="M9" s="14"/>
      <c r="U9" s="14"/>
      <c r="V9" s="14"/>
      <c r="W9" s="14"/>
    </row>
    <row r="10" spans="1:23" s="1" customFormat="1" ht="14" x14ac:dyDescent="0.3">
      <c r="A10" s="79" t="s">
        <v>71</v>
      </c>
      <c r="B10" s="79"/>
      <c r="C10" s="84">
        <v>45473</v>
      </c>
      <c r="D10" s="89" t="s">
        <v>167</v>
      </c>
      <c r="E10" s="89" t="s">
        <v>13</v>
      </c>
      <c r="F10" s="56" t="s">
        <v>161</v>
      </c>
      <c r="G10" s="138">
        <f>3*500</f>
        <v>1500</v>
      </c>
      <c r="H10" s="94">
        <v>2.44</v>
      </c>
      <c r="I10" s="66">
        <f t="shared" si="2"/>
        <v>3660</v>
      </c>
      <c r="J10" s="132"/>
      <c r="K10" s="54">
        <f t="shared" si="1"/>
        <v>207160.21280000001</v>
      </c>
      <c r="M10" s="14"/>
      <c r="U10" s="14"/>
      <c r="V10" s="14"/>
      <c r="W10" s="14"/>
    </row>
    <row r="11" spans="1:23" s="1" customFormat="1" ht="14" x14ac:dyDescent="0.3">
      <c r="A11" s="79" t="s">
        <v>71</v>
      </c>
      <c r="B11" s="79"/>
      <c r="C11" s="84">
        <v>45473</v>
      </c>
      <c r="D11" s="89" t="s">
        <v>167</v>
      </c>
      <c r="E11" s="89" t="s">
        <v>13</v>
      </c>
      <c r="F11" s="56" t="s">
        <v>163</v>
      </c>
      <c r="G11" s="120">
        <f>3*522</f>
        <v>1566</v>
      </c>
      <c r="H11" s="96">
        <v>2.44</v>
      </c>
      <c r="I11" s="67">
        <f>G11*H11</f>
        <v>3821.04</v>
      </c>
      <c r="J11" s="132"/>
      <c r="K11" s="54">
        <f t="shared" si="1"/>
        <v>210981.25280000002</v>
      </c>
      <c r="M11" s="14"/>
      <c r="U11" s="14"/>
      <c r="V11" s="14"/>
      <c r="W11" s="14"/>
    </row>
    <row r="12" spans="1:23" s="1" customFormat="1" ht="14" x14ac:dyDescent="0.3">
      <c r="A12" s="79" t="s">
        <v>71</v>
      </c>
      <c r="B12" s="79"/>
      <c r="C12" s="84">
        <v>45473</v>
      </c>
      <c r="D12" s="89" t="s">
        <v>167</v>
      </c>
      <c r="E12" s="89" t="s">
        <v>13</v>
      </c>
      <c r="F12" s="56" t="s">
        <v>213</v>
      </c>
      <c r="G12" s="59">
        <v>522</v>
      </c>
      <c r="H12" s="94">
        <v>2.44</v>
      </c>
      <c r="I12" s="66">
        <f t="shared" ref="I12:I15" si="3">G12*H12</f>
        <v>1273.68</v>
      </c>
      <c r="J12" s="132"/>
      <c r="K12" s="54">
        <f t="shared" si="1"/>
        <v>212254.93280000001</v>
      </c>
      <c r="M12" s="14"/>
      <c r="U12" s="14"/>
      <c r="V12" s="14"/>
      <c r="W12" s="14"/>
    </row>
    <row r="13" spans="1:23" s="1" customFormat="1" ht="14" x14ac:dyDescent="0.3">
      <c r="A13" s="79" t="s">
        <v>71</v>
      </c>
      <c r="B13" s="79"/>
      <c r="C13" s="84">
        <v>45473</v>
      </c>
      <c r="D13" s="89" t="s">
        <v>167</v>
      </c>
      <c r="E13" s="89" t="s">
        <v>13</v>
      </c>
      <c r="F13" s="56" t="s">
        <v>164</v>
      </c>
      <c r="G13" s="59">
        <f>46*522</f>
        <v>24012</v>
      </c>
      <c r="H13" s="94">
        <v>2.44</v>
      </c>
      <c r="I13" s="66">
        <f t="shared" si="3"/>
        <v>58589.279999999999</v>
      </c>
      <c r="J13" s="132"/>
      <c r="K13" s="54">
        <f t="shared" si="1"/>
        <v>270844.21279999998</v>
      </c>
      <c r="M13" s="14"/>
      <c r="U13" s="14"/>
      <c r="V13" s="14"/>
      <c r="W13" s="14"/>
    </row>
    <row r="14" spans="1:23" s="1" customFormat="1" ht="14" x14ac:dyDescent="0.3">
      <c r="A14" s="79" t="s">
        <v>173</v>
      </c>
      <c r="B14" s="79"/>
      <c r="C14" s="84">
        <v>45473</v>
      </c>
      <c r="D14" s="89" t="s">
        <v>167</v>
      </c>
      <c r="E14" s="89" t="s">
        <v>13</v>
      </c>
      <c r="F14" s="80" t="s">
        <v>165</v>
      </c>
      <c r="G14" s="151">
        <f>46*75</f>
        <v>3450</v>
      </c>
      <c r="H14" s="94">
        <v>2.44</v>
      </c>
      <c r="I14" s="66">
        <f t="shared" si="3"/>
        <v>8418</v>
      </c>
      <c r="J14" s="132"/>
      <c r="K14" s="54">
        <f t="shared" si="1"/>
        <v>279262.21279999998</v>
      </c>
      <c r="M14" s="14"/>
      <c r="U14" s="14"/>
      <c r="V14" s="14"/>
      <c r="W14" s="14"/>
    </row>
    <row r="15" spans="1:23" s="1" customFormat="1" ht="14" x14ac:dyDescent="0.3">
      <c r="A15" s="79" t="s">
        <v>183</v>
      </c>
      <c r="B15" s="79"/>
      <c r="C15" s="40">
        <v>45502</v>
      </c>
      <c r="D15" s="89" t="s">
        <v>177</v>
      </c>
      <c r="E15" s="89" t="s">
        <v>13</v>
      </c>
      <c r="F15" s="56" t="s">
        <v>178</v>
      </c>
      <c r="G15" s="146">
        <f>28*350</f>
        <v>9800</v>
      </c>
      <c r="H15" s="94">
        <v>2.44</v>
      </c>
      <c r="I15" s="66">
        <f t="shared" si="3"/>
        <v>23912</v>
      </c>
      <c r="J15" s="132"/>
      <c r="K15" s="54">
        <f t="shared" si="1"/>
        <v>303174.21279999998</v>
      </c>
      <c r="M15" s="14"/>
      <c r="U15" s="14"/>
      <c r="V15" s="14"/>
      <c r="W15" s="14"/>
    </row>
    <row r="16" spans="1:23" s="1" customFormat="1" ht="14" x14ac:dyDescent="0.3">
      <c r="A16" s="79" t="s">
        <v>71</v>
      </c>
      <c r="B16" s="79"/>
      <c r="C16" s="84">
        <v>45488</v>
      </c>
      <c r="D16" s="89" t="s">
        <v>177</v>
      </c>
      <c r="E16" s="89" t="s">
        <v>13</v>
      </c>
      <c r="F16" s="56" t="s">
        <v>181</v>
      </c>
      <c r="G16" s="138"/>
      <c r="H16" s="94"/>
      <c r="I16" s="66">
        <f>831.21*11</f>
        <v>9143.3100000000013</v>
      </c>
      <c r="J16" s="132"/>
      <c r="K16" s="54">
        <f t="shared" si="1"/>
        <v>312317.52279999998</v>
      </c>
      <c r="M16" s="14"/>
      <c r="U16" s="14"/>
      <c r="V16" s="14"/>
      <c r="W16" s="14"/>
    </row>
    <row r="17" spans="1:23" s="1" customFormat="1" ht="14" x14ac:dyDescent="0.3">
      <c r="A17" s="79" t="s">
        <v>71</v>
      </c>
      <c r="B17" s="79"/>
      <c r="C17" s="40">
        <v>45477</v>
      </c>
      <c r="D17" s="89" t="s">
        <v>185</v>
      </c>
      <c r="E17" s="89" t="s">
        <v>13</v>
      </c>
      <c r="F17" s="56" t="s">
        <v>187</v>
      </c>
      <c r="G17" s="146">
        <v>773</v>
      </c>
      <c r="H17" s="94">
        <v>2.44</v>
      </c>
      <c r="I17" s="66">
        <f t="shared" ref="I17" si="4">G17*H17</f>
        <v>1886.12</v>
      </c>
      <c r="J17" s="132"/>
      <c r="K17" s="54">
        <f t="shared" si="1"/>
        <v>314203.64279999997</v>
      </c>
      <c r="M17" s="14"/>
      <c r="U17" s="14"/>
      <c r="V17" s="14"/>
      <c r="W17" s="14"/>
    </row>
    <row r="18" spans="1:23" s="1" customFormat="1" ht="14" x14ac:dyDescent="0.3">
      <c r="A18" s="79" t="s">
        <v>71</v>
      </c>
      <c r="B18" s="79"/>
      <c r="C18" s="40">
        <v>45477</v>
      </c>
      <c r="D18" s="89" t="s">
        <v>185</v>
      </c>
      <c r="E18" s="89" t="s">
        <v>13</v>
      </c>
      <c r="F18" s="56" t="s">
        <v>191</v>
      </c>
      <c r="G18" s="155">
        <v>5100</v>
      </c>
      <c r="H18" s="96">
        <v>2.44</v>
      </c>
      <c r="I18" s="67">
        <f>G18*H18</f>
        <v>12444</v>
      </c>
      <c r="J18" s="132"/>
      <c r="K18" s="54">
        <f t="shared" si="1"/>
        <v>326647.64279999997</v>
      </c>
      <c r="M18" s="14"/>
      <c r="U18" s="14"/>
      <c r="V18" s="14"/>
      <c r="W18" s="14"/>
    </row>
    <row r="19" spans="1:23" s="1" customFormat="1" ht="28" x14ac:dyDescent="0.3">
      <c r="A19" s="79" t="s">
        <v>183</v>
      </c>
      <c r="B19" s="79"/>
      <c r="C19" s="40">
        <v>45477</v>
      </c>
      <c r="D19" s="89" t="s">
        <v>185</v>
      </c>
      <c r="E19" s="89" t="s">
        <v>13</v>
      </c>
      <c r="F19" s="56" t="s">
        <v>192</v>
      </c>
      <c r="G19" s="120">
        <f>359*92</f>
        <v>33028</v>
      </c>
      <c r="H19" s="94">
        <v>2.44</v>
      </c>
      <c r="I19" s="67">
        <f>G19*H19</f>
        <v>80588.319999999992</v>
      </c>
      <c r="J19" s="132"/>
      <c r="K19" s="54">
        <f t="shared" si="1"/>
        <v>407235.96279999998</v>
      </c>
      <c r="M19" s="14"/>
      <c r="U19" s="14"/>
      <c r="V19" s="14"/>
      <c r="W19" s="14"/>
    </row>
    <row r="20" spans="1:23" s="1" customFormat="1" ht="14" x14ac:dyDescent="0.3">
      <c r="C20" s="84">
        <v>45491</v>
      </c>
      <c r="D20" s="89" t="s">
        <v>237</v>
      </c>
      <c r="E20" s="89" t="s">
        <v>13</v>
      </c>
      <c r="F20" s="90" t="s">
        <v>238</v>
      </c>
      <c r="G20" s="54">
        <f>357*49</f>
        <v>17493</v>
      </c>
      <c r="H20" s="175">
        <v>2.5249999999999999</v>
      </c>
      <c r="I20" s="66">
        <f t="shared" ref="I20:I22" si="5">G20*H20</f>
        <v>44169.824999999997</v>
      </c>
      <c r="J20" s="132"/>
      <c r="K20" s="54">
        <f t="shared" si="1"/>
        <v>451405.78779999999</v>
      </c>
      <c r="M20" s="14"/>
      <c r="U20" s="14"/>
      <c r="V20" s="14"/>
      <c r="W20" s="14"/>
    </row>
    <row r="21" spans="1:23" s="1" customFormat="1" ht="15.5" x14ac:dyDescent="0.3">
      <c r="C21" s="25">
        <v>45497</v>
      </c>
      <c r="D21" s="89" t="s">
        <v>272</v>
      </c>
      <c r="E21" s="89" t="s">
        <v>13</v>
      </c>
      <c r="F21" s="177" t="s">
        <v>274</v>
      </c>
      <c r="G21" s="54">
        <f>357*74</f>
        <v>26418</v>
      </c>
      <c r="H21" s="54">
        <v>2.52</v>
      </c>
      <c r="I21" s="66">
        <f t="shared" si="5"/>
        <v>66573.36</v>
      </c>
      <c r="J21" s="132"/>
      <c r="K21" s="54">
        <f t="shared" si="1"/>
        <v>517979.14779999998</v>
      </c>
      <c r="M21" s="14"/>
      <c r="U21" s="14"/>
      <c r="V21" s="14"/>
      <c r="W21" s="14"/>
    </row>
    <row r="22" spans="1:23" s="1" customFormat="1" ht="14" x14ac:dyDescent="0.3">
      <c r="C22" s="25">
        <v>45502</v>
      </c>
      <c r="D22" s="89" t="s">
        <v>330</v>
      </c>
      <c r="E22" s="89" t="s">
        <v>13</v>
      </c>
      <c r="F22" s="90" t="s">
        <v>331</v>
      </c>
      <c r="G22" s="54">
        <f>358*6</f>
        <v>2148</v>
      </c>
      <c r="H22" s="54">
        <v>2.52</v>
      </c>
      <c r="I22" s="66">
        <f t="shared" si="5"/>
        <v>5412.96</v>
      </c>
      <c r="J22" s="132"/>
      <c r="K22" s="54">
        <f t="shared" si="1"/>
        <v>523392.1078</v>
      </c>
      <c r="M22" s="14"/>
      <c r="U22" s="14"/>
      <c r="V22" s="14"/>
      <c r="W22" s="14"/>
    </row>
    <row r="24" spans="1:23" x14ac:dyDescent="0.3">
      <c r="I24" s="183">
        <f>SUM(I4:I23)</f>
        <v>523392.1078</v>
      </c>
    </row>
    <row r="26" spans="1:23" x14ac:dyDescent="0.3">
      <c r="I26">
        <v>-4882.38</v>
      </c>
    </row>
    <row r="27" spans="1:23" x14ac:dyDescent="0.3">
      <c r="I27">
        <v>-4676.6099999999997</v>
      </c>
    </row>
    <row r="28" spans="1:23" x14ac:dyDescent="0.3">
      <c r="I28">
        <v>-4676.6099999999997</v>
      </c>
    </row>
    <row r="29" spans="1:23" x14ac:dyDescent="0.3">
      <c r="I29">
        <v>-1408.31</v>
      </c>
    </row>
    <row r="30" spans="1:23" x14ac:dyDescent="0.3">
      <c r="I30">
        <v>-5101.7299999999996</v>
      </c>
    </row>
    <row r="31" spans="1:23" x14ac:dyDescent="0.3">
      <c r="I31" s="183">
        <f>SUM(I24:I30)</f>
        <v>502646.46780000004</v>
      </c>
    </row>
    <row r="34" spans="4:23" x14ac:dyDescent="0.3">
      <c r="I34">
        <v>513906.11</v>
      </c>
      <c r="J34" s="183">
        <f>I34-I31</f>
        <v>11259.642199999944</v>
      </c>
    </row>
    <row r="36" spans="4:23" s="214" customFormat="1" x14ac:dyDescent="0.3">
      <c r="U36" s="351"/>
      <c r="V36" s="351"/>
      <c r="W36" s="351"/>
    </row>
    <row r="38" spans="4:23" ht="17" thickBot="1" x14ac:dyDescent="0.35">
      <c r="D38" s="219" t="s">
        <v>0</v>
      </c>
      <c r="E38" s="219" t="s">
        <v>54</v>
      </c>
      <c r="F38" s="219" t="s">
        <v>5</v>
      </c>
      <c r="G38" s="219" t="s">
        <v>69</v>
      </c>
      <c r="H38" s="219" t="s">
        <v>381</v>
      </c>
      <c r="I38" s="219" t="s">
        <v>4</v>
      </c>
    </row>
    <row r="40" spans="4:23" ht="14" x14ac:dyDescent="0.3">
      <c r="D40" s="217">
        <v>45420</v>
      </c>
      <c r="E40" s="215" t="s">
        <v>218</v>
      </c>
      <c r="F40" s="220" t="s">
        <v>10</v>
      </c>
      <c r="G40" s="223">
        <f>20*1450</f>
        <v>29000</v>
      </c>
      <c r="H40" s="224"/>
      <c r="I40" s="232">
        <f>I39+G40-H40</f>
        <v>29000</v>
      </c>
      <c r="J40" s="1" t="s">
        <v>307</v>
      </c>
    </row>
    <row r="41" spans="4:23" ht="14" x14ac:dyDescent="0.3">
      <c r="D41" s="217">
        <v>45427</v>
      </c>
      <c r="E41" s="215" t="s">
        <v>219</v>
      </c>
      <c r="F41" s="220" t="s">
        <v>11</v>
      </c>
      <c r="G41" s="223">
        <f>5*1190</f>
        <v>5950</v>
      </c>
      <c r="H41" s="224"/>
      <c r="I41" s="232">
        <f t="shared" ref="I41:I118" si="6">I40+G41-H41</f>
        <v>34950</v>
      </c>
      <c r="J41" s="1" t="s">
        <v>307</v>
      </c>
    </row>
    <row r="42" spans="4:23" ht="14" x14ac:dyDescent="0.3">
      <c r="D42" s="217">
        <v>45428</v>
      </c>
      <c r="E42" s="215" t="s">
        <v>219</v>
      </c>
      <c r="F42" s="220" t="s">
        <v>12</v>
      </c>
      <c r="G42" s="223">
        <f>2*1000</f>
        <v>2000</v>
      </c>
      <c r="H42" s="224"/>
      <c r="I42" s="232">
        <f t="shared" si="6"/>
        <v>36950</v>
      </c>
      <c r="J42" s="1" t="s">
        <v>307</v>
      </c>
    </row>
    <row r="43" spans="4:23" ht="14" x14ac:dyDescent="0.3">
      <c r="D43" s="217">
        <v>45419</v>
      </c>
      <c r="E43" s="215" t="s">
        <v>220</v>
      </c>
      <c r="F43" s="221" t="s">
        <v>27</v>
      </c>
      <c r="G43" s="223">
        <f>1790*20</f>
        <v>35800</v>
      </c>
      <c r="H43" s="224"/>
      <c r="I43" s="232">
        <f t="shared" si="6"/>
        <v>72750</v>
      </c>
      <c r="J43" s="1" t="s">
        <v>307</v>
      </c>
    </row>
    <row r="44" spans="4:23" ht="14" x14ac:dyDescent="0.3">
      <c r="D44" s="217">
        <v>45420</v>
      </c>
      <c r="E44" s="215" t="s">
        <v>220</v>
      </c>
      <c r="F44" s="220" t="s">
        <v>28</v>
      </c>
      <c r="G44" s="223">
        <f>9*1800</f>
        <v>16200</v>
      </c>
      <c r="H44" s="224"/>
      <c r="I44" s="232">
        <f t="shared" si="6"/>
        <v>88950</v>
      </c>
      <c r="J44" s="1" t="s">
        <v>307</v>
      </c>
    </row>
    <row r="45" spans="4:23" ht="14" x14ac:dyDescent="0.3">
      <c r="D45" s="217">
        <v>45420</v>
      </c>
      <c r="E45" s="215" t="s">
        <v>220</v>
      </c>
      <c r="F45" s="221" t="s">
        <v>29</v>
      </c>
      <c r="G45" s="223">
        <f>10*1800</f>
        <v>18000</v>
      </c>
      <c r="H45" s="224"/>
      <c r="I45" s="232">
        <f t="shared" si="6"/>
        <v>106950</v>
      </c>
      <c r="J45" s="1" t="s">
        <v>307</v>
      </c>
    </row>
    <row r="46" spans="4:23" ht="14" x14ac:dyDescent="0.3">
      <c r="D46" s="217">
        <v>45427</v>
      </c>
      <c r="E46" s="215" t="s">
        <v>220</v>
      </c>
      <c r="F46" s="221" t="s">
        <v>30</v>
      </c>
      <c r="G46" s="223">
        <f>2*1800</f>
        <v>3600</v>
      </c>
      <c r="H46" s="224"/>
      <c r="I46" s="232">
        <f t="shared" si="6"/>
        <v>110550</v>
      </c>
      <c r="J46" s="1" t="s">
        <v>307</v>
      </c>
    </row>
    <row r="47" spans="4:23" ht="14" x14ac:dyDescent="0.3">
      <c r="D47" s="217">
        <v>45427</v>
      </c>
      <c r="E47" s="215" t="s">
        <v>220</v>
      </c>
      <c r="F47" s="221" t="s">
        <v>31</v>
      </c>
      <c r="G47" s="223">
        <f>2*1750</f>
        <v>3500</v>
      </c>
      <c r="H47" s="224"/>
      <c r="I47" s="232">
        <f t="shared" si="6"/>
        <v>114050</v>
      </c>
      <c r="J47" s="1" t="s">
        <v>307</v>
      </c>
    </row>
    <row r="48" spans="4:23" ht="14" x14ac:dyDescent="0.3">
      <c r="D48" s="217">
        <v>45427</v>
      </c>
      <c r="E48" s="215" t="s">
        <v>220</v>
      </c>
      <c r="F48" s="221" t="s">
        <v>32</v>
      </c>
      <c r="G48" s="223">
        <f>5*1740</f>
        <v>8700</v>
      </c>
      <c r="H48" s="224"/>
      <c r="I48" s="232">
        <f t="shared" si="6"/>
        <v>122750</v>
      </c>
      <c r="J48" s="1" t="s">
        <v>307</v>
      </c>
    </row>
    <row r="49" spans="4:10" ht="14" x14ac:dyDescent="0.3">
      <c r="D49" s="217">
        <v>45427</v>
      </c>
      <c r="E49" s="215" t="s">
        <v>220</v>
      </c>
      <c r="F49" s="221" t="s">
        <v>33</v>
      </c>
      <c r="G49" s="223">
        <f>16*1650</f>
        <v>26400</v>
      </c>
      <c r="H49" s="224"/>
      <c r="I49" s="232">
        <f t="shared" si="6"/>
        <v>149150</v>
      </c>
      <c r="J49" s="1" t="s">
        <v>307</v>
      </c>
    </row>
    <row r="50" spans="4:10" ht="14" x14ac:dyDescent="0.3">
      <c r="D50" s="217">
        <v>45427</v>
      </c>
      <c r="E50" s="215" t="s">
        <v>220</v>
      </c>
      <c r="F50" s="221" t="s">
        <v>34</v>
      </c>
      <c r="G50" s="223">
        <f>26*1750</f>
        <v>45500</v>
      </c>
      <c r="H50" s="224"/>
      <c r="I50" s="232">
        <f t="shared" si="6"/>
        <v>194650</v>
      </c>
      <c r="J50" s="1" t="s">
        <v>307</v>
      </c>
    </row>
    <row r="51" spans="4:10" ht="14" x14ac:dyDescent="0.3">
      <c r="D51" s="217">
        <v>45427</v>
      </c>
      <c r="E51" s="215" t="s">
        <v>220</v>
      </c>
      <c r="F51" s="221" t="s">
        <v>35</v>
      </c>
      <c r="G51" s="223">
        <f>5*1700</f>
        <v>8500</v>
      </c>
      <c r="H51" s="224"/>
      <c r="I51" s="232">
        <f t="shared" si="6"/>
        <v>203150</v>
      </c>
      <c r="J51" s="1" t="s">
        <v>307</v>
      </c>
    </row>
    <row r="52" spans="4:10" ht="14" x14ac:dyDescent="0.3">
      <c r="D52" s="217">
        <v>45427</v>
      </c>
      <c r="E52" s="215" t="s">
        <v>220</v>
      </c>
      <c r="F52" s="221" t="s">
        <v>36</v>
      </c>
      <c r="G52" s="223">
        <f>1*1700</f>
        <v>1700</v>
      </c>
      <c r="H52" s="224"/>
      <c r="I52" s="232">
        <f t="shared" si="6"/>
        <v>204850</v>
      </c>
      <c r="J52" s="1" t="s">
        <v>307</v>
      </c>
    </row>
    <row r="53" spans="4:10" ht="14" x14ac:dyDescent="0.3">
      <c r="D53" s="217">
        <v>45427</v>
      </c>
      <c r="E53" s="215" t="s">
        <v>220</v>
      </c>
      <c r="F53" s="221" t="s">
        <v>37</v>
      </c>
      <c r="G53" s="223">
        <f>10*1695</f>
        <v>16950</v>
      </c>
      <c r="H53" s="224"/>
      <c r="I53" s="232">
        <f t="shared" si="6"/>
        <v>221800</v>
      </c>
      <c r="J53" s="1" t="s">
        <v>307</v>
      </c>
    </row>
    <row r="54" spans="4:10" ht="14" x14ac:dyDescent="0.3">
      <c r="D54" s="218">
        <v>45442</v>
      </c>
      <c r="E54" s="215" t="s">
        <v>82</v>
      </c>
      <c r="F54" s="221" t="s">
        <v>94</v>
      </c>
      <c r="G54" s="225">
        <v>3240</v>
      </c>
      <c r="H54" s="224"/>
      <c r="I54" s="232">
        <f t="shared" si="6"/>
        <v>225040</v>
      </c>
      <c r="J54" s="1" t="s">
        <v>307</v>
      </c>
    </row>
    <row r="55" spans="4:10" ht="14" x14ac:dyDescent="0.3">
      <c r="D55" s="218">
        <v>45442</v>
      </c>
      <c r="E55" s="215" t="s">
        <v>82</v>
      </c>
      <c r="F55" s="220" t="s">
        <v>95</v>
      </c>
      <c r="G55" s="225">
        <v>29520</v>
      </c>
      <c r="H55" s="224"/>
      <c r="I55" s="232">
        <f t="shared" si="6"/>
        <v>254560</v>
      </c>
      <c r="J55" s="1" t="s">
        <v>307</v>
      </c>
    </row>
    <row r="56" spans="4:10" ht="14" x14ac:dyDescent="0.3">
      <c r="D56" s="218">
        <v>45442</v>
      </c>
      <c r="E56" s="215" t="s">
        <v>82</v>
      </c>
      <c r="F56" s="220" t="s">
        <v>96</v>
      </c>
      <c r="G56" s="225">
        <v>24300</v>
      </c>
      <c r="H56" s="224"/>
      <c r="I56" s="232">
        <f t="shared" si="6"/>
        <v>278860</v>
      </c>
      <c r="J56" s="1" t="s">
        <v>307</v>
      </c>
    </row>
    <row r="57" spans="4:10" ht="14" x14ac:dyDescent="0.3">
      <c r="D57" s="217">
        <v>45448</v>
      </c>
      <c r="E57" s="215" t="s">
        <v>107</v>
      </c>
      <c r="F57" s="221" t="s">
        <v>103</v>
      </c>
      <c r="G57" s="225">
        <f>1680*20</f>
        <v>33600</v>
      </c>
      <c r="H57" s="224"/>
      <c r="I57" s="232">
        <f t="shared" si="6"/>
        <v>312460</v>
      </c>
      <c r="J57" s="1" t="s">
        <v>307</v>
      </c>
    </row>
    <row r="58" spans="4:10" ht="14" x14ac:dyDescent="0.3">
      <c r="D58" s="217">
        <v>45449</v>
      </c>
      <c r="E58" s="215" t="s">
        <v>107</v>
      </c>
      <c r="F58" s="221" t="s">
        <v>104</v>
      </c>
      <c r="G58" s="225">
        <f>1680*30</f>
        <v>50400</v>
      </c>
      <c r="H58" s="224"/>
      <c r="I58" s="232">
        <f t="shared" si="6"/>
        <v>362860</v>
      </c>
      <c r="J58" s="1" t="s">
        <v>307</v>
      </c>
    </row>
    <row r="59" spans="4:10" ht="14" x14ac:dyDescent="0.3">
      <c r="D59" s="217">
        <v>45453</v>
      </c>
      <c r="E59" s="215" t="s">
        <v>107</v>
      </c>
      <c r="F59" s="221" t="s">
        <v>105</v>
      </c>
      <c r="G59" s="225">
        <v>3400</v>
      </c>
      <c r="H59" s="224"/>
      <c r="I59" s="232">
        <f t="shared" si="6"/>
        <v>366260</v>
      </c>
      <c r="J59" s="1" t="s">
        <v>307</v>
      </c>
    </row>
    <row r="60" spans="4:10" ht="14" x14ac:dyDescent="0.3">
      <c r="D60" s="217">
        <v>45455</v>
      </c>
      <c r="E60" s="215" t="s">
        <v>107</v>
      </c>
      <c r="F60" s="221" t="s">
        <v>94</v>
      </c>
      <c r="G60" s="225">
        <f>1670*2</f>
        <v>3340</v>
      </c>
      <c r="H60" s="224"/>
      <c r="I60" s="232">
        <f t="shared" si="6"/>
        <v>369600</v>
      </c>
      <c r="J60" s="1" t="s">
        <v>307</v>
      </c>
    </row>
    <row r="61" spans="4:10" ht="14" x14ac:dyDescent="0.3">
      <c r="D61" s="217">
        <v>45456</v>
      </c>
      <c r="E61" s="215" t="s">
        <v>107</v>
      </c>
      <c r="F61" s="221" t="s">
        <v>106</v>
      </c>
      <c r="G61" s="225">
        <v>9990</v>
      </c>
      <c r="H61" s="224"/>
      <c r="I61" s="232">
        <f t="shared" si="6"/>
        <v>379590</v>
      </c>
      <c r="J61" s="1" t="s">
        <v>307</v>
      </c>
    </row>
    <row r="62" spans="4:10" ht="14" x14ac:dyDescent="0.3">
      <c r="D62" s="217">
        <v>45453</v>
      </c>
      <c r="E62" s="215" t="s">
        <v>110</v>
      </c>
      <c r="F62" s="221" t="s">
        <v>118</v>
      </c>
      <c r="G62" s="225">
        <v>58800</v>
      </c>
      <c r="H62" s="224"/>
      <c r="I62" s="232">
        <f t="shared" si="6"/>
        <v>438390</v>
      </c>
      <c r="J62" s="1" t="s">
        <v>307</v>
      </c>
    </row>
    <row r="63" spans="4:10" ht="14" x14ac:dyDescent="0.3">
      <c r="D63" s="217">
        <v>45456</v>
      </c>
      <c r="E63" s="215" t="s">
        <v>110</v>
      </c>
      <c r="F63" s="221" t="s">
        <v>119</v>
      </c>
      <c r="G63" s="225">
        <v>11655</v>
      </c>
      <c r="H63" s="224"/>
      <c r="I63" s="232">
        <f t="shared" si="6"/>
        <v>450045</v>
      </c>
      <c r="J63" s="1" t="s">
        <v>307</v>
      </c>
    </row>
    <row r="64" spans="4:10" ht="14" x14ac:dyDescent="0.3">
      <c r="D64" s="217">
        <v>45456</v>
      </c>
      <c r="E64" s="215" t="s">
        <v>110</v>
      </c>
      <c r="F64" s="221" t="s">
        <v>120</v>
      </c>
      <c r="G64" s="225">
        <v>8350</v>
      </c>
      <c r="H64" s="224"/>
      <c r="I64" s="232">
        <f t="shared" si="6"/>
        <v>458395</v>
      </c>
      <c r="J64" s="1" t="s">
        <v>307</v>
      </c>
    </row>
    <row r="65" spans="4:10" ht="14" x14ac:dyDescent="0.3">
      <c r="D65" s="217">
        <v>45469</v>
      </c>
      <c r="E65" s="215" t="s">
        <v>127</v>
      </c>
      <c r="F65" s="221" t="s">
        <v>140</v>
      </c>
      <c r="G65" s="225">
        <f>26*1580</f>
        <v>41080</v>
      </c>
      <c r="H65" s="224"/>
      <c r="I65" s="232">
        <f t="shared" si="6"/>
        <v>499475</v>
      </c>
      <c r="J65" s="1" t="s">
        <v>307</v>
      </c>
    </row>
    <row r="66" spans="4:10" ht="14" x14ac:dyDescent="0.3">
      <c r="D66" s="217">
        <v>45471</v>
      </c>
      <c r="E66" s="215" t="s">
        <v>127</v>
      </c>
      <c r="F66" s="221" t="s">
        <v>141</v>
      </c>
      <c r="G66" s="225">
        <v>31500</v>
      </c>
      <c r="H66" s="224"/>
      <c r="I66" s="232">
        <f t="shared" si="6"/>
        <v>530975</v>
      </c>
      <c r="J66" s="1" t="s">
        <v>307</v>
      </c>
    </row>
    <row r="67" spans="4:10" ht="14" x14ac:dyDescent="0.3">
      <c r="D67" s="217">
        <v>45474</v>
      </c>
      <c r="E67" s="215" t="s">
        <v>127</v>
      </c>
      <c r="F67" s="221" t="s">
        <v>142</v>
      </c>
      <c r="G67" s="225">
        <f>1530*48</f>
        <v>73440</v>
      </c>
      <c r="H67" s="224"/>
      <c r="I67" s="232">
        <f t="shared" si="6"/>
        <v>604415</v>
      </c>
      <c r="J67" s="1" t="s">
        <v>307</v>
      </c>
    </row>
    <row r="68" spans="4:10" ht="14" x14ac:dyDescent="0.3">
      <c r="D68" s="217">
        <v>45474</v>
      </c>
      <c r="E68" s="215" t="s">
        <v>167</v>
      </c>
      <c r="F68" s="221" t="s">
        <v>174</v>
      </c>
      <c r="G68" s="225">
        <f>1530*24</f>
        <v>36720</v>
      </c>
      <c r="H68" s="224"/>
      <c r="I68" s="232">
        <f t="shared" si="6"/>
        <v>641135</v>
      </c>
      <c r="J68" s="1" t="s">
        <v>307</v>
      </c>
    </row>
    <row r="69" spans="4:10" ht="14" x14ac:dyDescent="0.3">
      <c r="D69" s="217">
        <v>45478</v>
      </c>
      <c r="E69" s="215" t="s">
        <v>167</v>
      </c>
      <c r="F69" s="221" t="s">
        <v>175</v>
      </c>
      <c r="G69" s="225">
        <f>31*1500</f>
        <v>46500</v>
      </c>
      <c r="H69" s="224"/>
      <c r="I69" s="232">
        <f t="shared" si="6"/>
        <v>687635</v>
      </c>
      <c r="J69" s="1" t="s">
        <v>307</v>
      </c>
    </row>
    <row r="70" spans="4:10" ht="14" x14ac:dyDescent="0.3">
      <c r="D70" s="217">
        <v>45482</v>
      </c>
      <c r="E70" s="215" t="s">
        <v>167</v>
      </c>
      <c r="F70" s="221" t="s">
        <v>176</v>
      </c>
      <c r="G70" s="225">
        <f>3*1425</f>
        <v>4275</v>
      </c>
      <c r="H70" s="224"/>
      <c r="I70" s="232">
        <f t="shared" si="6"/>
        <v>691910</v>
      </c>
      <c r="J70" s="1" t="s">
        <v>307</v>
      </c>
    </row>
    <row r="71" spans="4:10" ht="14" x14ac:dyDescent="0.3">
      <c r="D71" s="217">
        <v>45491</v>
      </c>
      <c r="E71" s="215" t="s">
        <v>177</v>
      </c>
      <c r="F71" s="221" t="s">
        <v>182</v>
      </c>
      <c r="G71" s="223">
        <f>42*1220</f>
        <v>51240</v>
      </c>
      <c r="H71" s="224"/>
      <c r="I71" s="232">
        <f t="shared" si="6"/>
        <v>743150</v>
      </c>
      <c r="J71" s="1" t="s">
        <v>307</v>
      </c>
    </row>
    <row r="72" spans="4:10" ht="14" x14ac:dyDescent="0.3">
      <c r="D72" s="217">
        <v>45482</v>
      </c>
      <c r="E72" s="215" t="s">
        <v>185</v>
      </c>
      <c r="F72" s="221" t="s">
        <v>200</v>
      </c>
      <c r="G72" s="225">
        <f>1425*20</f>
        <v>28500</v>
      </c>
      <c r="H72" s="224"/>
      <c r="I72" s="232">
        <f t="shared" si="6"/>
        <v>771650</v>
      </c>
      <c r="J72" s="1" t="s">
        <v>307</v>
      </c>
    </row>
    <row r="73" spans="4:10" ht="14" x14ac:dyDescent="0.3">
      <c r="D73" s="217">
        <v>45482</v>
      </c>
      <c r="E73" s="215" t="s">
        <v>185</v>
      </c>
      <c r="F73" s="221" t="s">
        <v>201</v>
      </c>
      <c r="G73" s="225">
        <f>5*1470</f>
        <v>7350</v>
      </c>
      <c r="H73" s="224"/>
      <c r="I73" s="232">
        <f t="shared" si="6"/>
        <v>779000</v>
      </c>
      <c r="J73" s="1" t="s">
        <v>307</v>
      </c>
    </row>
    <row r="74" spans="4:10" ht="14" x14ac:dyDescent="0.3">
      <c r="D74" s="217">
        <v>45484</v>
      </c>
      <c r="E74" s="215" t="s">
        <v>185</v>
      </c>
      <c r="F74" s="221" t="s">
        <v>202</v>
      </c>
      <c r="G74" s="225">
        <f>10*1425</f>
        <v>14250</v>
      </c>
      <c r="H74" s="224"/>
      <c r="I74" s="232">
        <f t="shared" si="6"/>
        <v>793250</v>
      </c>
      <c r="J74" s="1" t="s">
        <v>307</v>
      </c>
    </row>
    <row r="75" spans="4:10" ht="14" x14ac:dyDescent="0.3">
      <c r="D75" s="217">
        <v>45484</v>
      </c>
      <c r="E75" s="215" t="s">
        <v>185</v>
      </c>
      <c r="F75" s="221" t="s">
        <v>203</v>
      </c>
      <c r="G75" s="225">
        <f>1370*20</f>
        <v>27400</v>
      </c>
      <c r="H75" s="224"/>
      <c r="I75" s="232">
        <f t="shared" si="6"/>
        <v>820650</v>
      </c>
      <c r="J75" s="1" t="s">
        <v>307</v>
      </c>
    </row>
    <row r="76" spans="4:10" ht="14" x14ac:dyDescent="0.3">
      <c r="D76" s="217">
        <v>45484</v>
      </c>
      <c r="E76" s="215" t="s">
        <v>185</v>
      </c>
      <c r="F76" s="221" t="s">
        <v>204</v>
      </c>
      <c r="G76" s="225">
        <f>37*1390</f>
        <v>51430</v>
      </c>
      <c r="H76" s="224"/>
      <c r="I76" s="232">
        <f t="shared" si="6"/>
        <v>872080</v>
      </c>
      <c r="J76" s="1" t="s">
        <v>307</v>
      </c>
    </row>
    <row r="77" spans="4:10" ht="14" x14ac:dyDescent="0.3">
      <c r="D77" s="217">
        <v>45491</v>
      </c>
      <c r="E77" s="215" t="s">
        <v>205</v>
      </c>
      <c r="F77" s="221" t="s">
        <v>210</v>
      </c>
      <c r="G77" s="225">
        <f>1*1220</f>
        <v>1220</v>
      </c>
      <c r="H77" s="224"/>
      <c r="I77" s="232">
        <f t="shared" si="6"/>
        <v>873300</v>
      </c>
      <c r="J77" s="1" t="s">
        <v>307</v>
      </c>
    </row>
    <row r="78" spans="4:10" ht="14" x14ac:dyDescent="0.3">
      <c r="D78" s="217">
        <v>45491</v>
      </c>
      <c r="E78" s="215" t="s">
        <v>205</v>
      </c>
      <c r="F78" s="221" t="s">
        <v>211</v>
      </c>
      <c r="G78" s="225">
        <f>30*1240</f>
        <v>37200</v>
      </c>
      <c r="H78" s="224"/>
      <c r="I78" s="232">
        <f t="shared" si="6"/>
        <v>910500</v>
      </c>
      <c r="J78" s="1" t="s">
        <v>307</v>
      </c>
    </row>
    <row r="79" spans="4:10" ht="14" x14ac:dyDescent="0.3">
      <c r="D79" s="217">
        <v>45491</v>
      </c>
      <c r="E79" s="215" t="s">
        <v>205</v>
      </c>
      <c r="F79" s="221" t="s">
        <v>212</v>
      </c>
      <c r="G79" s="225">
        <f>22*1230</f>
        <v>27060</v>
      </c>
      <c r="H79" s="224"/>
      <c r="I79" s="232">
        <f t="shared" si="6"/>
        <v>937560</v>
      </c>
      <c r="J79" s="1" t="s">
        <v>307</v>
      </c>
    </row>
    <row r="80" spans="4:10" ht="14" x14ac:dyDescent="0.3">
      <c r="D80" s="217">
        <v>45497</v>
      </c>
      <c r="E80" s="215" t="s">
        <v>205</v>
      </c>
      <c r="F80" s="221" t="s">
        <v>276</v>
      </c>
      <c r="G80" s="225">
        <f>1*1180</f>
        <v>1180</v>
      </c>
      <c r="H80" s="224"/>
      <c r="I80" s="232">
        <f t="shared" si="6"/>
        <v>938740</v>
      </c>
      <c r="J80" s="1" t="s">
        <v>307</v>
      </c>
    </row>
    <row r="81" spans="4:10" ht="14" x14ac:dyDescent="0.3">
      <c r="D81" s="217">
        <v>45497</v>
      </c>
      <c r="E81" s="215" t="s">
        <v>237</v>
      </c>
      <c r="F81" s="221" t="s">
        <v>277</v>
      </c>
      <c r="G81" s="223">
        <f>7*1180</f>
        <v>8260</v>
      </c>
      <c r="H81" s="224"/>
      <c r="I81" s="232">
        <f t="shared" si="6"/>
        <v>947000</v>
      </c>
      <c r="J81" s="1" t="s">
        <v>307</v>
      </c>
    </row>
    <row r="82" spans="4:10" ht="14" x14ac:dyDescent="0.3">
      <c r="D82" s="217">
        <v>45497</v>
      </c>
      <c r="E82" s="215" t="s">
        <v>237</v>
      </c>
      <c r="F82" s="221" t="s">
        <v>278</v>
      </c>
      <c r="G82" s="223">
        <f>20*1180</f>
        <v>23600</v>
      </c>
      <c r="H82" s="224"/>
      <c r="I82" s="232">
        <f t="shared" si="6"/>
        <v>970600</v>
      </c>
      <c r="J82" s="1" t="s">
        <v>307</v>
      </c>
    </row>
    <row r="83" spans="4:10" ht="14" x14ac:dyDescent="0.3">
      <c r="D83" s="217">
        <v>45497</v>
      </c>
      <c r="E83" s="215" t="s">
        <v>237</v>
      </c>
      <c r="F83" s="221" t="s">
        <v>279</v>
      </c>
      <c r="G83" s="223">
        <f>28*1175</f>
        <v>32900</v>
      </c>
      <c r="H83" s="224"/>
      <c r="I83" s="232">
        <f t="shared" si="6"/>
        <v>1003500</v>
      </c>
      <c r="J83" s="1" t="s">
        <v>307</v>
      </c>
    </row>
    <row r="84" spans="4:10" ht="14" x14ac:dyDescent="0.3">
      <c r="D84" s="217">
        <v>45504</v>
      </c>
      <c r="E84" s="215" t="s">
        <v>250</v>
      </c>
      <c r="F84" s="220" t="s">
        <v>377</v>
      </c>
      <c r="G84" s="223">
        <f>130*1160</f>
        <v>150800</v>
      </c>
      <c r="H84" s="224"/>
      <c r="I84" s="232">
        <f t="shared" si="6"/>
        <v>1154300</v>
      </c>
      <c r="J84" s="1" t="s">
        <v>307</v>
      </c>
    </row>
    <row r="85" spans="4:10" ht="14" x14ac:dyDescent="0.3">
      <c r="D85" s="217">
        <v>45499</v>
      </c>
      <c r="E85" s="215" t="s">
        <v>272</v>
      </c>
      <c r="F85" s="220" t="s">
        <v>316</v>
      </c>
      <c r="G85" s="223">
        <f>1180*30</f>
        <v>35400</v>
      </c>
      <c r="H85" s="224"/>
      <c r="I85" s="232">
        <f t="shared" si="6"/>
        <v>1189700</v>
      </c>
      <c r="J85" s="1" t="s">
        <v>307</v>
      </c>
    </row>
    <row r="86" spans="4:10" ht="14" x14ac:dyDescent="0.3">
      <c r="D86" s="217">
        <v>45502</v>
      </c>
      <c r="E86" s="215" t="s">
        <v>272</v>
      </c>
      <c r="F86" s="220" t="s">
        <v>371</v>
      </c>
      <c r="G86" s="226">
        <f>26*1165</f>
        <v>30290</v>
      </c>
      <c r="H86" s="224"/>
      <c r="I86" s="232">
        <f t="shared" si="6"/>
        <v>1219990</v>
      </c>
      <c r="J86" s="1" t="s">
        <v>307</v>
      </c>
    </row>
    <row r="87" spans="4:10" ht="14" x14ac:dyDescent="0.3">
      <c r="D87" s="217">
        <v>45504</v>
      </c>
      <c r="E87" s="215" t="s">
        <v>272</v>
      </c>
      <c r="F87" s="220" t="s">
        <v>376</v>
      </c>
      <c r="G87" s="223">
        <f>20*1160</f>
        <v>23200</v>
      </c>
      <c r="H87" s="224"/>
      <c r="I87" s="232">
        <f t="shared" si="6"/>
        <v>1243190</v>
      </c>
      <c r="J87" s="1" t="s">
        <v>307</v>
      </c>
    </row>
    <row r="88" spans="4:10" ht="14" x14ac:dyDescent="0.3">
      <c r="D88" s="217">
        <v>45506</v>
      </c>
      <c r="E88" s="215" t="s">
        <v>250</v>
      </c>
      <c r="F88" s="220" t="s">
        <v>421</v>
      </c>
      <c r="G88" s="226">
        <f>1170*15</f>
        <v>17550</v>
      </c>
      <c r="H88" s="224"/>
      <c r="I88" s="232">
        <f t="shared" si="6"/>
        <v>1260740</v>
      </c>
      <c r="J88" s="1"/>
    </row>
    <row r="89" spans="4:10" ht="14" x14ac:dyDescent="0.3">
      <c r="D89" s="217"/>
      <c r="E89" s="215"/>
      <c r="F89" s="220"/>
      <c r="G89" s="226"/>
      <c r="H89" s="224"/>
      <c r="I89" s="232">
        <f t="shared" si="6"/>
        <v>1260740</v>
      </c>
      <c r="J89" s="1"/>
    </row>
    <row r="90" spans="4:10" ht="14" x14ac:dyDescent="0.3">
      <c r="D90" s="217"/>
      <c r="E90" s="215"/>
      <c r="F90" s="220"/>
      <c r="G90" s="226"/>
      <c r="H90" s="224"/>
      <c r="I90" s="232">
        <f t="shared" si="6"/>
        <v>1260740</v>
      </c>
      <c r="J90" s="1"/>
    </row>
    <row r="91" spans="4:10" ht="14.5" thickBot="1" x14ac:dyDescent="0.35">
      <c r="D91" s="216"/>
      <c r="E91" s="216"/>
      <c r="F91" s="216"/>
      <c r="G91" s="216"/>
      <c r="H91" s="227"/>
      <c r="I91" s="233">
        <f t="shared" si="6"/>
        <v>1260740</v>
      </c>
      <c r="J91" s="1"/>
    </row>
    <row r="92" spans="4:10" ht="14" x14ac:dyDescent="0.3">
      <c r="D92" s="215"/>
      <c r="E92" s="215"/>
      <c r="F92" s="215"/>
      <c r="G92" s="224"/>
      <c r="H92" s="224"/>
      <c r="I92" s="232">
        <f t="shared" si="6"/>
        <v>1260740</v>
      </c>
    </row>
    <row r="93" spans="4:10" ht="14" x14ac:dyDescent="0.3">
      <c r="D93" s="234">
        <v>45394</v>
      </c>
      <c r="E93" s="215"/>
      <c r="F93" s="79" t="s">
        <v>51</v>
      </c>
      <c r="G93" s="224"/>
      <c r="H93" s="235">
        <f>97774/77</f>
        <v>1269.7922077922078</v>
      </c>
      <c r="I93" s="232">
        <f t="shared" si="6"/>
        <v>1259470.2077922078</v>
      </c>
      <c r="J93" s="242" t="s">
        <v>307</v>
      </c>
    </row>
    <row r="94" spans="4:10" ht="14" x14ac:dyDescent="0.3">
      <c r="D94" s="234">
        <v>45394</v>
      </c>
      <c r="E94" s="215"/>
      <c r="F94" s="79" t="s">
        <v>51</v>
      </c>
      <c r="G94" s="224"/>
      <c r="H94" s="235">
        <f>164448/77</f>
        <v>2135.6883116883118</v>
      </c>
      <c r="I94" s="232">
        <f t="shared" si="6"/>
        <v>1257334.5194805195</v>
      </c>
      <c r="J94" s="242" t="s">
        <v>307</v>
      </c>
    </row>
    <row r="95" spans="4:10" ht="14" x14ac:dyDescent="0.3">
      <c r="D95" s="234">
        <v>45397</v>
      </c>
      <c r="E95" s="215"/>
      <c r="F95" s="79" t="s">
        <v>52</v>
      </c>
      <c r="G95" s="224"/>
      <c r="H95" s="235">
        <v>30</v>
      </c>
      <c r="I95" s="232">
        <f t="shared" si="6"/>
        <v>1257304.5194805195</v>
      </c>
      <c r="J95" s="242" t="s">
        <v>307</v>
      </c>
    </row>
    <row r="96" spans="4:10" ht="14" x14ac:dyDescent="0.3">
      <c r="D96" s="234">
        <v>45410</v>
      </c>
      <c r="E96" s="215"/>
      <c r="F96" s="79" t="s">
        <v>51</v>
      </c>
      <c r="G96" s="224"/>
      <c r="H96" s="235">
        <f>97774/77</f>
        <v>1269.7922077922078</v>
      </c>
      <c r="I96" s="232">
        <f t="shared" si="6"/>
        <v>1256034.7272727273</v>
      </c>
      <c r="J96" s="242" t="s">
        <v>307</v>
      </c>
    </row>
    <row r="97" spans="4:10" ht="14" x14ac:dyDescent="0.3">
      <c r="D97" s="234">
        <v>45410</v>
      </c>
      <c r="E97" s="215"/>
      <c r="F97" s="79" t="s">
        <v>51</v>
      </c>
      <c r="G97" s="224"/>
      <c r="H97" s="235">
        <f>164448/77</f>
        <v>2135.6883116883118</v>
      </c>
      <c r="I97" s="232">
        <f t="shared" si="6"/>
        <v>1253899.0389610389</v>
      </c>
      <c r="J97" s="242" t="s">
        <v>307</v>
      </c>
    </row>
    <row r="98" spans="4:10" ht="14" x14ac:dyDescent="0.3">
      <c r="D98" s="218">
        <v>45419</v>
      </c>
      <c r="E98" s="215"/>
      <c r="F98" s="220" t="s">
        <v>382</v>
      </c>
      <c r="G98" s="224"/>
      <c r="H98" s="228">
        <v>660</v>
      </c>
      <c r="I98" s="232">
        <f t="shared" si="6"/>
        <v>1253239.0389610389</v>
      </c>
      <c r="J98" s="242" t="s">
        <v>307</v>
      </c>
    </row>
    <row r="99" spans="4:10" ht="14" x14ac:dyDescent="0.3">
      <c r="D99" s="218">
        <v>45419</v>
      </c>
      <c r="E99" s="215"/>
      <c r="F99" s="220" t="s">
        <v>382</v>
      </c>
      <c r="G99" s="224"/>
      <c r="H99" s="228">
        <v>650</v>
      </c>
      <c r="I99" s="232">
        <f t="shared" si="6"/>
        <v>1252589.0389610389</v>
      </c>
      <c r="J99" s="242" t="s">
        <v>307</v>
      </c>
    </row>
    <row r="100" spans="4:10" ht="14" x14ac:dyDescent="0.3">
      <c r="D100" s="218">
        <v>45419</v>
      </c>
      <c r="E100" s="215"/>
      <c r="F100" s="222" t="s">
        <v>413</v>
      </c>
      <c r="G100" s="224"/>
      <c r="H100" s="228">
        <v>23870</v>
      </c>
      <c r="I100" s="232">
        <f t="shared" si="6"/>
        <v>1228719.0389610389</v>
      </c>
      <c r="J100" s="242" t="s">
        <v>307</v>
      </c>
    </row>
    <row r="101" spans="4:10" ht="14" x14ac:dyDescent="0.3">
      <c r="D101" s="218">
        <v>45420</v>
      </c>
      <c r="E101" s="215"/>
      <c r="F101" s="220" t="s">
        <v>355</v>
      </c>
      <c r="G101" s="224"/>
      <c r="H101" s="228">
        <v>10</v>
      </c>
      <c r="I101" s="232">
        <f t="shared" si="6"/>
        <v>1228709.0389610389</v>
      </c>
      <c r="J101" s="242" t="s">
        <v>307</v>
      </c>
    </row>
    <row r="102" spans="4:10" ht="14" x14ac:dyDescent="0.3">
      <c r="D102" s="218">
        <v>45420</v>
      </c>
      <c r="E102" s="215"/>
      <c r="F102" s="220" t="s">
        <v>384</v>
      </c>
      <c r="G102" s="224"/>
      <c r="H102" s="228">
        <v>45000</v>
      </c>
      <c r="I102" s="232">
        <f t="shared" si="6"/>
        <v>1183709.0389610389</v>
      </c>
      <c r="J102" s="242" t="s">
        <v>307</v>
      </c>
    </row>
    <row r="103" spans="4:10" ht="14" x14ac:dyDescent="0.3">
      <c r="D103" s="218">
        <v>45420</v>
      </c>
      <c r="E103" s="215"/>
      <c r="F103" s="220" t="s">
        <v>385</v>
      </c>
      <c r="G103" s="224"/>
      <c r="H103" s="228">
        <v>4230</v>
      </c>
      <c r="I103" s="232">
        <f t="shared" si="6"/>
        <v>1179479.0389610389</v>
      </c>
      <c r="J103" s="242" t="s">
        <v>307</v>
      </c>
    </row>
    <row r="104" spans="4:10" ht="14" x14ac:dyDescent="0.3">
      <c r="D104" s="218">
        <v>45420</v>
      </c>
      <c r="E104" s="215"/>
      <c r="F104" s="236" t="s">
        <v>74</v>
      </c>
      <c r="G104" s="224"/>
      <c r="H104" s="228">
        <v>3896.1</v>
      </c>
      <c r="I104" s="232">
        <f t="shared" si="6"/>
        <v>1175582.9389610388</v>
      </c>
      <c r="J104" s="242" t="s">
        <v>307</v>
      </c>
    </row>
    <row r="105" spans="4:10" ht="14" x14ac:dyDescent="0.3">
      <c r="D105" s="237">
        <v>45423</v>
      </c>
      <c r="E105" s="215"/>
      <c r="F105" s="238" t="s">
        <v>21</v>
      </c>
      <c r="G105" s="224"/>
      <c r="H105" s="235">
        <v>8843.36</v>
      </c>
      <c r="I105" s="232">
        <f t="shared" si="6"/>
        <v>1166739.5789610387</v>
      </c>
      <c r="J105" s="242" t="s">
        <v>307</v>
      </c>
    </row>
    <row r="106" spans="4:10" ht="14" x14ac:dyDescent="0.3">
      <c r="D106" s="237">
        <v>45423</v>
      </c>
      <c r="E106" s="215"/>
      <c r="F106" s="238" t="s">
        <v>24</v>
      </c>
      <c r="G106" s="224"/>
      <c r="H106" s="235">
        <v>18624.32</v>
      </c>
      <c r="I106" s="232">
        <f t="shared" si="6"/>
        <v>1148115.2589610387</v>
      </c>
      <c r="J106" s="242" t="s">
        <v>307</v>
      </c>
    </row>
    <row r="107" spans="4:10" ht="14" x14ac:dyDescent="0.3">
      <c r="D107" s="218">
        <v>45427</v>
      </c>
      <c r="E107" s="215"/>
      <c r="F107" s="221" t="s">
        <v>386</v>
      </c>
      <c r="G107" s="224"/>
      <c r="H107" s="229">
        <v>1830</v>
      </c>
      <c r="I107" s="232">
        <f t="shared" si="6"/>
        <v>1146285.2589610387</v>
      </c>
      <c r="J107" s="242" t="s">
        <v>307</v>
      </c>
    </row>
    <row r="108" spans="4:10" ht="14" x14ac:dyDescent="0.3">
      <c r="D108" s="218">
        <v>45427</v>
      </c>
      <c r="E108" s="215"/>
      <c r="F108" s="239" t="s">
        <v>78</v>
      </c>
      <c r="G108" s="224"/>
      <c r="H108" s="229">
        <v>20000</v>
      </c>
      <c r="I108" s="232">
        <f t="shared" si="6"/>
        <v>1126285.2589610387</v>
      </c>
      <c r="J108" s="242" t="s">
        <v>307</v>
      </c>
    </row>
    <row r="109" spans="4:10" ht="14" x14ac:dyDescent="0.3">
      <c r="D109" s="218">
        <v>45432</v>
      </c>
      <c r="E109" s="215"/>
      <c r="F109" s="239" t="s">
        <v>79</v>
      </c>
      <c r="G109" s="224"/>
      <c r="H109" s="229">
        <v>58000</v>
      </c>
      <c r="I109" s="232">
        <f t="shared" si="6"/>
        <v>1068285.2589610387</v>
      </c>
      <c r="J109" s="243" t="s">
        <v>307</v>
      </c>
    </row>
    <row r="110" spans="4:10" ht="14" x14ac:dyDescent="0.3">
      <c r="D110" s="218">
        <v>45440</v>
      </c>
      <c r="E110" s="215"/>
      <c r="F110" s="221" t="s">
        <v>387</v>
      </c>
      <c r="G110" s="224"/>
      <c r="H110" s="228">
        <v>1230</v>
      </c>
      <c r="I110" s="232">
        <f t="shared" si="6"/>
        <v>1067055.2589610387</v>
      </c>
      <c r="J110" s="243" t="s">
        <v>307</v>
      </c>
    </row>
    <row r="111" spans="4:10" ht="14" x14ac:dyDescent="0.3">
      <c r="D111" s="218">
        <v>45440</v>
      </c>
      <c r="E111" s="215"/>
      <c r="F111" s="221" t="s">
        <v>388</v>
      </c>
      <c r="G111" s="224"/>
      <c r="H111" s="228">
        <v>30</v>
      </c>
      <c r="I111" s="232">
        <f t="shared" si="6"/>
        <v>1067025.2589610387</v>
      </c>
      <c r="J111" s="243" t="s">
        <v>307</v>
      </c>
    </row>
    <row r="112" spans="4:10" ht="14" x14ac:dyDescent="0.3">
      <c r="D112" s="237">
        <v>45442</v>
      </c>
      <c r="E112" s="215"/>
      <c r="F112" s="240" t="s">
        <v>93</v>
      </c>
      <c r="G112" s="224"/>
      <c r="H112" s="241">
        <v>1264.58</v>
      </c>
      <c r="I112" s="232">
        <f t="shared" si="6"/>
        <v>1065760.6789610386</v>
      </c>
      <c r="J112" s="243" t="s">
        <v>307</v>
      </c>
    </row>
    <row r="113" spans="4:10" ht="14" x14ac:dyDescent="0.3">
      <c r="D113" s="218">
        <v>45444</v>
      </c>
      <c r="E113" s="215"/>
      <c r="F113" s="221" t="s">
        <v>389</v>
      </c>
      <c r="G113" s="224"/>
      <c r="H113" s="228">
        <v>1333</v>
      </c>
      <c r="I113" s="232">
        <f t="shared" si="6"/>
        <v>1064427.6789610386</v>
      </c>
      <c r="J113" s="243" t="s">
        <v>307</v>
      </c>
    </row>
    <row r="114" spans="4:10" ht="14" x14ac:dyDescent="0.3">
      <c r="D114" s="237">
        <v>45447</v>
      </c>
      <c r="E114" s="215"/>
      <c r="F114" s="236" t="s">
        <v>87</v>
      </c>
      <c r="G114" s="224"/>
      <c r="H114" s="235">
        <v>194.81</v>
      </c>
      <c r="I114" s="232">
        <f t="shared" si="6"/>
        <v>1064232.8689610385</v>
      </c>
      <c r="J114" s="243" t="s">
        <v>307</v>
      </c>
    </row>
    <row r="115" spans="4:10" ht="14" x14ac:dyDescent="0.3">
      <c r="D115" s="218">
        <v>45448</v>
      </c>
      <c r="E115" s="215"/>
      <c r="F115" s="221" t="s">
        <v>361</v>
      </c>
      <c r="G115" s="224"/>
      <c r="H115" s="228">
        <v>31900</v>
      </c>
      <c r="I115" s="232">
        <f t="shared" si="6"/>
        <v>1032332.8689610385</v>
      </c>
      <c r="J115" s="243" t="s">
        <v>307</v>
      </c>
    </row>
    <row r="116" spans="4:10" ht="14" x14ac:dyDescent="0.3">
      <c r="D116" s="218">
        <v>45448</v>
      </c>
      <c r="E116" s="215"/>
      <c r="F116" s="221" t="s">
        <v>390</v>
      </c>
      <c r="G116" s="224"/>
      <c r="H116" s="228">
        <v>1660</v>
      </c>
      <c r="I116" s="232">
        <f t="shared" si="6"/>
        <v>1030672.8689610385</v>
      </c>
      <c r="J116" s="243" t="s">
        <v>307</v>
      </c>
    </row>
    <row r="117" spans="4:10" ht="14" x14ac:dyDescent="0.3">
      <c r="D117" s="218">
        <v>45448</v>
      </c>
      <c r="E117" s="215"/>
      <c r="F117" s="221" t="s">
        <v>391</v>
      </c>
      <c r="G117" s="224"/>
      <c r="H117" s="228">
        <v>40</v>
      </c>
      <c r="I117" s="232">
        <f t="shared" si="6"/>
        <v>1030632.8689610385</v>
      </c>
      <c r="J117" s="243" t="s">
        <v>307</v>
      </c>
    </row>
    <row r="118" spans="4:10" ht="14" x14ac:dyDescent="0.3">
      <c r="D118" s="234">
        <v>45449</v>
      </c>
      <c r="E118" s="215"/>
      <c r="F118" s="236" t="s">
        <v>113</v>
      </c>
      <c r="G118" s="224"/>
      <c r="H118" s="228">
        <v>2315.9499999999998</v>
      </c>
      <c r="I118" s="232">
        <f t="shared" si="6"/>
        <v>1028316.9189610386</v>
      </c>
      <c r="J118" s="243" t="s">
        <v>307</v>
      </c>
    </row>
    <row r="119" spans="4:10" ht="14" x14ac:dyDescent="0.3">
      <c r="D119" s="218">
        <v>45451</v>
      </c>
      <c r="E119" s="215"/>
      <c r="F119" s="221" t="s">
        <v>362</v>
      </c>
      <c r="G119" s="224"/>
      <c r="H119" s="228">
        <v>40400</v>
      </c>
      <c r="I119" s="232">
        <f t="shared" ref="I119" si="7">I118+G119-H119</f>
        <v>987916.91896103858</v>
      </c>
      <c r="J119" s="243" t="s">
        <v>307</v>
      </c>
    </row>
    <row r="120" spans="4:10" ht="14" x14ac:dyDescent="0.3">
      <c r="D120" s="218">
        <v>45453</v>
      </c>
      <c r="E120" s="215"/>
      <c r="F120" s="221" t="s">
        <v>392</v>
      </c>
      <c r="G120" s="224"/>
      <c r="H120" s="228">
        <v>1465</v>
      </c>
      <c r="I120" s="232">
        <f t="shared" ref="I120:I186" si="8">I119+G120-H120</f>
        <v>986451.91896103858</v>
      </c>
      <c r="J120" s="243" t="s">
        <v>307</v>
      </c>
    </row>
    <row r="121" spans="4:10" ht="14" x14ac:dyDescent="0.3">
      <c r="D121" s="218">
        <v>45453</v>
      </c>
      <c r="E121" s="215"/>
      <c r="F121" s="221" t="s">
        <v>393</v>
      </c>
      <c r="G121" s="224"/>
      <c r="H121" s="228">
        <v>35</v>
      </c>
      <c r="I121" s="232">
        <f t="shared" si="8"/>
        <v>986416.91896103858</v>
      </c>
      <c r="J121" s="243" t="s">
        <v>307</v>
      </c>
    </row>
    <row r="122" spans="4:10" ht="14" x14ac:dyDescent="0.3">
      <c r="D122" s="218">
        <v>45455</v>
      </c>
      <c r="E122" s="215"/>
      <c r="F122" s="221" t="s">
        <v>363</v>
      </c>
      <c r="G122" s="224"/>
      <c r="H122" s="228">
        <v>60640</v>
      </c>
      <c r="I122" s="232">
        <f t="shared" si="8"/>
        <v>925776.91896103858</v>
      </c>
      <c r="J122" s="243" t="s">
        <v>307</v>
      </c>
    </row>
    <row r="123" spans="4:10" ht="14" x14ac:dyDescent="0.3">
      <c r="D123" s="218">
        <v>45457</v>
      </c>
      <c r="E123" s="215"/>
      <c r="F123" s="221" t="s">
        <v>363</v>
      </c>
      <c r="G123" s="224"/>
      <c r="H123" s="228">
        <v>21320</v>
      </c>
      <c r="I123" s="232">
        <f t="shared" si="8"/>
        <v>904456.91896103858</v>
      </c>
      <c r="J123" s="243" t="s">
        <v>307</v>
      </c>
    </row>
    <row r="124" spans="4:10" ht="14" x14ac:dyDescent="0.3">
      <c r="D124" s="218">
        <v>45462</v>
      </c>
      <c r="E124" s="215"/>
      <c r="F124" s="221" t="s">
        <v>363</v>
      </c>
      <c r="G124" s="224"/>
      <c r="H124" s="228">
        <v>6000</v>
      </c>
      <c r="I124" s="232">
        <f t="shared" si="8"/>
        <v>898456.91896103858</v>
      </c>
      <c r="J124" s="243" t="s">
        <v>307</v>
      </c>
    </row>
    <row r="125" spans="4:10" ht="14" x14ac:dyDescent="0.3">
      <c r="D125" s="218">
        <v>45463</v>
      </c>
      <c r="E125" s="215"/>
      <c r="F125" s="221" t="s">
        <v>363</v>
      </c>
      <c r="G125" s="224"/>
      <c r="H125" s="230">
        <v>8350</v>
      </c>
      <c r="I125" s="232">
        <f t="shared" si="8"/>
        <v>890106.91896103858</v>
      </c>
      <c r="J125" s="243" t="s">
        <v>307</v>
      </c>
    </row>
    <row r="126" spans="4:10" ht="28" x14ac:dyDescent="0.3">
      <c r="D126" s="234">
        <v>45463</v>
      </c>
      <c r="E126" s="215"/>
      <c r="F126" s="236" t="s">
        <v>122</v>
      </c>
      <c r="G126" s="224"/>
      <c r="H126" s="225">
        <f>200000/77</f>
        <v>2597.4025974025976</v>
      </c>
      <c r="I126" s="232">
        <f t="shared" si="8"/>
        <v>887509.51636363601</v>
      </c>
      <c r="J126" s="243" t="s">
        <v>307</v>
      </c>
    </row>
    <row r="127" spans="4:10" ht="28" x14ac:dyDescent="0.3">
      <c r="D127" s="234">
        <v>45463</v>
      </c>
      <c r="E127" s="215"/>
      <c r="F127" s="236" t="s">
        <v>123</v>
      </c>
      <c r="G127" s="224"/>
      <c r="H127" s="225">
        <f>62222/77</f>
        <v>808.07792207792204</v>
      </c>
      <c r="I127" s="232">
        <f t="shared" si="8"/>
        <v>886701.43844155804</v>
      </c>
      <c r="J127" s="243" t="s">
        <v>307</v>
      </c>
    </row>
    <row r="128" spans="4:10" ht="14" x14ac:dyDescent="0.3">
      <c r="D128" s="237">
        <v>45469</v>
      </c>
      <c r="E128" s="215"/>
      <c r="F128" s="238" t="s">
        <v>117</v>
      </c>
      <c r="G128" s="224"/>
      <c r="H128" s="225">
        <v>25</v>
      </c>
      <c r="I128" s="232">
        <f t="shared" si="8"/>
        <v>886676.43844155804</v>
      </c>
      <c r="J128" s="243" t="s">
        <v>307</v>
      </c>
    </row>
    <row r="129" spans="4:10" ht="14" x14ac:dyDescent="0.3">
      <c r="D129" s="218">
        <v>45469</v>
      </c>
      <c r="E129" s="215"/>
      <c r="F129" s="221" t="s">
        <v>363</v>
      </c>
      <c r="G129" s="224"/>
      <c r="H129" s="230">
        <v>21000</v>
      </c>
      <c r="I129" s="232">
        <f t="shared" si="8"/>
        <v>865676.43844155804</v>
      </c>
      <c r="J129" s="243" t="s">
        <v>307</v>
      </c>
    </row>
    <row r="130" spans="4:10" ht="14" x14ac:dyDescent="0.3">
      <c r="D130" s="218">
        <v>45471</v>
      </c>
      <c r="E130" s="215"/>
      <c r="F130" s="221" t="s">
        <v>394</v>
      </c>
      <c r="G130" s="224"/>
      <c r="H130" s="230">
        <v>50</v>
      </c>
      <c r="I130" s="232">
        <f t="shared" si="8"/>
        <v>865626.43844155804</v>
      </c>
      <c r="J130" s="243" t="s">
        <v>307</v>
      </c>
    </row>
    <row r="131" spans="4:10" ht="14" x14ac:dyDescent="0.3">
      <c r="D131" s="218">
        <v>45471</v>
      </c>
      <c r="E131" s="215"/>
      <c r="F131" s="221" t="s">
        <v>395</v>
      </c>
      <c r="G131" s="224"/>
      <c r="H131" s="230">
        <v>100</v>
      </c>
      <c r="I131" s="232">
        <f t="shared" si="8"/>
        <v>865526.43844155804</v>
      </c>
      <c r="J131" s="243" t="s">
        <v>307</v>
      </c>
    </row>
    <row r="132" spans="4:10" ht="14" x14ac:dyDescent="0.3">
      <c r="D132" s="237">
        <v>45472</v>
      </c>
      <c r="E132" s="215"/>
      <c r="F132" s="56" t="s">
        <v>138</v>
      </c>
      <c r="G132" s="224"/>
      <c r="H132" s="230">
        <v>60</v>
      </c>
      <c r="I132" s="232">
        <f t="shared" si="8"/>
        <v>865466.43844155804</v>
      </c>
      <c r="J132" s="243" t="s">
        <v>307</v>
      </c>
    </row>
    <row r="133" spans="4:10" ht="14" x14ac:dyDescent="0.3">
      <c r="D133" s="237">
        <v>45472</v>
      </c>
      <c r="E133" s="215"/>
      <c r="F133" s="236" t="s">
        <v>139</v>
      </c>
      <c r="G133" s="224"/>
      <c r="H133" s="226">
        <v>1350</v>
      </c>
      <c r="I133" s="232">
        <f t="shared" si="8"/>
        <v>864116.43844155804</v>
      </c>
      <c r="J133" s="243" t="s">
        <v>307</v>
      </c>
    </row>
    <row r="134" spans="4:10" ht="14" x14ac:dyDescent="0.3">
      <c r="D134" s="218">
        <v>45474</v>
      </c>
      <c r="E134" s="215"/>
      <c r="F134" s="221" t="s">
        <v>396</v>
      </c>
      <c r="G134" s="224"/>
      <c r="H134" s="230">
        <v>1050</v>
      </c>
      <c r="I134" s="244">
        <f t="shared" si="8"/>
        <v>863066.43844155804</v>
      </c>
      <c r="J134" s="243" t="s">
        <v>307</v>
      </c>
    </row>
    <row r="135" spans="4:10" ht="14" x14ac:dyDescent="0.3">
      <c r="D135" s="237">
        <v>45471</v>
      </c>
      <c r="E135" s="79"/>
      <c r="F135" s="236" t="s">
        <v>145</v>
      </c>
      <c r="G135" s="79"/>
      <c r="H135" s="223">
        <v>2726.09</v>
      </c>
      <c r="I135" s="244">
        <f t="shared" si="8"/>
        <v>860340.34844155808</v>
      </c>
      <c r="J135" s="243" t="s">
        <v>307</v>
      </c>
    </row>
    <row r="136" spans="4:10" ht="14" x14ac:dyDescent="0.3">
      <c r="D136" s="237">
        <v>45471</v>
      </c>
      <c r="E136" s="215"/>
      <c r="F136" s="236" t="s">
        <v>145</v>
      </c>
      <c r="G136" s="224"/>
      <c r="H136" s="223">
        <v>6895.35</v>
      </c>
      <c r="I136" s="244">
        <f t="shared" si="8"/>
        <v>853444.9984415581</v>
      </c>
      <c r="J136" s="243" t="s">
        <v>307</v>
      </c>
    </row>
    <row r="137" spans="4:10" ht="14" x14ac:dyDescent="0.3">
      <c r="D137" s="237">
        <v>45471</v>
      </c>
      <c r="E137" s="215"/>
      <c r="F137" s="236" t="s">
        <v>145</v>
      </c>
      <c r="G137" s="224"/>
      <c r="H137" s="223">
        <v>2719.57</v>
      </c>
      <c r="I137" s="244">
        <f t="shared" si="8"/>
        <v>850725.42844155815</v>
      </c>
      <c r="J137" s="243" t="s">
        <v>307</v>
      </c>
    </row>
    <row r="138" spans="4:10" ht="14" x14ac:dyDescent="0.3">
      <c r="D138" s="237">
        <v>45471</v>
      </c>
      <c r="E138" s="215"/>
      <c r="F138" s="236" t="s">
        <v>146</v>
      </c>
      <c r="G138" s="224"/>
      <c r="H138" s="223">
        <f>30000/76</f>
        <v>394.73684210526318</v>
      </c>
      <c r="I138" s="244">
        <f t="shared" si="8"/>
        <v>850330.69159945287</v>
      </c>
      <c r="J138" s="243" t="s">
        <v>307</v>
      </c>
    </row>
    <row r="139" spans="4:10" ht="14" x14ac:dyDescent="0.3">
      <c r="D139" s="237">
        <v>45471</v>
      </c>
      <c r="E139" s="215"/>
      <c r="F139" s="236" t="s">
        <v>147</v>
      </c>
      <c r="G139" s="224"/>
      <c r="H139" s="223">
        <f>977774/76</f>
        <v>12865.447368421053</v>
      </c>
      <c r="I139" s="244">
        <f t="shared" si="8"/>
        <v>837465.24423103186</v>
      </c>
      <c r="J139" s="243" t="s">
        <v>307</v>
      </c>
    </row>
    <row r="140" spans="4:10" ht="14" x14ac:dyDescent="0.3">
      <c r="D140" s="237">
        <v>45471</v>
      </c>
      <c r="E140" s="215"/>
      <c r="F140" s="236" t="s">
        <v>148</v>
      </c>
      <c r="G140" s="224"/>
      <c r="H140" s="223">
        <f>164448/76</f>
        <v>2163.7894736842104</v>
      </c>
      <c r="I140" s="244">
        <f t="shared" si="8"/>
        <v>835301.4547573477</v>
      </c>
      <c r="J140" s="243" t="s">
        <v>307</v>
      </c>
    </row>
    <row r="141" spans="4:10" ht="14" x14ac:dyDescent="0.3">
      <c r="D141" s="237">
        <v>45471</v>
      </c>
      <c r="E141" s="215"/>
      <c r="F141" s="15" t="s">
        <v>166</v>
      </c>
      <c r="G141" s="224"/>
      <c r="H141" s="223">
        <v>6644.32</v>
      </c>
      <c r="I141" s="244">
        <f t="shared" si="8"/>
        <v>828657.13475734775</v>
      </c>
      <c r="J141" s="243" t="s">
        <v>307</v>
      </c>
    </row>
    <row r="142" spans="4:10" ht="14" x14ac:dyDescent="0.3">
      <c r="D142" s="237">
        <v>45472</v>
      </c>
      <c r="E142" s="215"/>
      <c r="F142" s="15" t="s">
        <v>179</v>
      </c>
      <c r="G142" s="224"/>
      <c r="H142" s="223">
        <v>2627.88</v>
      </c>
      <c r="I142" s="244">
        <f t="shared" si="8"/>
        <v>826029.25475734775</v>
      </c>
      <c r="J142" s="243" t="s">
        <v>307</v>
      </c>
    </row>
    <row r="143" spans="4:10" ht="14" x14ac:dyDescent="0.3">
      <c r="D143" s="237">
        <v>45473</v>
      </c>
      <c r="E143" s="215"/>
      <c r="F143" s="236" t="s">
        <v>144</v>
      </c>
      <c r="G143" s="224"/>
      <c r="H143" s="223">
        <v>10000</v>
      </c>
      <c r="I143" s="244">
        <f t="shared" si="8"/>
        <v>816029.25475734775</v>
      </c>
      <c r="J143" s="243" t="s">
        <v>307</v>
      </c>
    </row>
    <row r="144" spans="4:10" ht="14" x14ac:dyDescent="0.3">
      <c r="D144" s="237">
        <v>45473</v>
      </c>
      <c r="E144" s="215"/>
      <c r="F144" s="236" t="s">
        <v>144</v>
      </c>
      <c r="G144" s="224"/>
      <c r="H144" s="223">
        <v>10000</v>
      </c>
      <c r="I144" s="244">
        <f t="shared" si="8"/>
        <v>806029.25475734775</v>
      </c>
      <c r="J144" s="243" t="s">
        <v>307</v>
      </c>
    </row>
    <row r="145" spans="4:10" ht="14" x14ac:dyDescent="0.3">
      <c r="D145" s="218">
        <v>45474</v>
      </c>
      <c r="E145" s="215"/>
      <c r="F145" s="221" t="s">
        <v>397</v>
      </c>
      <c r="G145" s="224"/>
      <c r="H145" s="230">
        <v>60</v>
      </c>
      <c r="I145" s="244">
        <f t="shared" si="8"/>
        <v>805969.25475734775</v>
      </c>
      <c r="J145" s="243" t="s">
        <v>307</v>
      </c>
    </row>
    <row r="146" spans="4:10" ht="14" x14ac:dyDescent="0.3">
      <c r="D146" s="218">
        <v>45474</v>
      </c>
      <c r="E146" s="215"/>
      <c r="F146" s="221" t="s">
        <v>363</v>
      </c>
      <c r="G146" s="224"/>
      <c r="H146" s="230">
        <v>73200</v>
      </c>
      <c r="I146" s="244">
        <f t="shared" si="8"/>
        <v>732769.25475734775</v>
      </c>
      <c r="J146" s="243" t="s">
        <v>307</v>
      </c>
    </row>
    <row r="147" spans="4:10" ht="26" x14ac:dyDescent="0.3">
      <c r="D147" s="25">
        <v>45474</v>
      </c>
      <c r="E147" s="215"/>
      <c r="F147" s="15" t="s">
        <v>149</v>
      </c>
      <c r="G147" s="224"/>
      <c r="H147" s="59">
        <f>250000/76</f>
        <v>3289.4736842105262</v>
      </c>
      <c r="I147" s="244">
        <f t="shared" si="8"/>
        <v>729479.78107313719</v>
      </c>
      <c r="J147" s="243" t="s">
        <v>307</v>
      </c>
    </row>
    <row r="148" spans="4:10" ht="26" x14ac:dyDescent="0.3">
      <c r="D148" s="25">
        <v>45475</v>
      </c>
      <c r="E148" s="215"/>
      <c r="F148" s="15" t="s">
        <v>150</v>
      </c>
      <c r="G148" s="224"/>
      <c r="H148" s="59">
        <f>40000/76</f>
        <v>526.31578947368416</v>
      </c>
      <c r="I148" s="244">
        <f t="shared" si="8"/>
        <v>728953.46528366348</v>
      </c>
      <c r="J148" s="243" t="s">
        <v>307</v>
      </c>
    </row>
    <row r="149" spans="4:10" ht="26" x14ac:dyDescent="0.3">
      <c r="D149" s="25">
        <v>45475</v>
      </c>
      <c r="E149" s="215"/>
      <c r="F149" s="15" t="s">
        <v>151</v>
      </c>
      <c r="G149" s="224"/>
      <c r="H149" s="59">
        <f>60000/76</f>
        <v>789.47368421052636</v>
      </c>
      <c r="I149" s="244">
        <f t="shared" si="8"/>
        <v>728163.99159945291</v>
      </c>
      <c r="J149" s="243" t="s">
        <v>307</v>
      </c>
    </row>
    <row r="150" spans="4:10" ht="14" x14ac:dyDescent="0.3">
      <c r="D150" s="25">
        <v>45478</v>
      </c>
      <c r="E150" s="215"/>
      <c r="F150" s="15" t="s">
        <v>270</v>
      </c>
      <c r="G150" s="224"/>
      <c r="H150" s="59">
        <f>15000/76.5</f>
        <v>196.07843137254903</v>
      </c>
      <c r="I150" s="244">
        <f t="shared" si="8"/>
        <v>727967.91316808038</v>
      </c>
      <c r="J150" s="243" t="s">
        <v>307</v>
      </c>
    </row>
    <row r="151" spans="4:10" ht="14" x14ac:dyDescent="0.3">
      <c r="D151" s="25">
        <v>45479</v>
      </c>
      <c r="E151" s="215"/>
      <c r="F151" s="15" t="s">
        <v>152</v>
      </c>
      <c r="G151" s="224"/>
      <c r="H151" s="59">
        <v>59.38</v>
      </c>
      <c r="I151" s="244">
        <f t="shared" si="8"/>
        <v>727908.53316808038</v>
      </c>
      <c r="J151" s="243" t="s">
        <v>307</v>
      </c>
    </row>
    <row r="152" spans="4:10" ht="14" x14ac:dyDescent="0.3">
      <c r="D152" s="25">
        <v>45479</v>
      </c>
      <c r="E152" s="215"/>
      <c r="F152" s="15" t="s">
        <v>152</v>
      </c>
      <c r="G152" s="224"/>
      <c r="H152" s="59">
        <v>10.62</v>
      </c>
      <c r="I152" s="244">
        <f t="shared" si="8"/>
        <v>727897.91316808038</v>
      </c>
      <c r="J152" s="243" t="s">
        <v>307</v>
      </c>
    </row>
    <row r="153" spans="4:10" ht="14" x14ac:dyDescent="0.3">
      <c r="D153" s="25">
        <v>45479</v>
      </c>
      <c r="E153" s="215"/>
      <c r="F153" s="15" t="s">
        <v>153</v>
      </c>
      <c r="G153" s="224"/>
      <c r="H153" s="59">
        <f>14000/76</f>
        <v>184.21052631578948</v>
      </c>
      <c r="I153" s="244">
        <f t="shared" si="8"/>
        <v>727713.70264176454</v>
      </c>
      <c r="J153" s="243" t="s">
        <v>307</v>
      </c>
    </row>
    <row r="154" spans="4:10" ht="14" x14ac:dyDescent="0.3">
      <c r="D154" s="218">
        <v>45474</v>
      </c>
      <c r="E154" s="215"/>
      <c r="F154" s="221" t="s">
        <v>398</v>
      </c>
      <c r="G154" s="224"/>
      <c r="H154" s="230">
        <v>20</v>
      </c>
      <c r="I154" s="244">
        <f t="shared" si="8"/>
        <v>727693.70264176454</v>
      </c>
      <c r="J154" s="243" t="s">
        <v>307</v>
      </c>
    </row>
    <row r="155" spans="4:10" ht="14" x14ac:dyDescent="0.3">
      <c r="D155" s="218">
        <v>45478</v>
      </c>
      <c r="E155" s="215"/>
      <c r="F155" s="221" t="s">
        <v>399</v>
      </c>
      <c r="G155" s="224"/>
      <c r="H155" s="230">
        <v>87500</v>
      </c>
      <c r="I155" s="244">
        <f t="shared" si="8"/>
        <v>640193.70264176454</v>
      </c>
      <c r="J155" s="243" t="s">
        <v>307</v>
      </c>
    </row>
    <row r="156" spans="4:10" ht="14" x14ac:dyDescent="0.3">
      <c r="D156" s="218">
        <v>45479</v>
      </c>
      <c r="E156" s="215"/>
      <c r="F156" s="221" t="s">
        <v>364</v>
      </c>
      <c r="G156" s="224"/>
      <c r="H156" s="231">
        <v>50000</v>
      </c>
      <c r="I156" s="244">
        <f t="shared" si="8"/>
        <v>590193.70264176454</v>
      </c>
      <c r="J156" s="243" t="s">
        <v>307</v>
      </c>
    </row>
    <row r="157" spans="4:10" ht="14" x14ac:dyDescent="0.3">
      <c r="D157" s="218">
        <v>45481</v>
      </c>
      <c r="E157" s="215"/>
      <c r="F157" s="221" t="s">
        <v>389</v>
      </c>
      <c r="G157" s="224"/>
      <c r="H157" s="230">
        <v>1333</v>
      </c>
      <c r="I157" s="244">
        <f t="shared" si="8"/>
        <v>588860.70264176454</v>
      </c>
      <c r="J157" t="s">
        <v>307</v>
      </c>
    </row>
    <row r="158" spans="4:10" ht="14" x14ac:dyDescent="0.3">
      <c r="D158" s="218">
        <v>45481</v>
      </c>
      <c r="E158" s="215"/>
      <c r="F158" s="221" t="s">
        <v>400</v>
      </c>
      <c r="G158" s="224"/>
      <c r="H158" s="230">
        <v>1860</v>
      </c>
      <c r="I158" s="244">
        <f t="shared" si="8"/>
        <v>587000.70264176454</v>
      </c>
      <c r="J158" t="s">
        <v>307</v>
      </c>
    </row>
    <row r="159" spans="4:10" ht="14" x14ac:dyDescent="0.3">
      <c r="D159" s="218">
        <v>45482</v>
      </c>
      <c r="E159" s="215"/>
      <c r="F159" s="221" t="s">
        <v>401</v>
      </c>
      <c r="G159" s="224"/>
      <c r="H159" s="230">
        <v>50</v>
      </c>
      <c r="I159" s="244">
        <f t="shared" si="8"/>
        <v>586950.70264176454</v>
      </c>
      <c r="J159" t="s">
        <v>307</v>
      </c>
    </row>
    <row r="160" spans="4:10" ht="14" x14ac:dyDescent="0.3">
      <c r="D160" s="218">
        <v>45482</v>
      </c>
      <c r="E160" s="215"/>
      <c r="F160" s="220" t="s">
        <v>412</v>
      </c>
      <c r="G160" s="224"/>
      <c r="H160" s="231">
        <v>31250</v>
      </c>
      <c r="I160" s="244">
        <f t="shared" si="8"/>
        <v>555700.70264176454</v>
      </c>
    </row>
    <row r="161" spans="4:10" ht="14" x14ac:dyDescent="0.3">
      <c r="D161" s="218">
        <v>45482</v>
      </c>
      <c r="E161" s="215"/>
      <c r="F161" s="221" t="s">
        <v>155</v>
      </c>
      <c r="G161" s="224"/>
      <c r="H161" s="231">
        <v>20000</v>
      </c>
      <c r="I161" s="244">
        <f t="shared" si="8"/>
        <v>535700.70264176454</v>
      </c>
    </row>
    <row r="162" spans="4:10" ht="14" x14ac:dyDescent="0.3">
      <c r="D162" s="218">
        <v>45483</v>
      </c>
      <c r="E162" s="215"/>
      <c r="F162" s="13" t="s">
        <v>196</v>
      </c>
      <c r="G162" s="224"/>
      <c r="H162" s="66">
        <v>1000</v>
      </c>
      <c r="I162" s="244">
        <f t="shared" si="8"/>
        <v>534700.70264176454</v>
      </c>
      <c r="J162" t="s">
        <v>307</v>
      </c>
    </row>
    <row r="163" spans="4:10" ht="14" x14ac:dyDescent="0.3">
      <c r="D163" s="25">
        <v>45484</v>
      </c>
      <c r="E163" s="215"/>
      <c r="F163" s="15" t="s">
        <v>154</v>
      </c>
      <c r="G163" s="224"/>
      <c r="H163" s="59">
        <f>200000/76</f>
        <v>2631.5789473684213</v>
      </c>
      <c r="I163" s="244">
        <f t="shared" si="8"/>
        <v>532069.12369439611</v>
      </c>
      <c r="J163" t="s">
        <v>307</v>
      </c>
    </row>
    <row r="164" spans="4:10" ht="14" x14ac:dyDescent="0.3">
      <c r="D164" s="218">
        <v>45484</v>
      </c>
      <c r="E164" s="215"/>
      <c r="F164" s="221" t="s">
        <v>402</v>
      </c>
      <c r="G164" s="224"/>
      <c r="H164" s="230">
        <v>100</v>
      </c>
      <c r="I164" s="244">
        <f t="shared" si="8"/>
        <v>531969.12369439611</v>
      </c>
      <c r="J164" t="s">
        <v>307</v>
      </c>
    </row>
    <row r="165" spans="4:10" ht="14" x14ac:dyDescent="0.3">
      <c r="D165" s="218">
        <v>45487</v>
      </c>
      <c r="E165" s="215"/>
      <c r="F165" s="221" t="s">
        <v>403</v>
      </c>
      <c r="G165" s="224"/>
      <c r="H165" s="230">
        <v>90</v>
      </c>
      <c r="I165" s="244">
        <f t="shared" si="8"/>
        <v>531879.12369439611</v>
      </c>
      <c r="J165" t="s">
        <v>307</v>
      </c>
    </row>
    <row r="166" spans="4:10" ht="14" x14ac:dyDescent="0.3">
      <c r="D166" s="218">
        <v>45487</v>
      </c>
      <c r="E166" s="215"/>
      <c r="F166" s="221" t="s">
        <v>214</v>
      </c>
      <c r="G166" s="224"/>
      <c r="H166" s="230">
        <v>20</v>
      </c>
      <c r="I166" s="244">
        <f t="shared" si="8"/>
        <v>531859.12369439611</v>
      </c>
      <c r="J166" t="s">
        <v>307</v>
      </c>
    </row>
    <row r="167" spans="4:10" ht="14" x14ac:dyDescent="0.3">
      <c r="D167" s="218">
        <v>45487</v>
      </c>
      <c r="E167" s="215"/>
      <c r="F167" s="221" t="s">
        <v>404</v>
      </c>
      <c r="G167" s="224"/>
      <c r="H167" s="230">
        <v>1150</v>
      </c>
      <c r="I167" s="244">
        <f t="shared" si="8"/>
        <v>530709.12369439611</v>
      </c>
      <c r="J167" t="s">
        <v>307</v>
      </c>
    </row>
    <row r="168" spans="4:10" ht="14" x14ac:dyDescent="0.3">
      <c r="D168" s="218">
        <v>45488</v>
      </c>
      <c r="E168" s="215"/>
      <c r="F168" s="15" t="s">
        <v>206</v>
      </c>
      <c r="G168" s="224"/>
      <c r="H168" s="225">
        <v>6126.84</v>
      </c>
      <c r="I168" s="244">
        <f t="shared" si="8"/>
        <v>524582.28369439614</v>
      </c>
      <c r="J168" t="s">
        <v>307</v>
      </c>
    </row>
    <row r="169" spans="4:10" ht="14" x14ac:dyDescent="0.3">
      <c r="D169" s="218">
        <v>45491</v>
      </c>
      <c r="E169" s="215"/>
      <c r="F169" s="221" t="s">
        <v>399</v>
      </c>
      <c r="G169" s="224"/>
      <c r="H169" s="230">
        <v>51000</v>
      </c>
      <c r="I169" s="244">
        <f t="shared" si="8"/>
        <v>473582.28369439614</v>
      </c>
      <c r="J169" t="s">
        <v>307</v>
      </c>
    </row>
    <row r="170" spans="4:10" ht="14" x14ac:dyDescent="0.3">
      <c r="D170" s="218">
        <v>45491</v>
      </c>
      <c r="E170" s="215"/>
      <c r="F170" s="221" t="s">
        <v>404</v>
      </c>
      <c r="G170" s="224"/>
      <c r="H170" s="230">
        <v>950</v>
      </c>
      <c r="I170" s="244">
        <f t="shared" si="8"/>
        <v>472632.28369439614</v>
      </c>
      <c r="J170" t="s">
        <v>307</v>
      </c>
    </row>
    <row r="171" spans="4:10" ht="14" x14ac:dyDescent="0.3">
      <c r="D171" s="218">
        <v>45491</v>
      </c>
      <c r="E171" s="215"/>
      <c r="F171" s="221" t="s">
        <v>214</v>
      </c>
      <c r="G171" s="224"/>
      <c r="H171" s="230">
        <v>20</v>
      </c>
      <c r="I171" s="244">
        <f t="shared" si="8"/>
        <v>472612.28369439614</v>
      </c>
      <c r="J171" t="s">
        <v>307</v>
      </c>
    </row>
    <row r="172" spans="4:10" ht="14" x14ac:dyDescent="0.3">
      <c r="D172" s="218">
        <v>45491</v>
      </c>
      <c r="E172" s="215"/>
      <c r="F172" s="221" t="s">
        <v>383</v>
      </c>
      <c r="G172" s="224"/>
      <c r="H172" s="230">
        <v>30</v>
      </c>
      <c r="I172" s="244">
        <f t="shared" si="8"/>
        <v>472582.28369439614</v>
      </c>
      <c r="J172" t="s">
        <v>307</v>
      </c>
    </row>
    <row r="173" spans="4:10" ht="14" x14ac:dyDescent="0.3">
      <c r="D173" s="218">
        <v>45491</v>
      </c>
      <c r="E173" s="215"/>
      <c r="F173" s="221" t="s">
        <v>215</v>
      </c>
      <c r="G173" s="224"/>
      <c r="H173" s="230">
        <v>20000</v>
      </c>
      <c r="I173" s="244">
        <f t="shared" si="8"/>
        <v>452582.28369439614</v>
      </c>
      <c r="J173" t="s">
        <v>307</v>
      </c>
    </row>
    <row r="174" spans="4:10" ht="14" x14ac:dyDescent="0.3">
      <c r="D174" s="218">
        <v>45495</v>
      </c>
      <c r="E174" s="215"/>
      <c r="F174" s="15" t="s">
        <v>236</v>
      </c>
      <c r="G174" s="224"/>
      <c r="H174" s="156">
        <f>10000/76.5</f>
        <v>130.718954248366</v>
      </c>
      <c r="I174" s="244">
        <f t="shared" si="8"/>
        <v>452451.56474014779</v>
      </c>
      <c r="J174" t="s">
        <v>307</v>
      </c>
    </row>
    <row r="175" spans="4:10" ht="14" x14ac:dyDescent="0.3">
      <c r="D175" s="218">
        <v>45495</v>
      </c>
      <c r="E175" s="215"/>
      <c r="F175" s="15" t="s">
        <v>236</v>
      </c>
      <c r="G175" s="224"/>
      <c r="H175" s="156">
        <f>10000/76.5</f>
        <v>130.718954248366</v>
      </c>
      <c r="I175" s="244">
        <f t="shared" si="8"/>
        <v>452320.84578589944</v>
      </c>
      <c r="J175" t="s">
        <v>307</v>
      </c>
    </row>
    <row r="176" spans="4:10" ht="14" x14ac:dyDescent="0.3">
      <c r="D176" s="218">
        <v>45495</v>
      </c>
      <c r="E176" s="215"/>
      <c r="F176" s="90" t="s">
        <v>282</v>
      </c>
      <c r="G176" s="224"/>
      <c r="H176" s="245">
        <v>70338.995999999999</v>
      </c>
      <c r="I176" s="244">
        <f t="shared" si="8"/>
        <v>381981.84978589945</v>
      </c>
      <c r="J176" t="s">
        <v>307</v>
      </c>
    </row>
    <row r="177" spans="4:10" ht="14" x14ac:dyDescent="0.3">
      <c r="D177" s="218">
        <v>45495</v>
      </c>
      <c r="E177" s="215"/>
      <c r="F177" s="221" t="s">
        <v>405</v>
      </c>
      <c r="G177" s="224"/>
      <c r="H177" s="230">
        <v>40</v>
      </c>
      <c r="I177" s="244">
        <f t="shared" si="8"/>
        <v>381941.84978589945</v>
      </c>
      <c r="J177" t="s">
        <v>307</v>
      </c>
    </row>
    <row r="178" spans="4:10" ht="14" x14ac:dyDescent="0.3">
      <c r="D178" s="218">
        <v>45497</v>
      </c>
      <c r="E178" s="215"/>
      <c r="F178" s="221" t="s">
        <v>404</v>
      </c>
      <c r="G178" s="224"/>
      <c r="H178" s="230">
        <v>1050</v>
      </c>
      <c r="I178" s="244">
        <f>I177+G178-H178</f>
        <v>380891.84978589945</v>
      </c>
      <c r="J178" t="s">
        <v>307</v>
      </c>
    </row>
    <row r="179" spans="4:10" ht="14" x14ac:dyDescent="0.3">
      <c r="D179" s="218">
        <v>45497</v>
      </c>
      <c r="E179" s="215"/>
      <c r="F179" s="221" t="s">
        <v>406</v>
      </c>
      <c r="G179" s="224"/>
      <c r="H179" s="230">
        <v>20</v>
      </c>
      <c r="I179" s="244">
        <f t="shared" si="8"/>
        <v>380871.84978589945</v>
      </c>
      <c r="J179" t="s">
        <v>307</v>
      </c>
    </row>
    <row r="180" spans="4:10" ht="14" x14ac:dyDescent="0.3">
      <c r="D180" s="218">
        <v>45500</v>
      </c>
      <c r="E180" s="215"/>
      <c r="F180" s="221" t="s">
        <v>407</v>
      </c>
      <c r="G180" s="224"/>
      <c r="H180" s="230">
        <v>1050</v>
      </c>
      <c r="I180" s="244">
        <f t="shared" si="8"/>
        <v>379821.84978589945</v>
      </c>
      <c r="J180" t="s">
        <v>307</v>
      </c>
    </row>
    <row r="181" spans="4:10" ht="14" x14ac:dyDescent="0.3">
      <c r="D181" s="218">
        <v>45501</v>
      </c>
      <c r="E181" s="215"/>
      <c r="F181" s="90" t="s">
        <v>351</v>
      </c>
      <c r="G181" s="224"/>
      <c r="H181" s="225">
        <v>16284.24</v>
      </c>
      <c r="I181" s="244">
        <f t="shared" si="8"/>
        <v>363537.60978589946</v>
      </c>
      <c r="J181" t="s">
        <v>307</v>
      </c>
    </row>
    <row r="182" spans="4:10" ht="14" x14ac:dyDescent="0.3">
      <c r="D182" s="218">
        <v>45502</v>
      </c>
      <c r="E182" s="215"/>
      <c r="F182" s="221" t="s">
        <v>408</v>
      </c>
      <c r="G182" s="224"/>
      <c r="H182" s="230">
        <v>20</v>
      </c>
      <c r="I182" s="244">
        <f t="shared" si="8"/>
        <v>363517.60978589946</v>
      </c>
      <c r="J182" t="s">
        <v>307</v>
      </c>
    </row>
    <row r="183" spans="4:10" ht="14" x14ac:dyDescent="0.3">
      <c r="D183" s="218">
        <v>45502</v>
      </c>
      <c r="E183" s="215"/>
      <c r="F183" s="221" t="s">
        <v>409</v>
      </c>
      <c r="G183" s="224"/>
      <c r="H183" s="230">
        <v>20000</v>
      </c>
      <c r="I183" s="244">
        <f t="shared" si="8"/>
        <v>343517.60978589946</v>
      </c>
      <c r="J183" t="s">
        <v>307</v>
      </c>
    </row>
    <row r="184" spans="4:10" ht="14" x14ac:dyDescent="0.3">
      <c r="D184" s="218">
        <v>45503</v>
      </c>
      <c r="E184" s="215"/>
      <c r="F184" s="221" t="s">
        <v>410</v>
      </c>
      <c r="G184" s="224"/>
      <c r="H184" s="230">
        <v>129000</v>
      </c>
      <c r="I184" s="244">
        <f t="shared" si="8"/>
        <v>214517.60978589946</v>
      </c>
      <c r="J184" t="s">
        <v>307</v>
      </c>
    </row>
    <row r="185" spans="4:10" ht="14" x14ac:dyDescent="0.3">
      <c r="D185" s="218">
        <v>45504</v>
      </c>
      <c r="E185" s="215"/>
      <c r="F185" s="221" t="s">
        <v>411</v>
      </c>
      <c r="G185" s="224"/>
      <c r="H185" s="230">
        <v>2360</v>
      </c>
      <c r="I185" s="244">
        <f t="shared" si="8"/>
        <v>212157.60978589946</v>
      </c>
      <c r="J185" t="s">
        <v>307</v>
      </c>
    </row>
    <row r="186" spans="4:10" ht="14" x14ac:dyDescent="0.3">
      <c r="D186" s="218"/>
      <c r="E186" s="215"/>
      <c r="F186" s="221"/>
      <c r="G186" s="224"/>
      <c r="H186" s="230"/>
      <c r="I186" s="244">
        <f t="shared" si="8"/>
        <v>212157.60978589946</v>
      </c>
    </row>
    <row r="187" spans="4:10" ht="14" x14ac:dyDescent="0.3">
      <c r="D187" s="218"/>
      <c r="E187" s="215"/>
      <c r="F187" s="221"/>
      <c r="G187" s="224"/>
      <c r="H187" s="230"/>
      <c r="I187" s="244">
        <f t="shared" ref="I187:I191" si="9">I186+G187-H187</f>
        <v>212157.60978589946</v>
      </c>
    </row>
    <row r="188" spans="4:10" ht="14" x14ac:dyDescent="0.3">
      <c r="D188" s="218"/>
      <c r="E188" s="215"/>
      <c r="F188" s="221"/>
      <c r="G188" s="224"/>
      <c r="H188" s="230"/>
      <c r="I188" s="244">
        <f t="shared" si="9"/>
        <v>212157.60978589946</v>
      </c>
    </row>
    <row r="189" spans="4:10" ht="14" x14ac:dyDescent="0.3">
      <c r="D189" s="218"/>
      <c r="E189" s="215"/>
      <c r="F189" s="221"/>
      <c r="G189" s="224"/>
      <c r="H189" s="230"/>
      <c r="I189" s="244">
        <f t="shared" si="9"/>
        <v>212157.60978589946</v>
      </c>
    </row>
    <row r="190" spans="4:10" ht="14" x14ac:dyDescent="0.3">
      <c r="D190" s="218"/>
      <c r="E190" s="215"/>
      <c r="F190" s="221"/>
      <c r="G190" s="224"/>
      <c r="H190" s="230"/>
      <c r="I190" s="244">
        <f t="shared" si="9"/>
        <v>212157.60978589946</v>
      </c>
    </row>
    <row r="191" spans="4:10" ht="14" x14ac:dyDescent="0.3">
      <c r="D191" s="215"/>
      <c r="E191" s="215"/>
      <c r="F191" s="215"/>
      <c r="G191" s="215"/>
      <c r="H191" s="215"/>
      <c r="I191" s="244">
        <f t="shared" si="9"/>
        <v>212157.60978589946</v>
      </c>
    </row>
    <row r="192" spans="4:10" ht="13.5" thickBot="1" x14ac:dyDescent="0.35">
      <c r="D192" s="216"/>
      <c r="E192" s="216"/>
      <c r="F192" s="216"/>
      <c r="G192" s="248">
        <f>SUM(G40:G191)</f>
        <v>1260740</v>
      </c>
      <c r="H192" s="248">
        <f>SUM(H93:H191)</f>
        <v>1048582.3902141005</v>
      </c>
      <c r="I192" s="249">
        <f>G192-H192</f>
        <v>212157.60978589952</v>
      </c>
    </row>
    <row r="194" spans="15:23" s="214" customFormat="1" x14ac:dyDescent="0.3">
      <c r="U194" s="351"/>
      <c r="V194" s="351"/>
      <c r="W194" s="351"/>
    </row>
    <row r="197" spans="15:23" x14ac:dyDescent="0.3">
      <c r="O197" s="18" t="s">
        <v>723</v>
      </c>
      <c r="P197" s="18" t="s">
        <v>0</v>
      </c>
      <c r="Q197" s="18" t="s">
        <v>717</v>
      </c>
      <c r="R197" s="18" t="s">
        <v>5</v>
      </c>
      <c r="S197" s="18" t="s">
        <v>718</v>
      </c>
      <c r="U197" s="18" t="s">
        <v>719</v>
      </c>
      <c r="V197" s="14" t="s">
        <v>720</v>
      </c>
      <c r="W197" s="14" t="s">
        <v>721</v>
      </c>
    </row>
    <row r="199" spans="15:23" x14ac:dyDescent="0.3">
      <c r="O199" s="1" t="s">
        <v>156</v>
      </c>
      <c r="P199" s="180">
        <v>45549</v>
      </c>
      <c r="Q199" s="1" t="s">
        <v>722</v>
      </c>
      <c r="R199" s="1" t="s">
        <v>726</v>
      </c>
      <c r="S199" s="259">
        <f>4*2147</f>
        <v>8588</v>
      </c>
      <c r="U199" s="17">
        <v>4</v>
      </c>
    </row>
    <row r="200" spans="15:23" x14ac:dyDescent="0.3">
      <c r="O200" s="1" t="s">
        <v>156</v>
      </c>
      <c r="P200" s="180">
        <v>45549</v>
      </c>
      <c r="Q200" s="1" t="s">
        <v>722</v>
      </c>
      <c r="R200" s="1" t="s">
        <v>727</v>
      </c>
      <c r="S200" s="259">
        <f>4*2497</f>
        <v>9988</v>
      </c>
      <c r="U200" s="17">
        <v>4</v>
      </c>
    </row>
    <row r="201" spans="15:23" x14ac:dyDescent="0.3">
      <c r="O201" s="1" t="s">
        <v>725</v>
      </c>
      <c r="P201" s="180">
        <v>45549</v>
      </c>
      <c r="Q201" s="1" t="s">
        <v>724</v>
      </c>
      <c r="R201" s="1" t="s">
        <v>728</v>
      </c>
      <c r="S201" s="259">
        <f>5*2147</f>
        <v>10735</v>
      </c>
      <c r="U201" s="17">
        <v>5</v>
      </c>
    </row>
    <row r="202" spans="15:23" x14ac:dyDescent="0.3">
      <c r="O202" s="1" t="s">
        <v>725</v>
      </c>
      <c r="P202" s="180">
        <v>45549</v>
      </c>
      <c r="Q202" s="1" t="s">
        <v>724</v>
      </c>
      <c r="R202" s="1" t="s">
        <v>729</v>
      </c>
      <c r="S202" s="259">
        <f>5*2497</f>
        <v>12485</v>
      </c>
      <c r="U202" s="17">
        <v>5</v>
      </c>
    </row>
    <row r="203" spans="15:23" x14ac:dyDescent="0.3">
      <c r="S203" s="259"/>
    </row>
    <row r="204" spans="15:23" x14ac:dyDescent="0.3">
      <c r="O204" s="1" t="s">
        <v>725</v>
      </c>
      <c r="P204" s="180">
        <v>45550</v>
      </c>
      <c r="Q204" s="1" t="s">
        <v>730</v>
      </c>
      <c r="R204" s="1" t="s">
        <v>731</v>
      </c>
      <c r="S204" s="259">
        <f>3*2497</f>
        <v>7491</v>
      </c>
      <c r="U204" s="17">
        <v>3</v>
      </c>
    </row>
    <row r="205" spans="15:23" x14ac:dyDescent="0.3">
      <c r="O205" s="1" t="s">
        <v>725</v>
      </c>
      <c r="P205" s="180">
        <v>45550</v>
      </c>
      <c r="Q205" s="1" t="s">
        <v>730</v>
      </c>
      <c r="R205" s="1" t="s">
        <v>731</v>
      </c>
      <c r="S205" s="259">
        <f>3*2497</f>
        <v>7491</v>
      </c>
      <c r="U205" s="17">
        <v>3</v>
      </c>
    </row>
    <row r="206" spans="15:23" x14ac:dyDescent="0.3">
      <c r="O206" s="1" t="s">
        <v>725</v>
      </c>
      <c r="P206" s="180">
        <v>45550</v>
      </c>
      <c r="Q206" s="1" t="s">
        <v>730</v>
      </c>
      <c r="R206" s="1" t="s">
        <v>732</v>
      </c>
      <c r="S206" s="259">
        <f>6*2497</f>
        <v>14982</v>
      </c>
      <c r="U206" s="17">
        <v>6</v>
      </c>
    </row>
    <row r="207" spans="15:23" x14ac:dyDescent="0.3">
      <c r="S207" s="259"/>
    </row>
    <row r="208" spans="15:23" x14ac:dyDescent="0.3">
      <c r="O208" s="1" t="s">
        <v>733</v>
      </c>
      <c r="P208" s="180">
        <v>45550</v>
      </c>
      <c r="Q208" s="1" t="s">
        <v>734</v>
      </c>
      <c r="R208" s="1" t="s">
        <v>731</v>
      </c>
      <c r="S208" s="259">
        <f>3*2497</f>
        <v>7491</v>
      </c>
      <c r="U208" s="17">
        <v>3</v>
      </c>
    </row>
    <row r="209" spans="15:21" x14ac:dyDescent="0.3">
      <c r="O209" s="1" t="s">
        <v>733</v>
      </c>
      <c r="P209" s="180">
        <v>45550</v>
      </c>
      <c r="Q209" s="1" t="s">
        <v>734</v>
      </c>
      <c r="R209" s="1" t="s">
        <v>731</v>
      </c>
      <c r="S209" s="259">
        <f>3*2497</f>
        <v>7491</v>
      </c>
      <c r="U209" s="17">
        <v>3</v>
      </c>
    </row>
    <row r="210" spans="15:21" x14ac:dyDescent="0.3">
      <c r="S210" s="259"/>
    </row>
    <row r="211" spans="15:21" x14ac:dyDescent="0.3">
      <c r="O211" s="1" t="s">
        <v>725</v>
      </c>
      <c r="P211" s="180">
        <v>45551</v>
      </c>
      <c r="Q211" s="1" t="s">
        <v>735</v>
      </c>
      <c r="R211" s="1" t="s">
        <v>736</v>
      </c>
      <c r="S211" s="259">
        <f>2*2847</f>
        <v>5694</v>
      </c>
      <c r="U211" s="17">
        <v>2</v>
      </c>
    </row>
    <row r="212" spans="15:21" x14ac:dyDescent="0.3">
      <c r="O212" s="1" t="s">
        <v>725</v>
      </c>
      <c r="P212" s="180">
        <v>45551</v>
      </c>
      <c r="Q212" s="1" t="s">
        <v>735</v>
      </c>
      <c r="R212" s="1" t="s">
        <v>737</v>
      </c>
      <c r="S212" s="259">
        <f>3*2847</f>
        <v>8541</v>
      </c>
      <c r="U212" s="17">
        <v>3</v>
      </c>
    </row>
    <row r="213" spans="15:21" x14ac:dyDescent="0.3">
      <c r="S213" s="20">
        <f>SUM(S199:S212)</f>
        <v>100977</v>
      </c>
      <c r="U213" s="20">
        <f>SUM(U199:U212)</f>
        <v>41</v>
      </c>
    </row>
    <row r="214" spans="15:21" x14ac:dyDescent="0.3">
      <c r="S214" s="259"/>
    </row>
    <row r="215" spans="15:21" x14ac:dyDescent="0.3">
      <c r="R215" s="18" t="s">
        <v>738</v>
      </c>
      <c r="S215" s="352">
        <v>-10097.700000000001</v>
      </c>
    </row>
    <row r="216" spans="15:21" x14ac:dyDescent="0.3">
      <c r="R216" s="18"/>
    </row>
    <row r="217" spans="15:21" x14ac:dyDescent="0.3">
      <c r="R217" s="353" t="s">
        <v>739</v>
      </c>
      <c r="S217" s="353">
        <f>SUM(S213:S216)</f>
        <v>90879.3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76"/>
  <sheetViews>
    <sheetView topLeftCell="A34" zoomScale="85" zoomScaleNormal="85" workbookViewId="0">
      <selection activeCell="M50" sqref="M50"/>
    </sheetView>
  </sheetViews>
  <sheetFormatPr defaultRowHeight="13" x14ac:dyDescent="0.3"/>
  <cols>
    <col min="3" max="3" width="10.8984375" bestFit="1" customWidth="1"/>
    <col min="4" max="4" width="14.8984375" bestFit="1" customWidth="1"/>
    <col min="6" max="6" width="52" customWidth="1"/>
    <col min="7" max="7" width="13.3984375" bestFit="1" customWidth="1"/>
    <col min="10" max="10" width="17.69921875" bestFit="1" customWidth="1"/>
  </cols>
  <sheetData>
    <row r="2" spans="3:10" x14ac:dyDescent="0.3">
      <c r="C2" s="20" t="s">
        <v>0</v>
      </c>
      <c r="D2" s="20" t="s">
        <v>54</v>
      </c>
      <c r="E2" s="20"/>
      <c r="F2" s="18" t="s">
        <v>5</v>
      </c>
      <c r="G2" s="20" t="s">
        <v>248</v>
      </c>
      <c r="H2" s="23"/>
      <c r="I2" s="23"/>
      <c r="J2" s="18" t="s">
        <v>247</v>
      </c>
    </row>
    <row r="3" spans="3:10" x14ac:dyDescent="0.3">
      <c r="C3" s="342">
        <v>45536</v>
      </c>
      <c r="D3" s="20"/>
      <c r="E3" s="20"/>
      <c r="F3" s="18" t="s">
        <v>686</v>
      </c>
      <c r="G3" s="20">
        <v>462</v>
      </c>
      <c r="H3" s="23"/>
      <c r="I3" s="23"/>
      <c r="J3" s="14"/>
    </row>
    <row r="4" spans="3:10" ht="14" x14ac:dyDescent="0.3">
      <c r="C4" s="25">
        <v>45539</v>
      </c>
      <c r="D4" s="89" t="s">
        <v>466</v>
      </c>
      <c r="E4" s="41" t="s">
        <v>528</v>
      </c>
      <c r="F4" s="16" t="s">
        <v>534</v>
      </c>
      <c r="G4" s="41">
        <v>-400</v>
      </c>
      <c r="H4" s="41"/>
      <c r="I4" s="41"/>
      <c r="J4" s="160">
        <v>400</v>
      </c>
    </row>
    <row r="5" spans="3:10" ht="14" x14ac:dyDescent="0.3">
      <c r="C5" s="25">
        <v>45539</v>
      </c>
      <c r="D5" s="89" t="s">
        <v>466</v>
      </c>
      <c r="E5" s="41" t="s">
        <v>592</v>
      </c>
      <c r="F5" s="16" t="s">
        <v>606</v>
      </c>
      <c r="G5" s="41">
        <v>0</v>
      </c>
      <c r="H5" s="41"/>
      <c r="I5" s="41"/>
      <c r="J5" s="160">
        <v>-400</v>
      </c>
    </row>
    <row r="6" spans="3:10" ht="14" x14ac:dyDescent="0.3">
      <c r="C6" s="25"/>
      <c r="D6" s="89"/>
      <c r="E6" s="41"/>
      <c r="F6" s="16"/>
      <c r="G6" s="41"/>
      <c r="H6" s="41"/>
      <c r="I6" s="41"/>
      <c r="J6" s="160"/>
    </row>
    <row r="7" spans="3:10" ht="14" x14ac:dyDescent="0.3">
      <c r="C7" s="25">
        <v>45540</v>
      </c>
      <c r="D7" s="89" t="s">
        <v>559</v>
      </c>
      <c r="E7" s="41" t="s">
        <v>528</v>
      </c>
      <c r="F7" s="16" t="s">
        <v>528</v>
      </c>
      <c r="G7" s="41">
        <v>40</v>
      </c>
      <c r="H7" s="41"/>
      <c r="I7" s="41"/>
      <c r="J7" s="160"/>
    </row>
    <row r="8" spans="3:10" ht="14" x14ac:dyDescent="0.3">
      <c r="C8" s="25">
        <v>45547</v>
      </c>
      <c r="D8" s="89" t="s">
        <v>607</v>
      </c>
      <c r="E8" s="41" t="s">
        <v>528</v>
      </c>
      <c r="F8" s="16" t="s">
        <v>608</v>
      </c>
      <c r="G8" s="41">
        <v>42</v>
      </c>
      <c r="H8" s="41"/>
      <c r="I8" s="41"/>
      <c r="J8" s="160"/>
    </row>
    <row r="9" spans="3:10" ht="14" x14ac:dyDescent="0.3">
      <c r="C9" s="25">
        <v>45547</v>
      </c>
      <c r="D9" s="89" t="s">
        <v>330</v>
      </c>
      <c r="E9" s="41" t="s">
        <v>592</v>
      </c>
      <c r="F9" s="16" t="s">
        <v>658</v>
      </c>
      <c r="G9" s="41">
        <v>-60</v>
      </c>
      <c r="H9" s="41"/>
      <c r="I9" s="41"/>
      <c r="J9" s="160">
        <v>60</v>
      </c>
    </row>
    <row r="10" spans="3:10" ht="14" x14ac:dyDescent="0.3">
      <c r="C10" s="25">
        <v>45547</v>
      </c>
      <c r="D10" s="89" t="s">
        <v>559</v>
      </c>
      <c r="E10" s="41" t="s">
        <v>592</v>
      </c>
      <c r="F10" s="16" t="s">
        <v>659</v>
      </c>
      <c r="G10" s="41">
        <v>-40</v>
      </c>
      <c r="H10" s="41"/>
      <c r="I10" s="41"/>
      <c r="J10" s="160">
        <v>40</v>
      </c>
    </row>
    <row r="11" spans="3:10" ht="14" x14ac:dyDescent="0.3">
      <c r="C11" s="25">
        <v>45547</v>
      </c>
      <c r="D11" s="89" t="s">
        <v>607</v>
      </c>
      <c r="E11" s="41" t="s">
        <v>592</v>
      </c>
      <c r="F11" s="16" t="s">
        <v>660</v>
      </c>
      <c r="G11" s="41">
        <v>-23</v>
      </c>
      <c r="H11" s="41"/>
      <c r="I11" s="41"/>
      <c r="J11" s="160">
        <v>23</v>
      </c>
    </row>
    <row r="12" spans="3:10" ht="14" x14ac:dyDescent="0.3">
      <c r="C12" s="25">
        <v>45547</v>
      </c>
      <c r="D12" s="89" t="s">
        <v>167</v>
      </c>
      <c r="E12" s="41" t="s">
        <v>68</v>
      </c>
      <c r="F12" s="16" t="s">
        <v>679</v>
      </c>
      <c r="G12" s="41">
        <v>-1</v>
      </c>
      <c r="H12" s="41"/>
      <c r="I12" s="41"/>
      <c r="J12" s="160">
        <v>0</v>
      </c>
    </row>
    <row r="13" spans="3:10" ht="14" x14ac:dyDescent="0.3">
      <c r="C13" s="25">
        <v>45547</v>
      </c>
      <c r="D13" s="89" t="s">
        <v>330</v>
      </c>
      <c r="E13" s="41" t="s">
        <v>68</v>
      </c>
      <c r="F13" s="16" t="s">
        <v>680</v>
      </c>
      <c r="G13" s="41">
        <v>-1</v>
      </c>
      <c r="H13" s="41"/>
      <c r="I13" s="41"/>
      <c r="J13" s="160">
        <v>0</v>
      </c>
    </row>
    <row r="14" spans="3:10" ht="14" x14ac:dyDescent="0.3">
      <c r="C14" s="25">
        <v>45548</v>
      </c>
      <c r="D14" s="89" t="s">
        <v>685</v>
      </c>
      <c r="E14" s="41" t="s">
        <v>528</v>
      </c>
      <c r="F14" s="16" t="s">
        <v>608</v>
      </c>
      <c r="G14" s="41">
        <v>10</v>
      </c>
      <c r="H14" s="41"/>
      <c r="I14" s="41"/>
      <c r="J14" s="160">
        <v>0</v>
      </c>
    </row>
    <row r="15" spans="3:10" ht="14" x14ac:dyDescent="0.3">
      <c r="C15" s="88">
        <v>45548</v>
      </c>
      <c r="D15" s="89" t="s">
        <v>603</v>
      </c>
      <c r="E15" s="41" t="s">
        <v>69</v>
      </c>
      <c r="F15" s="16" t="s">
        <v>747</v>
      </c>
      <c r="G15" s="41"/>
      <c r="H15" s="41"/>
      <c r="I15" s="41"/>
      <c r="J15" s="160">
        <v>-23</v>
      </c>
    </row>
    <row r="16" spans="3:10" ht="14" x14ac:dyDescent="0.3">
      <c r="C16" s="25">
        <v>45553</v>
      </c>
      <c r="D16" s="89" t="s">
        <v>330</v>
      </c>
      <c r="E16" s="41" t="s">
        <v>69</v>
      </c>
      <c r="F16" s="90" t="s">
        <v>740</v>
      </c>
      <c r="G16" s="41"/>
      <c r="H16" s="41"/>
      <c r="I16" s="41"/>
      <c r="J16" s="160">
        <v>-30</v>
      </c>
    </row>
    <row r="17" spans="1:10" ht="14" x14ac:dyDescent="0.3">
      <c r="C17" s="25">
        <v>45553</v>
      </c>
      <c r="D17" s="89" t="s">
        <v>330</v>
      </c>
      <c r="E17" s="41" t="s">
        <v>69</v>
      </c>
      <c r="F17" s="90" t="s">
        <v>741</v>
      </c>
      <c r="G17" s="41"/>
      <c r="H17" s="41"/>
      <c r="I17" s="41"/>
      <c r="J17" s="160">
        <v>-20</v>
      </c>
    </row>
    <row r="18" spans="1:10" ht="14" x14ac:dyDescent="0.3">
      <c r="C18" s="25">
        <v>45553</v>
      </c>
      <c r="D18" s="89" t="s">
        <v>330</v>
      </c>
      <c r="E18" s="41" t="s">
        <v>69</v>
      </c>
      <c r="F18" s="90" t="s">
        <v>742</v>
      </c>
      <c r="G18" s="41"/>
      <c r="H18" s="41"/>
      <c r="I18" s="41"/>
      <c r="J18" s="160">
        <v>-10</v>
      </c>
    </row>
    <row r="19" spans="1:10" ht="14" x14ac:dyDescent="0.3">
      <c r="C19" s="346">
        <v>45549</v>
      </c>
      <c r="D19" s="89" t="s">
        <v>559</v>
      </c>
      <c r="E19" s="41" t="s">
        <v>69</v>
      </c>
      <c r="F19" s="348" t="s">
        <v>746</v>
      </c>
      <c r="G19" s="41"/>
      <c r="H19" s="41"/>
      <c r="I19" s="41"/>
      <c r="J19" s="160">
        <v>-30</v>
      </c>
    </row>
    <row r="20" spans="1:10" ht="14" x14ac:dyDescent="0.3">
      <c r="C20" s="346">
        <v>45553</v>
      </c>
      <c r="D20" s="89" t="s">
        <v>559</v>
      </c>
      <c r="E20" s="41" t="s">
        <v>69</v>
      </c>
      <c r="F20" s="348" t="s">
        <v>743</v>
      </c>
      <c r="G20" s="41"/>
      <c r="H20" s="41"/>
      <c r="I20" s="41"/>
      <c r="J20" s="160">
        <v>-5</v>
      </c>
    </row>
    <row r="21" spans="1:10" ht="14" x14ac:dyDescent="0.3">
      <c r="A21" t="s">
        <v>864</v>
      </c>
      <c r="C21" s="346">
        <v>45553</v>
      </c>
      <c r="D21" s="89" t="s">
        <v>559</v>
      </c>
      <c r="E21" s="41" t="s">
        <v>69</v>
      </c>
      <c r="F21" s="348" t="s">
        <v>748</v>
      </c>
      <c r="G21" s="41"/>
      <c r="H21" s="41"/>
      <c r="I21" s="41"/>
      <c r="J21" s="160">
        <v>-5</v>
      </c>
    </row>
    <row r="22" spans="1:10" ht="14" x14ac:dyDescent="0.3">
      <c r="C22" s="346"/>
      <c r="D22" s="89"/>
      <c r="E22" s="41"/>
      <c r="F22" s="348"/>
      <c r="G22" s="41"/>
      <c r="H22" s="41"/>
      <c r="I22" s="41"/>
      <c r="J22" s="160"/>
    </row>
    <row r="23" spans="1:10" ht="14" x14ac:dyDescent="0.3">
      <c r="C23" s="346">
        <v>45549</v>
      </c>
      <c r="D23" s="89" t="s">
        <v>898</v>
      </c>
      <c r="E23" s="41" t="s">
        <v>528</v>
      </c>
      <c r="F23" s="348" t="s">
        <v>899</v>
      </c>
      <c r="G23" s="41">
        <v>34</v>
      </c>
      <c r="H23" s="41"/>
      <c r="I23" s="41"/>
      <c r="J23" s="160"/>
    </row>
    <row r="24" spans="1:10" ht="14" x14ac:dyDescent="0.3">
      <c r="C24" s="346">
        <v>45550</v>
      </c>
      <c r="D24" s="89" t="s">
        <v>901</v>
      </c>
      <c r="E24" s="41" t="s">
        <v>528</v>
      </c>
      <c r="F24" s="348" t="s">
        <v>899</v>
      </c>
      <c r="G24" s="41">
        <v>37</v>
      </c>
      <c r="H24" s="41"/>
      <c r="I24" s="41"/>
      <c r="J24" s="160"/>
    </row>
    <row r="25" spans="1:10" ht="14" x14ac:dyDescent="0.3">
      <c r="C25" s="346">
        <v>45551</v>
      </c>
      <c r="D25" s="89" t="s">
        <v>902</v>
      </c>
      <c r="E25" s="41" t="s">
        <v>528</v>
      </c>
      <c r="F25" s="348" t="s">
        <v>899</v>
      </c>
      <c r="G25" s="41">
        <v>32</v>
      </c>
      <c r="H25" s="41"/>
      <c r="I25" s="41"/>
      <c r="J25" s="160"/>
    </row>
    <row r="26" spans="1:10" ht="14" x14ac:dyDescent="0.3">
      <c r="C26" s="346">
        <v>45551</v>
      </c>
      <c r="D26" s="89" t="s">
        <v>903</v>
      </c>
      <c r="E26" s="41" t="s">
        <v>528</v>
      </c>
      <c r="F26" s="348" t="s">
        <v>904</v>
      </c>
      <c r="G26" s="41">
        <v>4</v>
      </c>
      <c r="H26" s="41"/>
      <c r="I26" s="41"/>
      <c r="J26" s="160"/>
    </row>
    <row r="27" spans="1:10" ht="14" x14ac:dyDescent="0.3">
      <c r="C27" s="346">
        <v>45552</v>
      </c>
      <c r="D27" s="89" t="s">
        <v>905</v>
      </c>
      <c r="E27" s="41" t="s">
        <v>528</v>
      </c>
      <c r="F27" s="348" t="s">
        <v>899</v>
      </c>
      <c r="G27" s="41">
        <v>14</v>
      </c>
      <c r="H27" s="41"/>
      <c r="I27" s="41"/>
      <c r="J27" s="160"/>
    </row>
    <row r="28" spans="1:10" ht="14" x14ac:dyDescent="0.3">
      <c r="C28" s="346">
        <v>45553</v>
      </c>
      <c r="D28" s="89" t="s">
        <v>906</v>
      </c>
      <c r="E28" s="41" t="s">
        <v>528</v>
      </c>
      <c r="F28" s="348" t="s">
        <v>899</v>
      </c>
      <c r="G28" s="41">
        <v>60</v>
      </c>
      <c r="H28" s="41"/>
      <c r="I28" s="41"/>
      <c r="J28" s="160"/>
    </row>
    <row r="29" spans="1:10" ht="14" x14ac:dyDescent="0.3">
      <c r="C29" s="346">
        <v>45553</v>
      </c>
      <c r="D29" s="89" t="s">
        <v>907</v>
      </c>
      <c r="E29" s="41" t="s">
        <v>528</v>
      </c>
      <c r="F29" s="348" t="s">
        <v>904</v>
      </c>
      <c r="G29" s="41">
        <v>64</v>
      </c>
      <c r="H29" s="41"/>
      <c r="I29" s="41"/>
      <c r="J29" s="160"/>
    </row>
    <row r="30" spans="1:10" ht="14" x14ac:dyDescent="0.3">
      <c r="C30" s="346">
        <v>45554</v>
      </c>
      <c r="D30" s="89" t="s">
        <v>908</v>
      </c>
      <c r="E30" s="41" t="s">
        <v>528</v>
      </c>
      <c r="F30" s="348" t="s">
        <v>899</v>
      </c>
      <c r="G30" s="41">
        <v>5</v>
      </c>
      <c r="H30" s="41"/>
      <c r="I30" s="41"/>
      <c r="J30" s="160"/>
    </row>
    <row r="31" spans="1:10" ht="14" x14ac:dyDescent="0.3">
      <c r="C31" s="346">
        <v>45554</v>
      </c>
      <c r="D31" s="89" t="s">
        <v>909</v>
      </c>
      <c r="E31" s="41" t="s">
        <v>528</v>
      </c>
      <c r="F31" s="348" t="s">
        <v>904</v>
      </c>
      <c r="G31" s="41">
        <v>7</v>
      </c>
      <c r="H31" s="41"/>
      <c r="I31" s="41"/>
      <c r="J31" s="160"/>
    </row>
    <row r="32" spans="1:10" ht="14" x14ac:dyDescent="0.3">
      <c r="C32" s="346">
        <v>45556</v>
      </c>
      <c r="D32" s="89" t="s">
        <v>910</v>
      </c>
      <c r="E32" s="41" t="s">
        <v>528</v>
      </c>
      <c r="F32" s="348" t="s">
        <v>904</v>
      </c>
      <c r="G32" s="41">
        <v>30</v>
      </c>
      <c r="H32" s="41"/>
      <c r="I32" s="41"/>
      <c r="J32" s="160"/>
    </row>
    <row r="33" spans="3:10" ht="14" x14ac:dyDescent="0.3">
      <c r="C33" s="346">
        <v>45558</v>
      </c>
      <c r="D33" s="89" t="s">
        <v>911</v>
      </c>
      <c r="E33" s="41" t="s">
        <v>528</v>
      </c>
      <c r="F33" s="348" t="s">
        <v>899</v>
      </c>
      <c r="G33" s="41">
        <v>15</v>
      </c>
      <c r="H33" s="41"/>
      <c r="I33" s="41"/>
      <c r="J33" s="160"/>
    </row>
    <row r="34" spans="3:10" ht="14" x14ac:dyDescent="0.3">
      <c r="C34" s="346">
        <v>45558</v>
      </c>
      <c r="D34" s="89" t="s">
        <v>912</v>
      </c>
      <c r="E34" s="41" t="s">
        <v>528</v>
      </c>
      <c r="F34" s="348" t="s">
        <v>904</v>
      </c>
      <c r="G34" s="41">
        <v>5</v>
      </c>
      <c r="H34" s="41"/>
      <c r="I34" s="41"/>
      <c r="J34" s="160"/>
    </row>
    <row r="35" spans="3:10" ht="14" x14ac:dyDescent="0.3">
      <c r="C35" s="346">
        <v>45559</v>
      </c>
      <c r="D35" s="89" t="s">
        <v>913</v>
      </c>
      <c r="E35" s="41" t="s">
        <v>528</v>
      </c>
      <c r="F35" s="348" t="s">
        <v>899</v>
      </c>
      <c r="G35" s="41">
        <v>19</v>
      </c>
      <c r="H35" s="41"/>
      <c r="I35" s="41"/>
      <c r="J35" s="160"/>
    </row>
    <row r="36" spans="3:10" ht="14" x14ac:dyDescent="0.3">
      <c r="C36" s="346">
        <v>45559</v>
      </c>
      <c r="D36" s="89" t="s">
        <v>914</v>
      </c>
      <c r="E36" s="41" t="s">
        <v>528</v>
      </c>
      <c r="F36" s="348" t="s">
        <v>904</v>
      </c>
      <c r="G36" s="41">
        <v>22</v>
      </c>
      <c r="H36" s="41"/>
      <c r="I36" s="41"/>
      <c r="J36" s="160"/>
    </row>
    <row r="37" spans="3:10" ht="14" x14ac:dyDescent="0.3">
      <c r="C37" s="346">
        <v>45560</v>
      </c>
      <c r="D37" s="89" t="s">
        <v>934</v>
      </c>
      <c r="E37" s="41" t="s">
        <v>528</v>
      </c>
      <c r="F37" s="348" t="s">
        <v>899</v>
      </c>
      <c r="G37" s="41">
        <v>12</v>
      </c>
      <c r="H37" s="41"/>
      <c r="I37" s="41"/>
      <c r="J37" s="160"/>
    </row>
    <row r="38" spans="3:10" ht="14" x14ac:dyDescent="0.3">
      <c r="C38" s="346">
        <v>45560</v>
      </c>
      <c r="D38" s="89" t="s">
        <v>933</v>
      </c>
      <c r="E38" s="41" t="s">
        <v>528</v>
      </c>
      <c r="F38" s="348" t="s">
        <v>904</v>
      </c>
      <c r="G38" s="41">
        <v>1</v>
      </c>
      <c r="H38" s="41"/>
      <c r="I38" s="41"/>
      <c r="J38" s="160"/>
    </row>
    <row r="39" spans="3:10" ht="14" x14ac:dyDescent="0.3">
      <c r="C39" s="346">
        <v>45560</v>
      </c>
      <c r="D39" s="89"/>
      <c r="E39" s="41" t="s">
        <v>592</v>
      </c>
      <c r="F39" s="348" t="s">
        <v>916</v>
      </c>
      <c r="G39" s="41">
        <f>-164-84</f>
        <v>-248</v>
      </c>
      <c r="H39" s="41"/>
      <c r="I39" s="41"/>
      <c r="J39" s="160">
        <v>248</v>
      </c>
    </row>
    <row r="40" spans="3:10" ht="14" x14ac:dyDescent="0.3">
      <c r="C40" s="346">
        <v>45561</v>
      </c>
      <c r="D40" s="89" t="s">
        <v>1065</v>
      </c>
      <c r="E40" s="41" t="s">
        <v>528</v>
      </c>
      <c r="F40" s="348" t="s">
        <v>899</v>
      </c>
      <c r="G40" s="41">
        <v>6</v>
      </c>
      <c r="H40" s="41"/>
      <c r="I40" s="41"/>
      <c r="J40" s="160"/>
    </row>
    <row r="41" spans="3:10" ht="14" x14ac:dyDescent="0.3">
      <c r="C41" s="346">
        <v>45562</v>
      </c>
      <c r="D41" s="89"/>
      <c r="E41" s="41" t="s">
        <v>69</v>
      </c>
      <c r="F41" s="348" t="s">
        <v>1045</v>
      </c>
      <c r="G41" s="41"/>
      <c r="H41" s="41"/>
      <c r="I41" s="41"/>
      <c r="J41" s="160">
        <v>-50</v>
      </c>
    </row>
    <row r="42" spans="3:10" ht="14" x14ac:dyDescent="0.3">
      <c r="C42" s="346">
        <v>45562</v>
      </c>
      <c r="D42" s="89"/>
      <c r="E42" s="41" t="s">
        <v>69</v>
      </c>
      <c r="F42" s="348" t="s">
        <v>1046</v>
      </c>
      <c r="G42" s="41"/>
      <c r="H42" s="41"/>
      <c r="I42" s="41"/>
      <c r="J42" s="160">
        <v>-1</v>
      </c>
    </row>
    <row r="43" spans="3:10" ht="14" x14ac:dyDescent="0.3">
      <c r="C43" s="346">
        <v>45562</v>
      </c>
      <c r="D43" s="89"/>
      <c r="E43" s="41" t="s">
        <v>69</v>
      </c>
      <c r="F43" s="348" t="s">
        <v>1047</v>
      </c>
      <c r="G43" s="41"/>
      <c r="H43" s="41"/>
      <c r="I43" s="41"/>
      <c r="J43" s="160">
        <v>-50</v>
      </c>
    </row>
    <row r="44" spans="3:10" ht="14" x14ac:dyDescent="0.3">
      <c r="C44" s="346">
        <v>45562</v>
      </c>
      <c r="D44" s="89"/>
      <c r="E44" s="41" t="s">
        <v>69</v>
      </c>
      <c r="F44" s="348" t="s">
        <v>1224</v>
      </c>
      <c r="G44" s="41"/>
      <c r="H44" s="41"/>
      <c r="I44" s="41"/>
      <c r="J44" s="160">
        <v>-30</v>
      </c>
    </row>
    <row r="45" spans="3:10" ht="14" x14ac:dyDescent="0.3">
      <c r="C45" s="346">
        <v>45562</v>
      </c>
      <c r="D45" s="89" t="s">
        <v>1066</v>
      </c>
      <c r="E45" s="41" t="s">
        <v>528</v>
      </c>
      <c r="F45" s="348" t="s">
        <v>899</v>
      </c>
      <c r="G45" s="41">
        <v>14</v>
      </c>
      <c r="H45" s="41"/>
      <c r="I45" s="41"/>
      <c r="J45" s="160"/>
    </row>
    <row r="46" spans="3:10" ht="14" x14ac:dyDescent="0.3">
      <c r="C46" s="346">
        <v>45562</v>
      </c>
      <c r="D46" s="89" t="s">
        <v>1067</v>
      </c>
      <c r="E46" s="41" t="s">
        <v>528</v>
      </c>
      <c r="F46" s="348" t="s">
        <v>899</v>
      </c>
      <c r="G46" s="41">
        <v>100</v>
      </c>
      <c r="H46" s="41"/>
      <c r="I46" s="41"/>
      <c r="J46" s="160"/>
    </row>
    <row r="47" spans="3:10" ht="14" x14ac:dyDescent="0.3">
      <c r="C47" s="346">
        <v>45563</v>
      </c>
      <c r="D47" s="89" t="s">
        <v>1068</v>
      </c>
      <c r="E47" s="41" t="s">
        <v>528</v>
      </c>
      <c r="F47" s="348" t="s">
        <v>899</v>
      </c>
      <c r="G47" s="41">
        <v>14</v>
      </c>
      <c r="H47" s="41"/>
      <c r="I47" s="41"/>
      <c r="J47" s="160"/>
    </row>
    <row r="48" spans="3:10" ht="14" x14ac:dyDescent="0.3">
      <c r="C48" s="346"/>
      <c r="D48" s="89"/>
      <c r="E48" s="41"/>
      <c r="F48" s="348"/>
      <c r="G48" s="41"/>
      <c r="H48" s="41"/>
      <c r="I48" s="41"/>
      <c r="J48" s="160"/>
    </row>
    <row r="49" spans="3:10" ht="14" x14ac:dyDescent="0.3">
      <c r="C49" s="346"/>
      <c r="D49" s="89"/>
      <c r="E49" s="41"/>
      <c r="F49" s="348"/>
      <c r="G49" s="41"/>
      <c r="H49" s="41"/>
      <c r="I49" s="41"/>
      <c r="J49" s="160"/>
    </row>
    <row r="50" spans="3:10" ht="14" x14ac:dyDescent="0.3">
      <c r="C50" s="346">
        <v>45565</v>
      </c>
      <c r="D50" s="89"/>
      <c r="E50" s="41" t="s">
        <v>592</v>
      </c>
      <c r="F50" s="348" t="s">
        <v>1064</v>
      </c>
      <c r="G50" s="41">
        <v>-154</v>
      </c>
      <c r="H50" s="41"/>
      <c r="I50" s="41"/>
      <c r="J50" s="160">
        <v>154</v>
      </c>
    </row>
    <row r="51" spans="3:10" ht="14" x14ac:dyDescent="0.3">
      <c r="C51" s="346">
        <v>45566</v>
      </c>
      <c r="D51" s="89"/>
      <c r="E51" s="41" t="s">
        <v>69</v>
      </c>
      <c r="F51" s="348" t="s">
        <v>1070</v>
      </c>
      <c r="G51" s="41"/>
      <c r="H51" s="41"/>
      <c r="I51" s="41"/>
      <c r="J51" s="160">
        <v>-33</v>
      </c>
    </row>
    <row r="52" spans="3:10" ht="14" x14ac:dyDescent="0.3">
      <c r="C52" s="346">
        <v>45566</v>
      </c>
      <c r="D52" s="89"/>
      <c r="E52" s="41" t="s">
        <v>69</v>
      </c>
      <c r="F52" s="348" t="s">
        <v>1071</v>
      </c>
      <c r="G52" s="41"/>
      <c r="H52" s="41"/>
      <c r="I52" s="41"/>
      <c r="J52" s="160">
        <v>-44</v>
      </c>
    </row>
    <row r="53" spans="3:10" ht="14" x14ac:dyDescent="0.3">
      <c r="C53" s="346">
        <v>45566</v>
      </c>
      <c r="D53" s="89"/>
      <c r="E53" s="41" t="s">
        <v>69</v>
      </c>
      <c r="F53" s="348" t="s">
        <v>1072</v>
      </c>
      <c r="G53" s="41"/>
      <c r="H53" s="41"/>
      <c r="I53" s="41"/>
      <c r="J53" s="160">
        <v>-40</v>
      </c>
    </row>
    <row r="54" spans="3:10" ht="14" x14ac:dyDescent="0.3">
      <c r="C54" s="346"/>
      <c r="D54" s="89"/>
      <c r="E54" s="41"/>
      <c r="F54" s="348"/>
      <c r="G54" s="41"/>
      <c r="H54" s="41"/>
      <c r="I54" s="41"/>
      <c r="J54" s="160"/>
    </row>
    <row r="55" spans="3:10" ht="14" x14ac:dyDescent="0.3">
      <c r="C55" s="346">
        <v>45568</v>
      </c>
      <c r="D55" s="89"/>
      <c r="E55" s="41"/>
      <c r="F55" s="348" t="s">
        <v>1162</v>
      </c>
      <c r="G55" s="41">
        <v>-122</v>
      </c>
      <c r="H55" s="41"/>
      <c r="I55" s="41"/>
      <c r="J55" s="160">
        <v>122</v>
      </c>
    </row>
    <row r="56" spans="3:10" ht="14" x14ac:dyDescent="0.3">
      <c r="C56" s="346"/>
      <c r="D56" s="89"/>
      <c r="E56" s="41"/>
      <c r="F56" s="348"/>
      <c r="G56" s="41"/>
      <c r="H56" s="41"/>
      <c r="I56" s="41"/>
      <c r="J56" s="160"/>
    </row>
    <row r="57" spans="3:10" ht="14" x14ac:dyDescent="0.3">
      <c r="C57" s="346">
        <v>45578</v>
      </c>
      <c r="D57" s="89"/>
      <c r="E57" s="41"/>
      <c r="F57" s="348" t="s">
        <v>1303</v>
      </c>
      <c r="G57" s="41"/>
      <c r="H57" s="41"/>
      <c r="I57" s="41"/>
      <c r="J57" s="160"/>
    </row>
    <row r="58" spans="3:10" ht="14" x14ac:dyDescent="0.3">
      <c r="C58" s="346"/>
      <c r="D58" s="89"/>
      <c r="E58" s="41"/>
      <c r="F58" s="348"/>
      <c r="G58" s="41"/>
      <c r="H58" s="41"/>
      <c r="I58" s="41"/>
      <c r="J58" s="160"/>
    </row>
    <row r="59" spans="3:10" ht="14" x14ac:dyDescent="0.3">
      <c r="C59" s="25"/>
      <c r="D59" s="89"/>
      <c r="E59" s="41"/>
      <c r="F59" s="16"/>
      <c r="G59" s="41"/>
      <c r="H59" s="41"/>
      <c r="I59" s="41"/>
      <c r="J59" s="160"/>
    </row>
    <row r="60" spans="3:10" x14ac:dyDescent="0.3">
      <c r="C60" s="41"/>
      <c r="D60" s="41"/>
      <c r="E60" s="41"/>
      <c r="F60" s="16"/>
      <c r="G60" s="35">
        <f>SUM(G3:G59)</f>
        <v>0</v>
      </c>
      <c r="H60" s="35"/>
      <c r="I60" s="35"/>
      <c r="J60" s="161">
        <f>SUM(J4:J59)</f>
        <v>276</v>
      </c>
    </row>
    <row r="61" spans="3:10" x14ac:dyDescent="0.3">
      <c r="C61" s="23"/>
      <c r="D61" s="23"/>
      <c r="E61" s="23"/>
      <c r="F61" s="1"/>
      <c r="G61" s="23"/>
      <c r="H61" s="23"/>
      <c r="I61" s="23"/>
      <c r="J61" s="14"/>
    </row>
    <row r="62" spans="3:10" x14ac:dyDescent="0.3">
      <c r="F62" s="284" t="s">
        <v>882</v>
      </c>
    </row>
    <row r="63" spans="3:10" x14ac:dyDescent="0.3">
      <c r="C63" s="20" t="s">
        <v>0</v>
      </c>
      <c r="D63" s="20" t="s">
        <v>54</v>
      </c>
      <c r="E63" s="20"/>
      <c r="F63" s="18" t="s">
        <v>5</v>
      </c>
      <c r="G63" s="20" t="s">
        <v>828</v>
      </c>
    </row>
    <row r="65" spans="3:7" ht="14" x14ac:dyDescent="0.3">
      <c r="C65" s="346">
        <v>45549</v>
      </c>
      <c r="D65" s="89" t="s">
        <v>898</v>
      </c>
      <c r="E65" s="41" t="s">
        <v>528</v>
      </c>
      <c r="F65" s="348" t="s">
        <v>900</v>
      </c>
      <c r="G65" s="26">
        <v>10</v>
      </c>
    </row>
    <row r="66" spans="3:7" ht="14" x14ac:dyDescent="0.3">
      <c r="C66" s="346">
        <v>45551</v>
      </c>
      <c r="D66" s="89" t="s">
        <v>903</v>
      </c>
      <c r="E66" s="41" t="s">
        <v>528</v>
      </c>
      <c r="F66" s="348" t="s">
        <v>904</v>
      </c>
      <c r="G66" s="41">
        <v>4</v>
      </c>
    </row>
    <row r="67" spans="3:7" ht="14" x14ac:dyDescent="0.3">
      <c r="C67" s="346">
        <v>45552</v>
      </c>
      <c r="D67" s="89" t="s">
        <v>905</v>
      </c>
      <c r="E67" s="41" t="s">
        <v>528</v>
      </c>
      <c r="F67" s="348" t="s">
        <v>899</v>
      </c>
      <c r="G67" s="41">
        <v>2</v>
      </c>
    </row>
    <row r="68" spans="3:7" ht="14" x14ac:dyDescent="0.3">
      <c r="C68" s="346">
        <v>45554</v>
      </c>
      <c r="D68" s="89" t="s">
        <v>909</v>
      </c>
      <c r="E68" s="41" t="s">
        <v>528</v>
      </c>
      <c r="F68" s="348" t="s">
        <v>904</v>
      </c>
      <c r="G68" s="41">
        <v>7</v>
      </c>
    </row>
    <row r="69" spans="3:7" ht="14" x14ac:dyDescent="0.3">
      <c r="C69" s="346">
        <v>45558</v>
      </c>
      <c r="D69" s="89" t="s">
        <v>912</v>
      </c>
      <c r="E69" s="41" t="s">
        <v>528</v>
      </c>
      <c r="F69" s="348" t="s">
        <v>904</v>
      </c>
      <c r="G69" s="41">
        <v>2</v>
      </c>
    </row>
    <row r="70" spans="3:7" ht="14" x14ac:dyDescent="0.3">
      <c r="C70" s="346">
        <v>45559</v>
      </c>
      <c r="D70" s="89" t="s">
        <v>914</v>
      </c>
      <c r="E70" s="41" t="s">
        <v>528</v>
      </c>
      <c r="F70" s="348" t="s">
        <v>904</v>
      </c>
      <c r="G70" s="26">
        <v>20</v>
      </c>
    </row>
    <row r="71" spans="3:7" x14ac:dyDescent="0.3">
      <c r="C71" s="113"/>
      <c r="D71" s="113"/>
      <c r="E71" s="113"/>
      <c r="F71" s="113"/>
      <c r="G71" s="26"/>
    </row>
    <row r="72" spans="3:7" x14ac:dyDescent="0.3">
      <c r="G72" s="17"/>
    </row>
    <row r="73" spans="3:7" x14ac:dyDescent="0.3">
      <c r="F73" s="18" t="s">
        <v>915</v>
      </c>
      <c r="G73" s="279">
        <f>SUM(G65:G72)</f>
        <v>45</v>
      </c>
    </row>
    <row r="74" spans="3:7" x14ac:dyDescent="0.3">
      <c r="G74" s="17"/>
    </row>
    <row r="75" spans="3:7" x14ac:dyDescent="0.3">
      <c r="G75" s="17"/>
    </row>
    <row r="76" spans="3:7" x14ac:dyDescent="0.3">
      <c r="G76" s="17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K86"/>
  <sheetViews>
    <sheetView workbookViewId="0">
      <selection activeCell="O53" sqref="O53"/>
    </sheetView>
  </sheetViews>
  <sheetFormatPr defaultRowHeight="13" x14ac:dyDescent="0.3"/>
  <cols>
    <col min="3" max="3" width="10.8984375" bestFit="1" customWidth="1"/>
    <col min="4" max="4" width="14.8984375" bestFit="1" customWidth="1"/>
    <col min="5" max="5" width="37.09765625" bestFit="1" customWidth="1"/>
    <col min="6" max="6" width="12.69921875" style="17" customWidth="1"/>
    <col min="7" max="7" width="12.3984375" style="17" bestFit="1" customWidth="1"/>
    <col min="8" max="8" width="9.3984375" bestFit="1" customWidth="1"/>
    <col min="10" max="10" width="8.796875" style="279"/>
    <col min="11" max="11" width="13" bestFit="1" customWidth="1"/>
  </cols>
  <sheetData>
    <row r="3" spans="1:11" x14ac:dyDescent="0.3">
      <c r="C3" s="161" t="s">
        <v>0</v>
      </c>
      <c r="D3" s="161" t="s">
        <v>54</v>
      </c>
      <c r="E3" s="161" t="s">
        <v>5</v>
      </c>
      <c r="F3" s="161" t="s">
        <v>448</v>
      </c>
      <c r="G3" s="161" t="s">
        <v>1161</v>
      </c>
      <c r="H3" s="161" t="s">
        <v>822</v>
      </c>
      <c r="I3" s="113"/>
      <c r="J3" s="161" t="s">
        <v>40</v>
      </c>
    </row>
    <row r="4" spans="1:11" ht="14" x14ac:dyDescent="0.3">
      <c r="C4" s="84">
        <v>45473</v>
      </c>
      <c r="D4" s="89" t="s">
        <v>167</v>
      </c>
      <c r="E4" s="56" t="s">
        <v>1141</v>
      </c>
      <c r="F4" s="398">
        <v>59</v>
      </c>
      <c r="G4" s="406">
        <f>H4/F4</f>
        <v>518.64406779661022</v>
      </c>
      <c r="H4" s="138">
        <v>30600</v>
      </c>
      <c r="I4" s="113"/>
      <c r="J4" s="384">
        <v>3210</v>
      </c>
      <c r="K4" t="s">
        <v>1158</v>
      </c>
    </row>
    <row r="5" spans="1:11" ht="14" x14ac:dyDescent="0.3">
      <c r="C5" s="84"/>
      <c r="D5" s="89"/>
      <c r="E5" s="56"/>
      <c r="F5" s="398"/>
      <c r="G5" s="398"/>
      <c r="H5" s="59"/>
      <c r="I5" s="113"/>
      <c r="J5" s="384"/>
    </row>
    <row r="6" spans="1:11" ht="14" x14ac:dyDescent="0.3">
      <c r="C6" s="84">
        <v>45473</v>
      </c>
      <c r="D6" s="89" t="s">
        <v>177</v>
      </c>
      <c r="E6" s="56" t="s">
        <v>1142</v>
      </c>
      <c r="F6" s="398">
        <v>42</v>
      </c>
      <c r="G6" s="406">
        <f>H6/F6</f>
        <v>348.19642857142856</v>
      </c>
      <c r="H6" s="146">
        <v>14624.25</v>
      </c>
      <c r="I6" s="113"/>
      <c r="J6" s="384">
        <v>1370</v>
      </c>
    </row>
    <row r="7" spans="1:11" x14ac:dyDescent="0.3">
      <c r="C7" s="113"/>
      <c r="D7" s="113"/>
      <c r="E7" s="113"/>
      <c r="F7" s="26"/>
      <c r="G7" s="26"/>
      <c r="H7" s="113"/>
      <c r="I7" s="113"/>
      <c r="J7" s="384"/>
    </row>
    <row r="8" spans="1:11" ht="14" x14ac:dyDescent="0.3">
      <c r="A8" s="1" t="s">
        <v>307</v>
      </c>
      <c r="C8" s="40">
        <v>45477</v>
      </c>
      <c r="D8" s="89" t="s">
        <v>185</v>
      </c>
      <c r="E8" s="56" t="s">
        <v>1143</v>
      </c>
      <c r="F8" s="398">
        <v>92</v>
      </c>
      <c r="G8" s="406">
        <f>H8/F8</f>
        <v>359</v>
      </c>
      <c r="H8" s="120">
        <f>359*92</f>
        <v>33028</v>
      </c>
      <c r="I8" s="113"/>
      <c r="J8" s="401">
        <v>3002.65</v>
      </c>
    </row>
    <row r="9" spans="1:11" x14ac:dyDescent="0.3">
      <c r="C9" s="113"/>
      <c r="D9" s="113"/>
      <c r="E9" s="113"/>
      <c r="F9" s="26"/>
      <c r="G9" s="26"/>
      <c r="H9" s="113"/>
      <c r="I9" s="113"/>
      <c r="J9" s="384"/>
    </row>
    <row r="10" spans="1:11" ht="14" x14ac:dyDescent="0.3">
      <c r="A10" s="1" t="s">
        <v>307</v>
      </c>
      <c r="C10" s="40">
        <v>45488</v>
      </c>
      <c r="D10" s="89" t="s">
        <v>205</v>
      </c>
      <c r="E10" s="56" t="s">
        <v>1144</v>
      </c>
      <c r="F10" s="398">
        <v>54</v>
      </c>
      <c r="G10" s="406">
        <f>H10/F10</f>
        <v>358.96296296296299</v>
      </c>
      <c r="H10" s="67">
        <v>19384</v>
      </c>
      <c r="I10" s="113"/>
      <c r="J10" s="384">
        <v>1763</v>
      </c>
    </row>
    <row r="11" spans="1:11" ht="14" x14ac:dyDescent="0.3">
      <c r="C11" s="40"/>
      <c r="D11" s="89"/>
      <c r="E11" s="56"/>
      <c r="F11" s="398"/>
      <c r="G11" s="398"/>
      <c r="H11" s="67"/>
      <c r="I11" s="113"/>
      <c r="J11" s="384"/>
    </row>
    <row r="12" spans="1:11" ht="14" x14ac:dyDescent="0.3">
      <c r="A12" s="1" t="s">
        <v>307</v>
      </c>
      <c r="C12" s="88">
        <v>45491</v>
      </c>
      <c r="D12" s="89" t="s">
        <v>237</v>
      </c>
      <c r="E12" s="56" t="s">
        <v>1145</v>
      </c>
      <c r="F12" s="89">
        <v>56</v>
      </c>
      <c r="G12" s="406">
        <f>H12/F12</f>
        <v>357</v>
      </c>
      <c r="H12" s="54">
        <v>19992</v>
      </c>
      <c r="I12" s="113"/>
      <c r="J12" s="384">
        <v>1818</v>
      </c>
    </row>
    <row r="13" spans="1:11" x14ac:dyDescent="0.3">
      <c r="C13" s="113"/>
      <c r="D13" s="113"/>
      <c r="E13" s="113"/>
      <c r="F13" s="26"/>
      <c r="G13" s="26"/>
      <c r="H13" s="113"/>
      <c r="I13" s="113"/>
      <c r="J13" s="384"/>
    </row>
    <row r="14" spans="1:11" ht="14" x14ac:dyDescent="0.3">
      <c r="A14" s="1" t="s">
        <v>307</v>
      </c>
      <c r="C14" s="84">
        <v>45491</v>
      </c>
      <c r="D14" s="89" t="s">
        <v>239</v>
      </c>
      <c r="E14" s="56" t="s">
        <v>1146</v>
      </c>
      <c r="F14" s="399">
        <v>250</v>
      </c>
      <c r="G14" s="406">
        <f>H14/F14</f>
        <v>357</v>
      </c>
      <c r="H14" s="54">
        <f>357*250</f>
        <v>89250</v>
      </c>
      <c r="I14" s="113"/>
      <c r="J14" s="384">
        <v>8113</v>
      </c>
    </row>
    <row r="15" spans="1:11" x14ac:dyDescent="0.3">
      <c r="C15" s="113"/>
      <c r="D15" s="113"/>
      <c r="E15" s="113"/>
      <c r="F15" s="26"/>
      <c r="G15" s="26"/>
      <c r="H15" s="113"/>
      <c r="I15" s="113"/>
      <c r="J15" s="384"/>
    </row>
    <row r="16" spans="1:11" ht="14" x14ac:dyDescent="0.3">
      <c r="A16" s="1" t="s">
        <v>307</v>
      </c>
      <c r="C16" s="25">
        <v>45495</v>
      </c>
      <c r="D16" s="89" t="s">
        <v>250</v>
      </c>
      <c r="E16" s="56" t="s">
        <v>1147</v>
      </c>
      <c r="F16" s="399">
        <v>113</v>
      </c>
      <c r="G16" s="406">
        <f>H16/F16</f>
        <v>357</v>
      </c>
      <c r="H16" s="54">
        <v>40341</v>
      </c>
      <c r="I16" s="113"/>
      <c r="J16" s="384">
        <v>3667</v>
      </c>
      <c r="K16" t="s">
        <v>451</v>
      </c>
    </row>
    <row r="17" spans="1:11" x14ac:dyDescent="0.3">
      <c r="C17" s="113"/>
      <c r="D17" s="113"/>
      <c r="E17" s="113"/>
      <c r="F17" s="26"/>
      <c r="G17" s="26"/>
      <c r="H17" s="113"/>
      <c r="I17" s="113"/>
      <c r="J17" s="384"/>
    </row>
    <row r="18" spans="1:11" ht="15.5" x14ac:dyDescent="0.3">
      <c r="A18" s="1" t="s">
        <v>307</v>
      </c>
      <c r="C18" s="25">
        <v>45497</v>
      </c>
      <c r="D18" s="89" t="s">
        <v>272</v>
      </c>
      <c r="E18" s="56" t="s">
        <v>1148</v>
      </c>
      <c r="F18" s="400">
        <v>76</v>
      </c>
      <c r="G18" s="406">
        <f>H18/F18</f>
        <v>357</v>
      </c>
      <c r="H18" s="54">
        <v>27132</v>
      </c>
      <c r="I18" s="113"/>
      <c r="J18" s="384">
        <v>2480</v>
      </c>
    </row>
    <row r="19" spans="1:11" x14ac:dyDescent="0.3">
      <c r="C19" s="113"/>
      <c r="D19" s="113"/>
      <c r="E19" s="113"/>
      <c r="F19" s="26"/>
      <c r="G19" s="26"/>
      <c r="H19" s="113"/>
      <c r="I19" s="113"/>
      <c r="J19" s="384"/>
    </row>
    <row r="20" spans="1:11" ht="14" x14ac:dyDescent="0.3">
      <c r="A20" s="1" t="s">
        <v>307</v>
      </c>
      <c r="C20" s="25">
        <v>45501</v>
      </c>
      <c r="D20" s="89" t="s">
        <v>328</v>
      </c>
      <c r="E20" s="56" t="s">
        <v>1149</v>
      </c>
      <c r="F20" s="399">
        <v>37</v>
      </c>
      <c r="G20" s="406">
        <f>H20/F20</f>
        <v>359</v>
      </c>
      <c r="H20" s="54">
        <v>13283</v>
      </c>
      <c r="I20" s="113"/>
      <c r="J20" s="384">
        <v>1207</v>
      </c>
      <c r="K20" t="s">
        <v>451</v>
      </c>
    </row>
    <row r="21" spans="1:11" x14ac:dyDescent="0.3">
      <c r="C21" s="113"/>
      <c r="D21" s="113"/>
      <c r="E21" s="113"/>
      <c r="F21" s="26"/>
      <c r="G21" s="26"/>
      <c r="H21" s="113"/>
      <c r="I21" s="113"/>
      <c r="J21" s="384"/>
    </row>
    <row r="22" spans="1:11" ht="14" x14ac:dyDescent="0.3">
      <c r="A22" s="1" t="s">
        <v>307</v>
      </c>
      <c r="C22" s="25">
        <v>45502</v>
      </c>
      <c r="D22" s="89" t="s">
        <v>330</v>
      </c>
      <c r="E22" s="56" t="s">
        <v>1150</v>
      </c>
      <c r="F22" s="399">
        <v>61</v>
      </c>
      <c r="G22" s="406">
        <f>H22/F22</f>
        <v>358.90163934426232</v>
      </c>
      <c r="H22" s="54">
        <v>21893</v>
      </c>
      <c r="I22" s="113"/>
      <c r="J22" s="384">
        <f>1795+196</f>
        <v>1991</v>
      </c>
    </row>
    <row r="23" spans="1:11" x14ac:dyDescent="0.3">
      <c r="C23" s="113"/>
      <c r="D23" s="113"/>
      <c r="E23" s="113"/>
      <c r="F23" s="26"/>
      <c r="G23" s="26"/>
      <c r="H23" s="113"/>
      <c r="I23" s="113"/>
      <c r="J23" s="384"/>
    </row>
    <row r="24" spans="1:11" ht="14" x14ac:dyDescent="0.3">
      <c r="A24" s="1" t="s">
        <v>307</v>
      </c>
      <c r="C24" s="88">
        <v>45517</v>
      </c>
      <c r="D24" s="89" t="s">
        <v>466</v>
      </c>
      <c r="E24" s="56" t="s">
        <v>1151</v>
      </c>
      <c r="F24" s="398">
        <v>400</v>
      </c>
      <c r="G24" s="406">
        <f>H24/F24</f>
        <v>357</v>
      </c>
      <c r="H24" s="54">
        <v>142800</v>
      </c>
      <c r="I24" s="113"/>
      <c r="J24" s="384">
        <v>12981</v>
      </c>
    </row>
    <row r="26" spans="1:11" x14ac:dyDescent="0.3">
      <c r="E26" s="353" t="s">
        <v>1099</v>
      </c>
      <c r="F26" s="353">
        <f>SUM(F4:F25)</f>
        <v>1240</v>
      </c>
      <c r="G26" s="353"/>
      <c r="H26" s="402"/>
      <c r="I26" s="402"/>
      <c r="J26" s="353">
        <f>SUM(J4:J25)</f>
        <v>41602.65</v>
      </c>
    </row>
    <row r="27" spans="1:11" x14ac:dyDescent="0.3">
      <c r="E27" s="353"/>
      <c r="F27" s="353"/>
      <c r="G27" s="353"/>
      <c r="H27" s="402"/>
      <c r="I27" s="402"/>
      <c r="J27" s="353"/>
    </row>
    <row r="28" spans="1:11" x14ac:dyDescent="0.3">
      <c r="C28" s="161" t="s">
        <v>0</v>
      </c>
      <c r="D28" s="161" t="s">
        <v>54</v>
      </c>
      <c r="E28" s="161" t="s">
        <v>5</v>
      </c>
      <c r="F28" s="161" t="s">
        <v>448</v>
      </c>
      <c r="G28" s="161"/>
      <c r="H28" s="161" t="s">
        <v>822</v>
      </c>
      <c r="I28" s="113"/>
      <c r="J28" s="161" t="s">
        <v>40</v>
      </c>
    </row>
    <row r="29" spans="1:11" ht="14" x14ac:dyDescent="0.3">
      <c r="C29" s="88">
        <v>45540</v>
      </c>
      <c r="D29" s="89" t="s">
        <v>559</v>
      </c>
      <c r="E29" s="56" t="s">
        <v>560</v>
      </c>
      <c r="F29" s="26">
        <v>40</v>
      </c>
      <c r="G29" s="406">
        <f>H29/F29</f>
        <v>358</v>
      </c>
      <c r="H29" s="54">
        <f>358*40</f>
        <v>14320</v>
      </c>
      <c r="I29" s="113"/>
      <c r="J29" s="384">
        <v>1301.82</v>
      </c>
    </row>
    <row r="30" spans="1:11" x14ac:dyDescent="0.3">
      <c r="C30" s="113"/>
      <c r="D30" s="113"/>
      <c r="E30" s="113"/>
      <c r="F30" s="26"/>
      <c r="G30" s="26"/>
      <c r="H30" s="26"/>
      <c r="I30" s="113"/>
      <c r="J30" s="384"/>
    </row>
    <row r="31" spans="1:11" ht="14" x14ac:dyDescent="0.3">
      <c r="C31" s="88">
        <v>45549</v>
      </c>
      <c r="D31" s="16" t="s">
        <v>1105</v>
      </c>
      <c r="E31" s="16" t="s">
        <v>1104</v>
      </c>
      <c r="F31" s="26">
        <v>34</v>
      </c>
      <c r="G31" s="406">
        <f>H31/F31</f>
        <v>279.47058823529414</v>
      </c>
      <c r="H31" s="403">
        <v>9502</v>
      </c>
      <c r="I31" s="113"/>
      <c r="J31" s="384">
        <v>950.2</v>
      </c>
    </row>
    <row r="32" spans="1:11" x14ac:dyDescent="0.3">
      <c r="C32" s="113"/>
      <c r="D32" s="113"/>
      <c r="E32" s="113"/>
      <c r="F32" s="26"/>
      <c r="G32" s="26"/>
      <c r="H32" s="26"/>
      <c r="I32" s="113"/>
      <c r="J32" s="384"/>
    </row>
    <row r="33" spans="3:10" ht="14" x14ac:dyDescent="0.3">
      <c r="C33" s="88">
        <v>45550</v>
      </c>
      <c r="D33" s="16" t="s">
        <v>1106</v>
      </c>
      <c r="E33" s="16" t="s">
        <v>1107</v>
      </c>
      <c r="F33" s="26">
        <v>37</v>
      </c>
      <c r="G33" s="406">
        <f>H33/F33</f>
        <v>298.18918918918916</v>
      </c>
      <c r="H33" s="403">
        <v>11033</v>
      </c>
      <c r="I33" s="113"/>
      <c r="J33" s="384">
        <v>1103.3</v>
      </c>
    </row>
    <row r="34" spans="3:10" x14ac:dyDescent="0.3">
      <c r="C34" s="113"/>
      <c r="D34" s="113"/>
      <c r="E34" s="113"/>
      <c r="F34" s="26"/>
      <c r="G34" s="26"/>
      <c r="H34" s="26"/>
      <c r="I34" s="113"/>
      <c r="J34" s="384"/>
    </row>
    <row r="35" spans="3:10" ht="14" x14ac:dyDescent="0.3">
      <c r="C35" s="88">
        <v>45551</v>
      </c>
      <c r="D35" s="16" t="s">
        <v>1110</v>
      </c>
      <c r="E35" s="16" t="s">
        <v>1104</v>
      </c>
      <c r="F35" s="26">
        <v>34</v>
      </c>
      <c r="G35" s="406">
        <f>H35/F35</f>
        <v>280.35294117647061</v>
      </c>
      <c r="H35" s="403">
        <v>9532</v>
      </c>
      <c r="I35" s="113"/>
      <c r="J35" s="384">
        <v>953.2</v>
      </c>
    </row>
    <row r="36" spans="3:10" x14ac:dyDescent="0.3">
      <c r="C36" s="113"/>
      <c r="D36" s="113"/>
      <c r="E36" s="113"/>
      <c r="F36" s="26"/>
      <c r="G36" s="26"/>
      <c r="H36" s="26"/>
      <c r="I36" s="113"/>
      <c r="J36" s="384"/>
    </row>
    <row r="37" spans="3:10" ht="14" x14ac:dyDescent="0.3">
      <c r="C37" s="88">
        <v>45552</v>
      </c>
      <c r="D37" s="16" t="s">
        <v>1111</v>
      </c>
      <c r="E37" s="16" t="s">
        <v>1112</v>
      </c>
      <c r="F37" s="26">
        <v>14</v>
      </c>
      <c r="G37" s="406">
        <f>H37/F37</f>
        <v>299.28571428571428</v>
      </c>
      <c r="H37" s="26">
        <v>4190</v>
      </c>
      <c r="I37" s="113"/>
      <c r="J37" s="384">
        <v>419</v>
      </c>
    </row>
    <row r="38" spans="3:10" x14ac:dyDescent="0.3">
      <c r="C38" s="113"/>
      <c r="D38" s="113"/>
      <c r="E38" s="113"/>
      <c r="F38" s="26"/>
      <c r="G38" s="26"/>
      <c r="H38" s="26"/>
      <c r="I38" s="113"/>
      <c r="J38" s="384"/>
    </row>
    <row r="39" spans="3:10" ht="14" x14ac:dyDescent="0.3">
      <c r="C39" s="88">
        <v>45553</v>
      </c>
      <c r="D39" s="16" t="s">
        <v>1113</v>
      </c>
      <c r="E39" s="16" t="s">
        <v>1115</v>
      </c>
      <c r="F39" s="26">
        <v>62</v>
      </c>
      <c r="G39" s="406">
        <f>H39/F39</f>
        <v>297.98387096774195</v>
      </c>
      <c r="H39" s="403">
        <v>18475</v>
      </c>
      <c r="I39" s="113"/>
      <c r="J39" s="384">
        <v>1847.5</v>
      </c>
    </row>
    <row r="40" spans="3:10" x14ac:dyDescent="0.3">
      <c r="C40" s="113"/>
      <c r="D40" s="113"/>
      <c r="E40" s="113"/>
      <c r="F40" s="26"/>
      <c r="G40" s="26"/>
      <c r="H40" s="26"/>
      <c r="I40" s="113"/>
      <c r="J40" s="384"/>
    </row>
    <row r="41" spans="3:10" ht="14" x14ac:dyDescent="0.3">
      <c r="C41" s="88">
        <v>45554</v>
      </c>
      <c r="D41" s="16" t="s">
        <v>1117</v>
      </c>
      <c r="E41" s="16" t="s">
        <v>1119</v>
      </c>
      <c r="F41" s="26">
        <v>5</v>
      </c>
      <c r="G41" s="406">
        <f>H41/F41</f>
        <v>298.2</v>
      </c>
      <c r="H41" s="403">
        <v>1491</v>
      </c>
      <c r="I41" s="113"/>
      <c r="J41" s="384">
        <v>149.1</v>
      </c>
    </row>
    <row r="42" spans="3:10" x14ac:dyDescent="0.3">
      <c r="C42" s="113"/>
      <c r="D42" s="113"/>
      <c r="E42" s="113"/>
      <c r="F42" s="26"/>
      <c r="G42" s="26"/>
      <c r="H42" s="26"/>
      <c r="I42" s="113"/>
      <c r="J42" s="384"/>
    </row>
    <row r="43" spans="3:10" ht="14" x14ac:dyDescent="0.3">
      <c r="C43" s="88">
        <v>45558</v>
      </c>
      <c r="D43" s="16" t="s">
        <v>1123</v>
      </c>
      <c r="E43" s="16" t="s">
        <v>1125</v>
      </c>
      <c r="F43" s="26">
        <v>15</v>
      </c>
      <c r="G43" s="406">
        <f>H43/F43</f>
        <v>297.53333333333336</v>
      </c>
      <c r="H43" s="26">
        <v>4463</v>
      </c>
      <c r="I43" s="113"/>
      <c r="J43" s="384">
        <v>446.3</v>
      </c>
    </row>
    <row r="44" spans="3:10" x14ac:dyDescent="0.3">
      <c r="C44" s="113"/>
      <c r="D44" s="113"/>
      <c r="E44" s="113"/>
      <c r="F44" s="26"/>
      <c r="G44" s="26"/>
      <c r="H44" s="26"/>
      <c r="I44" s="113"/>
      <c r="J44" s="384"/>
    </row>
    <row r="45" spans="3:10" ht="14" x14ac:dyDescent="0.3">
      <c r="C45" s="88">
        <v>45559</v>
      </c>
      <c r="D45" s="16" t="s">
        <v>1128</v>
      </c>
      <c r="E45" s="16" t="s">
        <v>1126</v>
      </c>
      <c r="F45" s="26">
        <v>19</v>
      </c>
      <c r="G45" s="406">
        <f>H45/F45</f>
        <v>298.21052631578948</v>
      </c>
      <c r="H45" s="26">
        <v>5666</v>
      </c>
      <c r="I45" s="113"/>
      <c r="J45" s="384">
        <v>566.6</v>
      </c>
    </row>
    <row r="46" spans="3:10" x14ac:dyDescent="0.3">
      <c r="C46" s="113"/>
      <c r="D46" s="113"/>
      <c r="E46" s="113"/>
      <c r="F46" s="26"/>
      <c r="G46" s="26"/>
      <c r="H46" s="26"/>
      <c r="I46" s="113"/>
      <c r="J46" s="384"/>
    </row>
    <row r="47" spans="3:10" ht="14" x14ac:dyDescent="0.3">
      <c r="C47" s="88">
        <v>45560</v>
      </c>
      <c r="D47" s="16" t="s">
        <v>1130</v>
      </c>
      <c r="E47" s="16" t="s">
        <v>1132</v>
      </c>
      <c r="F47" s="26">
        <v>11</v>
      </c>
      <c r="G47" s="406">
        <f>H47/F47</f>
        <v>302.18181818181819</v>
      </c>
      <c r="H47" s="26">
        <v>3324</v>
      </c>
      <c r="I47" s="113"/>
      <c r="J47" s="384">
        <v>332.4</v>
      </c>
    </row>
    <row r="48" spans="3:10" x14ac:dyDescent="0.3">
      <c r="C48" s="113"/>
      <c r="D48" s="113"/>
      <c r="E48" s="113"/>
      <c r="F48" s="26"/>
      <c r="G48" s="26"/>
      <c r="H48" s="113"/>
      <c r="I48" s="113"/>
      <c r="J48" s="384"/>
    </row>
    <row r="49" spans="3:10" ht="14" x14ac:dyDescent="0.3">
      <c r="C49" s="88">
        <v>45561</v>
      </c>
      <c r="D49" s="16" t="s">
        <v>1134</v>
      </c>
      <c r="E49" s="16" t="s">
        <v>1135</v>
      </c>
      <c r="F49" s="26">
        <v>6</v>
      </c>
      <c r="G49" s="406">
        <f>H49/F49</f>
        <v>300.5</v>
      </c>
      <c r="H49" s="26">
        <v>1803</v>
      </c>
      <c r="I49" s="113"/>
      <c r="J49" s="384">
        <v>180.3</v>
      </c>
    </row>
    <row r="50" spans="3:10" x14ac:dyDescent="0.3">
      <c r="C50" s="113"/>
      <c r="D50" s="113"/>
      <c r="E50" s="113"/>
      <c r="F50" s="26"/>
      <c r="G50" s="26"/>
      <c r="H50" s="26"/>
      <c r="I50" s="113"/>
      <c r="J50" s="384"/>
    </row>
    <row r="51" spans="3:10" ht="14" x14ac:dyDescent="0.3">
      <c r="C51" s="88">
        <v>45562</v>
      </c>
      <c r="D51" s="16" t="s">
        <v>1136</v>
      </c>
      <c r="E51" s="16" t="s">
        <v>1112</v>
      </c>
      <c r="F51" s="26">
        <v>14</v>
      </c>
      <c r="G51" s="406">
        <f>H51/F51</f>
        <v>297.85714285714283</v>
      </c>
      <c r="H51" s="26">
        <v>4170</v>
      </c>
      <c r="I51" s="113"/>
      <c r="J51" s="384">
        <v>417</v>
      </c>
    </row>
    <row r="52" spans="3:10" x14ac:dyDescent="0.3">
      <c r="C52" s="113"/>
      <c r="D52" s="113"/>
      <c r="E52" s="113"/>
      <c r="F52" s="26"/>
      <c r="G52" s="26"/>
      <c r="H52" s="26"/>
      <c r="I52" s="113"/>
      <c r="J52" s="384"/>
    </row>
    <row r="53" spans="3:10" ht="14" x14ac:dyDescent="0.3">
      <c r="C53" s="88">
        <v>45562</v>
      </c>
      <c r="D53" s="16" t="s">
        <v>1137</v>
      </c>
      <c r="E53" s="16" t="s">
        <v>1138</v>
      </c>
      <c r="F53" s="26">
        <v>100</v>
      </c>
      <c r="G53" s="406">
        <f>H53/F53</f>
        <v>298</v>
      </c>
      <c r="H53" s="26">
        <v>29800</v>
      </c>
      <c r="I53" s="113"/>
      <c r="J53" s="384">
        <v>2709</v>
      </c>
    </row>
    <row r="54" spans="3:10" x14ac:dyDescent="0.3">
      <c r="C54" s="113"/>
      <c r="D54" s="113"/>
      <c r="E54" s="113"/>
      <c r="F54" s="26"/>
      <c r="G54" s="26"/>
      <c r="H54" s="26"/>
      <c r="I54" s="113"/>
      <c r="J54" s="384"/>
    </row>
    <row r="55" spans="3:10" ht="14" x14ac:dyDescent="0.3">
      <c r="C55" s="88">
        <v>45563</v>
      </c>
      <c r="D55" s="16" t="s">
        <v>1139</v>
      </c>
      <c r="E55" s="16" t="s">
        <v>1112</v>
      </c>
      <c r="F55" s="26">
        <v>14</v>
      </c>
      <c r="G55" s="406">
        <f>H55/F55</f>
        <v>297.14285714285717</v>
      </c>
      <c r="H55" s="26">
        <v>4160</v>
      </c>
      <c r="I55" s="113"/>
      <c r="J55" s="384">
        <v>416</v>
      </c>
    </row>
    <row r="56" spans="3:10" ht="14" x14ac:dyDescent="0.3">
      <c r="C56" s="234"/>
      <c r="D56" s="1"/>
      <c r="E56" s="1"/>
      <c r="H56" s="17"/>
    </row>
    <row r="57" spans="3:10" ht="14" x14ac:dyDescent="0.3">
      <c r="C57" s="88">
        <v>45564</v>
      </c>
      <c r="D57" s="16" t="s">
        <v>1153</v>
      </c>
      <c r="E57" s="16" t="s">
        <v>1154</v>
      </c>
      <c r="F57" s="26">
        <v>0</v>
      </c>
      <c r="G57" s="406" t="e">
        <f>H57/F57</f>
        <v>#DIV/0!</v>
      </c>
      <c r="H57" s="26">
        <v>893</v>
      </c>
      <c r="I57" s="113"/>
      <c r="J57" s="384"/>
    </row>
    <row r="58" spans="3:10" ht="14" x14ac:dyDescent="0.3">
      <c r="C58" s="234"/>
      <c r="D58" s="1"/>
      <c r="E58" s="1"/>
      <c r="H58" s="17"/>
    </row>
    <row r="59" spans="3:10" ht="14" x14ac:dyDescent="0.3">
      <c r="C59" s="88">
        <v>45565</v>
      </c>
      <c r="D59" s="16" t="s">
        <v>1157</v>
      </c>
      <c r="E59" s="16" t="s">
        <v>1125</v>
      </c>
      <c r="F59" s="26">
        <v>15</v>
      </c>
      <c r="G59" s="406">
        <f>H59/F59</f>
        <v>298.66666666666669</v>
      </c>
      <c r="H59" s="403">
        <v>4480</v>
      </c>
      <c r="I59" s="113"/>
      <c r="J59" s="384">
        <v>448</v>
      </c>
    </row>
    <row r="60" spans="3:10" ht="14" x14ac:dyDescent="0.3">
      <c r="C60" s="234"/>
      <c r="D60" s="1"/>
      <c r="E60" s="353" t="s">
        <v>1140</v>
      </c>
      <c r="F60" s="353">
        <f>SUM(F29:F59)</f>
        <v>420</v>
      </c>
      <c r="G60" s="353"/>
      <c r="H60" s="402"/>
      <c r="I60" s="402"/>
      <c r="J60" s="353">
        <f>SUM(J29:J59)</f>
        <v>12239.72</v>
      </c>
    </row>
    <row r="61" spans="3:10" ht="14" x14ac:dyDescent="0.3">
      <c r="C61" s="234"/>
      <c r="D61" s="1"/>
      <c r="E61" s="1"/>
      <c r="H61" s="17"/>
    </row>
    <row r="62" spans="3:10" ht="14" x14ac:dyDescent="0.3">
      <c r="C62" s="234"/>
      <c r="D62" s="1"/>
      <c r="E62" s="1"/>
      <c r="H62" s="17"/>
    </row>
    <row r="63" spans="3:10" x14ac:dyDescent="0.3">
      <c r="C63" s="161" t="s">
        <v>0</v>
      </c>
      <c r="D63" s="161" t="s">
        <v>54</v>
      </c>
      <c r="E63" s="161" t="s">
        <v>5</v>
      </c>
      <c r="F63" s="161" t="s">
        <v>448</v>
      </c>
      <c r="G63" s="161"/>
      <c r="H63" s="161" t="s">
        <v>822</v>
      </c>
      <c r="I63" s="113"/>
      <c r="J63" s="161" t="s">
        <v>40</v>
      </c>
    </row>
    <row r="64" spans="3:10" ht="14" x14ac:dyDescent="0.3">
      <c r="C64" s="88">
        <v>45547</v>
      </c>
      <c r="D64" s="89" t="s">
        <v>1100</v>
      </c>
      <c r="E64" s="16" t="s">
        <v>1101</v>
      </c>
      <c r="F64" s="26">
        <v>42</v>
      </c>
      <c r="G64" s="406">
        <f>H64/F64</f>
        <v>770.83333333333337</v>
      </c>
      <c r="H64" s="403">
        <v>32375</v>
      </c>
      <c r="I64" s="113"/>
      <c r="J64" s="384">
        <v>2251.7800000000002</v>
      </c>
    </row>
    <row r="65" spans="3:10" x14ac:dyDescent="0.3">
      <c r="C65" s="113"/>
      <c r="D65" s="113"/>
      <c r="E65" s="113"/>
      <c r="F65" s="26"/>
      <c r="G65" s="26"/>
      <c r="H65" s="26"/>
      <c r="I65" s="113"/>
      <c r="J65" s="384"/>
    </row>
    <row r="66" spans="3:10" ht="28" x14ac:dyDescent="0.3">
      <c r="C66" s="88">
        <v>45548</v>
      </c>
      <c r="D66" s="89" t="s">
        <v>1102</v>
      </c>
      <c r="E66" s="56" t="s">
        <v>684</v>
      </c>
      <c r="F66" s="26">
        <v>10</v>
      </c>
      <c r="G66" s="406">
        <f>H66/F66</f>
        <v>799</v>
      </c>
      <c r="H66" s="54">
        <f>799*10</f>
        <v>7990</v>
      </c>
      <c r="I66" s="113"/>
      <c r="J66" s="384">
        <v>799</v>
      </c>
    </row>
    <row r="67" spans="3:10" x14ac:dyDescent="0.3">
      <c r="C67" s="113"/>
      <c r="D67" s="113"/>
      <c r="E67" s="113"/>
      <c r="F67" s="26"/>
      <c r="G67" s="26"/>
      <c r="H67" s="26"/>
      <c r="I67" s="113"/>
      <c r="J67" s="384"/>
    </row>
    <row r="68" spans="3:10" ht="14" x14ac:dyDescent="0.3">
      <c r="C68" s="88">
        <v>45551</v>
      </c>
      <c r="D68" s="16" t="s">
        <v>1109</v>
      </c>
      <c r="E68" s="16" t="s">
        <v>1108</v>
      </c>
      <c r="F68" s="26">
        <v>4</v>
      </c>
      <c r="G68" s="406">
        <f>H68/F68</f>
        <v>781.5</v>
      </c>
      <c r="H68" s="26">
        <v>3126</v>
      </c>
      <c r="I68" s="113"/>
      <c r="J68" s="384">
        <v>312.60000000000002</v>
      </c>
    </row>
    <row r="69" spans="3:10" x14ac:dyDescent="0.3">
      <c r="C69" s="113"/>
      <c r="D69" s="113"/>
      <c r="E69" s="113"/>
      <c r="F69" s="26"/>
      <c r="G69" s="26"/>
      <c r="H69" s="26"/>
      <c r="I69" s="113"/>
      <c r="J69" s="384"/>
    </row>
    <row r="70" spans="3:10" ht="14" x14ac:dyDescent="0.3">
      <c r="C70" s="88">
        <v>45553</v>
      </c>
      <c r="D70" s="16" t="s">
        <v>1114</v>
      </c>
      <c r="E70" s="16" t="s">
        <v>1116</v>
      </c>
      <c r="F70" s="26">
        <v>64</v>
      </c>
      <c r="G70" s="406">
        <f>H70/F70</f>
        <v>784.53125</v>
      </c>
      <c r="H70" s="403">
        <v>50210</v>
      </c>
      <c r="I70" s="113"/>
      <c r="J70" s="384">
        <v>5021</v>
      </c>
    </row>
    <row r="71" spans="3:10" x14ac:dyDescent="0.3">
      <c r="C71" s="113"/>
      <c r="D71" s="113"/>
      <c r="E71" s="113"/>
      <c r="F71" s="26"/>
      <c r="G71" s="26"/>
      <c r="H71" s="26"/>
      <c r="I71" s="113"/>
      <c r="J71" s="384"/>
    </row>
    <row r="72" spans="3:10" ht="14" x14ac:dyDescent="0.3">
      <c r="C72" s="88">
        <v>45554</v>
      </c>
      <c r="D72" s="16" t="s">
        <v>1118</v>
      </c>
      <c r="E72" s="16" t="s">
        <v>1120</v>
      </c>
      <c r="F72" s="26">
        <v>7</v>
      </c>
      <c r="G72" s="406">
        <f>H72/F72</f>
        <v>790</v>
      </c>
      <c r="H72" s="403">
        <v>5530</v>
      </c>
      <c r="I72" s="113"/>
      <c r="J72" s="384">
        <v>553</v>
      </c>
    </row>
    <row r="73" spans="3:10" x14ac:dyDescent="0.3">
      <c r="C73" s="113"/>
      <c r="D73" s="113"/>
      <c r="E73" s="113"/>
      <c r="F73" s="26"/>
      <c r="G73" s="26"/>
      <c r="H73" s="26"/>
      <c r="I73" s="113"/>
      <c r="J73" s="384"/>
    </row>
    <row r="74" spans="3:10" ht="14" x14ac:dyDescent="0.3">
      <c r="C74" s="88">
        <v>45556</v>
      </c>
      <c r="D74" s="16" t="s">
        <v>1121</v>
      </c>
      <c r="E74" s="16" t="s">
        <v>1122</v>
      </c>
      <c r="F74" s="26">
        <v>30</v>
      </c>
      <c r="G74" s="406">
        <f>H74/F74</f>
        <v>799</v>
      </c>
      <c r="H74" s="26">
        <v>23970</v>
      </c>
      <c r="I74" s="113"/>
      <c r="J74" s="384">
        <v>2154</v>
      </c>
    </row>
    <row r="75" spans="3:10" x14ac:dyDescent="0.3">
      <c r="C75" s="113"/>
      <c r="D75" s="113"/>
      <c r="E75" s="113"/>
      <c r="F75" s="26"/>
      <c r="G75" s="26"/>
      <c r="H75" s="26"/>
      <c r="I75" s="113"/>
      <c r="J75" s="384"/>
    </row>
    <row r="76" spans="3:10" ht="14" x14ac:dyDescent="0.3">
      <c r="C76" s="88">
        <v>45558</v>
      </c>
      <c r="D76" s="16" t="s">
        <v>1124</v>
      </c>
      <c r="E76" s="16" t="s">
        <v>1119</v>
      </c>
      <c r="F76" s="26">
        <v>5</v>
      </c>
      <c r="G76" s="406">
        <f>H76/F76</f>
        <v>756.2</v>
      </c>
      <c r="H76" s="26">
        <v>3781</v>
      </c>
      <c r="I76" s="113"/>
      <c r="J76" s="384">
        <v>378.1</v>
      </c>
    </row>
    <row r="77" spans="3:10" ht="14" x14ac:dyDescent="0.3">
      <c r="C77" s="88"/>
      <c r="D77" s="16"/>
      <c r="E77" s="16"/>
      <c r="F77" s="26"/>
      <c r="G77" s="26"/>
      <c r="H77" s="26"/>
      <c r="I77" s="113"/>
      <c r="J77" s="384"/>
    </row>
    <row r="78" spans="3:10" ht="14" x14ac:dyDescent="0.3">
      <c r="C78" s="88">
        <v>45559</v>
      </c>
      <c r="D78" s="16" t="s">
        <v>1129</v>
      </c>
      <c r="E78" s="16" t="s">
        <v>1127</v>
      </c>
      <c r="F78" s="26">
        <v>22</v>
      </c>
      <c r="G78" s="406">
        <f>H78/F78</f>
        <v>757.81818181818187</v>
      </c>
      <c r="H78" s="403">
        <v>16672</v>
      </c>
      <c r="I78" s="113"/>
      <c r="J78" s="384">
        <v>1667.2</v>
      </c>
    </row>
    <row r="79" spans="3:10" ht="14" x14ac:dyDescent="0.3">
      <c r="C79" s="88"/>
      <c r="D79" s="16"/>
      <c r="E79" s="16"/>
      <c r="F79" s="26"/>
      <c r="G79" s="26"/>
      <c r="H79" s="26"/>
      <c r="I79" s="113"/>
      <c r="J79" s="384"/>
    </row>
    <row r="80" spans="3:10" ht="14" x14ac:dyDescent="0.3">
      <c r="C80" s="88">
        <v>45560</v>
      </c>
      <c r="D80" s="16" t="s">
        <v>1131</v>
      </c>
      <c r="E80" s="16" t="s">
        <v>1133</v>
      </c>
      <c r="F80" s="26">
        <v>1</v>
      </c>
      <c r="G80" s="406">
        <f>H80/F80</f>
        <v>796</v>
      </c>
      <c r="H80" s="26">
        <v>796</v>
      </c>
      <c r="I80" s="113"/>
      <c r="J80" s="384">
        <v>79.599999999999994</v>
      </c>
    </row>
    <row r="81" spans="3:10" ht="14" x14ac:dyDescent="0.3">
      <c r="C81" s="234"/>
      <c r="D81" s="1"/>
      <c r="E81" s="1"/>
      <c r="H81" s="17"/>
    </row>
    <row r="82" spans="3:10" ht="14" x14ac:dyDescent="0.3">
      <c r="C82" s="234"/>
      <c r="D82" s="1"/>
      <c r="E82" s="353" t="s">
        <v>1140</v>
      </c>
      <c r="F82" s="353">
        <f>SUM(F64:F81)</f>
        <v>185</v>
      </c>
      <c r="G82" s="353"/>
      <c r="H82" s="402"/>
      <c r="I82" s="402"/>
      <c r="J82" s="353">
        <f>SUM(J64:J81)</f>
        <v>13216.280000000002</v>
      </c>
    </row>
    <row r="84" spans="3:10" ht="14" x14ac:dyDescent="0.3">
      <c r="C84" s="88">
        <v>45549</v>
      </c>
      <c r="D84" s="16" t="s">
        <v>1103</v>
      </c>
      <c r="E84" s="16" t="s">
        <v>1152</v>
      </c>
      <c r="F84" s="26">
        <v>33</v>
      </c>
      <c r="G84" s="26"/>
      <c r="H84" s="403">
        <v>74639</v>
      </c>
      <c r="I84" s="113"/>
      <c r="J84" s="404">
        <v>7463.9</v>
      </c>
    </row>
    <row r="86" spans="3:10" ht="14" x14ac:dyDescent="0.3">
      <c r="C86" s="88">
        <v>45565</v>
      </c>
      <c r="D86" s="89" t="s">
        <v>1043</v>
      </c>
      <c r="E86" s="56" t="s">
        <v>1069</v>
      </c>
      <c r="F86" s="17">
        <v>2</v>
      </c>
      <c r="H86">
        <f>2550*2</f>
        <v>5100</v>
      </c>
      <c r="J86" s="279">
        <v>510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4:I186"/>
  <sheetViews>
    <sheetView topLeftCell="A37" zoomScale="85" zoomScaleNormal="85" workbookViewId="0">
      <selection activeCell="H53" sqref="H53"/>
    </sheetView>
  </sheetViews>
  <sheetFormatPr defaultRowHeight="13" x14ac:dyDescent="0.3"/>
  <cols>
    <col min="3" max="3" width="10.8984375" bestFit="1" customWidth="1"/>
    <col min="4" max="4" width="13.3984375" bestFit="1" customWidth="1"/>
    <col min="5" max="5" width="42.3984375" customWidth="1"/>
    <col min="6" max="6" width="14.296875" bestFit="1" customWidth="1"/>
    <col min="7" max="7" width="14.59765625" bestFit="1" customWidth="1"/>
    <col min="8" max="8" width="22" customWidth="1"/>
    <col min="9" max="9" width="15.8984375" bestFit="1" customWidth="1"/>
  </cols>
  <sheetData>
    <row r="4" spans="4:7" x14ac:dyDescent="0.3">
      <c r="F4" s="17"/>
    </row>
    <row r="5" spans="4:7" x14ac:dyDescent="0.3">
      <c r="D5" s="35" t="s">
        <v>0</v>
      </c>
      <c r="E5" s="35" t="s">
        <v>54</v>
      </c>
      <c r="F5" s="35" t="s">
        <v>40</v>
      </c>
      <c r="G5" s="35" t="s">
        <v>55</v>
      </c>
    </row>
    <row r="6" spans="4:7" ht="14" x14ac:dyDescent="0.3">
      <c r="D6" s="25">
        <v>45397</v>
      </c>
      <c r="E6" s="36" t="s">
        <v>58</v>
      </c>
      <c r="F6" s="43">
        <v>577.45000000000005</v>
      </c>
      <c r="G6" s="36" t="s">
        <v>59</v>
      </c>
    </row>
    <row r="7" spans="4:7" ht="14" x14ac:dyDescent="0.3">
      <c r="D7" s="25">
        <v>45397</v>
      </c>
      <c r="E7" s="36" t="s">
        <v>60</v>
      </c>
      <c r="F7" s="43">
        <v>397</v>
      </c>
      <c r="G7" s="36" t="s">
        <v>59</v>
      </c>
    </row>
    <row r="8" spans="4:7" ht="14" x14ac:dyDescent="0.3">
      <c r="D8" s="25">
        <v>45397</v>
      </c>
      <c r="E8" s="36" t="s">
        <v>63</v>
      </c>
      <c r="F8" s="43">
        <v>29.09</v>
      </c>
      <c r="G8" s="36" t="s">
        <v>59</v>
      </c>
    </row>
    <row r="9" spans="4:7" ht="14" x14ac:dyDescent="0.3">
      <c r="D9" s="25">
        <v>45439</v>
      </c>
      <c r="E9" s="37" t="s">
        <v>38</v>
      </c>
      <c r="F9" s="44">
        <v>5033.9399999999996</v>
      </c>
      <c r="G9" s="36" t="s">
        <v>59</v>
      </c>
    </row>
    <row r="10" spans="4:7" ht="14" x14ac:dyDescent="0.3">
      <c r="D10" s="25"/>
      <c r="E10" s="37" t="s">
        <v>39</v>
      </c>
      <c r="F10" s="43">
        <v>37.119999999999997</v>
      </c>
      <c r="G10" s="36" t="s">
        <v>59</v>
      </c>
    </row>
    <row r="11" spans="4:7" ht="14" x14ac:dyDescent="0.3">
      <c r="D11" s="25">
        <v>45472</v>
      </c>
      <c r="E11" s="39" t="s">
        <v>171</v>
      </c>
      <c r="F11" s="47">
        <f>4512/94*12.5</f>
        <v>600</v>
      </c>
      <c r="G11" s="36" t="s">
        <v>59</v>
      </c>
    </row>
    <row r="12" spans="4:7" ht="14" x14ac:dyDescent="0.3">
      <c r="D12" s="25">
        <v>45502</v>
      </c>
      <c r="E12" s="39" t="s">
        <v>341</v>
      </c>
      <c r="F12" s="47"/>
      <c r="G12" s="36"/>
    </row>
    <row r="13" spans="4:7" ht="14" x14ac:dyDescent="0.3">
      <c r="D13" s="48"/>
      <c r="E13" s="52" t="s">
        <v>44</v>
      </c>
      <c r="F13" s="53">
        <f>SUM(F6:F12)</f>
        <v>6674.5999999999995</v>
      </c>
      <c r="G13" s="51"/>
    </row>
    <row r="14" spans="4:7" ht="14" x14ac:dyDescent="0.3">
      <c r="D14" s="48"/>
      <c r="E14" s="49"/>
      <c r="F14" s="50"/>
      <c r="G14" s="51"/>
    </row>
    <row r="18" spans="4:7" x14ac:dyDescent="0.3">
      <c r="D18" s="35" t="s">
        <v>0</v>
      </c>
      <c r="E18" s="35" t="s">
        <v>54</v>
      </c>
      <c r="F18" s="35" t="s">
        <v>40</v>
      </c>
      <c r="G18" s="35" t="s">
        <v>55</v>
      </c>
    </row>
    <row r="19" spans="4:7" ht="14" x14ac:dyDescent="0.3">
      <c r="D19" s="42">
        <v>45440</v>
      </c>
      <c r="E19" s="39" t="s">
        <v>935</v>
      </c>
      <c r="F19" s="45">
        <v>1665.3</v>
      </c>
      <c r="G19" s="36" t="s">
        <v>89</v>
      </c>
    </row>
    <row r="20" spans="4:7" ht="14" x14ac:dyDescent="0.3">
      <c r="D20" s="42"/>
      <c r="E20" s="39" t="s">
        <v>90</v>
      </c>
      <c r="F20" s="46">
        <v>16.489999999999998</v>
      </c>
      <c r="G20" s="36" t="s">
        <v>89</v>
      </c>
    </row>
    <row r="21" spans="4:7" ht="14" x14ac:dyDescent="0.3">
      <c r="D21" s="25">
        <v>45449</v>
      </c>
      <c r="E21" s="38" t="s">
        <v>936</v>
      </c>
      <c r="F21" s="43">
        <v>2847.5</v>
      </c>
      <c r="G21" s="36" t="s">
        <v>89</v>
      </c>
    </row>
    <row r="22" spans="4:7" ht="14" x14ac:dyDescent="0.3">
      <c r="D22" s="25"/>
      <c r="E22" s="38" t="s">
        <v>42</v>
      </c>
      <c r="F22" s="43">
        <v>27.72</v>
      </c>
      <c r="G22" s="36" t="s">
        <v>89</v>
      </c>
    </row>
    <row r="23" spans="4:7" ht="14" x14ac:dyDescent="0.3">
      <c r="D23" s="25">
        <v>45450</v>
      </c>
      <c r="E23" s="38" t="s">
        <v>937</v>
      </c>
      <c r="F23" s="43">
        <v>2177.5</v>
      </c>
      <c r="G23" s="36" t="s">
        <v>89</v>
      </c>
    </row>
    <row r="24" spans="4:7" ht="14" x14ac:dyDescent="0.3">
      <c r="D24" s="25"/>
      <c r="E24" s="38" t="s">
        <v>41</v>
      </c>
      <c r="F24" s="43">
        <v>24.36</v>
      </c>
      <c r="G24" s="36" t="s">
        <v>89</v>
      </c>
    </row>
    <row r="25" spans="4:7" ht="14" x14ac:dyDescent="0.3">
      <c r="D25" s="25">
        <v>45472</v>
      </c>
      <c r="E25" s="38" t="s">
        <v>938</v>
      </c>
      <c r="F25" s="43">
        <v>4512</v>
      </c>
      <c r="G25" s="36" t="s">
        <v>89</v>
      </c>
    </row>
    <row r="26" spans="4:7" ht="14" x14ac:dyDescent="0.3">
      <c r="D26" s="25">
        <v>45488</v>
      </c>
      <c r="E26" s="38" t="s">
        <v>45</v>
      </c>
      <c r="F26" s="43">
        <v>3002.65</v>
      </c>
      <c r="G26" s="36" t="s">
        <v>89</v>
      </c>
    </row>
    <row r="27" spans="4:7" ht="14" x14ac:dyDescent="0.3">
      <c r="D27" s="184">
        <v>45502</v>
      </c>
      <c r="E27" s="185" t="s">
        <v>341</v>
      </c>
      <c r="F27" s="186">
        <v>-13673.52</v>
      </c>
      <c r="G27" s="187" t="s">
        <v>89</v>
      </c>
    </row>
    <row r="28" spans="4:7" ht="14" x14ac:dyDescent="0.3">
      <c r="D28" s="25"/>
      <c r="E28" s="38"/>
      <c r="F28" s="371"/>
      <c r="G28" s="36"/>
    </row>
    <row r="29" spans="4:7" ht="14" x14ac:dyDescent="0.3">
      <c r="D29" s="25"/>
      <c r="E29" s="38"/>
      <c r="F29" s="371"/>
      <c r="G29" s="36"/>
    </row>
    <row r="30" spans="4:7" x14ac:dyDescent="0.3">
      <c r="D30" s="35" t="s">
        <v>0</v>
      </c>
      <c r="E30" s="35" t="s">
        <v>54</v>
      </c>
      <c r="F30" s="35" t="s">
        <v>40</v>
      </c>
      <c r="G30" s="35" t="s">
        <v>55</v>
      </c>
    </row>
    <row r="31" spans="4:7" ht="14" x14ac:dyDescent="0.3">
      <c r="D31" s="25">
        <v>45509</v>
      </c>
      <c r="E31" s="38" t="s">
        <v>46</v>
      </c>
      <c r="F31" s="43">
        <v>3210</v>
      </c>
      <c r="G31" s="36" t="s">
        <v>89</v>
      </c>
    </row>
    <row r="32" spans="4:7" ht="14" x14ac:dyDescent="0.3">
      <c r="D32" s="25">
        <v>45491</v>
      </c>
      <c r="E32" s="38" t="s">
        <v>47</v>
      </c>
      <c r="F32" s="43">
        <v>1370</v>
      </c>
      <c r="G32" s="36" t="s">
        <v>89</v>
      </c>
    </row>
    <row r="33" spans="4:7" ht="14" x14ac:dyDescent="0.3">
      <c r="D33" s="25">
        <v>45488</v>
      </c>
      <c r="E33" s="38" t="s">
        <v>48</v>
      </c>
      <c r="F33" s="43">
        <v>1763</v>
      </c>
      <c r="G33" s="36" t="s">
        <v>89</v>
      </c>
    </row>
    <row r="34" spans="4:7" ht="14" x14ac:dyDescent="0.3">
      <c r="D34" s="327">
        <v>45491</v>
      </c>
      <c r="E34" s="16" t="s">
        <v>338</v>
      </c>
      <c r="F34" s="43">
        <v>1818</v>
      </c>
      <c r="G34" s="36" t="s">
        <v>89</v>
      </c>
    </row>
    <row r="35" spans="4:7" ht="14" x14ac:dyDescent="0.3">
      <c r="D35" s="327">
        <v>45491</v>
      </c>
      <c r="E35" s="16" t="s">
        <v>242</v>
      </c>
      <c r="F35" s="43">
        <v>8113</v>
      </c>
      <c r="G35" s="36" t="s">
        <v>89</v>
      </c>
    </row>
    <row r="36" spans="4:7" ht="14" x14ac:dyDescent="0.3">
      <c r="D36" s="327"/>
      <c r="E36" s="16" t="s">
        <v>339</v>
      </c>
      <c r="F36" s="43">
        <v>150</v>
      </c>
      <c r="G36" s="36" t="s">
        <v>89</v>
      </c>
    </row>
    <row r="37" spans="4:7" ht="14" x14ac:dyDescent="0.3">
      <c r="D37" s="327">
        <v>45495</v>
      </c>
      <c r="E37" s="16" t="s">
        <v>611</v>
      </c>
      <c r="F37" s="43">
        <v>1130</v>
      </c>
      <c r="G37" s="36" t="s">
        <v>89</v>
      </c>
    </row>
    <row r="38" spans="4:7" ht="14" x14ac:dyDescent="0.3">
      <c r="D38" s="25">
        <v>45509</v>
      </c>
      <c r="E38" s="16" t="s">
        <v>317</v>
      </c>
      <c r="F38" s="43">
        <v>2480</v>
      </c>
      <c r="G38" s="36" t="s">
        <v>89</v>
      </c>
    </row>
    <row r="39" spans="4:7" ht="14" x14ac:dyDescent="0.3">
      <c r="D39" s="25"/>
      <c r="E39" s="16" t="s">
        <v>340</v>
      </c>
      <c r="F39" s="43">
        <v>55</v>
      </c>
      <c r="G39" s="36" t="s">
        <v>89</v>
      </c>
    </row>
    <row r="40" spans="4:7" ht="14" x14ac:dyDescent="0.3">
      <c r="D40" s="25">
        <v>45508</v>
      </c>
      <c r="E40" s="16" t="s">
        <v>587</v>
      </c>
      <c r="F40" s="43">
        <v>1207</v>
      </c>
      <c r="G40" s="36" t="s">
        <v>89</v>
      </c>
    </row>
    <row r="41" spans="4:7" ht="14" x14ac:dyDescent="0.3">
      <c r="D41" s="25">
        <v>45509</v>
      </c>
      <c r="E41" s="16" t="s">
        <v>337</v>
      </c>
      <c r="F41" s="43">
        <v>1795</v>
      </c>
      <c r="G41" s="36" t="s">
        <v>89</v>
      </c>
    </row>
    <row r="42" spans="4:7" ht="14" x14ac:dyDescent="0.3">
      <c r="D42" s="25">
        <v>45509</v>
      </c>
      <c r="E42" s="16" t="s">
        <v>427</v>
      </c>
      <c r="F42" s="43">
        <v>196</v>
      </c>
      <c r="G42" s="36" t="s">
        <v>89</v>
      </c>
    </row>
    <row r="43" spans="4:7" ht="14" x14ac:dyDescent="0.3">
      <c r="D43" s="113"/>
      <c r="E43" s="113"/>
      <c r="F43" s="43"/>
      <c r="G43" s="36"/>
    </row>
    <row r="44" spans="4:7" ht="14" x14ac:dyDescent="0.3">
      <c r="D44" s="25"/>
      <c r="E44" s="158" t="s">
        <v>44</v>
      </c>
      <c r="F44" s="159">
        <f>SUM(F19:F43)</f>
        <v>23887</v>
      </c>
      <c r="G44" s="36"/>
    </row>
    <row r="45" spans="4:7" ht="14" x14ac:dyDescent="0.3">
      <c r="D45" s="48"/>
      <c r="E45" s="52"/>
      <c r="F45" s="53"/>
      <c r="G45" s="51"/>
    </row>
    <row r="46" spans="4:7" ht="14" x14ac:dyDescent="0.3">
      <c r="D46" s="48"/>
      <c r="E46" s="52"/>
      <c r="F46" s="53"/>
      <c r="G46" s="51"/>
    </row>
    <row r="48" spans="4:7" x14ac:dyDescent="0.3">
      <c r="D48" s="35" t="s">
        <v>0</v>
      </c>
      <c r="E48" s="35" t="s">
        <v>54</v>
      </c>
      <c r="F48" s="35" t="s">
        <v>170</v>
      </c>
      <c r="G48" s="35" t="s">
        <v>55</v>
      </c>
    </row>
    <row r="49" spans="4:7" ht="14" x14ac:dyDescent="0.3">
      <c r="D49" s="25">
        <v>45468</v>
      </c>
      <c r="E49" s="38" t="s">
        <v>169</v>
      </c>
      <c r="F49" s="43">
        <v>6109.24</v>
      </c>
      <c r="G49" s="36" t="s">
        <v>89</v>
      </c>
    </row>
    <row r="50" spans="4:7" ht="14" x14ac:dyDescent="0.3">
      <c r="D50" s="25">
        <v>45473</v>
      </c>
      <c r="E50" s="38" t="s">
        <v>43</v>
      </c>
      <c r="F50" s="43">
        <f>46*75</f>
        <v>3450</v>
      </c>
      <c r="G50" s="36" t="s">
        <v>89</v>
      </c>
    </row>
    <row r="51" spans="4:7" ht="14" x14ac:dyDescent="0.3">
      <c r="E51" s="52" t="s">
        <v>44</v>
      </c>
      <c r="F51" s="53">
        <f>SUM(F49:F50)</f>
        <v>9559.24</v>
      </c>
    </row>
    <row r="55" spans="4:7" x14ac:dyDescent="0.3">
      <c r="D55" s="35" t="s">
        <v>0</v>
      </c>
      <c r="E55" s="35" t="s">
        <v>54</v>
      </c>
      <c r="F55" s="35" t="s">
        <v>170</v>
      </c>
      <c r="G55" s="35" t="s">
        <v>55</v>
      </c>
    </row>
    <row r="56" spans="4:7" ht="26" x14ac:dyDescent="0.3">
      <c r="D56" s="25">
        <v>45468</v>
      </c>
      <c r="E56" s="39" t="s">
        <v>172</v>
      </c>
      <c r="F56" s="43">
        <f>74.96*12.5</f>
        <v>936.99999999999989</v>
      </c>
      <c r="G56" s="36" t="s">
        <v>59</v>
      </c>
    </row>
    <row r="57" spans="4:7" ht="14" x14ac:dyDescent="0.3">
      <c r="E57" s="52" t="s">
        <v>44</v>
      </c>
      <c r="F57" s="53">
        <f>SUM(F56)</f>
        <v>936.99999999999989</v>
      </c>
    </row>
    <row r="60" spans="4:7" x14ac:dyDescent="0.3">
      <c r="D60" s="35" t="s">
        <v>0</v>
      </c>
      <c r="E60" s="35" t="s">
        <v>54</v>
      </c>
      <c r="F60" s="35" t="s">
        <v>40</v>
      </c>
      <c r="G60" s="35" t="s">
        <v>55</v>
      </c>
    </row>
    <row r="61" spans="4:7" ht="14" x14ac:dyDescent="0.3">
      <c r="D61" s="42">
        <v>45517</v>
      </c>
      <c r="E61" s="16" t="s">
        <v>469</v>
      </c>
      <c r="F61" s="45">
        <v>12984</v>
      </c>
      <c r="G61" s="36" t="s">
        <v>89</v>
      </c>
    </row>
    <row r="62" spans="4:7" ht="14" x14ac:dyDescent="0.3">
      <c r="D62" s="42"/>
      <c r="E62" s="16" t="s">
        <v>602</v>
      </c>
      <c r="F62" s="43">
        <v>179.44</v>
      </c>
      <c r="G62" s="36" t="s">
        <v>89</v>
      </c>
    </row>
    <row r="63" spans="4:7" ht="14" x14ac:dyDescent="0.3">
      <c r="D63" s="25">
        <v>45544</v>
      </c>
      <c r="E63" s="16" t="s">
        <v>585</v>
      </c>
      <c r="F63" s="43">
        <v>1301.82</v>
      </c>
      <c r="G63" s="36" t="s">
        <v>89</v>
      </c>
    </row>
    <row r="64" spans="4:7" ht="14" x14ac:dyDescent="0.3">
      <c r="D64" s="25">
        <v>45544</v>
      </c>
      <c r="E64" s="16" t="s">
        <v>586</v>
      </c>
      <c r="F64" s="43">
        <v>2251.7800000000002</v>
      </c>
      <c r="G64" s="36" t="s">
        <v>89</v>
      </c>
    </row>
    <row r="65" spans="4:7" ht="14" x14ac:dyDescent="0.3">
      <c r="D65" s="88">
        <v>45548</v>
      </c>
      <c r="E65" s="16" t="s">
        <v>921</v>
      </c>
      <c r="F65" s="45">
        <v>799</v>
      </c>
      <c r="G65" s="36" t="s">
        <v>89</v>
      </c>
    </row>
    <row r="66" spans="4:7" ht="14" x14ac:dyDescent="0.3">
      <c r="D66" s="88">
        <v>45549</v>
      </c>
      <c r="E66" s="16" t="s">
        <v>922</v>
      </c>
      <c r="F66" s="45">
        <v>7463.9</v>
      </c>
      <c r="G66" s="36" t="s">
        <v>89</v>
      </c>
    </row>
    <row r="67" spans="4:7" ht="14" x14ac:dyDescent="0.3">
      <c r="D67" s="88">
        <v>45549</v>
      </c>
      <c r="E67" s="16" t="s">
        <v>923</v>
      </c>
      <c r="F67" s="45">
        <v>950.2</v>
      </c>
      <c r="G67" s="36" t="s">
        <v>89</v>
      </c>
    </row>
    <row r="68" spans="4:7" ht="14" x14ac:dyDescent="0.3">
      <c r="D68" s="88">
        <v>45550</v>
      </c>
      <c r="E68" s="16" t="s">
        <v>924</v>
      </c>
      <c r="F68" s="45">
        <v>1103.3</v>
      </c>
      <c r="G68" s="36" t="s">
        <v>89</v>
      </c>
    </row>
    <row r="69" spans="4:7" ht="14" x14ac:dyDescent="0.3">
      <c r="D69" s="88">
        <v>45551</v>
      </c>
      <c r="E69" s="16" t="s">
        <v>925</v>
      </c>
      <c r="F69" s="45">
        <v>1265.8</v>
      </c>
      <c r="G69" s="36" t="s">
        <v>89</v>
      </c>
    </row>
    <row r="70" spans="4:7" ht="14" x14ac:dyDescent="0.3">
      <c r="D70" s="88">
        <v>45552</v>
      </c>
      <c r="E70" s="16" t="s">
        <v>926</v>
      </c>
      <c r="F70" s="45">
        <v>419</v>
      </c>
      <c r="G70" s="36" t="s">
        <v>89</v>
      </c>
    </row>
    <row r="71" spans="4:7" ht="14" x14ac:dyDescent="0.3">
      <c r="D71" s="88">
        <v>45553</v>
      </c>
      <c r="E71" s="16" t="s">
        <v>927</v>
      </c>
      <c r="F71" s="45">
        <v>6809</v>
      </c>
      <c r="G71" s="36" t="s">
        <v>89</v>
      </c>
    </row>
    <row r="72" spans="4:7" ht="14" x14ac:dyDescent="0.3">
      <c r="D72" s="88">
        <v>45554</v>
      </c>
      <c r="E72" s="16" t="s">
        <v>928</v>
      </c>
      <c r="F72" s="45">
        <v>702.1</v>
      </c>
      <c r="G72" s="36" t="s">
        <v>89</v>
      </c>
    </row>
    <row r="73" spans="4:7" ht="14" x14ac:dyDescent="0.3">
      <c r="D73" s="88">
        <v>45556</v>
      </c>
      <c r="E73" s="16" t="s">
        <v>929</v>
      </c>
      <c r="F73" s="45">
        <v>2154</v>
      </c>
      <c r="G73" s="36" t="s">
        <v>89</v>
      </c>
    </row>
    <row r="74" spans="4:7" ht="14" x14ac:dyDescent="0.3">
      <c r="D74" s="88">
        <v>45558</v>
      </c>
      <c r="E74" s="16" t="s">
        <v>930</v>
      </c>
      <c r="F74" s="45">
        <v>824.4</v>
      </c>
      <c r="G74" s="36" t="s">
        <v>89</v>
      </c>
    </row>
    <row r="75" spans="4:7" ht="14" x14ac:dyDescent="0.3">
      <c r="D75" s="88">
        <v>45559</v>
      </c>
      <c r="E75" s="16" t="s">
        <v>931</v>
      </c>
      <c r="F75" s="45">
        <v>2233.8000000000002</v>
      </c>
      <c r="G75" s="36" t="s">
        <v>89</v>
      </c>
    </row>
    <row r="76" spans="4:7" ht="14" x14ac:dyDescent="0.3">
      <c r="D76" s="88">
        <v>45560</v>
      </c>
      <c r="E76" s="16" t="s">
        <v>932</v>
      </c>
      <c r="F76" s="45">
        <v>318.39999999999998</v>
      </c>
      <c r="G76" s="36" t="s">
        <v>89</v>
      </c>
    </row>
    <row r="77" spans="4:7" ht="14" x14ac:dyDescent="0.3">
      <c r="D77" s="42"/>
      <c r="E77" s="39"/>
      <c r="F77" s="46"/>
      <c r="G77" s="36"/>
    </row>
    <row r="78" spans="4:7" ht="14" x14ac:dyDescent="0.3">
      <c r="D78" s="25"/>
      <c r="E78" s="158" t="s">
        <v>44</v>
      </c>
      <c r="F78" s="159">
        <f>SUM(F61:F77)</f>
        <v>41759.94000000001</v>
      </c>
      <c r="G78" s="36"/>
    </row>
    <row r="82" spans="3:9" s="214" customFormat="1" x14ac:dyDescent="0.3"/>
    <row r="86" spans="3:9" x14ac:dyDescent="0.3">
      <c r="D86" s="35" t="s">
        <v>0</v>
      </c>
      <c r="E86" s="35" t="s">
        <v>54</v>
      </c>
      <c r="F86" s="35" t="s">
        <v>448</v>
      </c>
      <c r="G86" s="35" t="s">
        <v>40</v>
      </c>
      <c r="H86" s="35" t="s">
        <v>55</v>
      </c>
    </row>
    <row r="87" spans="3:9" ht="14" x14ac:dyDescent="0.3">
      <c r="D87" s="25">
        <v>45397</v>
      </c>
      <c r="E87" s="39" t="s">
        <v>951</v>
      </c>
      <c r="F87" s="41">
        <v>16</v>
      </c>
      <c r="G87" s="43">
        <v>577.45000000000005</v>
      </c>
      <c r="H87" s="36" t="s">
        <v>89</v>
      </c>
    </row>
    <row r="88" spans="3:9" ht="14" x14ac:dyDescent="0.3">
      <c r="D88" s="25">
        <v>45397</v>
      </c>
      <c r="E88" s="39" t="s">
        <v>952</v>
      </c>
      <c r="F88" s="41">
        <v>11</v>
      </c>
      <c r="G88" s="43">
        <v>397</v>
      </c>
      <c r="H88" s="36" t="s">
        <v>89</v>
      </c>
    </row>
    <row r="89" spans="3:9" ht="14" x14ac:dyDescent="0.3">
      <c r="D89" s="25">
        <v>45439</v>
      </c>
      <c r="E89" s="37" t="s">
        <v>950</v>
      </c>
      <c r="F89" s="41">
        <v>106</v>
      </c>
      <c r="G89" s="44">
        <v>5033.9399999999996</v>
      </c>
      <c r="H89" s="36" t="s">
        <v>89</v>
      </c>
    </row>
    <row r="90" spans="3:9" ht="14" x14ac:dyDescent="0.3">
      <c r="D90" s="42">
        <v>45440</v>
      </c>
      <c r="E90" s="39" t="s">
        <v>942</v>
      </c>
      <c r="F90" s="160">
        <v>35</v>
      </c>
      <c r="G90" s="45">
        <v>1665.3</v>
      </c>
      <c r="H90" s="36" t="s">
        <v>89</v>
      </c>
    </row>
    <row r="91" spans="3:9" ht="14" x14ac:dyDescent="0.3">
      <c r="D91" s="25">
        <v>45449</v>
      </c>
      <c r="E91" s="38" t="s">
        <v>943</v>
      </c>
      <c r="F91" s="26">
        <v>60</v>
      </c>
      <c r="G91" s="43">
        <v>2847.5</v>
      </c>
      <c r="H91" s="36" t="s">
        <v>89</v>
      </c>
    </row>
    <row r="92" spans="3:9" ht="14" x14ac:dyDescent="0.3">
      <c r="D92" s="25">
        <v>45450</v>
      </c>
      <c r="E92" s="38" t="s">
        <v>944</v>
      </c>
      <c r="F92" s="26">
        <v>47</v>
      </c>
      <c r="G92" s="43">
        <v>2177.5</v>
      </c>
      <c r="H92" s="36" t="s">
        <v>89</v>
      </c>
    </row>
    <row r="93" spans="3:9" ht="14" x14ac:dyDescent="0.3">
      <c r="D93" s="25">
        <v>45472</v>
      </c>
      <c r="E93" s="38" t="s">
        <v>949</v>
      </c>
      <c r="F93" s="26">
        <v>94</v>
      </c>
      <c r="G93" s="43">
        <v>4512</v>
      </c>
      <c r="H93" s="36" t="s">
        <v>89</v>
      </c>
    </row>
    <row r="94" spans="3:9" ht="14" x14ac:dyDescent="0.3">
      <c r="D94" s="25"/>
      <c r="E94" s="38"/>
      <c r="F94" s="26"/>
      <c r="G94" s="43"/>
      <c r="H94" s="36"/>
    </row>
    <row r="95" spans="3:9" x14ac:dyDescent="0.3">
      <c r="D95" s="35" t="s">
        <v>0</v>
      </c>
      <c r="E95" s="35" t="s">
        <v>54</v>
      </c>
      <c r="F95" s="35" t="s">
        <v>448</v>
      </c>
      <c r="G95" s="35" t="s">
        <v>40</v>
      </c>
      <c r="H95" s="35" t="s">
        <v>55</v>
      </c>
    </row>
    <row r="96" spans="3:9" ht="14" x14ac:dyDescent="0.3">
      <c r="C96" s="1" t="s">
        <v>307</v>
      </c>
      <c r="D96" s="25">
        <v>45478</v>
      </c>
      <c r="E96" s="38" t="s">
        <v>945</v>
      </c>
      <c r="F96" s="26">
        <v>59</v>
      </c>
      <c r="G96" s="43">
        <v>3210</v>
      </c>
      <c r="H96" s="36" t="s">
        <v>89</v>
      </c>
      <c r="I96" s="378" t="s">
        <v>966</v>
      </c>
    </row>
    <row r="97" spans="3:9" ht="14" x14ac:dyDescent="0.3">
      <c r="C97" s="1" t="s">
        <v>307</v>
      </c>
      <c r="D97" s="25">
        <v>45491</v>
      </c>
      <c r="E97" s="38" t="s">
        <v>946</v>
      </c>
      <c r="F97" s="26">
        <v>42</v>
      </c>
      <c r="G97" s="43">
        <v>1370</v>
      </c>
      <c r="H97" s="36" t="s">
        <v>89</v>
      </c>
    </row>
    <row r="98" spans="3:9" ht="14" x14ac:dyDescent="0.3">
      <c r="C98" s="1" t="s">
        <v>307</v>
      </c>
      <c r="D98" s="25">
        <v>45488</v>
      </c>
      <c r="E98" s="38" t="s">
        <v>947</v>
      </c>
      <c r="F98" s="26">
        <v>92</v>
      </c>
      <c r="G98" s="43">
        <v>3002.65</v>
      </c>
      <c r="H98" s="36" t="s">
        <v>89</v>
      </c>
      <c r="I98" s="379" t="s">
        <v>968</v>
      </c>
    </row>
    <row r="99" spans="3:9" ht="14" x14ac:dyDescent="0.3">
      <c r="C99" s="1" t="s">
        <v>307</v>
      </c>
      <c r="D99" s="25">
        <v>45488</v>
      </c>
      <c r="E99" s="38" t="s">
        <v>948</v>
      </c>
      <c r="F99" s="26">
        <v>54</v>
      </c>
      <c r="G99" s="43">
        <v>1763</v>
      </c>
      <c r="H99" s="36" t="s">
        <v>89</v>
      </c>
    </row>
    <row r="100" spans="3:9" ht="14" x14ac:dyDescent="0.3">
      <c r="C100" s="1" t="s">
        <v>307</v>
      </c>
      <c r="D100" s="25">
        <v>45491</v>
      </c>
      <c r="E100" s="16" t="s">
        <v>338</v>
      </c>
      <c r="F100" s="26">
        <v>56</v>
      </c>
      <c r="G100" s="43">
        <v>1818</v>
      </c>
      <c r="H100" s="36" t="s">
        <v>89</v>
      </c>
    </row>
    <row r="101" spans="3:9" ht="14" x14ac:dyDescent="0.3">
      <c r="C101" s="1" t="s">
        <v>307</v>
      </c>
      <c r="D101" s="327">
        <v>45491</v>
      </c>
      <c r="E101" s="16" t="s">
        <v>242</v>
      </c>
      <c r="F101" s="26">
        <v>250</v>
      </c>
      <c r="G101" s="43">
        <v>8113</v>
      </c>
      <c r="H101" s="36" t="s">
        <v>89</v>
      </c>
    </row>
    <row r="102" spans="3:9" ht="14" x14ac:dyDescent="0.3">
      <c r="C102" s="1" t="s">
        <v>307</v>
      </c>
      <c r="D102" s="372">
        <v>45495</v>
      </c>
      <c r="E102" s="373" t="s">
        <v>940</v>
      </c>
      <c r="F102" s="374">
        <v>113</v>
      </c>
      <c r="G102" s="375">
        <v>1130</v>
      </c>
      <c r="H102" s="376" t="s">
        <v>89</v>
      </c>
      <c r="I102" s="378" t="s">
        <v>967</v>
      </c>
    </row>
    <row r="103" spans="3:9" ht="14" x14ac:dyDescent="0.3">
      <c r="C103" s="1" t="s">
        <v>307</v>
      </c>
      <c r="D103" s="327">
        <v>45497</v>
      </c>
      <c r="E103" s="16" t="s">
        <v>317</v>
      </c>
      <c r="F103" s="26">
        <v>76</v>
      </c>
      <c r="G103" s="43">
        <v>2480</v>
      </c>
      <c r="H103" s="36" t="s">
        <v>89</v>
      </c>
    </row>
    <row r="104" spans="3:9" ht="14" x14ac:dyDescent="0.3">
      <c r="C104" s="1" t="s">
        <v>307</v>
      </c>
      <c r="D104" s="377">
        <v>45509</v>
      </c>
      <c r="E104" s="373" t="s">
        <v>939</v>
      </c>
      <c r="F104" s="374">
        <v>37</v>
      </c>
      <c r="G104" s="375">
        <v>1207</v>
      </c>
      <c r="H104" s="376" t="s">
        <v>89</v>
      </c>
      <c r="I104" s="378" t="s">
        <v>967</v>
      </c>
    </row>
    <row r="105" spans="3:9" ht="14" x14ac:dyDescent="0.3">
      <c r="C105" s="1" t="s">
        <v>307</v>
      </c>
      <c r="D105" s="25">
        <v>45509</v>
      </c>
      <c r="E105" s="16" t="s">
        <v>941</v>
      </c>
      <c r="F105" s="26">
        <v>61</v>
      </c>
      <c r="G105" s="43">
        <f>1795+196</f>
        <v>1991</v>
      </c>
      <c r="H105" s="36" t="s">
        <v>89</v>
      </c>
    </row>
    <row r="106" spans="3:9" ht="14" x14ac:dyDescent="0.3">
      <c r="C106" s="1" t="s">
        <v>307</v>
      </c>
      <c r="D106" s="42">
        <v>45517</v>
      </c>
      <c r="E106" s="16" t="s">
        <v>469</v>
      </c>
      <c r="F106" s="26">
        <v>400</v>
      </c>
      <c r="G106" s="45">
        <v>12984</v>
      </c>
      <c r="H106" s="36" t="s">
        <v>89</v>
      </c>
    </row>
    <row r="107" spans="3:9" ht="14" x14ac:dyDescent="0.3">
      <c r="D107" s="25">
        <v>45544</v>
      </c>
      <c r="E107" s="16" t="s">
        <v>953</v>
      </c>
      <c r="F107" s="26">
        <v>40</v>
      </c>
      <c r="G107" s="43">
        <v>1301.82</v>
      </c>
      <c r="H107" s="36" t="s">
        <v>89</v>
      </c>
    </row>
    <row r="108" spans="3:9" ht="14" x14ac:dyDescent="0.3">
      <c r="D108" s="25">
        <v>45544</v>
      </c>
      <c r="E108" s="16" t="s">
        <v>954</v>
      </c>
      <c r="F108" s="26">
        <v>31</v>
      </c>
      <c r="G108" s="43">
        <v>2251.7800000000002</v>
      </c>
      <c r="H108" s="36" t="s">
        <v>89</v>
      </c>
    </row>
    <row r="109" spans="3:9" ht="14" x14ac:dyDescent="0.3">
      <c r="D109" s="88">
        <v>45548</v>
      </c>
      <c r="E109" s="16" t="s">
        <v>955</v>
      </c>
      <c r="F109" s="26">
        <v>10</v>
      </c>
      <c r="G109" s="45">
        <v>799</v>
      </c>
      <c r="H109" s="36" t="s">
        <v>89</v>
      </c>
    </row>
    <row r="110" spans="3:9" ht="14" x14ac:dyDescent="0.3">
      <c r="D110" s="88">
        <v>45549</v>
      </c>
      <c r="E110" s="16" t="s">
        <v>965</v>
      </c>
      <c r="F110" s="17">
        <v>33</v>
      </c>
      <c r="G110" s="45">
        <v>7463.9</v>
      </c>
      <c r="H110" s="36" t="s">
        <v>89</v>
      </c>
    </row>
    <row r="111" spans="3:9" ht="14" x14ac:dyDescent="0.3">
      <c r="D111" s="88">
        <v>45549</v>
      </c>
      <c r="E111" s="16" t="s">
        <v>956</v>
      </c>
      <c r="F111" s="26">
        <v>34</v>
      </c>
      <c r="G111" s="45">
        <v>950.2</v>
      </c>
      <c r="H111" s="36" t="s">
        <v>89</v>
      </c>
    </row>
    <row r="112" spans="3:9" ht="14" x14ac:dyDescent="0.3">
      <c r="D112" s="88">
        <v>45550</v>
      </c>
      <c r="E112" s="16" t="s">
        <v>957</v>
      </c>
      <c r="F112" s="26">
        <v>37</v>
      </c>
      <c r="G112" s="45">
        <v>1103.3</v>
      </c>
      <c r="H112" s="36" t="s">
        <v>89</v>
      </c>
    </row>
    <row r="113" spans="4:8" ht="14" x14ac:dyDescent="0.3">
      <c r="D113" s="88">
        <v>45551</v>
      </c>
      <c r="E113" s="16" t="s">
        <v>958</v>
      </c>
      <c r="F113" s="26">
        <v>36</v>
      </c>
      <c r="G113" s="45">
        <v>1265.8</v>
      </c>
      <c r="H113" s="36" t="s">
        <v>89</v>
      </c>
    </row>
    <row r="114" spans="4:8" ht="14" x14ac:dyDescent="0.3">
      <c r="D114" s="88">
        <v>45552</v>
      </c>
      <c r="E114" s="16" t="s">
        <v>959</v>
      </c>
      <c r="F114" s="26">
        <v>14</v>
      </c>
      <c r="G114" s="45">
        <v>419</v>
      </c>
      <c r="H114" s="36" t="s">
        <v>89</v>
      </c>
    </row>
    <row r="115" spans="4:8" ht="14" x14ac:dyDescent="0.3">
      <c r="D115" s="88">
        <v>45553</v>
      </c>
      <c r="E115" s="16" t="s">
        <v>1011</v>
      </c>
      <c r="F115" s="26">
        <v>126</v>
      </c>
      <c r="G115" s="45">
        <v>6868.5</v>
      </c>
      <c r="H115" s="36" t="s">
        <v>89</v>
      </c>
    </row>
    <row r="116" spans="4:8" ht="14" x14ac:dyDescent="0.3">
      <c r="D116" s="88">
        <v>45554</v>
      </c>
      <c r="E116" s="16" t="s">
        <v>960</v>
      </c>
      <c r="F116" s="26">
        <v>12</v>
      </c>
      <c r="G116" s="45">
        <v>702.1</v>
      </c>
      <c r="H116" s="36" t="s">
        <v>89</v>
      </c>
    </row>
    <row r="117" spans="4:8" ht="14" x14ac:dyDescent="0.3">
      <c r="D117" s="88">
        <v>45556</v>
      </c>
      <c r="E117" s="16" t="s">
        <v>961</v>
      </c>
      <c r="F117" s="26">
        <v>30</v>
      </c>
      <c r="G117" s="45">
        <v>2154</v>
      </c>
      <c r="H117" s="36" t="s">
        <v>89</v>
      </c>
    </row>
    <row r="118" spans="4:8" ht="14" x14ac:dyDescent="0.3">
      <c r="D118" s="88">
        <v>45558</v>
      </c>
      <c r="E118" s="16" t="s">
        <v>962</v>
      </c>
      <c r="F118" s="26">
        <v>20</v>
      </c>
      <c r="G118" s="45">
        <v>824.4</v>
      </c>
      <c r="H118" s="36" t="s">
        <v>89</v>
      </c>
    </row>
    <row r="119" spans="4:8" ht="14" x14ac:dyDescent="0.3">
      <c r="D119" s="88">
        <v>45559</v>
      </c>
      <c r="E119" s="16" t="s">
        <v>963</v>
      </c>
      <c r="F119" s="26">
        <v>41</v>
      </c>
      <c r="G119" s="45">
        <v>2233.8000000000002</v>
      </c>
      <c r="H119" s="36" t="s">
        <v>89</v>
      </c>
    </row>
    <row r="120" spans="4:8" ht="14" x14ac:dyDescent="0.3">
      <c r="D120" s="88">
        <v>45560</v>
      </c>
      <c r="E120" s="16" t="s">
        <v>964</v>
      </c>
      <c r="F120" s="26">
        <v>13</v>
      </c>
      <c r="G120" s="45">
        <v>442.4</v>
      </c>
      <c r="H120" s="36" t="s">
        <v>89</v>
      </c>
    </row>
    <row r="121" spans="4:8" ht="14" x14ac:dyDescent="0.3">
      <c r="D121" s="88">
        <v>45561</v>
      </c>
      <c r="E121" s="16" t="s">
        <v>1013</v>
      </c>
      <c r="F121" s="26">
        <v>6</v>
      </c>
      <c r="G121" s="45">
        <v>180.3</v>
      </c>
      <c r="H121" s="36" t="s">
        <v>89</v>
      </c>
    </row>
    <row r="122" spans="4:8" ht="14" x14ac:dyDescent="0.3">
      <c r="D122" s="88"/>
      <c r="E122" s="16"/>
      <c r="F122" s="26"/>
      <c r="G122" s="45"/>
      <c r="H122" s="36"/>
    </row>
    <row r="123" spans="4:8" ht="14" x14ac:dyDescent="0.3">
      <c r="D123" s="42"/>
      <c r="E123" s="39"/>
      <c r="F123" s="26"/>
      <c r="G123" s="46"/>
      <c r="H123" s="36"/>
    </row>
    <row r="124" spans="4:8" ht="14" x14ac:dyDescent="0.3">
      <c r="D124" s="25"/>
      <c r="E124" s="158" t="s">
        <v>44</v>
      </c>
      <c r="F124" s="26">
        <f>SUM(F96:F123)</f>
        <v>1723</v>
      </c>
      <c r="G124" s="159">
        <f>SUM(G96:G123)</f>
        <v>68028.95</v>
      </c>
      <c r="H124" s="36"/>
    </row>
    <row r="132" spans="4:8" ht="14" x14ac:dyDescent="0.3">
      <c r="D132" s="184">
        <v>45502</v>
      </c>
      <c r="E132" s="185" t="s">
        <v>341</v>
      </c>
      <c r="G132" s="186">
        <v>-13673.52</v>
      </c>
      <c r="H132" s="187" t="s">
        <v>89</v>
      </c>
    </row>
    <row r="135" spans="4:8" ht="14" x14ac:dyDescent="0.3">
      <c r="D135" s="88">
        <v>45549</v>
      </c>
      <c r="E135" s="16" t="s">
        <v>922</v>
      </c>
      <c r="F135">
        <v>33</v>
      </c>
      <c r="G135" s="45">
        <v>7463.9</v>
      </c>
      <c r="H135" s="36" t="s">
        <v>89</v>
      </c>
    </row>
    <row r="140" spans="4:8" x14ac:dyDescent="0.3">
      <c r="D140" s="161" t="s">
        <v>0</v>
      </c>
      <c r="E140" s="161" t="s">
        <v>5</v>
      </c>
      <c r="F140" s="161" t="s">
        <v>448</v>
      </c>
    </row>
    <row r="141" spans="4:8" ht="14" x14ac:dyDescent="0.3">
      <c r="D141" s="84">
        <v>45474</v>
      </c>
      <c r="E141" s="56" t="s">
        <v>174</v>
      </c>
      <c r="F141" s="26">
        <v>24</v>
      </c>
    </row>
    <row r="142" spans="4:8" ht="14" x14ac:dyDescent="0.3">
      <c r="D142" s="84">
        <v>45478</v>
      </c>
      <c r="E142" s="56" t="s">
        <v>175</v>
      </c>
      <c r="F142" s="26">
        <v>31</v>
      </c>
    </row>
    <row r="143" spans="4:8" ht="14" x14ac:dyDescent="0.3">
      <c r="D143" s="84">
        <v>45482</v>
      </c>
      <c r="E143" s="56" t="s">
        <v>176</v>
      </c>
      <c r="F143" s="26">
        <v>3</v>
      </c>
    </row>
    <row r="144" spans="4:8" ht="14" x14ac:dyDescent="0.3">
      <c r="D144" s="84">
        <v>45482</v>
      </c>
      <c r="E144" s="56" t="s">
        <v>200</v>
      </c>
      <c r="F144" s="26">
        <v>20</v>
      </c>
    </row>
    <row r="145" spans="4:6" ht="14" x14ac:dyDescent="0.3">
      <c r="D145" s="84">
        <v>45482</v>
      </c>
      <c r="E145" s="56" t="s">
        <v>201</v>
      </c>
      <c r="F145" s="26">
        <v>5</v>
      </c>
    </row>
    <row r="146" spans="4:6" ht="14" x14ac:dyDescent="0.3">
      <c r="D146" s="84">
        <v>45484</v>
      </c>
      <c r="E146" s="56" t="s">
        <v>202</v>
      </c>
      <c r="F146" s="26">
        <v>10</v>
      </c>
    </row>
    <row r="147" spans="4:6" ht="14" x14ac:dyDescent="0.3">
      <c r="D147" s="84">
        <v>45484</v>
      </c>
      <c r="E147" s="56" t="s">
        <v>203</v>
      </c>
      <c r="F147" s="26">
        <v>20</v>
      </c>
    </row>
    <row r="148" spans="4:6" ht="14" x14ac:dyDescent="0.3">
      <c r="D148" s="84">
        <v>45484</v>
      </c>
      <c r="E148" s="56" t="s">
        <v>204</v>
      </c>
      <c r="F148" s="26">
        <v>37</v>
      </c>
    </row>
    <row r="149" spans="4:6" ht="14" x14ac:dyDescent="0.3">
      <c r="D149" s="84">
        <v>45491</v>
      </c>
      <c r="E149" s="56" t="s">
        <v>182</v>
      </c>
      <c r="F149" s="26">
        <v>42</v>
      </c>
    </row>
    <row r="150" spans="4:6" ht="14" x14ac:dyDescent="0.3">
      <c r="D150" s="84">
        <v>45491</v>
      </c>
      <c r="E150" s="56" t="s">
        <v>210</v>
      </c>
      <c r="F150" s="26">
        <v>1</v>
      </c>
    </row>
    <row r="151" spans="4:6" ht="14" x14ac:dyDescent="0.3">
      <c r="D151" s="84">
        <v>45491</v>
      </c>
      <c r="E151" s="56" t="s">
        <v>211</v>
      </c>
      <c r="F151" s="26">
        <v>30</v>
      </c>
    </row>
    <row r="152" spans="4:6" ht="14" x14ac:dyDescent="0.3">
      <c r="D152" s="84">
        <v>45491</v>
      </c>
      <c r="E152" s="56" t="s">
        <v>212</v>
      </c>
      <c r="F152" s="26">
        <v>22</v>
      </c>
    </row>
    <row r="153" spans="4:6" ht="14" x14ac:dyDescent="0.3">
      <c r="D153" s="88">
        <v>45497</v>
      </c>
      <c r="E153" s="56" t="s">
        <v>276</v>
      </c>
      <c r="F153" s="26">
        <v>1</v>
      </c>
    </row>
    <row r="154" spans="4:6" ht="14" x14ac:dyDescent="0.3">
      <c r="D154" s="88">
        <v>45497</v>
      </c>
      <c r="E154" s="56" t="s">
        <v>277</v>
      </c>
      <c r="F154" s="26">
        <v>7</v>
      </c>
    </row>
    <row r="155" spans="4:6" ht="14" x14ac:dyDescent="0.3">
      <c r="D155" s="88">
        <v>45497</v>
      </c>
      <c r="E155" s="56" t="s">
        <v>278</v>
      </c>
      <c r="F155" s="26">
        <v>20</v>
      </c>
    </row>
    <row r="156" spans="4:6" ht="14" x14ac:dyDescent="0.3">
      <c r="D156" s="88">
        <v>45497</v>
      </c>
      <c r="E156" s="56" t="s">
        <v>279</v>
      </c>
      <c r="F156" s="26">
        <v>28</v>
      </c>
    </row>
    <row r="157" spans="4:6" ht="15.5" x14ac:dyDescent="0.3">
      <c r="D157" s="25">
        <v>45499</v>
      </c>
      <c r="E157" s="177" t="s">
        <v>316</v>
      </c>
      <c r="F157" s="26">
        <v>30</v>
      </c>
    </row>
    <row r="158" spans="4:6" ht="15.5" x14ac:dyDescent="0.3">
      <c r="D158" s="25">
        <v>45502</v>
      </c>
      <c r="E158" s="177" t="s">
        <v>371</v>
      </c>
      <c r="F158" s="26">
        <v>26</v>
      </c>
    </row>
    <row r="159" spans="4:6" ht="14" x14ac:dyDescent="0.3">
      <c r="D159" s="25">
        <v>45504</v>
      </c>
      <c r="E159" s="90" t="s">
        <v>376</v>
      </c>
      <c r="F159" s="26">
        <v>20</v>
      </c>
    </row>
    <row r="160" spans="4:6" ht="14" x14ac:dyDescent="0.3">
      <c r="D160" s="25">
        <v>45504</v>
      </c>
      <c r="E160" s="90" t="s">
        <v>377</v>
      </c>
      <c r="F160" s="26">
        <v>130</v>
      </c>
    </row>
    <row r="161" spans="4:6" ht="14" x14ac:dyDescent="0.3">
      <c r="D161" s="25">
        <v>45506</v>
      </c>
      <c r="E161" s="90" t="s">
        <v>420</v>
      </c>
      <c r="F161" s="26">
        <v>15</v>
      </c>
    </row>
    <row r="162" spans="4:6" ht="14" x14ac:dyDescent="0.3">
      <c r="D162" s="25">
        <v>45517</v>
      </c>
      <c r="E162" s="90" t="s">
        <v>458</v>
      </c>
      <c r="F162" s="26">
        <v>50</v>
      </c>
    </row>
    <row r="163" spans="4:6" ht="14" x14ac:dyDescent="0.3">
      <c r="D163" s="25">
        <v>45523</v>
      </c>
      <c r="E163" s="90" t="s">
        <v>530</v>
      </c>
      <c r="F163" s="26">
        <v>55</v>
      </c>
    </row>
    <row r="164" spans="4:6" ht="14" x14ac:dyDescent="0.3">
      <c r="D164" s="25">
        <v>45553</v>
      </c>
      <c r="E164" s="90" t="s">
        <v>740</v>
      </c>
      <c r="F164" s="26">
        <v>30</v>
      </c>
    </row>
    <row r="165" spans="4:6" ht="14" x14ac:dyDescent="0.3">
      <c r="D165" s="25">
        <v>45553</v>
      </c>
      <c r="E165" s="90" t="s">
        <v>741</v>
      </c>
      <c r="F165" s="26">
        <v>20</v>
      </c>
    </row>
    <row r="166" spans="4:6" ht="14" x14ac:dyDescent="0.3">
      <c r="D166" s="25">
        <v>45553</v>
      </c>
      <c r="E166" s="90" t="s">
        <v>742</v>
      </c>
      <c r="F166" s="26">
        <v>10</v>
      </c>
    </row>
    <row r="167" spans="4:6" ht="14" x14ac:dyDescent="0.3">
      <c r="D167" s="84">
        <v>45539</v>
      </c>
      <c r="E167" s="56" t="s">
        <v>537</v>
      </c>
      <c r="F167" s="26">
        <v>150</v>
      </c>
    </row>
    <row r="168" spans="4:6" ht="14" x14ac:dyDescent="0.3">
      <c r="D168" s="84">
        <v>45539</v>
      </c>
      <c r="E168" s="56" t="s">
        <v>538</v>
      </c>
      <c r="F168" s="26">
        <v>5</v>
      </c>
    </row>
    <row r="169" spans="4:6" ht="14" x14ac:dyDescent="0.3">
      <c r="D169" s="84">
        <v>45539</v>
      </c>
      <c r="E169" s="56" t="s">
        <v>539</v>
      </c>
      <c r="F169" s="26">
        <v>10</v>
      </c>
    </row>
    <row r="170" spans="4:6" ht="14" x14ac:dyDescent="0.3">
      <c r="D170" s="84">
        <v>45540</v>
      </c>
      <c r="E170" s="56" t="s">
        <v>548</v>
      </c>
      <c r="F170" s="26">
        <v>20</v>
      </c>
    </row>
    <row r="171" spans="4:6" ht="14" x14ac:dyDescent="0.3">
      <c r="D171" s="84">
        <v>45540</v>
      </c>
      <c r="E171" s="56" t="s">
        <v>549</v>
      </c>
      <c r="F171" s="26">
        <v>100</v>
      </c>
    </row>
    <row r="172" spans="4:6" ht="14" x14ac:dyDescent="0.3">
      <c r="D172" s="84">
        <v>45540</v>
      </c>
      <c r="E172" s="56" t="s">
        <v>550</v>
      </c>
      <c r="F172" s="26">
        <v>60</v>
      </c>
    </row>
    <row r="173" spans="4:6" ht="14" x14ac:dyDescent="0.3">
      <c r="D173" s="84">
        <v>45540</v>
      </c>
      <c r="E173" s="56" t="s">
        <v>538</v>
      </c>
      <c r="F173" s="26">
        <v>5</v>
      </c>
    </row>
    <row r="174" spans="4:6" ht="14" x14ac:dyDescent="0.3">
      <c r="D174" s="84">
        <v>45541</v>
      </c>
      <c r="E174" s="56" t="s">
        <v>556</v>
      </c>
      <c r="F174" s="26">
        <v>44</v>
      </c>
    </row>
    <row r="175" spans="4:6" ht="14" x14ac:dyDescent="0.3">
      <c r="D175" s="84">
        <v>45541</v>
      </c>
      <c r="E175" s="56" t="s">
        <v>557</v>
      </c>
      <c r="F175" s="26">
        <v>6</v>
      </c>
    </row>
    <row r="176" spans="4:6" ht="14" x14ac:dyDescent="0.3">
      <c r="D176" s="346">
        <v>45549</v>
      </c>
      <c r="E176" s="348" t="s">
        <v>746</v>
      </c>
      <c r="F176" s="26">
        <v>30</v>
      </c>
    </row>
    <row r="177" spans="4:9" ht="14" x14ac:dyDescent="0.3">
      <c r="D177" s="346">
        <v>45553</v>
      </c>
      <c r="E177" s="348" t="s">
        <v>743</v>
      </c>
      <c r="F177" s="26">
        <v>5</v>
      </c>
    </row>
    <row r="178" spans="4:9" ht="14" x14ac:dyDescent="0.3">
      <c r="D178" s="346">
        <v>45553</v>
      </c>
      <c r="E178" s="348" t="s">
        <v>748</v>
      </c>
      <c r="F178" s="26">
        <v>5</v>
      </c>
    </row>
    <row r="179" spans="4:9" x14ac:dyDescent="0.3">
      <c r="D179" s="113"/>
      <c r="E179" s="113"/>
      <c r="F179" s="161">
        <f>SUM(F141:F178)</f>
        <v>1127</v>
      </c>
    </row>
    <row r="180" spans="4:9" x14ac:dyDescent="0.3">
      <c r="F180" s="18"/>
      <c r="H180" s="1" t="s">
        <v>970</v>
      </c>
      <c r="I180">
        <v>1711</v>
      </c>
    </row>
    <row r="181" spans="4:9" ht="14" x14ac:dyDescent="0.3">
      <c r="D181" s="346">
        <v>45556</v>
      </c>
      <c r="E181" s="348" t="s">
        <v>969</v>
      </c>
      <c r="F181" s="17">
        <v>33</v>
      </c>
      <c r="H181" s="1" t="s">
        <v>971</v>
      </c>
      <c r="I181">
        <v>-1183</v>
      </c>
    </row>
    <row r="182" spans="4:9" ht="14" x14ac:dyDescent="0.3">
      <c r="D182" s="88">
        <v>45548</v>
      </c>
      <c r="E182" s="56" t="s">
        <v>707</v>
      </c>
      <c r="F182" s="17">
        <v>23</v>
      </c>
      <c r="H182" s="1" t="s">
        <v>972</v>
      </c>
      <c r="I182">
        <f>-1-113-37-1</f>
        <v>-152</v>
      </c>
    </row>
    <row r="183" spans="4:9" x14ac:dyDescent="0.3">
      <c r="H183" s="1" t="s">
        <v>973</v>
      </c>
      <c r="I183">
        <v>-1</v>
      </c>
    </row>
    <row r="184" spans="4:9" x14ac:dyDescent="0.3">
      <c r="I184">
        <f>SUM(I180:I183)</f>
        <v>375</v>
      </c>
    </row>
    <row r="185" spans="4:9" x14ac:dyDescent="0.3">
      <c r="E185" t="s">
        <v>40</v>
      </c>
      <c r="F185" t="s">
        <v>600</v>
      </c>
      <c r="H185" s="1" t="s">
        <v>974</v>
      </c>
      <c r="I185">
        <v>-248</v>
      </c>
    </row>
    <row r="186" spans="4:9" x14ac:dyDescent="0.3">
      <c r="E186" t="s">
        <v>40</v>
      </c>
      <c r="F186" t="s">
        <v>599</v>
      </c>
      <c r="H186" s="1" t="s">
        <v>975</v>
      </c>
      <c r="I186">
        <v>-138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4:O357"/>
  <sheetViews>
    <sheetView topLeftCell="A193" zoomScale="85" zoomScaleNormal="85" workbookViewId="0">
      <selection activeCell="E145" sqref="E145"/>
    </sheetView>
  </sheetViews>
  <sheetFormatPr defaultRowHeight="13" x14ac:dyDescent="0.3"/>
  <cols>
    <col min="2" max="2" width="12.8984375" bestFit="1" customWidth="1"/>
    <col min="3" max="3" width="10.8984375" bestFit="1" customWidth="1"/>
    <col min="4" max="4" width="13.3984375" bestFit="1" customWidth="1"/>
    <col min="5" max="5" width="49.69921875" bestFit="1" customWidth="1"/>
    <col min="6" max="6" width="16" bestFit="1" customWidth="1"/>
    <col min="7" max="7" width="14" bestFit="1" customWidth="1"/>
    <col min="8" max="8" width="14.19921875" bestFit="1" customWidth="1"/>
    <col min="9" max="9" width="16.3984375" customWidth="1"/>
    <col min="14" max="14" width="9.3984375" bestFit="1" customWidth="1"/>
    <col min="15" max="15" width="4.8984375" bestFit="1" customWidth="1"/>
  </cols>
  <sheetData>
    <row r="4" spans="4:15" ht="14" x14ac:dyDescent="0.3">
      <c r="D4" s="266" t="s">
        <v>0</v>
      </c>
      <c r="E4" s="266" t="s">
        <v>487</v>
      </c>
      <c r="F4" s="266" t="s">
        <v>448</v>
      </c>
      <c r="G4" s="266" t="s">
        <v>488</v>
      </c>
      <c r="N4" t="s">
        <v>489</v>
      </c>
      <c r="O4">
        <v>6012</v>
      </c>
    </row>
    <row r="5" spans="4:15" ht="15" x14ac:dyDescent="0.3">
      <c r="D5" s="113"/>
      <c r="E5" s="294" t="s">
        <v>552</v>
      </c>
      <c r="F5" s="113"/>
      <c r="G5" s="113"/>
      <c r="N5" t="s">
        <v>489</v>
      </c>
      <c r="O5">
        <v>6866</v>
      </c>
    </row>
    <row r="6" spans="4:15" x14ac:dyDescent="0.3">
      <c r="D6" s="157">
        <v>45457</v>
      </c>
      <c r="E6" s="26">
        <v>6866</v>
      </c>
      <c r="F6" s="26" t="s">
        <v>490</v>
      </c>
      <c r="G6" s="26">
        <v>1791</v>
      </c>
    </row>
    <row r="7" spans="4:15" x14ac:dyDescent="0.3">
      <c r="D7" s="157">
        <v>45457</v>
      </c>
      <c r="E7" s="26">
        <v>6866</v>
      </c>
      <c r="F7" s="26" t="s">
        <v>490</v>
      </c>
      <c r="G7" s="26">
        <f>597*3</f>
        <v>1791</v>
      </c>
    </row>
    <row r="8" spans="4:15" x14ac:dyDescent="0.3">
      <c r="D8" s="157">
        <v>45459</v>
      </c>
      <c r="E8" s="26">
        <v>6866</v>
      </c>
      <c r="F8" s="26" t="s">
        <v>491</v>
      </c>
      <c r="G8" s="26">
        <v>2388</v>
      </c>
    </row>
    <row r="9" spans="4:15" x14ac:dyDescent="0.3">
      <c r="D9" s="157">
        <v>45457</v>
      </c>
      <c r="E9" s="26">
        <v>6866</v>
      </c>
      <c r="F9" s="26" t="s">
        <v>491</v>
      </c>
      <c r="G9" s="26">
        <v>2388</v>
      </c>
    </row>
    <row r="10" spans="4:15" x14ac:dyDescent="0.3">
      <c r="D10" s="157">
        <v>45457</v>
      </c>
      <c r="E10" s="26">
        <v>6866</v>
      </c>
      <c r="F10" s="26" t="s">
        <v>492</v>
      </c>
      <c r="G10" s="26">
        <f>597*2</f>
        <v>1194</v>
      </c>
    </row>
    <row r="11" spans="4:15" x14ac:dyDescent="0.3">
      <c r="D11" s="157">
        <v>45448</v>
      </c>
      <c r="E11" s="26">
        <v>6866</v>
      </c>
      <c r="F11" s="26" t="s">
        <v>491</v>
      </c>
      <c r="G11" s="26">
        <f>522*4</f>
        <v>2088</v>
      </c>
    </row>
    <row r="12" spans="4:15" x14ac:dyDescent="0.3">
      <c r="D12" s="157">
        <v>45458</v>
      </c>
      <c r="E12" s="26">
        <v>6866</v>
      </c>
      <c r="F12" s="26" t="s">
        <v>493</v>
      </c>
      <c r="G12" s="26">
        <f>19*597</f>
        <v>11343</v>
      </c>
    </row>
    <row r="13" spans="4:15" x14ac:dyDescent="0.3">
      <c r="D13" s="157">
        <v>45458</v>
      </c>
      <c r="E13" s="26">
        <v>6866</v>
      </c>
      <c r="F13" s="26" t="s">
        <v>494</v>
      </c>
      <c r="G13" s="26">
        <f>6*597</f>
        <v>3582</v>
      </c>
    </row>
    <row r="14" spans="4:15" ht="15" x14ac:dyDescent="0.3">
      <c r="E14" s="294" t="s">
        <v>553</v>
      </c>
      <c r="F14" s="17"/>
      <c r="G14" s="17"/>
    </row>
    <row r="15" spans="4:15" x14ac:dyDescent="0.3">
      <c r="D15" s="157">
        <v>45459</v>
      </c>
      <c r="E15" s="26">
        <v>6866</v>
      </c>
      <c r="F15" s="26" t="s">
        <v>495</v>
      </c>
      <c r="G15" s="26">
        <f>7*597</f>
        <v>4179</v>
      </c>
    </row>
    <row r="16" spans="4:15" x14ac:dyDescent="0.3">
      <c r="D16" s="157">
        <v>45459</v>
      </c>
      <c r="E16" s="26">
        <v>6866</v>
      </c>
      <c r="F16" s="26" t="s">
        <v>496</v>
      </c>
      <c r="G16" s="26">
        <f>8*597</f>
        <v>4776</v>
      </c>
    </row>
    <row r="17" spans="4:7" x14ac:dyDescent="0.3">
      <c r="D17" s="157">
        <v>45459</v>
      </c>
      <c r="E17" s="26">
        <v>6866</v>
      </c>
      <c r="F17" s="26" t="s">
        <v>495</v>
      </c>
      <c r="G17" s="26">
        <v>4179</v>
      </c>
    </row>
    <row r="18" spans="4:7" x14ac:dyDescent="0.3">
      <c r="D18" s="157">
        <v>45460</v>
      </c>
      <c r="E18" s="26">
        <v>6866</v>
      </c>
      <c r="F18" s="26" t="s">
        <v>496</v>
      </c>
      <c r="G18" s="26">
        <f>8*597</f>
        <v>4776</v>
      </c>
    </row>
    <row r="19" spans="4:7" x14ac:dyDescent="0.3">
      <c r="D19" s="157">
        <v>45458</v>
      </c>
      <c r="E19" s="26">
        <v>6866</v>
      </c>
      <c r="F19" s="26" t="s">
        <v>497</v>
      </c>
      <c r="G19" s="26">
        <f>9*597</f>
        <v>5373</v>
      </c>
    </row>
    <row r="20" spans="4:7" x14ac:dyDescent="0.3">
      <c r="D20" s="157">
        <v>45459</v>
      </c>
      <c r="E20" s="26">
        <v>6866</v>
      </c>
      <c r="F20" s="26" t="s">
        <v>498</v>
      </c>
      <c r="G20" s="26">
        <f>12*597</f>
        <v>7164</v>
      </c>
    </row>
    <row r="21" spans="4:7" ht="15" x14ac:dyDescent="0.3">
      <c r="E21" s="294" t="s">
        <v>554</v>
      </c>
      <c r="F21" s="17"/>
      <c r="G21" s="17"/>
    </row>
    <row r="22" spans="4:7" x14ac:dyDescent="0.3">
      <c r="D22" s="157">
        <v>45460</v>
      </c>
      <c r="E22" s="26">
        <v>6012</v>
      </c>
      <c r="F22" s="26" t="s">
        <v>491</v>
      </c>
      <c r="G22" s="26">
        <f>4*597</f>
        <v>2388</v>
      </c>
    </row>
    <row r="23" spans="4:7" x14ac:dyDescent="0.3">
      <c r="D23" s="157">
        <v>45459</v>
      </c>
      <c r="E23" s="26">
        <v>6012</v>
      </c>
      <c r="F23" s="26" t="s">
        <v>491</v>
      </c>
      <c r="G23" s="26">
        <f>4*597</f>
        <v>2388</v>
      </c>
    </row>
    <row r="24" spans="4:7" x14ac:dyDescent="0.3">
      <c r="D24" s="157">
        <v>45460</v>
      </c>
      <c r="E24" s="26">
        <v>6012</v>
      </c>
      <c r="F24" s="26" t="s">
        <v>491</v>
      </c>
      <c r="G24" s="26">
        <f>4*597</f>
        <v>2388</v>
      </c>
    </row>
    <row r="25" spans="4:7" x14ac:dyDescent="0.3">
      <c r="D25" s="157">
        <v>45459</v>
      </c>
      <c r="E25" s="26">
        <v>6012</v>
      </c>
      <c r="F25" s="26" t="s">
        <v>499</v>
      </c>
      <c r="G25" s="26">
        <f>5*597</f>
        <v>2985</v>
      </c>
    </row>
    <row r="26" spans="4:7" x14ac:dyDescent="0.3">
      <c r="D26" s="157">
        <v>45459</v>
      </c>
      <c r="E26" s="26">
        <v>6012</v>
      </c>
      <c r="F26" s="26" t="s">
        <v>496</v>
      </c>
      <c r="G26" s="26">
        <f>8*597</f>
        <v>4776</v>
      </c>
    </row>
    <row r="27" spans="4:7" x14ac:dyDescent="0.3">
      <c r="D27" s="157">
        <v>45449</v>
      </c>
      <c r="E27" s="26">
        <v>6866</v>
      </c>
      <c r="F27" s="26" t="s">
        <v>496</v>
      </c>
      <c r="G27" s="26">
        <f>8*522.03</f>
        <v>4176.24</v>
      </c>
    </row>
    <row r="28" spans="4:7" x14ac:dyDescent="0.3">
      <c r="D28" s="157">
        <v>45460</v>
      </c>
      <c r="E28" s="26">
        <v>6866</v>
      </c>
      <c r="F28" s="26" t="s">
        <v>555</v>
      </c>
      <c r="G28" s="26">
        <v>6866</v>
      </c>
    </row>
    <row r="29" spans="4:7" x14ac:dyDescent="0.3">
      <c r="D29" s="157">
        <v>45449</v>
      </c>
      <c r="E29" s="26">
        <v>6866</v>
      </c>
      <c r="F29" s="26" t="s">
        <v>495</v>
      </c>
      <c r="G29" s="26">
        <f>7*522.03</f>
        <v>3654.21</v>
      </c>
    </row>
    <row r="30" spans="4:7" x14ac:dyDescent="0.3">
      <c r="D30" s="180"/>
      <c r="E30" s="17"/>
      <c r="F30" s="17"/>
      <c r="G30" s="17"/>
    </row>
    <row r="31" spans="4:7" ht="14" x14ac:dyDescent="0.3">
      <c r="D31" s="180"/>
      <c r="E31" s="295" t="s">
        <v>44</v>
      </c>
      <c r="F31" s="296"/>
      <c r="G31" s="297">
        <f>SUM(G6:G30)</f>
        <v>86633.450000000012</v>
      </c>
    </row>
    <row r="32" spans="4:7" x14ac:dyDescent="0.3">
      <c r="D32" s="180"/>
      <c r="E32" s="17"/>
      <c r="F32" s="17"/>
      <c r="G32" s="277"/>
    </row>
    <row r="33" spans="4:7" x14ac:dyDescent="0.3">
      <c r="D33" s="161" t="s">
        <v>0</v>
      </c>
      <c r="E33" s="161" t="s">
        <v>487</v>
      </c>
      <c r="F33" s="161" t="s">
        <v>448</v>
      </c>
      <c r="G33" s="161" t="s">
        <v>488</v>
      </c>
    </row>
    <row r="34" spans="4:7" x14ac:dyDescent="0.3">
      <c r="D34" s="157">
        <v>45460</v>
      </c>
      <c r="E34" s="293" t="s">
        <v>551</v>
      </c>
      <c r="F34" s="26" t="s">
        <v>499</v>
      </c>
      <c r="G34" s="26">
        <v>2686</v>
      </c>
    </row>
    <row r="35" spans="4:7" x14ac:dyDescent="0.3">
      <c r="G35" s="277">
        <f>SUM(G34:G34)</f>
        <v>2686</v>
      </c>
    </row>
    <row r="39" spans="4:7" x14ac:dyDescent="0.3">
      <c r="D39" s="113" t="s">
        <v>0</v>
      </c>
      <c r="E39" s="161" t="s">
        <v>487</v>
      </c>
      <c r="F39" s="161" t="s">
        <v>488</v>
      </c>
    </row>
    <row r="40" spans="4:7" x14ac:dyDescent="0.3">
      <c r="D40" s="157">
        <v>45517</v>
      </c>
      <c r="E40" s="26">
        <v>6012</v>
      </c>
      <c r="F40" s="298">
        <v>5613.73</v>
      </c>
    </row>
    <row r="41" spans="4:7" x14ac:dyDescent="0.3">
      <c r="D41" s="157">
        <v>45517</v>
      </c>
      <c r="E41" s="26">
        <v>6012</v>
      </c>
      <c r="F41" s="298">
        <v>5613.73</v>
      </c>
    </row>
    <row r="42" spans="4:7" x14ac:dyDescent="0.3">
      <c r="D42" s="157">
        <v>45517</v>
      </c>
      <c r="E42" s="26">
        <v>6012</v>
      </c>
      <c r="F42" s="298">
        <v>4210.3</v>
      </c>
    </row>
    <row r="43" spans="4:7" x14ac:dyDescent="0.3">
      <c r="D43" s="157">
        <v>45517</v>
      </c>
      <c r="E43" s="26">
        <v>6012</v>
      </c>
      <c r="F43" s="298">
        <v>7017.17</v>
      </c>
    </row>
    <row r="44" spans="4:7" x14ac:dyDescent="0.3">
      <c r="D44" s="157">
        <v>45517</v>
      </c>
      <c r="E44" s="26">
        <v>6012</v>
      </c>
      <c r="F44" s="298">
        <v>11227.46</v>
      </c>
    </row>
    <row r="46" spans="4:7" x14ac:dyDescent="0.3">
      <c r="F46" s="299">
        <f>SUM(F40:F45)</f>
        <v>33682.39</v>
      </c>
    </row>
    <row r="48" spans="4:7" x14ac:dyDescent="0.3">
      <c r="D48" s="113" t="s">
        <v>0</v>
      </c>
      <c r="E48" s="161" t="s">
        <v>487</v>
      </c>
      <c r="F48" s="161" t="s">
        <v>488</v>
      </c>
    </row>
    <row r="49" spans="4:6" x14ac:dyDescent="0.3">
      <c r="D49" s="157">
        <v>45517</v>
      </c>
      <c r="E49" s="26">
        <v>6866</v>
      </c>
      <c r="F49" s="298">
        <v>4897.37</v>
      </c>
    </row>
    <row r="50" spans="4:6" x14ac:dyDescent="0.3">
      <c r="D50" s="157">
        <v>45517</v>
      </c>
      <c r="E50" s="26">
        <v>6866</v>
      </c>
      <c r="F50" s="298">
        <v>8401.52</v>
      </c>
    </row>
    <row r="51" spans="4:6" x14ac:dyDescent="0.3">
      <c r="D51" s="157">
        <v>45517</v>
      </c>
      <c r="E51" s="26">
        <v>6866</v>
      </c>
      <c r="F51" s="298">
        <v>4200.76</v>
      </c>
    </row>
    <row r="52" spans="4:6" x14ac:dyDescent="0.3">
      <c r="D52" s="157">
        <v>45517</v>
      </c>
      <c r="E52" s="26">
        <v>6866</v>
      </c>
      <c r="F52" s="298">
        <v>4200.76</v>
      </c>
    </row>
    <row r="53" spans="4:6" x14ac:dyDescent="0.3">
      <c r="D53" s="157">
        <v>45517</v>
      </c>
      <c r="E53" s="26">
        <v>6866</v>
      </c>
      <c r="F53" s="298">
        <v>5601.01</v>
      </c>
    </row>
    <row r="54" spans="4:6" x14ac:dyDescent="0.3">
      <c r="D54" s="157">
        <v>45517</v>
      </c>
      <c r="E54" s="26">
        <v>6866</v>
      </c>
      <c r="F54" s="298">
        <v>5601.01</v>
      </c>
    </row>
    <row r="55" spans="4:6" x14ac:dyDescent="0.3">
      <c r="D55" s="157">
        <v>45517</v>
      </c>
      <c r="E55" s="26">
        <v>6866</v>
      </c>
      <c r="F55" s="298">
        <v>9801.77</v>
      </c>
    </row>
    <row r="56" spans="4:6" x14ac:dyDescent="0.3">
      <c r="D56" s="157">
        <v>45517</v>
      </c>
      <c r="E56" s="26">
        <v>6866</v>
      </c>
      <c r="F56" s="298">
        <v>9801.77</v>
      </c>
    </row>
    <row r="57" spans="4:6" x14ac:dyDescent="0.3">
      <c r="D57" s="157">
        <v>45517</v>
      </c>
      <c r="E57" s="26">
        <v>6866</v>
      </c>
      <c r="F57" s="298">
        <v>2800.5</v>
      </c>
    </row>
    <row r="58" spans="4:6" x14ac:dyDescent="0.3">
      <c r="D58" s="157">
        <v>45517</v>
      </c>
      <c r="E58" s="26">
        <v>6866</v>
      </c>
      <c r="F58" s="298">
        <v>8571.2099999999991</v>
      </c>
    </row>
    <row r="59" spans="4:6" x14ac:dyDescent="0.3">
      <c r="D59" s="157">
        <v>45517</v>
      </c>
      <c r="E59" s="26">
        <v>6866</v>
      </c>
      <c r="F59" s="298">
        <v>9795.67</v>
      </c>
    </row>
    <row r="60" spans="4:6" x14ac:dyDescent="0.3">
      <c r="D60" s="157">
        <v>45517</v>
      </c>
      <c r="E60" s="26">
        <v>6866</v>
      </c>
      <c r="F60" s="298">
        <v>11202.02</v>
      </c>
    </row>
    <row r="61" spans="4:6" x14ac:dyDescent="0.3">
      <c r="D61" s="157">
        <v>45517</v>
      </c>
      <c r="E61" s="26">
        <v>6866</v>
      </c>
      <c r="F61" s="298">
        <v>11202.02</v>
      </c>
    </row>
    <row r="62" spans="4:6" x14ac:dyDescent="0.3">
      <c r="D62" s="157">
        <v>45517</v>
      </c>
      <c r="E62" s="26">
        <v>6866</v>
      </c>
      <c r="F62" s="298">
        <v>16803.03</v>
      </c>
    </row>
    <row r="63" spans="4:6" x14ac:dyDescent="0.3">
      <c r="D63" s="157">
        <v>45517</v>
      </c>
      <c r="E63" s="26">
        <v>6866</v>
      </c>
      <c r="F63" s="298">
        <v>16104.08</v>
      </c>
    </row>
    <row r="64" spans="4:6" x14ac:dyDescent="0.3">
      <c r="D64" s="157">
        <v>45517</v>
      </c>
      <c r="E64" s="26">
        <v>6866</v>
      </c>
      <c r="F64" s="298">
        <v>12602.27</v>
      </c>
    </row>
    <row r="65" spans="3:9" x14ac:dyDescent="0.3">
      <c r="D65" s="157">
        <v>45517</v>
      </c>
      <c r="E65" s="26">
        <v>6866</v>
      </c>
      <c r="F65" s="298">
        <v>26604.799999999999</v>
      </c>
    </row>
    <row r="67" spans="3:9" x14ac:dyDescent="0.3">
      <c r="F67" s="300">
        <f>SUM(F49:F66)</f>
        <v>168191.57</v>
      </c>
    </row>
    <row r="71" spans="3:9" ht="15" x14ac:dyDescent="0.3">
      <c r="C71" s="24" t="s">
        <v>0</v>
      </c>
      <c r="D71" s="24" t="s">
        <v>49</v>
      </c>
      <c r="E71" s="24" t="s">
        <v>5</v>
      </c>
      <c r="F71" s="24" t="s">
        <v>525</v>
      </c>
      <c r="G71" s="24" t="s">
        <v>7</v>
      </c>
      <c r="H71" s="24" t="s">
        <v>526</v>
      </c>
      <c r="I71" s="24" t="s">
        <v>44</v>
      </c>
    </row>
    <row r="72" spans="3:9" ht="14" x14ac:dyDescent="0.3">
      <c r="C72" s="88">
        <v>45397</v>
      </c>
      <c r="D72" s="89" t="s">
        <v>218</v>
      </c>
      <c r="E72" s="56" t="s">
        <v>62</v>
      </c>
      <c r="F72" s="54">
        <v>1516.06</v>
      </c>
      <c r="G72" s="54">
        <v>2.42</v>
      </c>
      <c r="H72" s="54">
        <f t="shared" ref="H72" si="0">F72*G72</f>
        <v>3668.8651999999997</v>
      </c>
    </row>
    <row r="73" spans="3:9" ht="14" x14ac:dyDescent="0.3">
      <c r="C73" s="88">
        <v>45397</v>
      </c>
      <c r="D73" s="89" t="s">
        <v>219</v>
      </c>
      <c r="E73" s="56" t="s">
        <v>8</v>
      </c>
      <c r="F73" s="54"/>
      <c r="G73" s="54"/>
      <c r="H73" s="54">
        <v>660</v>
      </c>
    </row>
    <row r="74" spans="3:9" ht="14" x14ac:dyDescent="0.3">
      <c r="C74" s="89"/>
      <c r="D74" s="89" t="s">
        <v>219</v>
      </c>
      <c r="E74" s="56" t="s">
        <v>9</v>
      </c>
      <c r="F74" s="54"/>
      <c r="G74" s="54"/>
      <c r="H74" s="54">
        <v>650</v>
      </c>
    </row>
    <row r="75" spans="3:9" ht="14" x14ac:dyDescent="0.3">
      <c r="C75" s="88">
        <v>45419</v>
      </c>
      <c r="D75" s="89" t="s">
        <v>220</v>
      </c>
      <c r="E75" s="56" t="s">
        <v>14</v>
      </c>
      <c r="F75" s="54"/>
      <c r="G75" s="54"/>
      <c r="H75" s="54">
        <v>4230</v>
      </c>
    </row>
    <row r="76" spans="3:9" ht="14" x14ac:dyDescent="0.3">
      <c r="C76" s="40">
        <v>45420</v>
      </c>
      <c r="D76" s="89" t="s">
        <v>220</v>
      </c>
      <c r="E76" s="56" t="s">
        <v>15</v>
      </c>
      <c r="F76" s="54"/>
      <c r="G76" s="54"/>
      <c r="H76" s="54">
        <v>10</v>
      </c>
    </row>
    <row r="77" spans="3:9" ht="14" x14ac:dyDescent="0.3">
      <c r="C77" s="40">
        <v>45423</v>
      </c>
      <c r="D77" s="89" t="s">
        <v>220</v>
      </c>
      <c r="E77" s="80" t="s">
        <v>16</v>
      </c>
      <c r="F77" s="54">
        <v>58</v>
      </c>
      <c r="G77" s="54">
        <v>2.42</v>
      </c>
      <c r="H77" s="54">
        <f t="shared" ref="H77:H80" si="1">F77*G77</f>
        <v>140.35999999999999</v>
      </c>
    </row>
    <row r="78" spans="3:9" ht="14" x14ac:dyDescent="0.3">
      <c r="C78" s="40">
        <v>45423</v>
      </c>
      <c r="D78" s="89" t="s">
        <v>220</v>
      </c>
      <c r="E78" s="80" t="s">
        <v>17</v>
      </c>
      <c r="F78" s="54">
        <v>28</v>
      </c>
      <c r="G78" s="54">
        <v>2.42</v>
      </c>
      <c r="H78" s="54">
        <f t="shared" si="1"/>
        <v>67.759999999999991</v>
      </c>
    </row>
    <row r="79" spans="3:9" ht="14" x14ac:dyDescent="0.3">
      <c r="C79" s="40">
        <v>45423</v>
      </c>
      <c r="D79" s="89" t="s">
        <v>220</v>
      </c>
      <c r="E79" s="80" t="s">
        <v>18</v>
      </c>
      <c r="F79" s="54">
        <v>101</v>
      </c>
      <c r="G79" s="54">
        <v>2.42</v>
      </c>
      <c r="H79" s="54">
        <f t="shared" si="1"/>
        <v>244.42</v>
      </c>
    </row>
    <row r="80" spans="3:9" ht="14" x14ac:dyDescent="0.3">
      <c r="C80" s="40">
        <v>45423</v>
      </c>
      <c r="D80" s="89" t="s">
        <v>220</v>
      </c>
      <c r="E80" s="80" t="s">
        <v>20</v>
      </c>
      <c r="F80" s="54">
        <v>4327.63</v>
      </c>
      <c r="G80" s="54">
        <v>2.42</v>
      </c>
      <c r="H80" s="54">
        <f t="shared" si="1"/>
        <v>10472.864600000001</v>
      </c>
    </row>
    <row r="81" spans="3:8" ht="14" x14ac:dyDescent="0.3">
      <c r="C81" s="84">
        <v>45440</v>
      </c>
      <c r="D81" s="89" t="s">
        <v>529</v>
      </c>
      <c r="E81" s="56" t="s">
        <v>81</v>
      </c>
      <c r="F81" s="54"/>
      <c r="G81" s="54"/>
      <c r="H81" s="54">
        <v>1230</v>
      </c>
    </row>
    <row r="82" spans="3:8" ht="14" x14ac:dyDescent="0.3">
      <c r="C82" s="40">
        <v>45440</v>
      </c>
      <c r="D82" s="89" t="s">
        <v>82</v>
      </c>
      <c r="E82" s="56" t="s">
        <v>84</v>
      </c>
      <c r="F82" s="94">
        <v>126</v>
      </c>
      <c r="G82" s="94">
        <v>2.44</v>
      </c>
      <c r="H82" s="54">
        <f t="shared" ref="H82:H86" si="2">F82*G82</f>
        <v>307.44</v>
      </c>
    </row>
    <row r="83" spans="3:8" ht="14" x14ac:dyDescent="0.3">
      <c r="C83" s="40">
        <v>45440</v>
      </c>
      <c r="D83" s="89" t="s">
        <v>82</v>
      </c>
      <c r="E83" s="56" t="s">
        <v>85</v>
      </c>
      <c r="F83" s="96"/>
      <c r="G83" s="96"/>
      <c r="H83" s="54">
        <v>30</v>
      </c>
    </row>
    <row r="84" spans="3:8" ht="14" x14ac:dyDescent="0.3">
      <c r="C84" s="40">
        <v>45443</v>
      </c>
      <c r="D84" s="89" t="s">
        <v>82</v>
      </c>
      <c r="E84" s="56" t="s">
        <v>86</v>
      </c>
      <c r="F84" s="141">
        <v>1638.29</v>
      </c>
      <c r="G84" s="96">
        <v>2.44</v>
      </c>
      <c r="H84" s="54">
        <f t="shared" si="2"/>
        <v>3997.4276</v>
      </c>
    </row>
    <row r="85" spans="3:8" ht="14" x14ac:dyDescent="0.3">
      <c r="C85" s="40">
        <v>45447</v>
      </c>
      <c r="D85" s="89" t="s">
        <v>82</v>
      </c>
      <c r="E85" s="56" t="s">
        <v>87</v>
      </c>
      <c r="F85" s="141"/>
      <c r="G85" s="96"/>
      <c r="H85" s="54">
        <v>194.81</v>
      </c>
    </row>
    <row r="86" spans="3:8" ht="14" x14ac:dyDescent="0.3">
      <c r="C86" s="40">
        <v>45471</v>
      </c>
      <c r="D86" s="89" t="s">
        <v>82</v>
      </c>
      <c r="E86" s="80" t="s">
        <v>88</v>
      </c>
      <c r="F86" s="151">
        <v>23.01</v>
      </c>
      <c r="G86" s="96">
        <v>2.44</v>
      </c>
      <c r="H86" s="54">
        <f t="shared" si="2"/>
        <v>56.144400000000005</v>
      </c>
    </row>
    <row r="87" spans="3:8" ht="14" x14ac:dyDescent="0.3">
      <c r="C87" s="84">
        <v>45448</v>
      </c>
      <c r="D87" s="89" t="s">
        <v>107</v>
      </c>
      <c r="E87" s="56" t="s">
        <v>97</v>
      </c>
      <c r="F87" s="141" t="s">
        <v>68</v>
      </c>
      <c r="G87" s="96" t="s">
        <v>68</v>
      </c>
      <c r="H87" s="151">
        <v>1660</v>
      </c>
    </row>
    <row r="88" spans="3:8" ht="14" x14ac:dyDescent="0.3">
      <c r="C88" s="84">
        <v>45448</v>
      </c>
      <c r="D88" s="89" t="s">
        <v>107</v>
      </c>
      <c r="E88" s="56" t="s">
        <v>99</v>
      </c>
      <c r="F88" s="96" t="s">
        <v>68</v>
      </c>
      <c r="G88" s="96" t="s">
        <v>68</v>
      </c>
      <c r="H88" s="151">
        <v>40</v>
      </c>
    </row>
    <row r="89" spans="3:8" ht="14" x14ac:dyDescent="0.3">
      <c r="C89" s="84">
        <v>45448</v>
      </c>
      <c r="D89" s="89" t="s">
        <v>107</v>
      </c>
      <c r="E89" s="56" t="s">
        <v>100</v>
      </c>
      <c r="F89" s="141">
        <v>360</v>
      </c>
      <c r="G89" s="96">
        <v>2.44</v>
      </c>
      <c r="H89" s="151">
        <f t="shared" ref="H89:H93" si="3">F89*G89</f>
        <v>878.4</v>
      </c>
    </row>
    <row r="90" spans="3:8" ht="14" x14ac:dyDescent="0.3">
      <c r="C90" s="40">
        <v>45456</v>
      </c>
      <c r="D90" s="89" t="s">
        <v>107</v>
      </c>
      <c r="E90" s="167" t="s">
        <v>101</v>
      </c>
      <c r="F90" s="141">
        <v>2651.54</v>
      </c>
      <c r="G90" s="96">
        <v>2.44</v>
      </c>
      <c r="H90" s="151">
        <f t="shared" si="3"/>
        <v>6469.7575999999999</v>
      </c>
    </row>
    <row r="91" spans="3:8" ht="14" x14ac:dyDescent="0.3">
      <c r="C91" s="40">
        <v>45471</v>
      </c>
      <c r="D91" s="89" t="s">
        <v>107</v>
      </c>
      <c r="E91" s="80" t="s">
        <v>88</v>
      </c>
      <c r="F91" s="151">
        <v>23.01</v>
      </c>
      <c r="G91" s="96">
        <v>2.44</v>
      </c>
      <c r="H91" s="151">
        <f t="shared" si="3"/>
        <v>56.144400000000005</v>
      </c>
    </row>
    <row r="92" spans="3:8" ht="14" x14ac:dyDescent="0.3">
      <c r="C92" s="84">
        <v>45449</v>
      </c>
      <c r="D92" s="89" t="s">
        <v>110</v>
      </c>
      <c r="E92" s="56" t="s">
        <v>114</v>
      </c>
      <c r="F92" s="141">
        <v>40</v>
      </c>
      <c r="G92" s="96">
        <v>2.44</v>
      </c>
      <c r="H92" s="151">
        <f t="shared" si="3"/>
        <v>97.6</v>
      </c>
    </row>
    <row r="93" spans="3:8" ht="14" x14ac:dyDescent="0.3">
      <c r="C93" s="40">
        <v>45453</v>
      </c>
      <c r="D93" s="89" t="s">
        <v>110</v>
      </c>
      <c r="E93" s="56" t="s">
        <v>115</v>
      </c>
      <c r="F93" s="141">
        <v>50</v>
      </c>
      <c r="G93" s="96">
        <v>2.44</v>
      </c>
      <c r="H93" s="151">
        <f t="shared" si="3"/>
        <v>122</v>
      </c>
    </row>
    <row r="94" spans="3:8" ht="14" x14ac:dyDescent="0.3">
      <c r="C94" s="40">
        <v>45453</v>
      </c>
      <c r="D94" s="89" t="s">
        <v>110</v>
      </c>
      <c r="E94" s="80" t="s">
        <v>116</v>
      </c>
      <c r="F94" s="151" t="s">
        <v>68</v>
      </c>
      <c r="G94" s="96" t="s">
        <v>68</v>
      </c>
      <c r="H94" s="151">
        <v>1465</v>
      </c>
    </row>
    <row r="95" spans="3:8" ht="14" x14ac:dyDescent="0.3">
      <c r="C95" s="40">
        <v>45453</v>
      </c>
      <c r="D95" s="89" t="s">
        <v>110</v>
      </c>
      <c r="E95" s="80" t="s">
        <v>117</v>
      </c>
      <c r="F95" s="151" t="s">
        <v>68</v>
      </c>
      <c r="G95" s="96" t="s">
        <v>68</v>
      </c>
      <c r="H95" s="151">
        <v>35</v>
      </c>
    </row>
    <row r="96" spans="3:8" ht="14" x14ac:dyDescent="0.3">
      <c r="C96" s="40">
        <v>45456</v>
      </c>
      <c r="D96" s="89" t="s">
        <v>110</v>
      </c>
      <c r="E96" s="167" t="s">
        <v>101</v>
      </c>
      <c r="F96" s="151">
        <v>2153.6</v>
      </c>
      <c r="G96" s="96">
        <v>2.44</v>
      </c>
      <c r="H96" s="151">
        <f t="shared" ref="H96:H99" si="4">F96*G96</f>
        <v>5254.7839999999997</v>
      </c>
    </row>
    <row r="97" spans="3:8" ht="14" x14ac:dyDescent="0.3">
      <c r="C97" s="40">
        <v>45471</v>
      </c>
      <c r="D97" s="89" t="s">
        <v>110</v>
      </c>
      <c r="E97" s="80" t="s">
        <v>88</v>
      </c>
      <c r="F97" s="151">
        <v>23.01</v>
      </c>
      <c r="G97" s="96">
        <v>2.44</v>
      </c>
      <c r="H97" s="151">
        <f t="shared" si="4"/>
        <v>56.144400000000005</v>
      </c>
    </row>
    <row r="98" spans="3:8" ht="28" x14ac:dyDescent="0.3">
      <c r="C98" s="84">
        <v>45468</v>
      </c>
      <c r="D98" s="89" t="s">
        <v>127</v>
      </c>
      <c r="E98" s="56" t="s">
        <v>135</v>
      </c>
      <c r="F98" s="141">
        <v>750</v>
      </c>
      <c r="G98" s="96">
        <v>2.44</v>
      </c>
      <c r="H98" s="151">
        <f t="shared" si="4"/>
        <v>1830</v>
      </c>
    </row>
    <row r="99" spans="3:8" ht="14" x14ac:dyDescent="0.3">
      <c r="C99" s="84">
        <v>45468</v>
      </c>
      <c r="D99" s="89" t="s">
        <v>127</v>
      </c>
      <c r="E99" s="56" t="s">
        <v>136</v>
      </c>
      <c r="F99" s="141">
        <v>3687.51</v>
      </c>
      <c r="G99" s="96">
        <v>2.44</v>
      </c>
      <c r="H99" s="151">
        <f t="shared" si="4"/>
        <v>8997.5244000000002</v>
      </c>
    </row>
    <row r="100" spans="3:8" ht="14" x14ac:dyDescent="0.3">
      <c r="C100" s="40">
        <v>45469</v>
      </c>
      <c r="D100" s="89" t="s">
        <v>127</v>
      </c>
      <c r="E100" s="80" t="s">
        <v>117</v>
      </c>
      <c r="F100" s="151"/>
      <c r="G100" s="96" t="s">
        <v>68</v>
      </c>
      <c r="H100" s="151">
        <v>25</v>
      </c>
    </row>
    <row r="101" spans="3:8" ht="14" x14ac:dyDescent="0.3">
      <c r="C101" s="40">
        <v>45471</v>
      </c>
      <c r="D101" s="89" t="s">
        <v>127</v>
      </c>
      <c r="E101" s="80" t="s">
        <v>117</v>
      </c>
      <c r="F101" s="151"/>
      <c r="G101" s="96" t="s">
        <v>68</v>
      </c>
      <c r="H101" s="151">
        <v>50</v>
      </c>
    </row>
    <row r="102" spans="3:8" ht="14" x14ac:dyDescent="0.3">
      <c r="C102" s="40">
        <v>45471</v>
      </c>
      <c r="D102" s="89" t="s">
        <v>127</v>
      </c>
      <c r="E102" s="56" t="s">
        <v>137</v>
      </c>
      <c r="F102" s="151"/>
      <c r="G102" s="96" t="s">
        <v>68</v>
      </c>
      <c r="H102" s="151">
        <v>100</v>
      </c>
    </row>
    <row r="103" spans="3:8" ht="14" x14ac:dyDescent="0.3">
      <c r="C103" s="40">
        <v>45472</v>
      </c>
      <c r="D103" s="89" t="s">
        <v>127</v>
      </c>
      <c r="E103" s="56" t="s">
        <v>138</v>
      </c>
      <c r="F103" s="151"/>
      <c r="G103" s="96"/>
      <c r="H103" s="151">
        <v>60</v>
      </c>
    </row>
    <row r="104" spans="3:8" ht="28" x14ac:dyDescent="0.3">
      <c r="C104" s="40">
        <v>45472</v>
      </c>
      <c r="D104" s="89" t="s">
        <v>127</v>
      </c>
      <c r="E104" s="56" t="s">
        <v>139</v>
      </c>
      <c r="F104" s="151"/>
      <c r="G104" s="96"/>
      <c r="H104" s="151">
        <v>1350</v>
      </c>
    </row>
    <row r="105" spans="3:8" ht="14" x14ac:dyDescent="0.3">
      <c r="C105" s="40">
        <v>45474</v>
      </c>
      <c r="D105" s="89" t="s">
        <v>167</v>
      </c>
      <c r="E105" s="56" t="s">
        <v>157</v>
      </c>
      <c r="F105" s="151"/>
      <c r="G105" s="96"/>
      <c r="H105" s="151">
        <v>60</v>
      </c>
    </row>
    <row r="106" spans="3:8" ht="14" x14ac:dyDescent="0.3">
      <c r="C106" s="40">
        <v>45474</v>
      </c>
      <c r="D106" s="89" t="s">
        <v>167</v>
      </c>
      <c r="E106" s="56" t="s">
        <v>158</v>
      </c>
      <c r="F106" s="151"/>
      <c r="G106" s="96"/>
      <c r="H106" s="151">
        <v>1050</v>
      </c>
    </row>
    <row r="107" spans="3:8" ht="14" x14ac:dyDescent="0.3">
      <c r="C107" s="84">
        <v>45473</v>
      </c>
      <c r="D107" s="89" t="s">
        <v>167</v>
      </c>
      <c r="E107" s="56" t="s">
        <v>159</v>
      </c>
      <c r="F107" s="96">
        <v>165</v>
      </c>
      <c r="G107" s="96">
        <v>2.44</v>
      </c>
      <c r="H107" s="151">
        <f t="shared" ref="H107:H115" si="5">F107*G107</f>
        <v>402.59999999999997</v>
      </c>
    </row>
    <row r="108" spans="3:8" ht="14" x14ac:dyDescent="0.3">
      <c r="C108" s="40">
        <v>45471</v>
      </c>
      <c r="D108" s="89" t="s">
        <v>167</v>
      </c>
      <c r="E108" s="56" t="s">
        <v>166</v>
      </c>
      <c r="F108" s="151">
        <v>2723.08</v>
      </c>
      <c r="G108" s="96">
        <v>2.44</v>
      </c>
      <c r="H108" s="151">
        <f t="shared" si="5"/>
        <v>6644.3152</v>
      </c>
    </row>
    <row r="109" spans="3:8" ht="14" x14ac:dyDescent="0.3">
      <c r="C109" s="40">
        <v>45502</v>
      </c>
      <c r="D109" s="89" t="s">
        <v>177</v>
      </c>
      <c r="E109" s="56" t="s">
        <v>180</v>
      </c>
      <c r="F109" s="151">
        <v>80</v>
      </c>
      <c r="G109" s="96">
        <v>2.44</v>
      </c>
      <c r="H109" s="151">
        <f t="shared" si="5"/>
        <v>195.2</v>
      </c>
    </row>
    <row r="110" spans="3:8" ht="14" x14ac:dyDescent="0.3">
      <c r="C110" s="84">
        <v>45488</v>
      </c>
      <c r="D110" s="89" t="s">
        <v>177</v>
      </c>
      <c r="E110" s="56" t="s">
        <v>184</v>
      </c>
      <c r="F110" s="151">
        <v>2082</v>
      </c>
      <c r="G110" s="96">
        <v>2.44</v>
      </c>
      <c r="H110" s="151">
        <f t="shared" si="5"/>
        <v>5080.08</v>
      </c>
    </row>
    <row r="111" spans="3:8" ht="14" x14ac:dyDescent="0.3">
      <c r="C111" s="40">
        <v>45477</v>
      </c>
      <c r="D111" s="89" t="s">
        <v>185</v>
      </c>
      <c r="E111" s="56" t="s">
        <v>186</v>
      </c>
      <c r="F111" s="151">
        <v>89</v>
      </c>
      <c r="G111" s="96">
        <v>2.44</v>
      </c>
      <c r="H111" s="151">
        <f t="shared" si="5"/>
        <v>217.16</v>
      </c>
    </row>
    <row r="112" spans="3:8" ht="14" x14ac:dyDescent="0.3">
      <c r="C112" s="40">
        <v>45477</v>
      </c>
      <c r="D112" s="89" t="s">
        <v>185</v>
      </c>
      <c r="E112" s="56" t="s">
        <v>187</v>
      </c>
      <c r="F112" s="151">
        <v>773</v>
      </c>
      <c r="G112" s="96">
        <v>2.44</v>
      </c>
      <c r="H112" s="151">
        <f t="shared" si="5"/>
        <v>1886.12</v>
      </c>
    </row>
    <row r="113" spans="3:8" ht="14" x14ac:dyDescent="0.3">
      <c r="C113" s="40">
        <v>45477</v>
      </c>
      <c r="D113" s="89" t="s">
        <v>185</v>
      </c>
      <c r="E113" s="56" t="s">
        <v>188</v>
      </c>
      <c r="F113" s="151">
        <v>86</v>
      </c>
      <c r="G113" s="96">
        <v>2.44</v>
      </c>
      <c r="H113" s="151">
        <f t="shared" si="5"/>
        <v>209.84</v>
      </c>
    </row>
    <row r="114" spans="3:8" ht="14" x14ac:dyDescent="0.3">
      <c r="C114" s="40">
        <v>45477</v>
      </c>
      <c r="D114" s="89" t="s">
        <v>185</v>
      </c>
      <c r="E114" s="56" t="s">
        <v>189</v>
      </c>
      <c r="F114" s="96">
        <v>209</v>
      </c>
      <c r="G114" s="96">
        <v>2.44</v>
      </c>
      <c r="H114" s="151">
        <f t="shared" si="5"/>
        <v>509.96</v>
      </c>
    </row>
    <row r="115" spans="3:8" ht="14" x14ac:dyDescent="0.3">
      <c r="C115" s="40">
        <v>45477</v>
      </c>
      <c r="D115" s="89" t="s">
        <v>185</v>
      </c>
      <c r="E115" s="56" t="s">
        <v>190</v>
      </c>
      <c r="F115" s="96">
        <v>76</v>
      </c>
      <c r="G115" s="96">
        <v>2.44</v>
      </c>
      <c r="H115" s="151">
        <f t="shared" si="5"/>
        <v>185.44</v>
      </c>
    </row>
    <row r="116" spans="3:8" ht="14" x14ac:dyDescent="0.3">
      <c r="C116" s="40">
        <v>45477</v>
      </c>
      <c r="D116" s="89" t="s">
        <v>185</v>
      </c>
      <c r="E116" s="56" t="s">
        <v>191</v>
      </c>
      <c r="F116" s="96">
        <v>5100</v>
      </c>
      <c r="G116" s="96">
        <v>2.44</v>
      </c>
      <c r="H116" s="151">
        <f>F116*G116</f>
        <v>12444</v>
      </c>
    </row>
    <row r="117" spans="3:8" ht="14" x14ac:dyDescent="0.3">
      <c r="C117" s="40">
        <v>45477</v>
      </c>
      <c r="D117" s="89" t="s">
        <v>185</v>
      </c>
      <c r="E117" s="15" t="s">
        <v>270</v>
      </c>
      <c r="F117" s="289"/>
      <c r="G117" s="96"/>
      <c r="H117" s="151">
        <f>15000/76.5</f>
        <v>196.07843137254903</v>
      </c>
    </row>
    <row r="118" spans="3:8" ht="14" x14ac:dyDescent="0.3">
      <c r="C118" s="84">
        <v>45481</v>
      </c>
      <c r="D118" s="89" t="s">
        <v>185</v>
      </c>
      <c r="E118" s="56" t="s">
        <v>193</v>
      </c>
      <c r="F118" s="151"/>
      <c r="G118" s="96"/>
      <c r="H118" s="151">
        <v>1860</v>
      </c>
    </row>
    <row r="119" spans="3:8" ht="14" x14ac:dyDescent="0.3">
      <c r="C119" s="40">
        <v>45482</v>
      </c>
      <c r="D119" s="89" t="s">
        <v>185</v>
      </c>
      <c r="E119" s="56" t="s">
        <v>194</v>
      </c>
      <c r="F119" s="151"/>
      <c r="G119" s="96"/>
      <c r="H119" s="151">
        <v>50</v>
      </c>
    </row>
    <row r="120" spans="3:8" ht="14" x14ac:dyDescent="0.3">
      <c r="C120" s="40">
        <v>45482</v>
      </c>
      <c r="D120" s="89" t="s">
        <v>185</v>
      </c>
      <c r="E120" s="80" t="s">
        <v>195</v>
      </c>
      <c r="F120" s="151"/>
      <c r="G120" s="96"/>
      <c r="H120" s="151">
        <v>1333</v>
      </c>
    </row>
    <row r="121" spans="3:8" ht="14" x14ac:dyDescent="0.3">
      <c r="C121" s="40">
        <v>45483</v>
      </c>
      <c r="D121" s="89" t="s">
        <v>185</v>
      </c>
      <c r="E121" s="80" t="s">
        <v>196</v>
      </c>
      <c r="F121" s="151"/>
      <c r="G121" s="96"/>
      <c r="H121" s="151">
        <v>1000</v>
      </c>
    </row>
    <row r="122" spans="3:8" ht="14" x14ac:dyDescent="0.3">
      <c r="C122" s="40">
        <v>45484</v>
      </c>
      <c r="D122" s="89" t="s">
        <v>185</v>
      </c>
      <c r="E122" s="56" t="s">
        <v>197</v>
      </c>
      <c r="F122" s="151"/>
      <c r="G122" s="96"/>
      <c r="H122" s="151">
        <v>100</v>
      </c>
    </row>
    <row r="123" spans="3:8" ht="14" x14ac:dyDescent="0.3">
      <c r="C123" s="84">
        <v>45487</v>
      </c>
      <c r="D123" s="89" t="s">
        <v>185</v>
      </c>
      <c r="E123" s="56" t="s">
        <v>194</v>
      </c>
      <c r="F123" s="151"/>
      <c r="G123" s="96"/>
      <c r="H123" s="151">
        <v>20</v>
      </c>
    </row>
    <row r="124" spans="3:8" ht="14" x14ac:dyDescent="0.3">
      <c r="C124" s="84">
        <v>45487</v>
      </c>
      <c r="D124" s="89" t="s">
        <v>185</v>
      </c>
      <c r="E124" s="56" t="s">
        <v>198</v>
      </c>
      <c r="F124" s="151"/>
      <c r="G124" s="96"/>
      <c r="H124" s="151">
        <v>1150</v>
      </c>
    </row>
    <row r="125" spans="3:8" ht="14" x14ac:dyDescent="0.3">
      <c r="C125" s="84">
        <v>45487</v>
      </c>
      <c r="D125" s="89" t="s">
        <v>185</v>
      </c>
      <c r="E125" s="80" t="s">
        <v>199</v>
      </c>
      <c r="F125" s="151"/>
      <c r="G125" s="96" t="s">
        <v>68</v>
      </c>
      <c r="H125" s="151">
        <v>90</v>
      </c>
    </row>
    <row r="126" spans="3:8" ht="14" x14ac:dyDescent="0.3">
      <c r="C126" s="40">
        <v>45488</v>
      </c>
      <c r="D126" s="89" t="s">
        <v>205</v>
      </c>
      <c r="E126" s="56" t="s">
        <v>208</v>
      </c>
      <c r="F126" s="151">
        <v>590</v>
      </c>
      <c r="G126" s="96">
        <v>2.44</v>
      </c>
      <c r="H126" s="151">
        <f t="shared" ref="H126:H127" si="6">F126*G126</f>
        <v>1439.6</v>
      </c>
    </row>
    <row r="127" spans="3:8" ht="14" x14ac:dyDescent="0.3">
      <c r="C127" s="40">
        <v>45488</v>
      </c>
      <c r="D127" s="89" t="s">
        <v>205</v>
      </c>
      <c r="E127" s="56" t="s">
        <v>209</v>
      </c>
      <c r="F127" s="96">
        <v>90</v>
      </c>
      <c r="G127" s="96">
        <v>2.44</v>
      </c>
      <c r="H127" s="151">
        <f t="shared" si="6"/>
        <v>219.6</v>
      </c>
    </row>
    <row r="128" spans="3:8" ht="14" x14ac:dyDescent="0.3">
      <c r="C128" s="40">
        <v>45491</v>
      </c>
      <c r="D128" s="89" t="s">
        <v>205</v>
      </c>
      <c r="E128" s="56" t="s">
        <v>198</v>
      </c>
      <c r="F128" s="96"/>
      <c r="G128" s="96"/>
      <c r="H128" s="151">
        <v>950</v>
      </c>
    </row>
    <row r="129" spans="3:8" ht="14" x14ac:dyDescent="0.3">
      <c r="C129" s="84">
        <v>45491</v>
      </c>
      <c r="D129" s="89" t="s">
        <v>237</v>
      </c>
      <c r="E129" s="90" t="s">
        <v>243</v>
      </c>
      <c r="F129" s="54">
        <v>2555.88</v>
      </c>
      <c r="G129" s="175">
        <v>2.5249999999999999</v>
      </c>
      <c r="H129" s="151">
        <f t="shared" ref="H129" si="7">F129*G129</f>
        <v>6453.5969999999998</v>
      </c>
    </row>
    <row r="130" spans="3:8" ht="14" x14ac:dyDescent="0.3">
      <c r="C130" s="88">
        <v>45497</v>
      </c>
      <c r="D130" s="89" t="s">
        <v>237</v>
      </c>
      <c r="E130" s="90" t="s">
        <v>198</v>
      </c>
      <c r="F130" s="54"/>
      <c r="G130" s="175"/>
      <c r="H130" s="151">
        <v>1050</v>
      </c>
    </row>
    <row r="131" spans="3:8" ht="14" x14ac:dyDescent="0.3">
      <c r="C131" s="88">
        <v>45497</v>
      </c>
      <c r="D131" s="89" t="s">
        <v>237</v>
      </c>
      <c r="E131" s="90" t="s">
        <v>280</v>
      </c>
      <c r="F131" s="54"/>
      <c r="G131" s="175"/>
      <c r="H131" s="151">
        <v>20</v>
      </c>
    </row>
    <row r="132" spans="3:8" ht="14" x14ac:dyDescent="0.3">
      <c r="C132" s="84">
        <v>45491</v>
      </c>
      <c r="D132" s="89" t="s">
        <v>239</v>
      </c>
      <c r="E132" s="90" t="s">
        <v>241</v>
      </c>
      <c r="F132" s="54">
        <v>400</v>
      </c>
      <c r="G132" s="54">
        <v>2.52</v>
      </c>
      <c r="H132" s="151">
        <f t="shared" ref="H132:H133" si="8">F132*G132</f>
        <v>1008</v>
      </c>
    </row>
    <row r="133" spans="3:8" ht="14" x14ac:dyDescent="0.3">
      <c r="C133" s="25">
        <v>45502</v>
      </c>
      <c r="D133" s="89" t="s">
        <v>239</v>
      </c>
      <c r="E133" s="90" t="s">
        <v>593</v>
      </c>
      <c r="F133" s="54">
        <v>7650</v>
      </c>
      <c r="G133" s="175">
        <v>2.52</v>
      </c>
      <c r="H133" s="151">
        <f t="shared" si="8"/>
        <v>19278</v>
      </c>
    </row>
    <row r="134" spans="3:8" ht="14" x14ac:dyDescent="0.3">
      <c r="C134" s="25">
        <v>45504</v>
      </c>
      <c r="D134" s="89" t="s">
        <v>239</v>
      </c>
      <c r="E134" s="90" t="s">
        <v>374</v>
      </c>
      <c r="F134" s="54"/>
      <c r="G134" s="54"/>
      <c r="H134" s="151">
        <v>2360</v>
      </c>
    </row>
    <row r="135" spans="3:8" ht="14" x14ac:dyDescent="0.3">
      <c r="C135" s="25">
        <v>45511</v>
      </c>
      <c r="D135" s="89" t="s">
        <v>239</v>
      </c>
      <c r="E135" s="90" t="s">
        <v>446</v>
      </c>
      <c r="F135" s="54"/>
      <c r="G135" s="175"/>
      <c r="H135" s="151">
        <f>355+40</f>
        <v>395</v>
      </c>
    </row>
    <row r="136" spans="3:8" ht="14" x14ac:dyDescent="0.3">
      <c r="C136" s="25">
        <v>45495</v>
      </c>
      <c r="D136" s="89" t="s">
        <v>250</v>
      </c>
      <c r="E136" s="90" t="s">
        <v>241</v>
      </c>
      <c r="F136" s="54">
        <v>1130</v>
      </c>
      <c r="G136" s="175">
        <v>2.52</v>
      </c>
      <c r="H136" s="151">
        <f t="shared" ref="H136" si="9">F136*G136</f>
        <v>2847.6</v>
      </c>
    </row>
    <row r="137" spans="3:8" ht="15.5" x14ac:dyDescent="0.3">
      <c r="C137" s="25">
        <v>45499</v>
      </c>
      <c r="D137" s="89" t="s">
        <v>272</v>
      </c>
      <c r="E137" s="177" t="s">
        <v>315</v>
      </c>
      <c r="F137" s="54"/>
      <c r="G137" s="54"/>
      <c r="H137" s="151">
        <v>1050</v>
      </c>
    </row>
    <row r="138" spans="3:8" ht="14" x14ac:dyDescent="0.3">
      <c r="C138" s="25">
        <v>45502</v>
      </c>
      <c r="D138" s="89" t="s">
        <v>272</v>
      </c>
      <c r="E138" s="90" t="s">
        <v>334</v>
      </c>
      <c r="F138" s="54">
        <v>350</v>
      </c>
      <c r="G138" s="54">
        <v>2.52</v>
      </c>
      <c r="H138" s="151">
        <f t="shared" ref="H138:H140" si="10">F138*G138</f>
        <v>882</v>
      </c>
    </row>
    <row r="139" spans="3:8" ht="14" x14ac:dyDescent="0.3">
      <c r="C139" s="25">
        <v>45502</v>
      </c>
      <c r="D139" s="89" t="s">
        <v>272</v>
      </c>
      <c r="E139" s="90" t="s">
        <v>335</v>
      </c>
      <c r="F139" s="54">
        <v>2556</v>
      </c>
      <c r="G139" s="54">
        <v>2.52</v>
      </c>
      <c r="H139" s="151">
        <f t="shared" si="10"/>
        <v>6441.12</v>
      </c>
    </row>
    <row r="140" spans="3:8" ht="14" x14ac:dyDescent="0.3">
      <c r="C140" s="25">
        <v>45502</v>
      </c>
      <c r="D140" s="89" t="s">
        <v>272</v>
      </c>
      <c r="E140" s="90" t="s">
        <v>336</v>
      </c>
      <c r="F140" s="54">
        <v>612</v>
      </c>
      <c r="G140" s="54">
        <v>2.52</v>
      </c>
      <c r="H140" s="151">
        <f t="shared" si="10"/>
        <v>1542.24</v>
      </c>
    </row>
    <row r="141" spans="3:8" ht="14" x14ac:dyDescent="0.3">
      <c r="C141" s="25">
        <v>45502</v>
      </c>
      <c r="D141" s="89" t="s">
        <v>272</v>
      </c>
      <c r="E141" s="90" t="s">
        <v>355</v>
      </c>
      <c r="F141" s="54"/>
      <c r="G141" s="54"/>
      <c r="H141" s="151">
        <v>20</v>
      </c>
    </row>
    <row r="142" spans="3:8" ht="14" x14ac:dyDescent="0.3">
      <c r="C142" s="113"/>
      <c r="D142" s="89" t="s">
        <v>328</v>
      </c>
      <c r="E142" s="90" t="s">
        <v>452</v>
      </c>
      <c r="F142" s="54">
        <v>180</v>
      </c>
      <c r="G142" s="54">
        <v>2.52</v>
      </c>
      <c r="H142" s="151">
        <f t="shared" ref="H142:H147" si="11">F142*G142</f>
        <v>453.6</v>
      </c>
    </row>
    <row r="143" spans="3:8" ht="14" x14ac:dyDescent="0.3">
      <c r="C143" s="25">
        <v>45502</v>
      </c>
      <c r="D143" s="89" t="s">
        <v>330</v>
      </c>
      <c r="E143" s="90" t="s">
        <v>333</v>
      </c>
      <c r="F143" s="54">
        <v>70</v>
      </c>
      <c r="G143" s="54">
        <v>2.52</v>
      </c>
      <c r="H143" s="151">
        <f t="shared" si="11"/>
        <v>176.4</v>
      </c>
    </row>
    <row r="144" spans="3:8" ht="14" x14ac:dyDescent="0.3">
      <c r="C144" s="25">
        <v>45502</v>
      </c>
      <c r="D144" s="89"/>
      <c r="E144" s="16" t="s">
        <v>435</v>
      </c>
      <c r="F144" s="54"/>
      <c r="G144" s="54"/>
      <c r="H144" s="151">
        <v>200</v>
      </c>
    </row>
    <row r="145" spans="3:8" ht="14" x14ac:dyDescent="0.3">
      <c r="C145" s="157">
        <v>45510</v>
      </c>
      <c r="D145" s="89"/>
      <c r="E145" s="113" t="s">
        <v>434</v>
      </c>
      <c r="F145" s="54"/>
      <c r="G145" s="54"/>
      <c r="H145" s="151">
        <v>838.71</v>
      </c>
    </row>
    <row r="146" spans="3:8" ht="14" x14ac:dyDescent="0.3">
      <c r="C146" s="157">
        <v>45510</v>
      </c>
      <c r="D146" s="89"/>
      <c r="E146" s="16" t="s">
        <v>436</v>
      </c>
      <c r="F146" s="54"/>
      <c r="G146" s="54"/>
      <c r="H146" s="151">
        <v>8500</v>
      </c>
    </row>
    <row r="147" spans="3:8" ht="14" x14ac:dyDescent="0.3">
      <c r="C147" s="157">
        <v>45511</v>
      </c>
      <c r="D147" s="89"/>
      <c r="E147" s="90" t="s">
        <v>457</v>
      </c>
      <c r="F147" s="54">
        <v>3000</v>
      </c>
      <c r="G147" s="54">
        <v>2.42</v>
      </c>
      <c r="H147" s="151">
        <f t="shared" si="11"/>
        <v>7260</v>
      </c>
    </row>
    <row r="148" spans="3:8" ht="14" x14ac:dyDescent="0.3">
      <c r="C148" s="291">
        <v>45520</v>
      </c>
      <c r="D148" s="89"/>
      <c r="E148" s="13" t="s">
        <v>540</v>
      </c>
      <c r="F148" s="54"/>
      <c r="G148" s="54"/>
      <c r="H148" s="151">
        <f>630786/77</f>
        <v>8192.0259740259735</v>
      </c>
    </row>
    <row r="149" spans="3:8" ht="14" x14ac:dyDescent="0.3">
      <c r="C149" s="291"/>
      <c r="D149" s="89"/>
      <c r="E149" s="13"/>
      <c r="F149" s="54"/>
      <c r="G149" s="54"/>
      <c r="H149" s="151"/>
    </row>
    <row r="150" spans="3:8" ht="14" x14ac:dyDescent="0.3">
      <c r="C150" s="291"/>
      <c r="D150" s="89"/>
      <c r="E150" s="35" t="s">
        <v>44</v>
      </c>
      <c r="F150" s="303"/>
      <c r="G150" s="303"/>
      <c r="H150" s="304">
        <f>SUM(H72:H149)</f>
        <v>160768.73320539852</v>
      </c>
    </row>
    <row r="151" spans="3:8" ht="14" x14ac:dyDescent="0.3">
      <c r="C151" s="301"/>
      <c r="D151" s="286"/>
      <c r="E151" s="121"/>
      <c r="F151" s="287"/>
      <c r="G151" s="287"/>
      <c r="H151" s="302"/>
    </row>
    <row r="152" spans="3:8" ht="20" x14ac:dyDescent="0.4">
      <c r="C152" s="291"/>
      <c r="D152" s="89"/>
      <c r="E152" s="292" t="s">
        <v>547</v>
      </c>
      <c r="F152" s="54"/>
      <c r="G152" s="54"/>
      <c r="H152" s="151"/>
    </row>
    <row r="153" spans="3:8" x14ac:dyDescent="0.3">
      <c r="C153" s="427">
        <v>45518</v>
      </c>
      <c r="E153" s="8" t="s">
        <v>1274</v>
      </c>
      <c r="F153" s="54"/>
      <c r="G153" s="54"/>
      <c r="H153" s="412">
        <v>51.33</v>
      </c>
    </row>
    <row r="154" spans="3:8" x14ac:dyDescent="0.3">
      <c r="C154" s="427">
        <v>45518</v>
      </c>
      <c r="E154" s="8" t="s">
        <v>1275</v>
      </c>
      <c r="F154" s="54"/>
      <c r="G154" s="54"/>
      <c r="H154" s="412">
        <v>1.07</v>
      </c>
    </row>
    <row r="155" spans="3:8" x14ac:dyDescent="0.3">
      <c r="C155" s="427">
        <v>45518</v>
      </c>
      <c r="E155" s="8" t="s">
        <v>1276</v>
      </c>
      <c r="F155" s="54"/>
      <c r="G155" s="54"/>
      <c r="H155" s="412">
        <v>33.11</v>
      </c>
    </row>
    <row r="156" spans="3:8" x14ac:dyDescent="0.3">
      <c r="C156" s="427">
        <v>45520</v>
      </c>
      <c r="E156" s="8" t="s">
        <v>1277</v>
      </c>
      <c r="F156" s="54"/>
      <c r="G156" s="54"/>
      <c r="H156" s="412">
        <v>111.34</v>
      </c>
    </row>
    <row r="157" spans="3:8" x14ac:dyDescent="0.3">
      <c r="C157" s="427">
        <v>45520</v>
      </c>
      <c r="E157" s="8" t="s">
        <v>1278</v>
      </c>
      <c r="F157" s="54"/>
      <c r="G157" s="54"/>
      <c r="H157" s="412">
        <v>55.68</v>
      </c>
    </row>
    <row r="158" spans="3:8" x14ac:dyDescent="0.3">
      <c r="C158" s="427">
        <v>45520</v>
      </c>
      <c r="E158" s="8" t="s">
        <v>1279</v>
      </c>
      <c r="F158" s="54"/>
      <c r="G158" s="54"/>
      <c r="H158" s="412">
        <v>50.29</v>
      </c>
    </row>
    <row r="159" spans="3:8" x14ac:dyDescent="0.3">
      <c r="C159" s="427">
        <v>45520</v>
      </c>
      <c r="E159" s="8" t="s">
        <v>1280</v>
      </c>
      <c r="F159" s="54"/>
      <c r="G159" s="54"/>
      <c r="H159" s="412">
        <v>18.16</v>
      </c>
    </row>
    <row r="160" spans="3:8" x14ac:dyDescent="0.3">
      <c r="C160" s="427">
        <v>45521</v>
      </c>
      <c r="E160" s="8" t="s">
        <v>1281</v>
      </c>
      <c r="F160" s="54"/>
      <c r="G160" s="54"/>
      <c r="H160" s="412">
        <v>280.57</v>
      </c>
    </row>
    <row r="161" spans="2:8" x14ac:dyDescent="0.3">
      <c r="C161" s="427">
        <v>45525</v>
      </c>
      <c r="E161" s="8" t="s">
        <v>1280</v>
      </c>
      <c r="F161" s="54"/>
      <c r="G161" s="54"/>
      <c r="H161" s="412">
        <v>18.25</v>
      </c>
    </row>
    <row r="162" spans="2:8" x14ac:dyDescent="0.3">
      <c r="C162" s="427">
        <v>45527</v>
      </c>
      <c r="E162" s="8" t="s">
        <v>1282</v>
      </c>
      <c r="F162" s="54"/>
      <c r="G162" s="54"/>
      <c r="H162" s="412">
        <v>143.29</v>
      </c>
    </row>
    <row r="163" spans="2:8" ht="14" x14ac:dyDescent="0.3">
      <c r="B163" s="1" t="s">
        <v>569</v>
      </c>
      <c r="C163" s="25">
        <v>45538</v>
      </c>
      <c r="D163" s="89"/>
      <c r="E163" s="90" t="s">
        <v>542</v>
      </c>
      <c r="F163" s="54"/>
      <c r="G163" s="54"/>
      <c r="H163" s="151">
        <v>3000</v>
      </c>
    </row>
    <row r="164" spans="2:8" x14ac:dyDescent="0.3">
      <c r="B164" s="1"/>
      <c r="C164" s="427">
        <v>45538</v>
      </c>
      <c r="E164" s="8" t="s">
        <v>1283</v>
      </c>
      <c r="F164" s="54"/>
      <c r="G164" s="54"/>
      <c r="H164" s="412">
        <v>36.46</v>
      </c>
    </row>
    <row r="165" spans="2:8" x14ac:dyDescent="0.3">
      <c r="B165" s="1"/>
      <c r="C165" s="427">
        <v>45538</v>
      </c>
      <c r="E165" s="8" t="s">
        <v>1284</v>
      </c>
      <c r="F165" s="54"/>
      <c r="G165" s="54"/>
      <c r="H165" s="412">
        <v>5901.04</v>
      </c>
    </row>
    <row r="166" spans="2:8" x14ac:dyDescent="0.3">
      <c r="B166" s="1"/>
      <c r="C166" s="427">
        <v>45539</v>
      </c>
      <c r="E166" s="8" t="s">
        <v>1285</v>
      </c>
      <c r="F166" s="54"/>
      <c r="G166" s="54"/>
      <c r="H166" s="412">
        <v>47.24</v>
      </c>
    </row>
    <row r="167" spans="2:8" x14ac:dyDescent="0.3">
      <c r="B167" s="1"/>
      <c r="C167" s="427">
        <v>45539</v>
      </c>
      <c r="E167" s="8" t="s">
        <v>1286</v>
      </c>
      <c r="F167" s="54"/>
      <c r="G167" s="54"/>
      <c r="H167" s="412">
        <v>45.68</v>
      </c>
    </row>
    <row r="168" spans="2:8" ht="14" x14ac:dyDescent="0.3">
      <c r="B168" s="1" t="s">
        <v>570</v>
      </c>
      <c r="C168" s="25">
        <v>45539</v>
      </c>
      <c r="D168" s="89" t="s">
        <v>466</v>
      </c>
      <c r="E168" s="90" t="s">
        <v>543</v>
      </c>
      <c r="F168" s="54"/>
      <c r="G168" s="54"/>
      <c r="H168" s="151">
        <v>3760</v>
      </c>
    </row>
    <row r="169" spans="2:8" ht="14" x14ac:dyDescent="0.3">
      <c r="B169" s="1" t="s">
        <v>570</v>
      </c>
      <c r="C169" s="25">
        <v>45539</v>
      </c>
      <c r="D169" s="89" t="s">
        <v>466</v>
      </c>
      <c r="E169" s="90" t="s">
        <v>544</v>
      </c>
      <c r="F169" s="54"/>
      <c r="G169" s="54"/>
      <c r="H169" s="151">
        <v>250</v>
      </c>
    </row>
    <row r="170" spans="2:8" x14ac:dyDescent="0.3">
      <c r="B170" s="1"/>
      <c r="C170" s="427">
        <v>45540</v>
      </c>
      <c r="E170" s="8" t="s">
        <v>1287</v>
      </c>
      <c r="F170" s="54"/>
      <c r="G170" s="54"/>
      <c r="H170" s="412">
        <v>2130</v>
      </c>
    </row>
    <row r="171" spans="2:8" x14ac:dyDescent="0.3">
      <c r="B171" s="1"/>
      <c r="C171" s="427">
        <v>45540</v>
      </c>
      <c r="E171" s="8" t="s">
        <v>1288</v>
      </c>
      <c r="F171" s="54"/>
      <c r="G171" s="54"/>
      <c r="H171" s="412">
        <v>66</v>
      </c>
    </row>
    <row r="172" spans="2:8" x14ac:dyDescent="0.3">
      <c r="B172" s="1"/>
      <c r="C172" s="427">
        <v>45540</v>
      </c>
      <c r="E172" s="8" t="s">
        <v>1288</v>
      </c>
      <c r="F172" s="54"/>
      <c r="G172" s="54"/>
      <c r="H172" s="412">
        <v>95.21</v>
      </c>
    </row>
    <row r="173" spans="2:8" ht="14" x14ac:dyDescent="0.3">
      <c r="B173" s="1" t="s">
        <v>570</v>
      </c>
      <c r="C173" s="25">
        <v>45540</v>
      </c>
      <c r="D173" s="89" t="s">
        <v>466</v>
      </c>
      <c r="E173" s="90" t="s">
        <v>544</v>
      </c>
      <c r="F173" s="54"/>
      <c r="G173" s="54"/>
      <c r="H173" s="151">
        <v>100</v>
      </c>
    </row>
    <row r="174" spans="2:8" ht="14" x14ac:dyDescent="0.3">
      <c r="B174" s="1" t="s">
        <v>570</v>
      </c>
      <c r="C174" s="25">
        <v>45540</v>
      </c>
      <c r="D174" s="89" t="s">
        <v>466</v>
      </c>
      <c r="E174" s="90" t="s">
        <v>558</v>
      </c>
      <c r="F174" s="54">
        <v>12011</v>
      </c>
      <c r="G174" s="54">
        <v>2.52</v>
      </c>
      <c r="H174" s="151">
        <f t="shared" ref="H174" si="12">F174*G174</f>
        <v>30267.72</v>
      </c>
    </row>
    <row r="175" spans="2:8" ht="14" x14ac:dyDescent="0.3">
      <c r="B175" s="1" t="s">
        <v>571</v>
      </c>
      <c r="C175" s="25">
        <v>45540</v>
      </c>
      <c r="D175" s="89"/>
      <c r="E175" s="90" t="s">
        <v>561</v>
      </c>
      <c r="F175" s="54">
        <v>30.29</v>
      </c>
      <c r="G175" s="175">
        <v>3.6739999999999999</v>
      </c>
      <c r="H175" s="151">
        <f>F175*G175</f>
        <v>111.28546</v>
      </c>
    </row>
    <row r="176" spans="2:8" ht="14" x14ac:dyDescent="0.3">
      <c r="B176" s="1" t="s">
        <v>571</v>
      </c>
      <c r="C176" s="25">
        <v>45540</v>
      </c>
      <c r="D176" s="89"/>
      <c r="E176" s="90" t="s">
        <v>562</v>
      </c>
      <c r="F176" s="54">
        <v>4.32</v>
      </c>
      <c r="G176" s="175">
        <v>3.6739999999999999</v>
      </c>
      <c r="H176" s="151">
        <f t="shared" ref="H176:H185" si="13">F176*G176</f>
        <v>15.871680000000001</v>
      </c>
    </row>
    <row r="177" spans="2:8" ht="14" x14ac:dyDescent="0.3">
      <c r="B177" s="1" t="s">
        <v>571</v>
      </c>
      <c r="C177" s="25">
        <v>45540</v>
      </c>
      <c r="D177" s="89"/>
      <c r="E177" s="90" t="s">
        <v>563</v>
      </c>
      <c r="F177" s="54">
        <v>5.49</v>
      </c>
      <c r="G177" s="175">
        <v>3.6739999999999999</v>
      </c>
      <c r="H177" s="151">
        <f t="shared" si="13"/>
        <v>20.170259999999999</v>
      </c>
    </row>
    <row r="178" spans="2:8" ht="14" x14ac:dyDescent="0.3">
      <c r="B178" s="1" t="s">
        <v>571</v>
      </c>
      <c r="C178" s="25">
        <v>45540</v>
      </c>
      <c r="D178" s="89"/>
      <c r="E178" s="90" t="s">
        <v>564</v>
      </c>
      <c r="F178" s="54">
        <v>13.08</v>
      </c>
      <c r="G178" s="175">
        <v>3.6739999999999999</v>
      </c>
      <c r="H178" s="151">
        <f t="shared" si="13"/>
        <v>48.05592</v>
      </c>
    </row>
    <row r="179" spans="2:8" ht="14" x14ac:dyDescent="0.3">
      <c r="B179" s="1" t="s">
        <v>571</v>
      </c>
      <c r="C179" s="25">
        <v>45540</v>
      </c>
      <c r="D179" s="89"/>
      <c r="E179" s="90" t="s">
        <v>565</v>
      </c>
      <c r="F179" s="54">
        <v>39.22</v>
      </c>
      <c r="G179" s="175">
        <v>3.6739999999999999</v>
      </c>
      <c r="H179" s="151">
        <f t="shared" si="13"/>
        <v>144.09428</v>
      </c>
    </row>
    <row r="180" spans="2:8" ht="14" x14ac:dyDescent="0.3">
      <c r="B180" s="1" t="s">
        <v>571</v>
      </c>
      <c r="C180" s="25">
        <v>45540</v>
      </c>
      <c r="D180" s="89"/>
      <c r="E180" s="90" t="s">
        <v>566</v>
      </c>
      <c r="F180" s="54">
        <v>108.61</v>
      </c>
      <c r="G180" s="175">
        <v>3.6739999999999999</v>
      </c>
      <c r="H180" s="151">
        <f t="shared" si="13"/>
        <v>399.03314</v>
      </c>
    </row>
    <row r="181" spans="2:8" ht="14" x14ac:dyDescent="0.3">
      <c r="B181" s="1" t="s">
        <v>571</v>
      </c>
      <c r="C181" s="25">
        <v>45540</v>
      </c>
      <c r="D181" s="89"/>
      <c r="E181" s="90" t="s">
        <v>567</v>
      </c>
      <c r="F181" s="54">
        <v>20</v>
      </c>
      <c r="G181" s="175">
        <v>3.6739999999999999</v>
      </c>
      <c r="H181" s="151">
        <f t="shared" si="13"/>
        <v>73.48</v>
      </c>
    </row>
    <row r="182" spans="2:8" ht="14" x14ac:dyDescent="0.3">
      <c r="B182" s="1" t="s">
        <v>571</v>
      </c>
      <c r="C182" s="25">
        <v>45540</v>
      </c>
      <c r="D182" s="89"/>
      <c r="E182" s="90" t="s">
        <v>568</v>
      </c>
      <c r="F182" s="54">
        <v>21.73</v>
      </c>
      <c r="G182" s="175">
        <v>3.6739999999999999</v>
      </c>
      <c r="H182" s="151">
        <f t="shared" si="13"/>
        <v>79.836020000000005</v>
      </c>
    </row>
    <row r="183" spans="2:8" ht="14" x14ac:dyDescent="0.3">
      <c r="B183" s="1" t="s">
        <v>571</v>
      </c>
      <c r="C183" s="25">
        <v>45544</v>
      </c>
      <c r="D183" s="89" t="s">
        <v>607</v>
      </c>
      <c r="E183" s="90" t="s">
        <v>661</v>
      </c>
      <c r="F183" s="54">
        <v>87</v>
      </c>
      <c r="G183" s="54">
        <v>2.5299999999999998</v>
      </c>
      <c r="H183" s="54">
        <f t="shared" si="13"/>
        <v>220.10999999999999</v>
      </c>
    </row>
    <row r="184" spans="2:8" ht="14" x14ac:dyDescent="0.3">
      <c r="C184" s="25">
        <v>45547</v>
      </c>
      <c r="D184" s="89"/>
      <c r="E184" s="90" t="s">
        <v>670</v>
      </c>
      <c r="F184" s="54">
        <v>871</v>
      </c>
      <c r="G184" s="54">
        <v>2.5299999999999998</v>
      </c>
      <c r="H184" s="54">
        <f t="shared" si="13"/>
        <v>2203.6299999999997</v>
      </c>
    </row>
    <row r="185" spans="2:8" ht="14" x14ac:dyDescent="0.3">
      <c r="B185" s="1" t="s">
        <v>713</v>
      </c>
      <c r="C185" s="25">
        <v>45547</v>
      </c>
      <c r="D185" s="89" t="s">
        <v>416</v>
      </c>
      <c r="E185" s="90" t="s">
        <v>675</v>
      </c>
      <c r="F185" s="54">
        <v>854.18</v>
      </c>
      <c r="G185" s="54">
        <v>2.5299999999999998</v>
      </c>
      <c r="H185" s="54">
        <f t="shared" si="13"/>
        <v>2161.0753999999997</v>
      </c>
    </row>
    <row r="186" spans="2:8" x14ac:dyDescent="0.3">
      <c r="B186" s="1"/>
      <c r="C186" s="427">
        <v>45513</v>
      </c>
      <c r="E186" s="8" t="s">
        <v>1289</v>
      </c>
      <c r="F186" s="54"/>
      <c r="G186" s="54"/>
      <c r="H186" s="412">
        <v>2279.1</v>
      </c>
    </row>
    <row r="187" spans="2:8" x14ac:dyDescent="0.3">
      <c r="B187" s="1"/>
      <c r="C187" s="427">
        <v>45517</v>
      </c>
      <c r="E187" s="8" t="s">
        <v>1290</v>
      </c>
      <c r="F187" s="54"/>
      <c r="G187" s="54"/>
      <c r="H187" s="412">
        <v>32.69</v>
      </c>
    </row>
    <row r="188" spans="2:8" x14ac:dyDescent="0.3">
      <c r="B188" s="1"/>
      <c r="C188" s="427">
        <v>45517</v>
      </c>
      <c r="E188" s="8" t="s">
        <v>1291</v>
      </c>
      <c r="F188" s="54"/>
      <c r="G188" s="54"/>
      <c r="H188" s="412">
        <v>26.25</v>
      </c>
    </row>
    <row r="189" spans="2:8" ht="14" x14ac:dyDescent="0.3">
      <c r="B189" s="1" t="s">
        <v>570</v>
      </c>
      <c r="C189" s="25">
        <v>45548</v>
      </c>
      <c r="D189" s="89" t="s">
        <v>607</v>
      </c>
      <c r="E189" s="90" t="s">
        <v>705</v>
      </c>
      <c r="F189" s="54"/>
      <c r="G189" s="54"/>
      <c r="H189" s="54">
        <v>1060</v>
      </c>
    </row>
    <row r="190" spans="2:8" ht="14" x14ac:dyDescent="0.3">
      <c r="B190" s="1" t="s">
        <v>570</v>
      </c>
      <c r="C190" s="25">
        <v>45549</v>
      </c>
      <c r="D190" s="89" t="s">
        <v>710</v>
      </c>
      <c r="E190" s="90" t="s">
        <v>705</v>
      </c>
      <c r="F190" s="54"/>
      <c r="G190" s="54"/>
      <c r="H190" s="54">
        <v>1185</v>
      </c>
    </row>
    <row r="191" spans="2:8" ht="14" x14ac:dyDescent="0.3">
      <c r="B191" s="1" t="s">
        <v>570</v>
      </c>
      <c r="C191" s="25">
        <v>45549</v>
      </c>
      <c r="D191" s="89" t="s">
        <v>710</v>
      </c>
      <c r="E191" s="90" t="s">
        <v>544</v>
      </c>
      <c r="F191" s="54"/>
      <c r="G191" s="54"/>
      <c r="H191" s="54">
        <v>60</v>
      </c>
    </row>
    <row r="192" spans="2:8" ht="14" x14ac:dyDescent="0.3">
      <c r="B192" s="1" t="s">
        <v>571</v>
      </c>
      <c r="C192" s="25">
        <v>45550</v>
      </c>
      <c r="D192" s="89"/>
      <c r="E192" s="90" t="s">
        <v>862</v>
      </c>
      <c r="F192" s="54">
        <v>50</v>
      </c>
      <c r="G192" s="54">
        <v>2.5299999999999998</v>
      </c>
      <c r="H192" s="54">
        <f t="shared" ref="H192" si="14">F192*G192</f>
        <v>126.49999999999999</v>
      </c>
    </row>
    <row r="193" spans="2:8" ht="14" x14ac:dyDescent="0.3">
      <c r="B193" s="1" t="s">
        <v>570</v>
      </c>
      <c r="C193" s="25">
        <v>45551</v>
      </c>
      <c r="D193" s="89" t="s">
        <v>416</v>
      </c>
      <c r="E193" s="90" t="s">
        <v>544</v>
      </c>
      <c r="F193" s="54"/>
      <c r="G193" s="54"/>
      <c r="H193" s="54">
        <v>20</v>
      </c>
    </row>
    <row r="194" spans="2:8" ht="14" x14ac:dyDescent="0.3">
      <c r="B194" s="1" t="s">
        <v>570</v>
      </c>
      <c r="C194" s="25">
        <v>45551</v>
      </c>
      <c r="D194" s="89" t="s">
        <v>416</v>
      </c>
      <c r="E194" s="90" t="s">
        <v>544</v>
      </c>
      <c r="F194" s="54"/>
      <c r="G194" s="54"/>
      <c r="H194" s="54">
        <v>40</v>
      </c>
    </row>
    <row r="195" spans="2:8" ht="14" x14ac:dyDescent="0.3">
      <c r="B195" s="1" t="s">
        <v>745</v>
      </c>
      <c r="C195" s="25">
        <v>45553</v>
      </c>
      <c r="D195" s="89"/>
      <c r="E195" s="90" t="s">
        <v>744</v>
      </c>
      <c r="F195" s="54"/>
      <c r="G195" s="54"/>
      <c r="H195" s="54">
        <v>325</v>
      </c>
    </row>
    <row r="196" spans="2:8" ht="14" x14ac:dyDescent="0.3">
      <c r="B196" s="1" t="s">
        <v>569</v>
      </c>
      <c r="C196" s="25">
        <v>45558</v>
      </c>
      <c r="D196" s="89"/>
      <c r="E196" s="90" t="s">
        <v>894</v>
      </c>
      <c r="F196" s="54"/>
      <c r="G196" s="54"/>
      <c r="H196" s="54">
        <f>95500/78</f>
        <v>1224.3589743589744</v>
      </c>
    </row>
    <row r="197" spans="2:8" ht="14" x14ac:dyDescent="0.3">
      <c r="B197" s="1" t="s">
        <v>570</v>
      </c>
      <c r="C197" s="25">
        <v>45558</v>
      </c>
      <c r="D197" s="89"/>
      <c r="E197" s="90" t="s">
        <v>999</v>
      </c>
      <c r="F197" s="54">
        <v>700</v>
      </c>
      <c r="G197" s="54">
        <v>2.5299999999999998</v>
      </c>
      <c r="H197" s="54">
        <f t="shared" ref="H197" si="15">F197*G197</f>
        <v>1770.9999999999998</v>
      </c>
    </row>
    <row r="198" spans="2:8" ht="14" x14ac:dyDescent="0.3">
      <c r="B198" s="1" t="s">
        <v>895</v>
      </c>
      <c r="C198" s="25">
        <v>45558</v>
      </c>
      <c r="D198" s="89"/>
      <c r="E198" s="90" t="s">
        <v>1000</v>
      </c>
      <c r="F198" s="54"/>
      <c r="G198" s="54"/>
      <c r="H198" s="54">
        <v>1155</v>
      </c>
    </row>
    <row r="199" spans="2:8" ht="14" x14ac:dyDescent="0.3">
      <c r="B199" s="1" t="s">
        <v>895</v>
      </c>
      <c r="C199" s="25">
        <v>45560</v>
      </c>
      <c r="D199" s="89"/>
      <c r="E199" s="90" t="s">
        <v>896</v>
      </c>
      <c r="F199" s="54"/>
      <c r="G199" s="54"/>
      <c r="H199" s="54">
        <v>2085</v>
      </c>
    </row>
    <row r="200" spans="2:8" ht="14" x14ac:dyDescent="0.3">
      <c r="B200" s="1" t="s">
        <v>571</v>
      </c>
      <c r="C200" s="25">
        <v>45561</v>
      </c>
      <c r="D200" s="89"/>
      <c r="E200" s="90" t="s">
        <v>1007</v>
      </c>
      <c r="F200" s="54">
        <v>500</v>
      </c>
      <c r="G200" s="54">
        <v>2.5299999999999998</v>
      </c>
      <c r="H200" s="54">
        <f t="shared" ref="H200:H201" si="16">F200*G200</f>
        <v>1265</v>
      </c>
    </row>
    <row r="201" spans="2:8" ht="14" x14ac:dyDescent="0.3">
      <c r="B201" s="1" t="s">
        <v>745</v>
      </c>
      <c r="C201" s="25">
        <v>45563</v>
      </c>
      <c r="D201" s="89"/>
      <c r="E201" s="90" t="s">
        <v>1171</v>
      </c>
      <c r="F201" s="54">
        <v>250</v>
      </c>
      <c r="G201" s="54">
        <v>2.5299999999999998</v>
      </c>
      <c r="H201" s="54">
        <f t="shared" si="16"/>
        <v>632.5</v>
      </c>
    </row>
    <row r="202" spans="2:8" ht="14" x14ac:dyDescent="0.3">
      <c r="B202" s="1"/>
      <c r="C202" s="25">
        <v>45567</v>
      </c>
      <c r="D202" s="89"/>
      <c r="E202" s="90" t="s">
        <v>1196</v>
      </c>
      <c r="F202" s="54">
        <v>194</v>
      </c>
      <c r="G202" s="54">
        <v>2.5299999999999998</v>
      </c>
      <c r="H202" s="54">
        <f t="shared" ref="H202:H205" si="17">F202*G202</f>
        <v>490.81999999999994</v>
      </c>
    </row>
    <row r="203" spans="2:8" ht="14" x14ac:dyDescent="0.3">
      <c r="B203" s="1"/>
      <c r="C203" s="25">
        <v>45567</v>
      </c>
      <c r="D203" s="89"/>
      <c r="E203" s="90" t="s">
        <v>1197</v>
      </c>
      <c r="F203" s="54">
        <v>62</v>
      </c>
      <c r="G203" s="54">
        <v>2.5299999999999998</v>
      </c>
      <c r="H203" s="54">
        <f t="shared" si="17"/>
        <v>156.85999999999999</v>
      </c>
    </row>
    <row r="204" spans="2:8" ht="14" x14ac:dyDescent="0.3">
      <c r="B204" s="1"/>
      <c r="C204" s="25">
        <v>45572</v>
      </c>
      <c r="D204" s="89"/>
      <c r="E204" s="90" t="s">
        <v>1208</v>
      </c>
      <c r="F204" s="54">
        <v>130</v>
      </c>
      <c r="G204" s="54">
        <v>2.5499999999999998</v>
      </c>
      <c r="H204" s="54">
        <f t="shared" si="17"/>
        <v>331.5</v>
      </c>
    </row>
    <row r="205" spans="2:8" ht="14" x14ac:dyDescent="0.3">
      <c r="B205" s="1"/>
      <c r="C205" s="25">
        <v>45572</v>
      </c>
      <c r="D205" s="89"/>
      <c r="E205" s="90" t="s">
        <v>1209</v>
      </c>
      <c r="F205" s="54">
        <v>50</v>
      </c>
      <c r="G205" s="54">
        <v>2.5499999999999998</v>
      </c>
      <c r="H205" s="54">
        <f t="shared" si="17"/>
        <v>127.49999999999999</v>
      </c>
    </row>
    <row r="206" spans="2:8" ht="14" x14ac:dyDescent="0.3">
      <c r="B206" s="1"/>
      <c r="C206" s="25">
        <v>45577</v>
      </c>
      <c r="D206" s="89"/>
      <c r="E206" s="90" t="s">
        <v>1197</v>
      </c>
      <c r="F206" s="54">
        <v>60</v>
      </c>
      <c r="G206" s="54">
        <v>2.5499999999999998</v>
      </c>
      <c r="H206" s="54">
        <f t="shared" ref="H206" si="18">F206*G206</f>
        <v>153</v>
      </c>
    </row>
    <row r="207" spans="2:8" ht="14" x14ac:dyDescent="0.3">
      <c r="B207" s="1"/>
      <c r="C207" s="25">
        <v>45580</v>
      </c>
      <c r="D207" s="89"/>
      <c r="E207" s="90" t="s">
        <v>1305</v>
      </c>
      <c r="F207" s="54"/>
      <c r="G207" s="54"/>
      <c r="H207" s="54">
        <v>500</v>
      </c>
    </row>
    <row r="208" spans="2:8" ht="14" x14ac:dyDescent="0.3">
      <c r="B208" s="1"/>
      <c r="C208" s="25"/>
      <c r="D208" s="113"/>
      <c r="E208" s="262"/>
      <c r="F208" s="113"/>
      <c r="G208" s="113"/>
      <c r="H208" s="113"/>
    </row>
    <row r="209" spans="3:8" x14ac:dyDescent="0.3">
      <c r="C209" s="113"/>
      <c r="D209" s="113"/>
      <c r="E209" s="113"/>
      <c r="F209" s="113"/>
      <c r="G209" s="113"/>
      <c r="H209" s="290">
        <f>SUM(H153:H208)</f>
        <v>66986.161134358976</v>
      </c>
    </row>
    <row r="215" spans="3:8" ht="15" x14ac:dyDescent="0.3">
      <c r="D215" s="24" t="s">
        <v>0</v>
      </c>
      <c r="E215" s="24" t="s">
        <v>5</v>
      </c>
      <c r="F215" s="24" t="s">
        <v>525</v>
      </c>
      <c r="G215" s="24" t="s">
        <v>7</v>
      </c>
      <c r="H215" s="24" t="s">
        <v>526</v>
      </c>
    </row>
    <row r="216" spans="3:8" ht="14" x14ac:dyDescent="0.3">
      <c r="D216" s="88">
        <v>45397</v>
      </c>
      <c r="E216" s="56" t="s">
        <v>62</v>
      </c>
      <c r="F216" s="54">
        <v>1516.06</v>
      </c>
      <c r="G216" s="54">
        <v>2.42</v>
      </c>
      <c r="H216" s="54">
        <f t="shared" ref="H216" si="19">F216*G216</f>
        <v>3668.8651999999997</v>
      </c>
    </row>
    <row r="217" spans="3:8" ht="14" x14ac:dyDescent="0.3">
      <c r="D217" s="88">
        <v>45397</v>
      </c>
      <c r="E217" s="56" t="s">
        <v>8</v>
      </c>
      <c r="F217" s="54"/>
      <c r="G217" s="54"/>
      <c r="H217" s="54">
        <v>660</v>
      </c>
    </row>
    <row r="218" spans="3:8" ht="14" x14ac:dyDescent="0.3">
      <c r="D218" s="89"/>
      <c r="E218" s="56" t="s">
        <v>9</v>
      </c>
      <c r="F218" s="54"/>
      <c r="G218" s="54"/>
      <c r="H218" s="54">
        <v>650</v>
      </c>
    </row>
    <row r="219" spans="3:8" ht="14" x14ac:dyDescent="0.3">
      <c r="D219" s="88">
        <v>45419</v>
      </c>
      <c r="E219" s="56" t="s">
        <v>14</v>
      </c>
      <c r="F219" s="54"/>
      <c r="G219" s="54"/>
      <c r="H219" s="54">
        <v>4230</v>
      </c>
    </row>
    <row r="220" spans="3:8" ht="14" x14ac:dyDescent="0.3">
      <c r="D220" s="40">
        <v>45420</v>
      </c>
      <c r="E220" s="56" t="s">
        <v>15</v>
      </c>
      <c r="F220" s="54"/>
      <c r="G220" s="54"/>
      <c r="H220" s="54">
        <v>10</v>
      </c>
    </row>
    <row r="221" spans="3:8" ht="14" x14ac:dyDescent="0.3">
      <c r="D221" s="40">
        <v>45423</v>
      </c>
      <c r="E221" s="80" t="s">
        <v>16</v>
      </c>
      <c r="F221" s="54">
        <v>58</v>
      </c>
      <c r="G221" s="54">
        <v>2.42</v>
      </c>
      <c r="H221" s="54">
        <f t="shared" ref="H221:H224" si="20">F221*G221</f>
        <v>140.35999999999999</v>
      </c>
    </row>
    <row r="222" spans="3:8" ht="14" x14ac:dyDescent="0.3">
      <c r="D222" s="40">
        <v>45423</v>
      </c>
      <c r="E222" s="80" t="s">
        <v>17</v>
      </c>
      <c r="F222" s="54">
        <v>28</v>
      </c>
      <c r="G222" s="54">
        <v>2.42</v>
      </c>
      <c r="H222" s="54">
        <f t="shared" si="20"/>
        <v>67.759999999999991</v>
      </c>
    </row>
    <row r="223" spans="3:8" ht="14" x14ac:dyDescent="0.3">
      <c r="D223" s="40">
        <v>45423</v>
      </c>
      <c r="E223" s="80" t="s">
        <v>18</v>
      </c>
      <c r="F223" s="54">
        <v>101</v>
      </c>
      <c r="G223" s="54">
        <v>2.42</v>
      </c>
      <c r="H223" s="54">
        <f t="shared" si="20"/>
        <v>244.42</v>
      </c>
    </row>
    <row r="224" spans="3:8" ht="14" x14ac:dyDescent="0.3">
      <c r="D224" s="40">
        <v>45423</v>
      </c>
      <c r="E224" s="80" t="s">
        <v>20</v>
      </c>
      <c r="F224" s="54">
        <v>4327.63</v>
      </c>
      <c r="G224" s="54">
        <v>2.42</v>
      </c>
      <c r="H224" s="54">
        <f t="shared" si="20"/>
        <v>10472.864600000001</v>
      </c>
    </row>
    <row r="225" spans="4:8" ht="14" x14ac:dyDescent="0.3">
      <c r="D225" s="84">
        <v>45440</v>
      </c>
      <c r="E225" s="56" t="s">
        <v>81</v>
      </c>
      <c r="F225" s="54"/>
      <c r="G225" s="54"/>
      <c r="H225" s="54">
        <v>1230</v>
      </c>
    </row>
    <row r="226" spans="4:8" ht="14" x14ac:dyDescent="0.3">
      <c r="D226" s="40">
        <v>45440</v>
      </c>
      <c r="E226" s="56" t="s">
        <v>84</v>
      </c>
      <c r="F226" s="94">
        <v>126</v>
      </c>
      <c r="G226" s="94">
        <v>2.44</v>
      </c>
      <c r="H226" s="54">
        <f t="shared" ref="H226" si="21">F226*G226</f>
        <v>307.44</v>
      </c>
    </row>
    <row r="227" spans="4:8" ht="14" x14ac:dyDescent="0.3">
      <c r="D227" s="40">
        <v>45440</v>
      </c>
      <c r="E227" s="56" t="s">
        <v>85</v>
      </c>
      <c r="F227" s="96"/>
      <c r="G227" s="96"/>
      <c r="H227" s="54">
        <v>30</v>
      </c>
    </row>
    <row r="228" spans="4:8" ht="14" x14ac:dyDescent="0.3">
      <c r="D228" s="40">
        <v>45443</v>
      </c>
      <c r="E228" s="56" t="s">
        <v>86</v>
      </c>
      <c r="F228" s="141">
        <v>1638.29</v>
      </c>
      <c r="G228" s="96">
        <v>2.44</v>
      </c>
      <c r="H228" s="54">
        <f t="shared" ref="H228" si="22">F228*G228</f>
        <v>3997.4276</v>
      </c>
    </row>
    <row r="229" spans="4:8" ht="14" x14ac:dyDescent="0.3">
      <c r="D229" s="40">
        <v>45447</v>
      </c>
      <c r="E229" s="56" t="s">
        <v>87</v>
      </c>
      <c r="F229" s="141"/>
      <c r="G229" s="96"/>
      <c r="H229" s="54">
        <v>194.81</v>
      </c>
    </row>
    <row r="230" spans="4:8" ht="14" x14ac:dyDescent="0.3">
      <c r="D230" s="40">
        <v>45471</v>
      </c>
      <c r="E230" s="80" t="s">
        <v>88</v>
      </c>
      <c r="F230" s="151">
        <v>23.01</v>
      </c>
      <c r="G230" s="96">
        <v>2.44</v>
      </c>
      <c r="H230" s="54">
        <f t="shared" ref="H230" si="23">F230*G230</f>
        <v>56.144400000000005</v>
      </c>
    </row>
    <row r="231" spans="4:8" ht="14" x14ac:dyDescent="0.3">
      <c r="D231" s="84">
        <v>45448</v>
      </c>
      <c r="E231" s="56" t="s">
        <v>97</v>
      </c>
      <c r="F231" s="141" t="s">
        <v>68</v>
      </c>
      <c r="G231" s="96" t="s">
        <v>68</v>
      </c>
      <c r="H231" s="151">
        <v>1660</v>
      </c>
    </row>
    <row r="232" spans="4:8" ht="14" x14ac:dyDescent="0.3">
      <c r="D232" s="84">
        <v>45448</v>
      </c>
      <c r="E232" s="56" t="s">
        <v>99</v>
      </c>
      <c r="F232" s="96" t="s">
        <v>68</v>
      </c>
      <c r="G232" s="96" t="s">
        <v>68</v>
      </c>
      <c r="H232" s="151">
        <v>40</v>
      </c>
    </row>
    <row r="233" spans="4:8" ht="14" x14ac:dyDescent="0.3">
      <c r="D233" s="84">
        <v>45448</v>
      </c>
      <c r="E233" s="56" t="s">
        <v>100</v>
      </c>
      <c r="F233" s="141">
        <v>360</v>
      </c>
      <c r="G233" s="96">
        <v>2.44</v>
      </c>
      <c r="H233" s="151">
        <f t="shared" ref="H233:H237" si="24">F233*G233</f>
        <v>878.4</v>
      </c>
    </row>
    <row r="234" spans="4:8" ht="14" x14ac:dyDescent="0.3">
      <c r="D234" s="40">
        <v>45456</v>
      </c>
      <c r="E234" s="167" t="s">
        <v>101</v>
      </c>
      <c r="F234" s="141">
        <v>2651.54</v>
      </c>
      <c r="G234" s="96">
        <v>2.44</v>
      </c>
      <c r="H234" s="151">
        <f t="shared" si="24"/>
        <v>6469.7575999999999</v>
      </c>
    </row>
    <row r="235" spans="4:8" ht="14" x14ac:dyDescent="0.3">
      <c r="D235" s="40">
        <v>45471</v>
      </c>
      <c r="E235" s="80" t="s">
        <v>88</v>
      </c>
      <c r="F235" s="151">
        <v>23.01</v>
      </c>
      <c r="G235" s="96">
        <v>2.44</v>
      </c>
      <c r="H235" s="151">
        <f t="shared" si="24"/>
        <v>56.144400000000005</v>
      </c>
    </row>
    <row r="236" spans="4:8" ht="14" x14ac:dyDescent="0.3">
      <c r="D236" s="84">
        <v>45449</v>
      </c>
      <c r="E236" s="56" t="s">
        <v>114</v>
      </c>
      <c r="F236" s="141">
        <v>40</v>
      </c>
      <c r="G236" s="96">
        <v>2.44</v>
      </c>
      <c r="H236" s="151">
        <f t="shared" si="24"/>
        <v>97.6</v>
      </c>
    </row>
    <row r="237" spans="4:8" ht="14" x14ac:dyDescent="0.3">
      <c r="D237" s="40">
        <v>45453</v>
      </c>
      <c r="E237" s="56" t="s">
        <v>115</v>
      </c>
      <c r="F237" s="141">
        <v>50</v>
      </c>
      <c r="G237" s="96">
        <v>2.44</v>
      </c>
      <c r="H237" s="151">
        <f t="shared" si="24"/>
        <v>122</v>
      </c>
    </row>
    <row r="238" spans="4:8" ht="14" x14ac:dyDescent="0.3">
      <c r="D238" s="40">
        <v>45453</v>
      </c>
      <c r="E238" s="80" t="s">
        <v>116</v>
      </c>
      <c r="F238" s="151" t="s">
        <v>68</v>
      </c>
      <c r="G238" s="96" t="s">
        <v>68</v>
      </c>
      <c r="H238" s="151">
        <v>1465</v>
      </c>
    </row>
    <row r="239" spans="4:8" ht="14" x14ac:dyDescent="0.3">
      <c r="D239" s="40">
        <v>45453</v>
      </c>
      <c r="E239" s="80" t="s">
        <v>117</v>
      </c>
      <c r="F239" s="151" t="s">
        <v>68</v>
      </c>
      <c r="G239" s="96" t="s">
        <v>68</v>
      </c>
      <c r="H239" s="151">
        <v>35</v>
      </c>
    </row>
    <row r="240" spans="4:8" ht="14" x14ac:dyDescent="0.3">
      <c r="D240" s="40">
        <v>45456</v>
      </c>
      <c r="E240" s="167" t="s">
        <v>101</v>
      </c>
      <c r="F240" s="151">
        <v>2153.6</v>
      </c>
      <c r="G240" s="96">
        <v>2.44</v>
      </c>
      <c r="H240" s="151">
        <f t="shared" ref="H240:H243" si="25">F240*G240</f>
        <v>5254.7839999999997</v>
      </c>
    </row>
    <row r="241" spans="4:8" ht="14" x14ac:dyDescent="0.3">
      <c r="D241" s="40">
        <v>45471</v>
      </c>
      <c r="E241" s="80" t="s">
        <v>88</v>
      </c>
      <c r="F241" s="151">
        <v>23.01</v>
      </c>
      <c r="G241" s="96">
        <v>2.44</v>
      </c>
      <c r="H241" s="151">
        <f t="shared" si="25"/>
        <v>56.144400000000005</v>
      </c>
    </row>
    <row r="242" spans="4:8" ht="28" x14ac:dyDescent="0.3">
      <c r="D242" s="84">
        <v>45468</v>
      </c>
      <c r="E242" s="56" t="s">
        <v>135</v>
      </c>
      <c r="F242" s="141">
        <v>750</v>
      </c>
      <c r="G242" s="96">
        <v>2.44</v>
      </c>
      <c r="H242" s="151">
        <f t="shared" si="25"/>
        <v>1830</v>
      </c>
    </row>
    <row r="243" spans="4:8" ht="14" x14ac:dyDescent="0.3">
      <c r="D243" s="84">
        <v>45468</v>
      </c>
      <c r="E243" s="56" t="s">
        <v>136</v>
      </c>
      <c r="F243" s="141">
        <v>3687.51</v>
      </c>
      <c r="G243" s="96">
        <v>2.44</v>
      </c>
      <c r="H243" s="151">
        <f t="shared" si="25"/>
        <v>8997.5244000000002</v>
      </c>
    </row>
    <row r="244" spans="4:8" ht="14" x14ac:dyDescent="0.3">
      <c r="D244" s="40">
        <v>45469</v>
      </c>
      <c r="E244" s="80" t="s">
        <v>117</v>
      </c>
      <c r="F244" s="151"/>
      <c r="G244" s="96" t="s">
        <v>68</v>
      </c>
      <c r="H244" s="151">
        <v>25</v>
      </c>
    </row>
    <row r="245" spans="4:8" ht="14" x14ac:dyDescent="0.3">
      <c r="D245" s="40">
        <v>45471</v>
      </c>
      <c r="E245" s="80" t="s">
        <v>117</v>
      </c>
      <c r="F245" s="151"/>
      <c r="G245" s="96" t="s">
        <v>68</v>
      </c>
      <c r="H245" s="151">
        <v>50</v>
      </c>
    </row>
    <row r="246" spans="4:8" ht="14" x14ac:dyDescent="0.3">
      <c r="D246" s="40">
        <v>45471</v>
      </c>
      <c r="E246" s="56" t="s">
        <v>137</v>
      </c>
      <c r="F246" s="151"/>
      <c r="G246" s="96" t="s">
        <v>68</v>
      </c>
      <c r="H246" s="151">
        <v>100</v>
      </c>
    </row>
    <row r="247" spans="4:8" ht="14" x14ac:dyDescent="0.3">
      <c r="D247" s="40">
        <v>45472</v>
      </c>
      <c r="E247" s="56" t="s">
        <v>138</v>
      </c>
      <c r="F247" s="151"/>
      <c r="G247" s="96"/>
      <c r="H247" s="151">
        <v>60</v>
      </c>
    </row>
    <row r="248" spans="4:8" ht="28" x14ac:dyDescent="0.3">
      <c r="D248" s="40">
        <v>45472</v>
      </c>
      <c r="E248" s="56" t="s">
        <v>139</v>
      </c>
      <c r="F248" s="151"/>
      <c r="G248" s="96"/>
      <c r="H248" s="151">
        <v>1350</v>
      </c>
    </row>
    <row r="249" spans="4:8" ht="14" x14ac:dyDescent="0.3">
      <c r="D249" s="40">
        <v>45474</v>
      </c>
      <c r="E249" s="56" t="s">
        <v>157</v>
      </c>
      <c r="F249" s="151"/>
      <c r="G249" s="96"/>
      <c r="H249" s="151">
        <v>60</v>
      </c>
    </row>
    <row r="250" spans="4:8" ht="14" x14ac:dyDescent="0.3">
      <c r="D250" s="40">
        <v>45474</v>
      </c>
      <c r="E250" s="56" t="s">
        <v>158</v>
      </c>
      <c r="F250" s="151"/>
      <c r="G250" s="96"/>
      <c r="H250" s="151">
        <v>1050</v>
      </c>
    </row>
    <row r="251" spans="4:8" ht="14" x14ac:dyDescent="0.3">
      <c r="D251" s="84">
        <v>45473</v>
      </c>
      <c r="E251" s="56" t="s">
        <v>159</v>
      </c>
      <c r="F251" s="96">
        <v>165</v>
      </c>
      <c r="G251" s="96">
        <v>2.44</v>
      </c>
      <c r="H251" s="151">
        <f t="shared" ref="H251:H259" si="26">F251*G251</f>
        <v>402.59999999999997</v>
      </c>
    </row>
    <row r="252" spans="4:8" ht="14" x14ac:dyDescent="0.3">
      <c r="D252" s="40">
        <v>45471</v>
      </c>
      <c r="E252" s="56" t="s">
        <v>166</v>
      </c>
      <c r="F252" s="151">
        <v>2723.08</v>
      </c>
      <c r="G252" s="96">
        <v>2.44</v>
      </c>
      <c r="H252" s="151">
        <f t="shared" si="26"/>
        <v>6644.3152</v>
      </c>
    </row>
    <row r="253" spans="4:8" ht="14" x14ac:dyDescent="0.3">
      <c r="D253" s="40">
        <v>45502</v>
      </c>
      <c r="E253" s="56" t="s">
        <v>180</v>
      </c>
      <c r="F253" s="151">
        <v>80</v>
      </c>
      <c r="G253" s="96">
        <v>2.44</v>
      </c>
      <c r="H253" s="151">
        <f t="shared" si="26"/>
        <v>195.2</v>
      </c>
    </row>
    <row r="254" spans="4:8" ht="14" x14ac:dyDescent="0.3">
      <c r="D254" s="84">
        <v>45488</v>
      </c>
      <c r="E254" s="56" t="s">
        <v>184</v>
      </c>
      <c r="F254" s="151">
        <v>2082</v>
      </c>
      <c r="G254" s="96">
        <v>2.44</v>
      </c>
      <c r="H254" s="151">
        <f t="shared" si="26"/>
        <v>5080.08</v>
      </c>
    </row>
    <row r="255" spans="4:8" ht="14" x14ac:dyDescent="0.3">
      <c r="D255" s="40">
        <v>45477</v>
      </c>
      <c r="E255" s="56" t="s">
        <v>186</v>
      </c>
      <c r="F255" s="151">
        <v>89</v>
      </c>
      <c r="G255" s="96">
        <v>2.44</v>
      </c>
      <c r="H255" s="151">
        <f t="shared" si="26"/>
        <v>217.16</v>
      </c>
    </row>
    <row r="256" spans="4:8" ht="14" x14ac:dyDescent="0.3">
      <c r="D256" s="40">
        <v>45477</v>
      </c>
      <c r="E256" s="56" t="s">
        <v>187</v>
      </c>
      <c r="F256" s="151">
        <v>773</v>
      </c>
      <c r="G256" s="96">
        <v>2.44</v>
      </c>
      <c r="H256" s="151">
        <f t="shared" si="26"/>
        <v>1886.12</v>
      </c>
    </row>
    <row r="257" spans="4:8" ht="14" x14ac:dyDescent="0.3">
      <c r="D257" s="40">
        <v>45477</v>
      </c>
      <c r="E257" s="56" t="s">
        <v>188</v>
      </c>
      <c r="F257" s="151">
        <v>86</v>
      </c>
      <c r="G257" s="96">
        <v>2.44</v>
      </c>
      <c r="H257" s="151">
        <f t="shared" si="26"/>
        <v>209.84</v>
      </c>
    </row>
    <row r="258" spans="4:8" ht="14" x14ac:dyDescent="0.3">
      <c r="D258" s="40">
        <v>45477</v>
      </c>
      <c r="E258" s="56" t="s">
        <v>189</v>
      </c>
      <c r="F258" s="96">
        <v>209</v>
      </c>
      <c r="G258" s="96">
        <v>2.44</v>
      </c>
      <c r="H258" s="151">
        <f t="shared" si="26"/>
        <v>509.96</v>
      </c>
    </row>
    <row r="259" spans="4:8" ht="14" x14ac:dyDescent="0.3">
      <c r="D259" s="40">
        <v>45477</v>
      </c>
      <c r="E259" s="56" t="s">
        <v>190</v>
      </c>
      <c r="F259" s="96">
        <v>76</v>
      </c>
      <c r="G259" s="96">
        <v>2.44</v>
      </c>
      <c r="H259" s="151">
        <f t="shared" si="26"/>
        <v>185.44</v>
      </c>
    </row>
    <row r="260" spans="4:8" ht="14" x14ac:dyDescent="0.3">
      <c r="D260" s="40">
        <v>45477</v>
      </c>
      <c r="E260" s="56" t="s">
        <v>191</v>
      </c>
      <c r="F260" s="96">
        <v>5100</v>
      </c>
      <c r="G260" s="96">
        <v>2.44</v>
      </c>
      <c r="H260" s="151">
        <f>F260*G260</f>
        <v>12444</v>
      </c>
    </row>
    <row r="261" spans="4:8" ht="14" x14ac:dyDescent="0.3">
      <c r="D261" s="40">
        <v>45477</v>
      </c>
      <c r="E261" s="15" t="s">
        <v>270</v>
      </c>
      <c r="F261" s="289"/>
      <c r="G261" s="96"/>
      <c r="H261" s="151">
        <f>15000/76.5</f>
        <v>196.07843137254903</v>
      </c>
    </row>
    <row r="262" spans="4:8" ht="14" x14ac:dyDescent="0.3">
      <c r="D262" s="84">
        <v>45481</v>
      </c>
      <c r="E262" s="56" t="s">
        <v>193</v>
      </c>
      <c r="F262" s="151"/>
      <c r="G262" s="96"/>
      <c r="H262" s="151">
        <v>1860</v>
      </c>
    </row>
    <row r="263" spans="4:8" ht="14" x14ac:dyDescent="0.3">
      <c r="D263" s="40">
        <v>45482</v>
      </c>
      <c r="E263" s="56" t="s">
        <v>194</v>
      </c>
      <c r="F263" s="151"/>
      <c r="G263" s="96"/>
      <c r="H263" s="151">
        <v>50</v>
      </c>
    </row>
    <row r="264" spans="4:8" ht="14" x14ac:dyDescent="0.3">
      <c r="D264" s="40">
        <v>45482</v>
      </c>
      <c r="E264" s="80" t="s">
        <v>195</v>
      </c>
      <c r="F264" s="151"/>
      <c r="G264" s="96"/>
      <c r="H264" s="151">
        <v>1333</v>
      </c>
    </row>
    <row r="265" spans="4:8" ht="14" x14ac:dyDescent="0.3">
      <c r="D265" s="40">
        <v>45483</v>
      </c>
      <c r="E265" s="80" t="s">
        <v>196</v>
      </c>
      <c r="F265" s="151"/>
      <c r="G265" s="96"/>
      <c r="H265" s="151">
        <v>1000</v>
      </c>
    </row>
    <row r="266" spans="4:8" ht="14" x14ac:dyDescent="0.3">
      <c r="D266" s="40">
        <v>45484</v>
      </c>
      <c r="E266" s="56" t="s">
        <v>197</v>
      </c>
      <c r="F266" s="151"/>
      <c r="G266" s="96"/>
      <c r="H266" s="151">
        <v>100</v>
      </c>
    </row>
    <row r="267" spans="4:8" ht="14" x14ac:dyDescent="0.3">
      <c r="D267" s="84">
        <v>45487</v>
      </c>
      <c r="E267" s="56" t="s">
        <v>194</v>
      </c>
      <c r="F267" s="151"/>
      <c r="G267" s="96"/>
      <c r="H267" s="151">
        <v>20</v>
      </c>
    </row>
    <row r="268" spans="4:8" ht="14" x14ac:dyDescent="0.3">
      <c r="D268" s="84">
        <v>45487</v>
      </c>
      <c r="E268" s="56" t="s">
        <v>198</v>
      </c>
      <c r="F268" s="151"/>
      <c r="G268" s="96"/>
      <c r="H268" s="151">
        <v>1150</v>
      </c>
    </row>
    <row r="269" spans="4:8" ht="14" x14ac:dyDescent="0.3">
      <c r="D269" s="84">
        <v>45487</v>
      </c>
      <c r="E269" s="80" t="s">
        <v>199</v>
      </c>
      <c r="F269" s="151"/>
      <c r="G269" s="96" t="s">
        <v>68</v>
      </c>
      <c r="H269" s="151">
        <v>90</v>
      </c>
    </row>
    <row r="270" spans="4:8" ht="14" x14ac:dyDescent="0.3">
      <c r="D270" s="40">
        <v>45488</v>
      </c>
      <c r="E270" s="56" t="s">
        <v>208</v>
      </c>
      <c r="F270" s="151">
        <v>590</v>
      </c>
      <c r="G270" s="96">
        <v>2.44</v>
      </c>
      <c r="H270" s="151">
        <f t="shared" ref="H270:H271" si="27">F270*G270</f>
        <v>1439.6</v>
      </c>
    </row>
    <row r="271" spans="4:8" ht="14" x14ac:dyDescent="0.3">
      <c r="D271" s="40">
        <v>45488</v>
      </c>
      <c r="E271" s="56" t="s">
        <v>209</v>
      </c>
      <c r="F271" s="96">
        <v>90</v>
      </c>
      <c r="G271" s="96">
        <v>2.44</v>
      </c>
      <c r="H271" s="151">
        <f t="shared" si="27"/>
        <v>219.6</v>
      </c>
    </row>
    <row r="272" spans="4:8" ht="14" x14ac:dyDescent="0.3">
      <c r="D272" s="40">
        <v>45491</v>
      </c>
      <c r="E272" s="56" t="s">
        <v>198</v>
      </c>
      <c r="F272" s="96"/>
      <c r="G272" s="96"/>
      <c r="H272" s="151">
        <v>950</v>
      </c>
    </row>
    <row r="273" spans="4:8" ht="14" x14ac:dyDescent="0.3">
      <c r="D273" s="84">
        <v>45491</v>
      </c>
      <c r="E273" s="90" t="s">
        <v>243</v>
      </c>
      <c r="F273" s="54">
        <v>2555.88</v>
      </c>
      <c r="G273" s="175">
        <v>2.5249999999999999</v>
      </c>
      <c r="H273" s="151">
        <f t="shared" ref="H273" si="28">F273*G273</f>
        <v>6453.5969999999998</v>
      </c>
    </row>
    <row r="274" spans="4:8" ht="14" x14ac:dyDescent="0.3">
      <c r="D274" s="88">
        <v>45497</v>
      </c>
      <c r="E274" s="90" t="s">
        <v>198</v>
      </c>
      <c r="F274" s="54"/>
      <c r="G274" s="175"/>
      <c r="H274" s="151">
        <v>1050</v>
      </c>
    </row>
    <row r="275" spans="4:8" ht="14" x14ac:dyDescent="0.3">
      <c r="D275" s="88">
        <v>45497</v>
      </c>
      <c r="E275" s="90" t="s">
        <v>280</v>
      </c>
      <c r="F275" s="54"/>
      <c r="G275" s="175"/>
      <c r="H275" s="151">
        <v>20</v>
      </c>
    </row>
    <row r="276" spans="4:8" ht="14" x14ac:dyDescent="0.3">
      <c r="D276" s="84">
        <v>45491</v>
      </c>
      <c r="E276" s="90" t="s">
        <v>241</v>
      </c>
      <c r="F276" s="54">
        <v>400</v>
      </c>
      <c r="G276" s="54">
        <v>2.52</v>
      </c>
      <c r="H276" s="151">
        <f t="shared" ref="H276:H277" si="29">F276*G276</f>
        <v>1008</v>
      </c>
    </row>
    <row r="277" spans="4:8" ht="14" x14ac:dyDescent="0.3">
      <c r="D277" s="88">
        <v>45502</v>
      </c>
      <c r="E277" s="90" t="s">
        <v>593</v>
      </c>
      <c r="F277" s="54">
        <v>7650</v>
      </c>
      <c r="G277" s="175">
        <v>2.52</v>
      </c>
      <c r="H277" s="151">
        <f t="shared" si="29"/>
        <v>19278</v>
      </c>
    </row>
    <row r="278" spans="4:8" ht="14" x14ac:dyDescent="0.3">
      <c r="D278" s="88">
        <v>45504</v>
      </c>
      <c r="E278" s="90" t="s">
        <v>374</v>
      </c>
      <c r="F278" s="54"/>
      <c r="G278" s="54"/>
      <c r="H278" s="151">
        <v>2360</v>
      </c>
    </row>
    <row r="279" spans="4:8" ht="14" x14ac:dyDescent="0.3">
      <c r="D279" s="88">
        <v>45511</v>
      </c>
      <c r="E279" s="90" t="s">
        <v>446</v>
      </c>
      <c r="F279" s="54"/>
      <c r="G279" s="175"/>
      <c r="H279" s="151">
        <f>355+40</f>
        <v>395</v>
      </c>
    </row>
    <row r="280" spans="4:8" ht="14" x14ac:dyDescent="0.3">
      <c r="D280" s="88">
        <v>45495</v>
      </c>
      <c r="E280" s="90" t="s">
        <v>241</v>
      </c>
      <c r="F280" s="54">
        <v>1130</v>
      </c>
      <c r="G280" s="175">
        <v>2.52</v>
      </c>
      <c r="H280" s="151">
        <f t="shared" ref="H280" si="30">F280*G280</f>
        <v>2847.6</v>
      </c>
    </row>
    <row r="281" spans="4:8" ht="15.5" x14ac:dyDescent="0.3">
      <c r="D281" s="88">
        <v>45499</v>
      </c>
      <c r="E281" s="177" t="s">
        <v>315</v>
      </c>
      <c r="F281" s="54"/>
      <c r="G281" s="54"/>
      <c r="H281" s="151">
        <v>1050</v>
      </c>
    </row>
    <row r="282" spans="4:8" ht="14" x14ac:dyDescent="0.3">
      <c r="D282" s="88">
        <v>45502</v>
      </c>
      <c r="E282" s="90" t="s">
        <v>334</v>
      </c>
      <c r="F282" s="54">
        <v>350</v>
      </c>
      <c r="G282" s="54">
        <v>2.52</v>
      </c>
      <c r="H282" s="151">
        <f t="shared" ref="H282:H284" si="31">F282*G282</f>
        <v>882</v>
      </c>
    </row>
    <row r="283" spans="4:8" ht="14" x14ac:dyDescent="0.3">
      <c r="D283" s="88">
        <v>45502</v>
      </c>
      <c r="E283" s="90" t="s">
        <v>335</v>
      </c>
      <c r="F283" s="54">
        <v>2556</v>
      </c>
      <c r="G283" s="54">
        <v>2.52</v>
      </c>
      <c r="H283" s="151">
        <f t="shared" si="31"/>
        <v>6441.12</v>
      </c>
    </row>
    <row r="284" spans="4:8" ht="14" x14ac:dyDescent="0.3">
      <c r="D284" s="88">
        <v>45502</v>
      </c>
      <c r="E284" s="90" t="s">
        <v>336</v>
      </c>
      <c r="F284" s="54">
        <v>612</v>
      </c>
      <c r="G284" s="54">
        <v>2.52</v>
      </c>
      <c r="H284" s="151">
        <f t="shared" si="31"/>
        <v>1542.24</v>
      </c>
    </row>
    <row r="285" spans="4:8" ht="14" x14ac:dyDescent="0.3">
      <c r="D285" s="88">
        <v>45502</v>
      </c>
      <c r="E285" s="90" t="s">
        <v>355</v>
      </c>
      <c r="F285" s="54"/>
      <c r="G285" s="54"/>
      <c r="H285" s="151">
        <v>20</v>
      </c>
    </row>
    <row r="286" spans="4:8" ht="14" x14ac:dyDescent="0.3">
      <c r="D286" s="399"/>
      <c r="E286" s="90" t="s">
        <v>452</v>
      </c>
      <c r="F286" s="54">
        <v>180</v>
      </c>
      <c r="G286" s="54">
        <v>2.52</v>
      </c>
      <c r="H286" s="151">
        <f t="shared" ref="H286:H287" si="32">F286*G286</f>
        <v>453.6</v>
      </c>
    </row>
    <row r="287" spans="4:8" ht="14" x14ac:dyDescent="0.3">
      <c r="D287" s="88">
        <v>45502</v>
      </c>
      <c r="E287" s="90" t="s">
        <v>333</v>
      </c>
      <c r="F287" s="54">
        <v>70</v>
      </c>
      <c r="G287" s="54">
        <v>2.52</v>
      </c>
      <c r="H287" s="151">
        <f t="shared" si="32"/>
        <v>176.4</v>
      </c>
    </row>
    <row r="288" spans="4:8" ht="14" x14ac:dyDescent="0.3">
      <c r="D288" s="88">
        <v>45502</v>
      </c>
      <c r="E288" s="16" t="s">
        <v>435</v>
      </c>
      <c r="F288" s="54"/>
      <c r="G288" s="54"/>
      <c r="H288" s="151">
        <v>200</v>
      </c>
    </row>
    <row r="289" spans="4:8" ht="14" x14ac:dyDescent="0.3">
      <c r="D289" s="88">
        <v>45504</v>
      </c>
      <c r="E289" s="13" t="s">
        <v>1388</v>
      </c>
      <c r="F289" s="54"/>
      <c r="G289" s="54"/>
      <c r="H289" s="444">
        <v>5279.67</v>
      </c>
    </row>
    <row r="290" spans="4:8" ht="14" x14ac:dyDescent="0.3">
      <c r="D290" s="88">
        <v>45504</v>
      </c>
      <c r="E290" s="8" t="s">
        <v>1387</v>
      </c>
      <c r="F290" s="54"/>
      <c r="G290" s="54"/>
      <c r="H290" s="444">
        <v>99.38</v>
      </c>
    </row>
    <row r="291" spans="4:8" ht="14" x14ac:dyDescent="0.3">
      <c r="D291" s="443">
        <v>45510</v>
      </c>
      <c r="E291" s="113" t="s">
        <v>434</v>
      </c>
      <c r="F291" s="54"/>
      <c r="G291" s="54"/>
      <c r="H291" s="151">
        <v>200</v>
      </c>
    </row>
    <row r="292" spans="4:8" ht="14" x14ac:dyDescent="0.3">
      <c r="D292" s="443">
        <v>45510</v>
      </c>
      <c r="E292" s="16" t="s">
        <v>436</v>
      </c>
      <c r="F292" s="54"/>
      <c r="G292" s="54"/>
      <c r="H292" s="151">
        <v>8500</v>
      </c>
    </row>
    <row r="293" spans="4:8" ht="14" x14ac:dyDescent="0.3">
      <c r="D293" s="443">
        <v>45511</v>
      </c>
      <c r="E293" s="90" t="s">
        <v>457</v>
      </c>
      <c r="F293" s="54">
        <v>3000</v>
      </c>
      <c r="G293" s="54">
        <v>2.42</v>
      </c>
      <c r="H293" s="151">
        <f t="shared" ref="H293" si="33">F293*G293</f>
        <v>7260</v>
      </c>
    </row>
    <row r="294" spans="4:8" ht="14" x14ac:dyDescent="0.3">
      <c r="D294" s="84">
        <v>45513</v>
      </c>
      <c r="E294" s="8" t="s">
        <v>1289</v>
      </c>
      <c r="F294" s="54"/>
      <c r="G294" s="54"/>
      <c r="H294" s="412">
        <v>2279.1</v>
      </c>
    </row>
    <row r="295" spans="4:8" ht="14" x14ac:dyDescent="0.3">
      <c r="D295" s="84">
        <v>45517</v>
      </c>
      <c r="E295" s="8" t="s">
        <v>1290</v>
      </c>
      <c r="F295" s="54"/>
      <c r="G295" s="54"/>
      <c r="H295" s="412">
        <v>32.69</v>
      </c>
    </row>
    <row r="296" spans="4:8" ht="14" x14ac:dyDescent="0.3">
      <c r="D296" s="84">
        <v>45517</v>
      </c>
      <c r="E296" s="8" t="s">
        <v>1291</v>
      </c>
      <c r="F296" s="54"/>
      <c r="G296" s="54"/>
      <c r="H296" s="412">
        <v>26.25</v>
      </c>
    </row>
    <row r="297" spans="4:8" ht="14" x14ac:dyDescent="0.3">
      <c r="D297" s="40">
        <v>45520</v>
      </c>
      <c r="E297" s="13" t="s">
        <v>540</v>
      </c>
      <c r="F297" s="54"/>
      <c r="G297" s="54"/>
      <c r="H297" s="151">
        <f>630786/77</f>
        <v>8192.0259740259735</v>
      </c>
    </row>
    <row r="298" spans="4:8" ht="14" x14ac:dyDescent="0.3">
      <c r="D298" s="84">
        <v>45518</v>
      </c>
      <c r="E298" s="8" t="s">
        <v>1274</v>
      </c>
      <c r="F298" s="54"/>
      <c r="G298" s="54"/>
      <c r="H298" s="412">
        <v>51.33</v>
      </c>
    </row>
    <row r="299" spans="4:8" ht="14" x14ac:dyDescent="0.3">
      <c r="D299" s="84">
        <v>45518</v>
      </c>
      <c r="E299" s="8" t="s">
        <v>1275</v>
      </c>
      <c r="F299" s="54"/>
      <c r="G299" s="54"/>
      <c r="H299" s="412">
        <v>1.07</v>
      </c>
    </row>
    <row r="300" spans="4:8" ht="14" x14ac:dyDescent="0.3">
      <c r="D300" s="84">
        <v>45518</v>
      </c>
      <c r="E300" s="8" t="s">
        <v>1276</v>
      </c>
      <c r="F300" s="54"/>
      <c r="G300" s="54"/>
      <c r="H300" s="412">
        <v>33.11</v>
      </c>
    </row>
    <row r="301" spans="4:8" ht="14" x14ac:dyDescent="0.3">
      <c r="D301" s="84">
        <v>45520</v>
      </c>
      <c r="E301" s="8" t="s">
        <v>1277</v>
      </c>
      <c r="F301" s="54"/>
      <c r="G301" s="54"/>
      <c r="H301" s="412">
        <v>111.34</v>
      </c>
    </row>
    <row r="302" spans="4:8" ht="14" x14ac:dyDescent="0.3">
      <c r="D302" s="84">
        <v>45520</v>
      </c>
      <c r="E302" s="8" t="s">
        <v>1278</v>
      </c>
      <c r="F302" s="54"/>
      <c r="G302" s="54"/>
      <c r="H302" s="412">
        <v>55.68</v>
      </c>
    </row>
    <row r="303" spans="4:8" ht="14" x14ac:dyDescent="0.3">
      <c r="D303" s="84">
        <v>45520</v>
      </c>
      <c r="E303" s="8" t="s">
        <v>1279</v>
      </c>
      <c r="F303" s="54"/>
      <c r="G303" s="54"/>
      <c r="H303" s="412">
        <v>50.29</v>
      </c>
    </row>
    <row r="304" spans="4:8" ht="14" x14ac:dyDescent="0.3">
      <c r="D304" s="84">
        <v>45520</v>
      </c>
      <c r="E304" s="8" t="s">
        <v>1280</v>
      </c>
      <c r="F304" s="54"/>
      <c r="G304" s="54"/>
      <c r="H304" s="412">
        <v>18.16</v>
      </c>
    </row>
    <row r="305" spans="4:8" ht="14" x14ac:dyDescent="0.3">
      <c r="D305" s="84">
        <v>45521</v>
      </c>
      <c r="E305" s="8" t="s">
        <v>1281</v>
      </c>
      <c r="F305" s="54"/>
      <c r="G305" s="54"/>
      <c r="H305" s="412">
        <v>280.57</v>
      </c>
    </row>
    <row r="306" spans="4:8" ht="14" x14ac:dyDescent="0.3">
      <c r="D306" s="84">
        <v>45525</v>
      </c>
      <c r="E306" s="8" t="s">
        <v>1280</v>
      </c>
      <c r="F306" s="54"/>
      <c r="G306" s="54"/>
      <c r="H306" s="412">
        <v>18.25</v>
      </c>
    </row>
    <row r="307" spans="4:8" ht="14" x14ac:dyDescent="0.3">
      <c r="D307" s="84">
        <v>45527</v>
      </c>
      <c r="E307" s="8" t="s">
        <v>1282</v>
      </c>
      <c r="F307" s="54"/>
      <c r="G307" s="54"/>
      <c r="H307" s="412">
        <v>143.29</v>
      </c>
    </row>
    <row r="308" spans="4:8" ht="14" x14ac:dyDescent="0.3">
      <c r="D308" s="88">
        <v>45538</v>
      </c>
      <c r="E308" s="90" t="s">
        <v>542</v>
      </c>
      <c r="F308" s="54"/>
      <c r="G308" s="54"/>
      <c r="H308" s="151">
        <v>3000</v>
      </c>
    </row>
    <row r="309" spans="4:8" ht="14" x14ac:dyDescent="0.3">
      <c r="D309" s="84">
        <v>45538</v>
      </c>
      <c r="E309" s="8" t="s">
        <v>1283</v>
      </c>
      <c r="F309" s="54"/>
      <c r="G309" s="54"/>
      <c r="H309" s="412">
        <v>36.46</v>
      </c>
    </row>
    <row r="310" spans="4:8" ht="14" x14ac:dyDescent="0.3">
      <c r="D310" s="84">
        <v>45538</v>
      </c>
      <c r="E310" s="8" t="s">
        <v>1284</v>
      </c>
      <c r="F310" s="54"/>
      <c r="G310" s="54"/>
      <c r="H310" s="412">
        <v>5901.04</v>
      </c>
    </row>
    <row r="311" spans="4:8" ht="14" x14ac:dyDescent="0.3">
      <c r="D311" s="84">
        <v>45539</v>
      </c>
      <c r="E311" s="8" t="s">
        <v>1285</v>
      </c>
      <c r="F311" s="54"/>
      <c r="G311" s="54"/>
      <c r="H311" s="412">
        <v>47.24</v>
      </c>
    </row>
    <row r="312" spans="4:8" ht="14" x14ac:dyDescent="0.3">
      <c r="D312" s="84">
        <v>45539</v>
      </c>
      <c r="E312" s="8" t="s">
        <v>1286</v>
      </c>
      <c r="F312" s="54"/>
      <c r="G312" s="54"/>
      <c r="H312" s="412">
        <v>45.68</v>
      </c>
    </row>
    <row r="313" spans="4:8" ht="14" x14ac:dyDescent="0.3">
      <c r="D313" s="88">
        <v>45539</v>
      </c>
      <c r="E313" s="90" t="s">
        <v>543</v>
      </c>
      <c r="F313" s="54"/>
      <c r="G313" s="54"/>
      <c r="H313" s="151">
        <v>3760</v>
      </c>
    </row>
    <row r="314" spans="4:8" ht="14" x14ac:dyDescent="0.3">
      <c r="D314" s="88">
        <v>45539</v>
      </c>
      <c r="E314" s="90" t="s">
        <v>544</v>
      </c>
      <c r="F314" s="54"/>
      <c r="G314" s="54"/>
      <c r="H314" s="151">
        <v>250</v>
      </c>
    </row>
    <row r="315" spans="4:8" ht="14" x14ac:dyDescent="0.3">
      <c r="D315" s="84">
        <v>45540</v>
      </c>
      <c r="E315" s="8" t="s">
        <v>1287</v>
      </c>
      <c r="F315" s="54"/>
      <c r="G315" s="54"/>
      <c r="H315" s="412">
        <v>2130</v>
      </c>
    </row>
    <row r="316" spans="4:8" ht="14" x14ac:dyDescent="0.3">
      <c r="D316" s="84">
        <v>45540</v>
      </c>
      <c r="E316" s="8" t="s">
        <v>1288</v>
      </c>
      <c r="F316" s="54"/>
      <c r="G316" s="54"/>
      <c r="H316" s="412">
        <v>66</v>
      </c>
    </row>
    <row r="317" spans="4:8" ht="14" x14ac:dyDescent="0.3">
      <c r="D317" s="84">
        <v>45540</v>
      </c>
      <c r="E317" s="8" t="s">
        <v>1288</v>
      </c>
      <c r="F317" s="54"/>
      <c r="G317" s="54"/>
      <c r="H317" s="412">
        <v>95.21</v>
      </c>
    </row>
    <row r="318" spans="4:8" ht="14" x14ac:dyDescent="0.3">
      <c r="D318" s="88">
        <v>45540</v>
      </c>
      <c r="E318" s="90" t="s">
        <v>544</v>
      </c>
      <c r="F318" s="54"/>
      <c r="G318" s="54"/>
      <c r="H318" s="151">
        <v>100</v>
      </c>
    </row>
    <row r="319" spans="4:8" ht="14" x14ac:dyDescent="0.3">
      <c r="D319" s="88">
        <v>45540</v>
      </c>
      <c r="E319" s="90" t="s">
        <v>558</v>
      </c>
      <c r="F319" s="54">
        <v>12011</v>
      </c>
      <c r="G319" s="54">
        <v>2.52</v>
      </c>
      <c r="H319" s="151">
        <f t="shared" ref="H319" si="34">F319*G319</f>
        <v>30267.72</v>
      </c>
    </row>
    <row r="320" spans="4:8" ht="14" x14ac:dyDescent="0.3">
      <c r="D320" s="88">
        <v>45540</v>
      </c>
      <c r="E320" s="90" t="s">
        <v>561</v>
      </c>
      <c r="F320" s="54">
        <v>30.29</v>
      </c>
      <c r="G320" s="175">
        <v>3.6739999999999999</v>
      </c>
      <c r="H320" s="151">
        <f>F320*G320</f>
        <v>111.28546</v>
      </c>
    </row>
    <row r="321" spans="4:8" ht="14" x14ac:dyDescent="0.3">
      <c r="D321" s="88">
        <v>45540</v>
      </c>
      <c r="E321" s="90" t="s">
        <v>562</v>
      </c>
      <c r="F321" s="54">
        <v>4.32</v>
      </c>
      <c r="G321" s="175">
        <v>3.6739999999999999</v>
      </c>
      <c r="H321" s="151">
        <f t="shared" ref="H321:H331" si="35">F321*G321</f>
        <v>15.871680000000001</v>
      </c>
    </row>
    <row r="322" spans="4:8" ht="14" x14ac:dyDescent="0.3">
      <c r="D322" s="88">
        <v>45540</v>
      </c>
      <c r="E322" s="90" t="s">
        <v>563</v>
      </c>
      <c r="F322" s="54">
        <v>5.49</v>
      </c>
      <c r="G322" s="175">
        <v>3.6739999999999999</v>
      </c>
      <c r="H322" s="151">
        <f t="shared" si="35"/>
        <v>20.170259999999999</v>
      </c>
    </row>
    <row r="323" spans="4:8" ht="14" x14ac:dyDescent="0.3">
      <c r="D323" s="88">
        <v>45540</v>
      </c>
      <c r="E323" s="90" t="s">
        <v>564</v>
      </c>
      <c r="F323" s="54">
        <v>13.08</v>
      </c>
      <c r="G323" s="175">
        <v>3.6739999999999999</v>
      </c>
      <c r="H323" s="151">
        <f t="shared" si="35"/>
        <v>48.05592</v>
      </c>
    </row>
    <row r="324" spans="4:8" ht="14" x14ac:dyDescent="0.3">
      <c r="D324" s="88">
        <v>45540</v>
      </c>
      <c r="E324" s="90" t="s">
        <v>565</v>
      </c>
      <c r="F324" s="54">
        <v>39.22</v>
      </c>
      <c r="G324" s="175">
        <v>3.6739999999999999</v>
      </c>
      <c r="H324" s="151">
        <f t="shared" si="35"/>
        <v>144.09428</v>
      </c>
    </row>
    <row r="325" spans="4:8" ht="14" x14ac:dyDescent="0.3">
      <c r="D325" s="88">
        <v>45540</v>
      </c>
      <c r="E325" s="90" t="s">
        <v>566</v>
      </c>
      <c r="F325" s="54">
        <v>108.61</v>
      </c>
      <c r="G325" s="175">
        <v>3.6739999999999999</v>
      </c>
      <c r="H325" s="151">
        <f t="shared" si="35"/>
        <v>399.03314</v>
      </c>
    </row>
    <row r="326" spans="4:8" ht="14" x14ac:dyDescent="0.3">
      <c r="D326" s="88">
        <v>45540</v>
      </c>
      <c r="E326" s="90" t="s">
        <v>567</v>
      </c>
      <c r="F326" s="54">
        <v>20</v>
      </c>
      <c r="G326" s="175">
        <v>3.6739999999999999</v>
      </c>
      <c r="H326" s="151">
        <f t="shared" si="35"/>
        <v>73.48</v>
      </c>
    </row>
    <row r="327" spans="4:8" ht="14" x14ac:dyDescent="0.3">
      <c r="D327" s="88">
        <v>45540</v>
      </c>
      <c r="E327" s="90" t="s">
        <v>568</v>
      </c>
      <c r="F327" s="54">
        <v>21.73</v>
      </c>
      <c r="G327" s="175">
        <v>3.6739999999999999</v>
      </c>
      <c r="H327" s="151">
        <f t="shared" si="35"/>
        <v>79.836020000000005</v>
      </c>
    </row>
    <row r="328" spans="4:8" ht="14" x14ac:dyDescent="0.3">
      <c r="D328" s="88">
        <v>45544</v>
      </c>
      <c r="E328" s="16" t="s">
        <v>1386</v>
      </c>
      <c r="F328" s="54"/>
      <c r="G328" s="175"/>
      <c r="H328" s="151">
        <v>838.7</v>
      </c>
    </row>
    <row r="329" spans="4:8" ht="14" x14ac:dyDescent="0.3">
      <c r="D329" s="88">
        <v>45544</v>
      </c>
      <c r="E329" s="90" t="s">
        <v>661</v>
      </c>
      <c r="F329" s="54">
        <v>87</v>
      </c>
      <c r="G329" s="54">
        <v>2.5299999999999998</v>
      </c>
      <c r="H329" s="54">
        <f t="shared" si="35"/>
        <v>220.10999999999999</v>
      </c>
    </row>
    <row r="330" spans="4:8" ht="14" x14ac:dyDescent="0.3">
      <c r="D330" s="88">
        <v>45547</v>
      </c>
      <c r="E330" s="90" t="s">
        <v>670</v>
      </c>
      <c r="F330" s="54">
        <v>871</v>
      </c>
      <c r="G330" s="54">
        <v>2.5299999999999998</v>
      </c>
      <c r="H330" s="54">
        <f t="shared" si="35"/>
        <v>2203.6299999999997</v>
      </c>
    </row>
    <row r="331" spans="4:8" ht="14" x14ac:dyDescent="0.3">
      <c r="D331" s="88">
        <v>45547</v>
      </c>
      <c r="E331" s="90" t="s">
        <v>675</v>
      </c>
      <c r="F331" s="54">
        <v>854.18</v>
      </c>
      <c r="G331" s="54">
        <v>2.5299999999999998</v>
      </c>
      <c r="H331" s="54">
        <f t="shared" si="35"/>
        <v>2161.0753999999997</v>
      </c>
    </row>
    <row r="332" spans="4:8" ht="14" x14ac:dyDescent="0.3">
      <c r="D332" s="88">
        <v>45548</v>
      </c>
      <c r="E332" s="90" t="s">
        <v>705</v>
      </c>
      <c r="F332" s="54"/>
      <c r="G332" s="54"/>
      <c r="H332" s="54">
        <v>1060</v>
      </c>
    </row>
    <row r="333" spans="4:8" ht="14" x14ac:dyDescent="0.3">
      <c r="D333" s="88">
        <v>45549</v>
      </c>
      <c r="E333" s="90" t="s">
        <v>705</v>
      </c>
      <c r="F333" s="54"/>
      <c r="G333" s="54"/>
      <c r="H333" s="54">
        <v>1185</v>
      </c>
    </row>
    <row r="334" spans="4:8" ht="14" x14ac:dyDescent="0.3">
      <c r="D334" s="88">
        <v>45549</v>
      </c>
      <c r="E334" s="90" t="s">
        <v>544</v>
      </c>
      <c r="F334" s="54"/>
      <c r="G334" s="54"/>
      <c r="H334" s="54">
        <v>60</v>
      </c>
    </row>
    <row r="335" spans="4:8" ht="14" x14ac:dyDescent="0.3">
      <c r="D335" s="88">
        <v>45550</v>
      </c>
      <c r="E335" s="90" t="s">
        <v>862</v>
      </c>
      <c r="F335" s="54">
        <v>50</v>
      </c>
      <c r="G335" s="54">
        <v>2.5299999999999998</v>
      </c>
      <c r="H335" s="54">
        <f t="shared" ref="H335" si="36">F335*G335</f>
        <v>126.49999999999999</v>
      </c>
    </row>
    <row r="336" spans="4:8" ht="14" x14ac:dyDescent="0.3">
      <c r="D336" s="88">
        <v>45551</v>
      </c>
      <c r="E336" s="90" t="s">
        <v>544</v>
      </c>
      <c r="F336" s="54"/>
      <c r="G336" s="54"/>
      <c r="H336" s="54">
        <v>20</v>
      </c>
    </row>
    <row r="337" spans="4:8" ht="14" x14ac:dyDescent="0.3">
      <c r="D337" s="88">
        <v>45551</v>
      </c>
      <c r="E337" s="90" t="s">
        <v>544</v>
      </c>
      <c r="F337" s="54"/>
      <c r="G337" s="54"/>
      <c r="H337" s="54">
        <v>40</v>
      </c>
    </row>
    <row r="338" spans="4:8" ht="14" x14ac:dyDescent="0.3">
      <c r="D338" s="88">
        <v>45553</v>
      </c>
      <c r="E338" s="90" t="s">
        <v>744</v>
      </c>
      <c r="F338" s="54"/>
      <c r="G338" s="54"/>
      <c r="H338" s="54">
        <v>325</v>
      </c>
    </row>
    <row r="339" spans="4:8" ht="14" x14ac:dyDescent="0.3">
      <c r="D339" s="88">
        <v>45558</v>
      </c>
      <c r="E339" s="90" t="s">
        <v>894</v>
      </c>
      <c r="F339" s="54"/>
      <c r="G339" s="54"/>
      <c r="H339" s="54">
        <f>95500/78</f>
        <v>1224.3589743589744</v>
      </c>
    </row>
    <row r="340" spans="4:8" ht="14" x14ac:dyDescent="0.3">
      <c r="D340" s="88">
        <v>45558</v>
      </c>
      <c r="E340" s="90" t="s">
        <v>999</v>
      </c>
      <c r="F340" s="54">
        <v>700</v>
      </c>
      <c r="G340" s="54">
        <v>2.5299999999999998</v>
      </c>
      <c r="H340" s="54">
        <f t="shared" ref="H340" si="37">F340*G340</f>
        <v>1770.9999999999998</v>
      </c>
    </row>
    <row r="341" spans="4:8" ht="14" x14ac:dyDescent="0.3">
      <c r="D341" s="88">
        <v>45558</v>
      </c>
      <c r="E341" s="90" t="s">
        <v>1000</v>
      </c>
      <c r="F341" s="54"/>
      <c r="G341" s="54"/>
      <c r="H341" s="54">
        <v>1155</v>
      </c>
    </row>
    <row r="342" spans="4:8" ht="14" x14ac:dyDescent="0.3">
      <c r="D342" s="88">
        <v>45560</v>
      </c>
      <c r="E342" s="90" t="s">
        <v>896</v>
      </c>
      <c r="F342" s="54"/>
      <c r="G342" s="54"/>
      <c r="H342" s="54">
        <v>2085</v>
      </c>
    </row>
    <row r="343" spans="4:8" ht="14" x14ac:dyDescent="0.3">
      <c r="D343" s="88">
        <v>45561</v>
      </c>
      <c r="E343" s="90" t="s">
        <v>1007</v>
      </c>
      <c r="F343" s="54">
        <v>500</v>
      </c>
      <c r="G343" s="54">
        <v>2.5299999999999998</v>
      </c>
      <c r="H343" s="54">
        <f t="shared" ref="H343:H351" si="38">F343*G343</f>
        <v>1265</v>
      </c>
    </row>
    <row r="344" spans="4:8" ht="14" x14ac:dyDescent="0.3">
      <c r="D344" s="88">
        <v>45563</v>
      </c>
      <c r="E344" s="90" t="s">
        <v>1171</v>
      </c>
      <c r="F344" s="54">
        <v>250</v>
      </c>
      <c r="G344" s="54">
        <v>2.5299999999999998</v>
      </c>
      <c r="H344" s="54">
        <f t="shared" si="38"/>
        <v>632.5</v>
      </c>
    </row>
    <row r="345" spans="4:8" ht="14" x14ac:dyDescent="0.3">
      <c r="D345" s="88">
        <v>45566</v>
      </c>
      <c r="E345" s="90" t="s">
        <v>709</v>
      </c>
      <c r="F345" s="54"/>
      <c r="G345" s="54"/>
      <c r="H345" s="54">
        <v>600</v>
      </c>
    </row>
    <row r="346" spans="4:8" ht="14" x14ac:dyDescent="0.3">
      <c r="D346" s="88">
        <v>45567</v>
      </c>
      <c r="E346" s="90" t="s">
        <v>1196</v>
      </c>
      <c r="F346" s="54">
        <v>194</v>
      </c>
      <c r="G346" s="54">
        <v>2.5299999999999998</v>
      </c>
      <c r="H346" s="54">
        <f t="shared" si="38"/>
        <v>490.81999999999994</v>
      </c>
    </row>
    <row r="347" spans="4:8" ht="14" x14ac:dyDescent="0.3">
      <c r="D347" s="88">
        <v>45567</v>
      </c>
      <c r="E347" s="90" t="s">
        <v>1197</v>
      </c>
      <c r="F347" s="54">
        <v>62</v>
      </c>
      <c r="G347" s="54">
        <v>2.5299999999999998</v>
      </c>
      <c r="H347" s="54">
        <f t="shared" si="38"/>
        <v>156.85999999999999</v>
      </c>
    </row>
    <row r="348" spans="4:8" ht="14" x14ac:dyDescent="0.3">
      <c r="D348" s="88">
        <v>45570</v>
      </c>
      <c r="E348" s="16" t="s">
        <v>1386</v>
      </c>
      <c r="F348" s="54"/>
      <c r="G348" s="54"/>
      <c r="H348" s="151">
        <v>838.7</v>
      </c>
    </row>
    <row r="349" spans="4:8" ht="14" x14ac:dyDescent="0.3">
      <c r="D349" s="88">
        <v>45572</v>
      </c>
      <c r="E349" s="90" t="s">
        <v>1208</v>
      </c>
      <c r="F349" s="54">
        <v>130</v>
      </c>
      <c r="G349" s="54">
        <v>2.5499999999999998</v>
      </c>
      <c r="H349" s="54">
        <f t="shared" si="38"/>
        <v>331.5</v>
      </c>
    </row>
    <row r="350" spans="4:8" ht="14" x14ac:dyDescent="0.3">
      <c r="D350" s="88">
        <v>45572</v>
      </c>
      <c r="E350" s="90" t="s">
        <v>1209</v>
      </c>
      <c r="F350" s="54">
        <v>50</v>
      </c>
      <c r="G350" s="54">
        <v>2.5499999999999998</v>
      </c>
      <c r="H350" s="54">
        <f t="shared" si="38"/>
        <v>127.49999999999999</v>
      </c>
    </row>
    <row r="351" spans="4:8" ht="14" x14ac:dyDescent="0.3">
      <c r="D351" s="88">
        <v>45577</v>
      </c>
      <c r="E351" s="90" t="s">
        <v>1197</v>
      </c>
      <c r="F351" s="54">
        <v>60</v>
      </c>
      <c r="G351" s="54">
        <v>2.5499999999999998</v>
      </c>
      <c r="H351" s="54">
        <f t="shared" si="38"/>
        <v>153</v>
      </c>
    </row>
    <row r="352" spans="4:8" ht="14" x14ac:dyDescent="0.3">
      <c r="D352" s="88">
        <v>45580</v>
      </c>
      <c r="E352" s="90" t="s">
        <v>1305</v>
      </c>
      <c r="F352" s="54"/>
      <c r="G352" s="54"/>
      <c r="H352" s="54">
        <v>500</v>
      </c>
    </row>
    <row r="353" spans="4:8" ht="14" x14ac:dyDescent="0.3">
      <c r="D353" s="88">
        <v>45580</v>
      </c>
      <c r="E353" s="8" t="s">
        <v>1389</v>
      </c>
      <c r="F353" s="54"/>
      <c r="G353" s="54"/>
      <c r="H353" s="54">
        <v>860</v>
      </c>
    </row>
    <row r="354" spans="4:8" ht="14.5" x14ac:dyDescent="0.35">
      <c r="D354" s="88">
        <v>45581</v>
      </c>
      <c r="E354" s="9" t="s">
        <v>355</v>
      </c>
      <c r="F354" s="54"/>
      <c r="G354" s="54"/>
      <c r="H354" s="54">
        <v>110</v>
      </c>
    </row>
    <row r="355" spans="4:8" ht="14.5" x14ac:dyDescent="0.35">
      <c r="D355" s="88">
        <v>45581</v>
      </c>
      <c r="E355" s="9" t="s">
        <v>1390</v>
      </c>
      <c r="F355" s="54"/>
      <c r="G355" s="54"/>
      <c r="H355" s="54">
        <v>200</v>
      </c>
    </row>
    <row r="356" spans="4:8" ht="14" x14ac:dyDescent="0.3">
      <c r="D356" s="88"/>
      <c r="F356" s="113"/>
      <c r="G356" s="113"/>
      <c r="H356" s="26"/>
    </row>
    <row r="357" spans="4:8" x14ac:dyDescent="0.3">
      <c r="D357" s="113"/>
      <c r="E357" s="161" t="s">
        <v>230</v>
      </c>
      <c r="F357" s="113"/>
      <c r="G357" s="113"/>
      <c r="H357" s="445">
        <f>SUM(H216:H356)</f>
        <v>235942.63433975755</v>
      </c>
    </row>
  </sheetData>
  <autoFilter ref="B152:H182" xr:uid="{00000000-0009-0000-0000-00000E000000}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3:Q47"/>
  <sheetViews>
    <sheetView workbookViewId="0">
      <selection activeCell="F17" sqref="F17:G17"/>
    </sheetView>
  </sheetViews>
  <sheetFormatPr defaultRowHeight="13" x14ac:dyDescent="0.3"/>
  <cols>
    <col min="4" max="4" width="10.09765625" bestFit="1" customWidth="1"/>
    <col min="6" max="6" width="30.3984375" bestFit="1" customWidth="1"/>
    <col min="7" max="7" width="10.09765625" customWidth="1"/>
    <col min="9" max="9" width="11.09765625" bestFit="1" customWidth="1"/>
    <col min="11" max="11" width="13.3984375" customWidth="1"/>
    <col min="12" max="12" width="11.296875" bestFit="1" customWidth="1"/>
    <col min="16" max="16" width="11.59765625" bestFit="1" customWidth="1"/>
    <col min="17" max="17" width="13.09765625" bestFit="1" customWidth="1"/>
  </cols>
  <sheetData>
    <row r="3" spans="3:17" x14ac:dyDescent="0.3">
      <c r="C3" s="17"/>
      <c r="D3" s="161" t="s">
        <v>0</v>
      </c>
      <c r="E3" s="161" t="s">
        <v>830</v>
      </c>
      <c r="F3" s="161" t="s">
        <v>824</v>
      </c>
      <c r="G3" s="161" t="s">
        <v>828</v>
      </c>
      <c r="H3" s="161" t="s">
        <v>825</v>
      </c>
      <c r="I3" s="161" t="s">
        <v>826</v>
      </c>
      <c r="J3" s="161" t="s">
        <v>7</v>
      </c>
      <c r="K3" s="161" t="s">
        <v>829</v>
      </c>
      <c r="L3" s="161" t="s">
        <v>827</v>
      </c>
      <c r="N3" s="284" t="s">
        <v>830</v>
      </c>
      <c r="O3" s="284" t="s">
        <v>831</v>
      </c>
      <c r="P3" s="284" t="s">
        <v>832</v>
      </c>
      <c r="Q3" s="284" t="s">
        <v>833</v>
      </c>
    </row>
    <row r="4" spans="3:17" x14ac:dyDescent="0.3">
      <c r="C4" s="17" t="s">
        <v>156</v>
      </c>
      <c r="D4" s="327">
        <v>45549</v>
      </c>
      <c r="E4" s="26" t="s">
        <v>816</v>
      </c>
      <c r="F4" s="26" t="s">
        <v>823</v>
      </c>
      <c r="G4" s="26">
        <v>2</v>
      </c>
      <c r="H4" s="26">
        <v>2147</v>
      </c>
      <c r="I4" s="26">
        <f>G4*H4</f>
        <v>4294</v>
      </c>
      <c r="J4" s="26">
        <v>2.5299999999999998</v>
      </c>
      <c r="K4" s="26">
        <f>H4*J4</f>
        <v>5431.91</v>
      </c>
      <c r="L4" s="26">
        <f>K4*G4</f>
        <v>10863.82</v>
      </c>
    </row>
    <row r="5" spans="3:17" x14ac:dyDescent="0.3">
      <c r="C5" s="17" t="s">
        <v>156</v>
      </c>
      <c r="D5" s="327">
        <v>45549</v>
      </c>
      <c r="E5" s="26" t="s">
        <v>816</v>
      </c>
      <c r="F5" s="160" t="s">
        <v>834</v>
      </c>
      <c r="G5" s="26">
        <v>3</v>
      </c>
      <c r="H5" s="26">
        <v>2497</v>
      </c>
      <c r="I5" s="26">
        <f>G5*H5</f>
        <v>7491</v>
      </c>
      <c r="J5" s="26">
        <v>2.5299999999999998</v>
      </c>
      <c r="K5" s="26">
        <f>H5*J5</f>
        <v>6317.41</v>
      </c>
      <c r="L5" s="26">
        <f>K5*G5</f>
        <v>18952.23</v>
      </c>
    </row>
    <row r="6" spans="3:17" x14ac:dyDescent="0.3">
      <c r="C6" s="17"/>
      <c r="D6" s="26"/>
      <c r="E6" s="26"/>
      <c r="F6" s="26"/>
      <c r="G6" s="26"/>
      <c r="H6" s="26"/>
      <c r="I6" s="26"/>
      <c r="J6" s="26"/>
      <c r="K6" s="26"/>
      <c r="L6" s="26"/>
    </row>
    <row r="7" spans="3:17" x14ac:dyDescent="0.3">
      <c r="C7" s="14" t="s">
        <v>733</v>
      </c>
      <c r="D7" s="327">
        <v>45550</v>
      </c>
      <c r="E7" s="160" t="s">
        <v>817</v>
      </c>
      <c r="F7" s="160" t="s">
        <v>834</v>
      </c>
      <c r="G7" s="26">
        <v>1</v>
      </c>
      <c r="H7" s="26">
        <v>2497</v>
      </c>
      <c r="I7" s="26">
        <f>G7*H7</f>
        <v>2497</v>
      </c>
      <c r="J7" s="26">
        <v>2.5299999999999998</v>
      </c>
      <c r="K7" s="26">
        <f>H7*J7</f>
        <v>6317.41</v>
      </c>
      <c r="L7" s="26">
        <f>K7*G7</f>
        <v>6317.41</v>
      </c>
    </row>
    <row r="8" spans="3:17" x14ac:dyDescent="0.3">
      <c r="C8" s="14" t="s">
        <v>725</v>
      </c>
      <c r="D8" s="327">
        <v>45550</v>
      </c>
      <c r="E8" s="160" t="s">
        <v>817</v>
      </c>
      <c r="F8" s="160" t="s">
        <v>834</v>
      </c>
      <c r="G8" s="26">
        <v>2</v>
      </c>
      <c r="H8" s="26">
        <v>2497</v>
      </c>
      <c r="I8" s="26">
        <f>G8*H8</f>
        <v>4994</v>
      </c>
      <c r="J8" s="26">
        <v>2.5299999999999998</v>
      </c>
      <c r="K8" s="26">
        <f>H8*J8</f>
        <v>6317.41</v>
      </c>
      <c r="L8" s="26">
        <f>K8*G8</f>
        <v>12634.82</v>
      </c>
    </row>
    <row r="9" spans="3:17" x14ac:dyDescent="0.3">
      <c r="C9" s="17"/>
      <c r="D9" s="26"/>
      <c r="E9" s="26"/>
      <c r="F9" s="26"/>
      <c r="G9" s="26"/>
      <c r="H9" s="26"/>
      <c r="I9" s="26"/>
      <c r="J9" s="26"/>
      <c r="K9" s="26"/>
      <c r="L9" s="26"/>
    </row>
    <row r="10" spans="3:17" x14ac:dyDescent="0.3">
      <c r="C10" s="14" t="s">
        <v>725</v>
      </c>
      <c r="D10" s="327">
        <v>45551</v>
      </c>
      <c r="E10" s="160" t="s">
        <v>835</v>
      </c>
      <c r="F10" s="160" t="s">
        <v>836</v>
      </c>
      <c r="G10" s="26">
        <v>3</v>
      </c>
      <c r="H10" s="26">
        <v>2847</v>
      </c>
      <c r="I10" s="26">
        <f t="shared" ref="I10:I11" si="0">G10*H10</f>
        <v>8541</v>
      </c>
      <c r="J10" s="26">
        <v>2.5299999999999998</v>
      </c>
      <c r="K10" s="26">
        <f t="shared" ref="K10:K11" si="1">H10*J10</f>
        <v>7202.91</v>
      </c>
      <c r="L10" s="26">
        <f t="shared" ref="L10:L11" si="2">K10*G10</f>
        <v>21608.73</v>
      </c>
    </row>
    <row r="11" spans="3:17" x14ac:dyDescent="0.3">
      <c r="C11" s="14" t="s">
        <v>725</v>
      </c>
      <c r="D11" s="327">
        <v>45551</v>
      </c>
      <c r="E11" s="160" t="s">
        <v>835</v>
      </c>
      <c r="F11" s="160" t="s">
        <v>837</v>
      </c>
      <c r="G11" s="26">
        <v>3</v>
      </c>
      <c r="H11" s="26">
        <v>1997</v>
      </c>
      <c r="I11" s="26">
        <f t="shared" si="0"/>
        <v>5991</v>
      </c>
      <c r="J11" s="26">
        <v>2.5299999999999998</v>
      </c>
      <c r="K11" s="26">
        <f t="shared" si="1"/>
        <v>5052.41</v>
      </c>
      <c r="L11" s="26">
        <f t="shared" si="2"/>
        <v>15157.23</v>
      </c>
    </row>
    <row r="12" spans="3:17" x14ac:dyDescent="0.3">
      <c r="C12" s="17"/>
      <c r="D12" s="26"/>
      <c r="E12" s="26"/>
      <c r="F12" s="26"/>
      <c r="G12" s="26"/>
      <c r="H12" s="26"/>
      <c r="I12" s="26"/>
      <c r="J12" s="26"/>
      <c r="K12" s="26"/>
      <c r="L12" s="26"/>
    </row>
    <row r="13" spans="3:17" x14ac:dyDescent="0.3">
      <c r="C13" s="14" t="s">
        <v>733</v>
      </c>
      <c r="D13" s="327">
        <v>45556</v>
      </c>
      <c r="E13" s="160" t="s">
        <v>839</v>
      </c>
      <c r="F13" s="26" t="s">
        <v>823</v>
      </c>
      <c r="G13" s="26">
        <v>11</v>
      </c>
      <c r="H13" s="26">
        <v>2149</v>
      </c>
      <c r="I13" s="26">
        <f t="shared" ref="I13:I14" si="3">G13*H13</f>
        <v>23639</v>
      </c>
      <c r="J13" s="26">
        <v>2.5299999999999998</v>
      </c>
      <c r="K13" s="26">
        <f t="shared" ref="K13:K14" si="4">H13*J13</f>
        <v>5436.9699999999993</v>
      </c>
      <c r="L13" s="26">
        <f t="shared" ref="L13:L14" si="5">K13*G13</f>
        <v>59806.669999999991</v>
      </c>
    </row>
    <row r="14" spans="3:17" x14ac:dyDescent="0.3">
      <c r="C14" s="14" t="s">
        <v>838</v>
      </c>
      <c r="D14" s="327">
        <v>45556</v>
      </c>
      <c r="E14" s="160" t="s">
        <v>839</v>
      </c>
      <c r="F14" s="26" t="s">
        <v>823</v>
      </c>
      <c r="G14" s="26">
        <v>8</v>
      </c>
      <c r="H14" s="26">
        <v>2149</v>
      </c>
      <c r="I14" s="26">
        <f t="shared" si="3"/>
        <v>17192</v>
      </c>
      <c r="J14" s="26">
        <v>2.5299999999999998</v>
      </c>
      <c r="K14" s="26">
        <f t="shared" si="4"/>
        <v>5436.9699999999993</v>
      </c>
      <c r="L14" s="26">
        <f t="shared" si="5"/>
        <v>43495.759999999995</v>
      </c>
    </row>
    <row r="15" spans="3:17" x14ac:dyDescent="0.3"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3:17" x14ac:dyDescent="0.3">
      <c r="C16" s="17"/>
      <c r="D16" s="17"/>
      <c r="E16" s="17"/>
      <c r="F16" s="472" t="s">
        <v>623</v>
      </c>
      <c r="G16" s="472"/>
      <c r="H16" s="17"/>
      <c r="I16" s="369">
        <f>SUM(I4:I15)</f>
        <v>74639</v>
      </c>
      <c r="J16" s="17"/>
      <c r="K16" s="17"/>
      <c r="L16" s="17">
        <f>SUM(L4:L15)</f>
        <v>188836.66999999998</v>
      </c>
    </row>
    <row r="17" spans="3:12" x14ac:dyDescent="0.3">
      <c r="C17" s="17"/>
      <c r="D17" s="17"/>
      <c r="E17" s="17"/>
      <c r="F17" s="473" t="s">
        <v>738</v>
      </c>
      <c r="G17" s="473"/>
      <c r="H17" s="365"/>
      <c r="I17" s="370">
        <v>-7463.9</v>
      </c>
      <c r="J17" s="365"/>
      <c r="K17" s="365"/>
      <c r="L17" s="364">
        <v>-18883.669999999998</v>
      </c>
    </row>
    <row r="18" spans="3:12" x14ac:dyDescent="0.3"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3:12" x14ac:dyDescent="0.3">
      <c r="C19" s="17"/>
      <c r="D19" s="17"/>
      <c r="E19" s="17"/>
      <c r="F19" s="472" t="s">
        <v>841</v>
      </c>
      <c r="G19" s="472"/>
      <c r="H19" s="17"/>
      <c r="I19" s="17"/>
      <c r="J19" s="17"/>
      <c r="K19" s="17"/>
      <c r="L19" s="17">
        <f>700*2.53</f>
        <v>1770.9999999999998</v>
      </c>
    </row>
    <row r="20" spans="3:12" x14ac:dyDescent="0.3">
      <c r="C20" s="17"/>
      <c r="D20" s="17"/>
      <c r="E20" s="17"/>
      <c r="F20" s="472" t="s">
        <v>840</v>
      </c>
      <c r="G20" s="472"/>
      <c r="H20" s="17"/>
      <c r="I20" s="17"/>
      <c r="J20" s="17"/>
      <c r="K20" s="17"/>
      <c r="L20" s="17">
        <v>1155</v>
      </c>
    </row>
    <row r="21" spans="3:12" ht="13.5" thickBot="1" x14ac:dyDescent="0.35">
      <c r="C21" s="17"/>
      <c r="D21" s="17"/>
      <c r="E21" s="17"/>
      <c r="F21" s="471" t="s">
        <v>842</v>
      </c>
      <c r="G21" s="471"/>
      <c r="H21" s="17"/>
      <c r="I21" s="17"/>
      <c r="J21" s="17"/>
      <c r="K21" s="17"/>
      <c r="L21" s="367">
        <f>SUM(L16:L20)</f>
        <v>172879</v>
      </c>
    </row>
    <row r="22" spans="3:12" ht="13.5" thickTop="1" x14ac:dyDescent="0.3"/>
    <row r="23" spans="3:12" x14ac:dyDescent="0.3">
      <c r="F23" s="471" t="s">
        <v>843</v>
      </c>
      <c r="G23" s="471"/>
      <c r="L23" s="368">
        <v>-195520</v>
      </c>
    </row>
    <row r="25" spans="3:12" x14ac:dyDescent="0.3">
      <c r="F25" s="471" t="s">
        <v>844</v>
      </c>
      <c r="G25" s="471"/>
      <c r="L25" s="366">
        <v>22641</v>
      </c>
    </row>
    <row r="29" spans="3:12" x14ac:dyDescent="0.3">
      <c r="C29" s="1" t="s">
        <v>1326</v>
      </c>
      <c r="D29" s="180">
        <v>45556</v>
      </c>
      <c r="F29" s="1" t="s">
        <v>1324</v>
      </c>
      <c r="G29" s="17">
        <v>4298</v>
      </c>
      <c r="H29" s="17">
        <v>2940.69</v>
      </c>
      <c r="I29" s="17">
        <v>3.6739999999999999</v>
      </c>
      <c r="J29">
        <f>H29*I29</f>
        <v>10804.09506</v>
      </c>
    </row>
    <row r="30" spans="3:12" x14ac:dyDescent="0.3">
      <c r="C30" s="1"/>
      <c r="D30" s="180">
        <v>45556</v>
      </c>
      <c r="F30" s="1" t="s">
        <v>1324</v>
      </c>
      <c r="G30" s="17">
        <v>4298</v>
      </c>
      <c r="H30" s="17">
        <v>2940.69</v>
      </c>
      <c r="I30" s="17">
        <v>3.6739999999999999</v>
      </c>
      <c r="J30">
        <f t="shared" ref="J30:J40" si="6">H30*I30</f>
        <v>10804.09506</v>
      </c>
    </row>
    <row r="31" spans="3:12" x14ac:dyDescent="0.3">
      <c r="C31" s="1"/>
      <c r="D31" s="180">
        <v>45556</v>
      </c>
      <c r="F31" s="1" t="s">
        <v>1324</v>
      </c>
      <c r="G31" s="17">
        <v>4298</v>
      </c>
      <c r="H31" s="17">
        <v>2940.69</v>
      </c>
      <c r="I31" s="17">
        <v>3.6739999999999999</v>
      </c>
      <c r="J31">
        <f t="shared" si="6"/>
        <v>10804.09506</v>
      </c>
    </row>
    <row r="32" spans="3:12" x14ac:dyDescent="0.3">
      <c r="C32" s="1"/>
      <c r="D32" s="180">
        <v>45556</v>
      </c>
      <c r="F32" s="1" t="s">
        <v>1324</v>
      </c>
      <c r="G32" s="17">
        <v>4298</v>
      </c>
      <c r="H32" s="17">
        <v>2940.69</v>
      </c>
      <c r="I32" s="17">
        <v>3.6739999999999999</v>
      </c>
      <c r="J32">
        <f t="shared" si="6"/>
        <v>10804.09506</v>
      </c>
    </row>
    <row r="33" spans="3:10" x14ac:dyDescent="0.3">
      <c r="C33" s="1"/>
      <c r="D33" s="180">
        <v>45556</v>
      </c>
      <c r="F33" s="1" t="s">
        <v>1325</v>
      </c>
      <c r="G33" s="17">
        <v>5698</v>
      </c>
      <c r="H33" s="17">
        <v>3954.41</v>
      </c>
      <c r="I33" s="17">
        <v>3.6739999999999999</v>
      </c>
      <c r="J33">
        <f t="shared" si="6"/>
        <v>14528.502339999999</v>
      </c>
    </row>
    <row r="34" spans="3:10" x14ac:dyDescent="0.3">
      <c r="C34" s="1"/>
      <c r="D34" s="180">
        <v>45574</v>
      </c>
      <c r="F34" s="1" t="s">
        <v>1324</v>
      </c>
      <c r="G34" s="17">
        <v>4298</v>
      </c>
      <c r="H34" s="17">
        <v>2899.86</v>
      </c>
      <c r="I34" s="17">
        <v>3.6739999999999999</v>
      </c>
      <c r="J34">
        <f t="shared" si="6"/>
        <v>10654.085640000001</v>
      </c>
    </row>
    <row r="35" spans="3:10" x14ac:dyDescent="0.3">
      <c r="C35" s="1"/>
      <c r="D35" s="180">
        <v>45574</v>
      </c>
      <c r="F35" s="1" t="s">
        <v>1324</v>
      </c>
      <c r="G35" s="17">
        <v>4298</v>
      </c>
      <c r="H35" s="17">
        <v>2899.86</v>
      </c>
      <c r="I35" s="17">
        <v>3.6739999999999999</v>
      </c>
      <c r="J35">
        <f t="shared" si="6"/>
        <v>10654.085640000001</v>
      </c>
    </row>
    <row r="36" spans="3:10" x14ac:dyDescent="0.3">
      <c r="C36" s="1"/>
      <c r="D36" s="180">
        <v>45574</v>
      </c>
      <c r="F36" s="1" t="s">
        <v>1324</v>
      </c>
      <c r="G36" s="17">
        <v>4298</v>
      </c>
      <c r="H36" s="17">
        <v>2899.86</v>
      </c>
      <c r="I36" s="17">
        <v>3.6739999999999999</v>
      </c>
      <c r="J36">
        <f t="shared" si="6"/>
        <v>10654.085640000001</v>
      </c>
    </row>
    <row r="37" spans="3:10" x14ac:dyDescent="0.3">
      <c r="C37" s="1"/>
      <c r="D37" s="180">
        <v>45574</v>
      </c>
      <c r="F37" s="1" t="s">
        <v>1324</v>
      </c>
      <c r="G37" s="17">
        <v>4298</v>
      </c>
      <c r="H37" s="17">
        <v>2899.86</v>
      </c>
      <c r="I37" s="17">
        <v>3.6739999999999999</v>
      </c>
      <c r="J37">
        <f t="shared" si="6"/>
        <v>10654.085640000001</v>
      </c>
    </row>
    <row r="38" spans="3:10" x14ac:dyDescent="0.3">
      <c r="C38" s="1"/>
      <c r="D38" s="180">
        <v>45574</v>
      </c>
      <c r="F38" s="1" t="s">
        <v>1324</v>
      </c>
      <c r="G38" s="17">
        <v>4298</v>
      </c>
      <c r="H38" s="17">
        <v>2899.86</v>
      </c>
      <c r="I38" s="17">
        <v>3.6739999999999999</v>
      </c>
      <c r="J38">
        <f t="shared" si="6"/>
        <v>10654.085640000001</v>
      </c>
    </row>
    <row r="39" spans="3:10" x14ac:dyDescent="0.3">
      <c r="C39" s="1"/>
      <c r="D39" s="180">
        <v>45574</v>
      </c>
      <c r="F39" s="1" t="s">
        <v>1324</v>
      </c>
      <c r="G39" s="17">
        <v>4298</v>
      </c>
      <c r="H39" s="17">
        <v>2899.86</v>
      </c>
      <c r="I39" s="17">
        <v>3.6739999999999999</v>
      </c>
      <c r="J39">
        <f t="shared" si="6"/>
        <v>10654.085640000001</v>
      </c>
    </row>
    <row r="40" spans="3:10" x14ac:dyDescent="0.3">
      <c r="C40" s="1"/>
      <c r="D40" s="180">
        <v>45574</v>
      </c>
      <c r="F40" s="1" t="s">
        <v>1324</v>
      </c>
      <c r="G40" s="17">
        <v>4298</v>
      </c>
      <c r="H40" s="17">
        <v>2899.86</v>
      </c>
      <c r="I40" s="17">
        <v>3.6739999999999999</v>
      </c>
      <c r="J40">
        <f t="shared" si="6"/>
        <v>10654.085640000001</v>
      </c>
    </row>
    <row r="42" spans="3:10" x14ac:dyDescent="0.3">
      <c r="G42">
        <f>SUM(G29:G41)</f>
        <v>52976</v>
      </c>
      <c r="H42">
        <f>SUM(H29:H41)</f>
        <v>36016.19</v>
      </c>
      <c r="J42">
        <f>SUM(J29:J41)</f>
        <v>132323.48206000001</v>
      </c>
    </row>
    <row r="45" spans="3:10" x14ac:dyDescent="0.3">
      <c r="C45" s="1" t="s">
        <v>733</v>
      </c>
      <c r="D45" s="180">
        <v>45556</v>
      </c>
      <c r="F45" s="1" t="s">
        <v>1327</v>
      </c>
      <c r="G45" s="17">
        <f>2849*4</f>
        <v>11396</v>
      </c>
      <c r="H45">
        <v>2.5499999999999998</v>
      </c>
      <c r="I45">
        <f>G45*H45</f>
        <v>29059.8</v>
      </c>
      <c r="J45">
        <v>29059.8</v>
      </c>
    </row>
    <row r="46" spans="3:10" x14ac:dyDescent="0.3">
      <c r="F46" s="1" t="s">
        <v>1328</v>
      </c>
      <c r="G46" s="17">
        <f>2149*25</f>
        <v>53725</v>
      </c>
      <c r="H46">
        <v>2.5499999999999998</v>
      </c>
      <c r="I46">
        <f>G46*H46</f>
        <v>136998.75</v>
      </c>
      <c r="J46">
        <v>136998.75</v>
      </c>
    </row>
    <row r="47" spans="3:10" x14ac:dyDescent="0.3">
      <c r="I47" s="429">
        <f>SUM(I45:I46)</f>
        <v>166058.54999999999</v>
      </c>
    </row>
  </sheetData>
  <mergeCells count="7">
    <mergeCell ref="F25:G25"/>
    <mergeCell ref="F16:G16"/>
    <mergeCell ref="F17:G17"/>
    <mergeCell ref="F19:G19"/>
    <mergeCell ref="F20:G20"/>
    <mergeCell ref="F21:G21"/>
    <mergeCell ref="F23:G2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:K61"/>
  <sheetViews>
    <sheetView topLeftCell="A16" workbookViewId="0">
      <selection activeCell="G19" sqref="G19"/>
    </sheetView>
  </sheetViews>
  <sheetFormatPr defaultRowHeight="13" x14ac:dyDescent="0.3"/>
  <cols>
    <col min="5" max="5" width="10.09765625" bestFit="1" customWidth="1"/>
    <col min="6" max="6" width="23.8984375" bestFit="1" customWidth="1"/>
    <col min="7" max="7" width="19.69921875" bestFit="1" customWidth="1"/>
  </cols>
  <sheetData>
    <row r="4" spans="2:11" ht="15.5" x14ac:dyDescent="0.35">
      <c r="B4" s="474" t="s">
        <v>1364</v>
      </c>
      <c r="C4" s="475"/>
      <c r="D4" s="475"/>
      <c r="E4" s="476"/>
      <c r="F4" s="2"/>
      <c r="G4" s="2"/>
      <c r="H4" s="2"/>
      <c r="I4" s="2"/>
      <c r="J4" s="2"/>
      <c r="K4" s="2"/>
    </row>
    <row r="5" spans="2:11" x14ac:dyDescent="0.3">
      <c r="B5" s="8"/>
      <c r="C5" s="412" t="s">
        <v>1365</v>
      </c>
      <c r="D5" s="412" t="s">
        <v>7</v>
      </c>
      <c r="E5" s="412" t="s">
        <v>822</v>
      </c>
      <c r="F5" s="2"/>
      <c r="G5" s="2"/>
      <c r="H5" s="243" t="s">
        <v>1366</v>
      </c>
      <c r="I5" s="243">
        <f>E14</f>
        <v>639025</v>
      </c>
      <c r="J5" s="2"/>
      <c r="K5" s="2"/>
    </row>
    <row r="6" spans="2:11" x14ac:dyDescent="0.3">
      <c r="B6" s="8" t="s">
        <v>792</v>
      </c>
      <c r="C6" s="412">
        <v>204</v>
      </c>
      <c r="D6" s="412">
        <v>1210</v>
      </c>
      <c r="E6" s="412">
        <f>C6*D6</f>
        <v>246840</v>
      </c>
      <c r="F6" s="2"/>
      <c r="G6" s="2"/>
      <c r="H6" s="243" t="s">
        <v>971</v>
      </c>
      <c r="I6" s="243">
        <f>E42</f>
        <v>914485</v>
      </c>
      <c r="J6" s="2"/>
      <c r="K6" s="2"/>
    </row>
    <row r="7" spans="2:11" x14ac:dyDescent="0.3">
      <c r="B7" s="8" t="s">
        <v>792</v>
      </c>
      <c r="C7" s="412">
        <v>42</v>
      </c>
      <c r="D7" s="412">
        <v>1160</v>
      </c>
      <c r="E7" s="412">
        <f t="shared" ref="E7:E8" si="0">C7*D7</f>
        <v>48720</v>
      </c>
      <c r="F7" s="2"/>
      <c r="G7" s="2"/>
      <c r="H7" s="243"/>
      <c r="I7" s="243"/>
      <c r="J7" s="2"/>
      <c r="K7" s="2"/>
    </row>
    <row r="8" spans="2:11" x14ac:dyDescent="0.3">
      <c r="B8" s="8" t="s">
        <v>792</v>
      </c>
      <c r="C8" s="412">
        <v>183</v>
      </c>
      <c r="D8" s="412">
        <v>1225</v>
      </c>
      <c r="E8" s="412">
        <f t="shared" si="0"/>
        <v>224175</v>
      </c>
      <c r="F8" s="2"/>
      <c r="G8" s="2"/>
      <c r="H8" s="243" t="s">
        <v>4</v>
      </c>
      <c r="I8" s="243">
        <f>I6-I5</f>
        <v>275460</v>
      </c>
      <c r="J8" s="2"/>
      <c r="K8" s="2"/>
    </row>
    <row r="9" spans="2:11" ht="14.5" x14ac:dyDescent="0.35">
      <c r="B9" s="8"/>
      <c r="C9" s="435">
        <f>SUM(C6:C8)</f>
        <v>429</v>
      </c>
      <c r="D9" s="412"/>
      <c r="E9" s="412"/>
      <c r="F9" s="2"/>
      <c r="G9" s="2"/>
      <c r="H9" s="2"/>
      <c r="I9" s="2"/>
      <c r="J9" s="2"/>
      <c r="K9" s="2"/>
    </row>
    <row r="10" spans="2:11" x14ac:dyDescent="0.3">
      <c r="B10" s="8"/>
      <c r="C10" s="412"/>
      <c r="D10" s="412"/>
      <c r="E10" s="412"/>
      <c r="F10" s="2"/>
      <c r="G10" s="2"/>
      <c r="H10" s="2"/>
      <c r="I10" s="2"/>
      <c r="J10" s="2"/>
      <c r="K10" s="2"/>
    </row>
    <row r="11" spans="2:11" x14ac:dyDescent="0.3">
      <c r="B11" s="8" t="s">
        <v>808</v>
      </c>
      <c r="C11" s="412">
        <v>37</v>
      </c>
      <c r="D11" s="412">
        <v>2120</v>
      </c>
      <c r="E11" s="412">
        <f t="shared" ref="E11:E12" si="1">C11*D11</f>
        <v>78440</v>
      </c>
      <c r="F11" s="2"/>
      <c r="G11" s="2"/>
      <c r="H11" s="2"/>
      <c r="I11" s="2"/>
      <c r="J11" s="2"/>
      <c r="K11" s="2"/>
    </row>
    <row r="12" spans="2:11" x14ac:dyDescent="0.3">
      <c r="B12" s="8" t="s">
        <v>808</v>
      </c>
      <c r="C12" s="412">
        <v>19</v>
      </c>
      <c r="D12" s="412">
        <v>2150</v>
      </c>
      <c r="E12" s="412">
        <f t="shared" si="1"/>
        <v>40850</v>
      </c>
      <c r="F12" s="2"/>
      <c r="G12" s="2"/>
      <c r="H12" s="2" t="s">
        <v>1367</v>
      </c>
      <c r="I12" s="2">
        <f>104+109+429</f>
        <v>642</v>
      </c>
      <c r="J12" s="2">
        <f>593</f>
        <v>593</v>
      </c>
      <c r="K12" s="2">
        <f>I12-J12</f>
        <v>49</v>
      </c>
    </row>
    <row r="13" spans="2:11" ht="14.5" x14ac:dyDescent="0.35">
      <c r="B13" s="8"/>
      <c r="C13" s="435">
        <f>SUM(C11:C12)</f>
        <v>56</v>
      </c>
      <c r="D13" s="8"/>
      <c r="E13" s="8"/>
      <c r="F13" s="2"/>
      <c r="G13" s="2"/>
      <c r="H13" s="2" t="s">
        <v>1368</v>
      </c>
      <c r="I13" s="2">
        <f>56+48+12</f>
        <v>116</v>
      </c>
      <c r="J13" s="2">
        <f>84</f>
        <v>84</v>
      </c>
      <c r="K13" s="2">
        <f>I13-J13</f>
        <v>32</v>
      </c>
    </row>
    <row r="14" spans="2:11" x14ac:dyDescent="0.3">
      <c r="B14" s="8"/>
      <c r="C14" s="477" t="s">
        <v>1366</v>
      </c>
      <c r="D14" s="477"/>
      <c r="E14" s="412">
        <f>SUM(E6:E13)</f>
        <v>639025</v>
      </c>
      <c r="F14" s="2"/>
      <c r="G14" s="2"/>
      <c r="H14" s="2"/>
      <c r="I14" s="2"/>
      <c r="J14" s="2"/>
      <c r="K14" s="2"/>
    </row>
    <row r="15" spans="2:1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5.5" x14ac:dyDescent="0.35">
      <c r="B17" s="474" t="s">
        <v>69</v>
      </c>
      <c r="C17" s="475"/>
      <c r="D17" s="475"/>
      <c r="E17" s="476"/>
      <c r="F17" s="2"/>
      <c r="G17" s="2"/>
      <c r="H17" s="2"/>
      <c r="I17" s="2"/>
      <c r="J17" s="2"/>
      <c r="K17" s="2"/>
    </row>
    <row r="18" spans="2:11" x14ac:dyDescent="0.3">
      <c r="B18" s="8"/>
      <c r="C18" s="412" t="s">
        <v>1365</v>
      </c>
      <c r="D18" s="412" t="s">
        <v>7</v>
      </c>
      <c r="E18" s="412" t="s">
        <v>822</v>
      </c>
      <c r="F18" s="2"/>
      <c r="G18" s="2"/>
      <c r="H18" s="2"/>
      <c r="I18" s="2"/>
      <c r="J18" s="2"/>
      <c r="K18" s="2"/>
    </row>
    <row r="19" spans="2:11" x14ac:dyDescent="0.3">
      <c r="B19" s="8" t="s">
        <v>792</v>
      </c>
      <c r="C19" s="412">
        <v>104</v>
      </c>
      <c r="D19" s="412">
        <v>1230</v>
      </c>
      <c r="E19" s="412">
        <f>C19*D19</f>
        <v>127920</v>
      </c>
      <c r="F19" s="2"/>
      <c r="G19" s="2"/>
      <c r="H19" s="2"/>
      <c r="I19" s="2"/>
      <c r="J19" s="2"/>
      <c r="K19" s="2"/>
    </row>
    <row r="20" spans="2:11" x14ac:dyDescent="0.3">
      <c r="B20" s="8"/>
      <c r="C20" s="412">
        <v>204</v>
      </c>
      <c r="D20" s="412">
        <v>1230</v>
      </c>
      <c r="E20" s="412">
        <f t="shared" ref="E20:E30" si="2">C20*D20</f>
        <v>250920</v>
      </c>
      <c r="F20" s="2"/>
      <c r="G20" s="2"/>
      <c r="H20" s="2"/>
      <c r="I20" s="2"/>
      <c r="J20" s="2"/>
      <c r="K20" s="2"/>
    </row>
    <row r="21" spans="2:11" x14ac:dyDescent="0.3">
      <c r="B21" s="8"/>
      <c r="C21" s="412">
        <v>150</v>
      </c>
      <c r="D21" s="412">
        <v>1235</v>
      </c>
      <c r="E21" s="412">
        <f t="shared" si="2"/>
        <v>185250</v>
      </c>
      <c r="F21" s="2"/>
      <c r="G21" s="2"/>
      <c r="H21" s="2"/>
      <c r="I21" s="2"/>
      <c r="J21" s="2"/>
      <c r="K21" s="2"/>
    </row>
    <row r="22" spans="2:11" x14ac:dyDescent="0.3">
      <c r="B22" s="8"/>
      <c r="C22" s="412">
        <v>10</v>
      </c>
      <c r="D22" s="412">
        <v>1250</v>
      </c>
      <c r="E22" s="412">
        <f t="shared" si="2"/>
        <v>12500</v>
      </c>
      <c r="F22" s="2"/>
      <c r="G22" s="2"/>
      <c r="H22" s="2"/>
      <c r="I22" s="2"/>
      <c r="J22" s="2"/>
      <c r="K22" s="2"/>
    </row>
    <row r="23" spans="2:11" x14ac:dyDescent="0.3">
      <c r="B23" s="8"/>
      <c r="C23" s="412">
        <v>20</v>
      </c>
      <c r="D23" s="412">
        <v>1235</v>
      </c>
      <c r="E23" s="412">
        <f t="shared" si="2"/>
        <v>24700</v>
      </c>
      <c r="F23" s="2"/>
      <c r="G23" s="2"/>
      <c r="H23" s="2"/>
      <c r="I23" s="2"/>
      <c r="J23" s="2"/>
      <c r="K23" s="2"/>
    </row>
    <row r="24" spans="2:11" x14ac:dyDescent="0.3">
      <c r="B24" s="8"/>
      <c r="C24" s="412">
        <v>1</v>
      </c>
      <c r="D24" s="412">
        <v>1235</v>
      </c>
      <c r="E24" s="412">
        <f t="shared" si="2"/>
        <v>1235</v>
      </c>
      <c r="F24" s="2"/>
      <c r="G24" s="2"/>
      <c r="H24" s="2"/>
      <c r="I24" s="2"/>
      <c r="J24" s="2"/>
      <c r="K24" s="2"/>
    </row>
    <row r="25" spans="2:11" x14ac:dyDescent="0.3">
      <c r="B25" s="8"/>
      <c r="C25" s="412">
        <v>50</v>
      </c>
      <c r="D25" s="412">
        <v>1240</v>
      </c>
      <c r="E25" s="412">
        <f t="shared" si="2"/>
        <v>62000</v>
      </c>
      <c r="F25" s="2"/>
      <c r="G25" s="2"/>
      <c r="H25" s="2"/>
      <c r="I25" s="2"/>
      <c r="J25" s="2"/>
      <c r="K25" s="2"/>
    </row>
    <row r="26" spans="2:11" x14ac:dyDescent="0.3">
      <c r="B26" s="8"/>
      <c r="C26" s="412">
        <v>8</v>
      </c>
      <c r="D26" s="412">
        <v>1235</v>
      </c>
      <c r="E26" s="412">
        <f t="shared" si="2"/>
        <v>9880</v>
      </c>
      <c r="F26" s="2"/>
      <c r="G26" s="2"/>
      <c r="H26" s="2"/>
      <c r="I26" s="2"/>
      <c r="J26" s="2"/>
      <c r="K26" s="2"/>
    </row>
    <row r="27" spans="2:11" x14ac:dyDescent="0.3">
      <c r="B27" s="8"/>
      <c r="C27" s="412">
        <v>5</v>
      </c>
      <c r="D27" s="412">
        <v>1250</v>
      </c>
      <c r="E27" s="412">
        <f t="shared" si="2"/>
        <v>6250</v>
      </c>
      <c r="F27" s="2"/>
      <c r="G27" s="2"/>
      <c r="H27" s="2"/>
      <c r="I27" s="2"/>
      <c r="J27" s="2"/>
      <c r="K27" s="2"/>
    </row>
    <row r="28" spans="2:11" x14ac:dyDescent="0.3">
      <c r="B28" s="8"/>
      <c r="C28" s="412">
        <v>30</v>
      </c>
      <c r="D28" s="412">
        <v>1245</v>
      </c>
      <c r="E28" s="412">
        <f t="shared" si="2"/>
        <v>37350</v>
      </c>
      <c r="F28" s="2"/>
      <c r="G28" s="2"/>
      <c r="H28" s="2"/>
      <c r="I28" s="2"/>
      <c r="J28" s="2"/>
      <c r="K28" s="2"/>
    </row>
    <row r="29" spans="2:11" x14ac:dyDescent="0.3">
      <c r="B29" s="8"/>
      <c r="C29" s="412">
        <v>1</v>
      </c>
      <c r="D29" s="412">
        <v>1250</v>
      </c>
      <c r="E29" s="412">
        <f t="shared" si="2"/>
        <v>1250</v>
      </c>
      <c r="F29" s="2"/>
      <c r="G29" s="2"/>
      <c r="H29" s="2"/>
      <c r="I29" s="2"/>
      <c r="J29" s="2"/>
      <c r="K29" s="2"/>
    </row>
    <row r="30" spans="2:11" x14ac:dyDescent="0.3">
      <c r="B30" s="8"/>
      <c r="C30" s="412">
        <v>10</v>
      </c>
      <c r="D30" s="412">
        <v>1250</v>
      </c>
      <c r="E30" s="412">
        <f t="shared" si="2"/>
        <v>12500</v>
      </c>
      <c r="F30" s="2"/>
      <c r="G30" s="2"/>
      <c r="H30" s="2"/>
      <c r="I30" s="2"/>
      <c r="J30" s="2"/>
      <c r="K30" s="2"/>
    </row>
    <row r="31" spans="2:11" ht="14.5" x14ac:dyDescent="0.35">
      <c r="B31" s="8"/>
      <c r="C31" s="435">
        <f>SUM(C19:C30)</f>
        <v>593</v>
      </c>
      <c r="D31" s="8"/>
      <c r="E31" s="8"/>
      <c r="F31" s="2"/>
      <c r="G31" s="2"/>
      <c r="H31" s="2"/>
      <c r="I31" s="2"/>
      <c r="J31" s="2"/>
      <c r="K31" s="2"/>
    </row>
    <row r="32" spans="2:11" x14ac:dyDescent="0.3">
      <c r="B32" s="8" t="s">
        <v>808</v>
      </c>
      <c r="C32" s="412">
        <v>5</v>
      </c>
      <c r="D32" s="412">
        <v>2200</v>
      </c>
      <c r="E32" s="412">
        <f t="shared" ref="E32:E40" si="3">C32*D32</f>
        <v>11000</v>
      </c>
      <c r="F32" s="2"/>
      <c r="G32" s="2"/>
      <c r="H32" s="2"/>
      <c r="I32" s="2"/>
      <c r="J32" s="2"/>
      <c r="K32" s="2"/>
    </row>
    <row r="33" spans="2:11" x14ac:dyDescent="0.3">
      <c r="B33" s="8"/>
      <c r="C33" s="412">
        <v>10</v>
      </c>
      <c r="D33" s="412">
        <v>2180</v>
      </c>
      <c r="E33" s="412">
        <f t="shared" si="3"/>
        <v>21800</v>
      </c>
      <c r="F33" s="2"/>
      <c r="G33" s="2"/>
      <c r="H33" s="2"/>
      <c r="I33" s="2"/>
      <c r="J33" s="2"/>
      <c r="K33" s="2"/>
    </row>
    <row r="34" spans="2:11" x14ac:dyDescent="0.3">
      <c r="B34" s="8"/>
      <c r="C34" s="412">
        <v>2</v>
      </c>
      <c r="D34" s="412">
        <v>2140</v>
      </c>
      <c r="E34" s="412">
        <f t="shared" si="3"/>
        <v>4280</v>
      </c>
      <c r="F34" s="2"/>
      <c r="G34" s="2"/>
      <c r="H34" s="2"/>
      <c r="I34" s="2"/>
      <c r="J34" s="2"/>
      <c r="K34" s="2"/>
    </row>
    <row r="35" spans="2:11" x14ac:dyDescent="0.3">
      <c r="B35" s="8"/>
      <c r="C35" s="412">
        <v>15</v>
      </c>
      <c r="D35" s="412">
        <v>2100</v>
      </c>
      <c r="E35" s="412">
        <f t="shared" si="3"/>
        <v>31500</v>
      </c>
      <c r="F35" s="2"/>
      <c r="G35" s="2"/>
      <c r="H35" s="2"/>
      <c r="I35" s="2"/>
      <c r="J35" s="2"/>
      <c r="K35" s="2"/>
    </row>
    <row r="36" spans="2:11" x14ac:dyDescent="0.3">
      <c r="B36" s="8"/>
      <c r="C36" s="412">
        <v>3</v>
      </c>
      <c r="D36" s="412">
        <v>2150</v>
      </c>
      <c r="E36" s="412">
        <f t="shared" si="3"/>
        <v>6450</v>
      </c>
      <c r="F36" s="2"/>
      <c r="G36" s="2"/>
      <c r="H36" s="2"/>
      <c r="I36" s="2"/>
      <c r="J36" s="2"/>
      <c r="K36" s="2"/>
    </row>
    <row r="37" spans="2:11" x14ac:dyDescent="0.3">
      <c r="B37" s="8"/>
      <c r="C37" s="412">
        <v>10</v>
      </c>
      <c r="D37" s="412">
        <v>2200</v>
      </c>
      <c r="E37" s="412">
        <f t="shared" si="3"/>
        <v>22000</v>
      </c>
      <c r="F37" s="2"/>
      <c r="G37" s="2"/>
      <c r="H37" s="2"/>
      <c r="I37" s="2"/>
      <c r="J37" s="2"/>
      <c r="K37" s="2"/>
    </row>
    <row r="38" spans="2:11" x14ac:dyDescent="0.3">
      <c r="B38" s="8"/>
      <c r="C38" s="412">
        <v>19</v>
      </c>
      <c r="D38" s="412">
        <v>2200</v>
      </c>
      <c r="E38" s="412">
        <f t="shared" si="3"/>
        <v>41800</v>
      </c>
      <c r="F38" s="2"/>
      <c r="G38" s="2"/>
      <c r="H38" s="2"/>
      <c r="I38" s="2"/>
      <c r="J38" s="2"/>
      <c r="K38" s="2"/>
    </row>
    <row r="39" spans="2:11" x14ac:dyDescent="0.3">
      <c r="B39" s="8"/>
      <c r="C39" s="412">
        <v>10</v>
      </c>
      <c r="D39" s="412">
        <v>2200</v>
      </c>
      <c r="E39" s="412">
        <f t="shared" si="3"/>
        <v>22000</v>
      </c>
      <c r="F39" s="2"/>
      <c r="G39" s="2"/>
      <c r="H39" s="2"/>
      <c r="I39" s="2"/>
      <c r="J39" s="2"/>
      <c r="K39" s="2"/>
    </row>
    <row r="40" spans="2:11" x14ac:dyDescent="0.3">
      <c r="B40" s="8"/>
      <c r="C40" s="412">
        <v>10</v>
      </c>
      <c r="D40" s="412">
        <v>2190</v>
      </c>
      <c r="E40" s="412">
        <f t="shared" si="3"/>
        <v>21900</v>
      </c>
      <c r="F40" s="2"/>
      <c r="G40" s="2"/>
      <c r="H40" s="2"/>
      <c r="I40" s="2"/>
      <c r="J40" s="2"/>
      <c r="K40" s="2"/>
    </row>
    <row r="41" spans="2:11" ht="14.5" x14ac:dyDescent="0.35">
      <c r="B41" s="8"/>
      <c r="C41" s="435">
        <f>SUM(C32:C40)</f>
        <v>84</v>
      </c>
      <c r="D41" s="8"/>
      <c r="E41" s="8"/>
      <c r="F41" s="2"/>
      <c r="G41" s="2"/>
      <c r="H41" s="2"/>
      <c r="I41" s="2"/>
      <c r="J41" s="2"/>
      <c r="K41" s="2"/>
    </row>
    <row r="42" spans="2:11" x14ac:dyDescent="0.3">
      <c r="B42" s="8"/>
      <c r="C42" s="477" t="s">
        <v>971</v>
      </c>
      <c r="D42" s="477"/>
      <c r="E42" s="412">
        <f>SUM(E19:E41)</f>
        <v>914485</v>
      </c>
      <c r="F42" s="2"/>
      <c r="G42" s="2"/>
      <c r="H42" s="2"/>
      <c r="I42" s="2"/>
      <c r="J42" s="2"/>
      <c r="K42" s="2"/>
    </row>
    <row r="47" spans="2:11" x14ac:dyDescent="0.3">
      <c r="D47" s="2"/>
      <c r="E47" s="2"/>
      <c r="F47" s="2"/>
      <c r="G47" s="2"/>
      <c r="H47" s="2"/>
      <c r="I47" s="2"/>
    </row>
    <row r="48" spans="2:11" ht="18.5" x14ac:dyDescent="0.45">
      <c r="D48" s="2"/>
      <c r="E48" s="442" t="s">
        <v>0</v>
      </c>
      <c r="F48" s="442" t="s">
        <v>448</v>
      </c>
      <c r="G48" s="442" t="s">
        <v>1376</v>
      </c>
      <c r="H48" s="442" t="s">
        <v>40</v>
      </c>
      <c r="I48" s="2"/>
    </row>
    <row r="49" spans="4:9" x14ac:dyDescent="0.3">
      <c r="D49" s="2"/>
      <c r="E49" s="8"/>
      <c r="F49" s="8"/>
      <c r="G49" s="8"/>
      <c r="H49" s="8"/>
      <c r="I49" s="2"/>
    </row>
    <row r="50" spans="4:9" x14ac:dyDescent="0.3">
      <c r="D50" s="2"/>
      <c r="E50" s="427">
        <v>45477</v>
      </c>
      <c r="F50" s="8" t="s">
        <v>1377</v>
      </c>
      <c r="G50" s="8">
        <v>5100</v>
      </c>
      <c r="H50" s="8"/>
      <c r="I50" s="2"/>
    </row>
    <row r="51" spans="4:9" x14ac:dyDescent="0.3">
      <c r="D51" s="2"/>
      <c r="E51" s="427">
        <v>45488</v>
      </c>
      <c r="F51" s="8" t="s">
        <v>1378</v>
      </c>
      <c r="G51" s="8">
        <v>2082</v>
      </c>
      <c r="H51" s="8"/>
      <c r="I51" s="2"/>
    </row>
    <row r="52" spans="4:9" x14ac:dyDescent="0.3">
      <c r="D52" s="2"/>
      <c r="E52" s="427">
        <v>45493</v>
      </c>
      <c r="F52" s="8" t="s">
        <v>1379</v>
      </c>
      <c r="G52" s="8">
        <v>2556</v>
      </c>
      <c r="H52" s="8">
        <v>55</v>
      </c>
      <c r="I52" s="2"/>
    </row>
    <row r="53" spans="4:9" x14ac:dyDescent="0.3">
      <c r="D53" s="2"/>
      <c r="E53" s="427">
        <v>45502</v>
      </c>
      <c r="F53" s="8" t="s">
        <v>1380</v>
      </c>
      <c r="G53" s="8">
        <v>8412.26</v>
      </c>
      <c r="H53" s="8">
        <v>150</v>
      </c>
      <c r="I53" s="2"/>
    </row>
    <row r="54" spans="4:9" x14ac:dyDescent="0.3">
      <c r="D54" s="2"/>
      <c r="E54" s="8"/>
      <c r="F54" s="8"/>
      <c r="G54" s="8"/>
      <c r="H54" s="8"/>
      <c r="I54" s="2"/>
    </row>
    <row r="55" spans="4:9" x14ac:dyDescent="0.3">
      <c r="D55" s="2" t="s">
        <v>307</v>
      </c>
      <c r="E55" s="427">
        <v>45539</v>
      </c>
      <c r="F55" s="8" t="s">
        <v>1381</v>
      </c>
      <c r="G55" s="8">
        <v>12011.8</v>
      </c>
      <c r="H55" s="8">
        <v>179.44</v>
      </c>
      <c r="I55" s="2"/>
    </row>
    <row r="56" spans="4:9" x14ac:dyDescent="0.3">
      <c r="D56" s="2" t="s">
        <v>307</v>
      </c>
      <c r="E56" s="427">
        <v>45544</v>
      </c>
      <c r="F56" s="8" t="s">
        <v>1382</v>
      </c>
      <c r="G56" s="8">
        <v>874.8</v>
      </c>
      <c r="H56" s="8">
        <v>38.799999999999997</v>
      </c>
      <c r="I56" s="2"/>
    </row>
    <row r="57" spans="4:9" x14ac:dyDescent="0.3">
      <c r="D57" s="2" t="s">
        <v>307</v>
      </c>
      <c r="E57" s="427">
        <v>45547</v>
      </c>
      <c r="F57" s="8" t="s">
        <v>1383</v>
      </c>
      <c r="G57" s="8"/>
      <c r="H57" s="8"/>
      <c r="I57" s="2"/>
    </row>
    <row r="58" spans="4:9" x14ac:dyDescent="0.3">
      <c r="D58" s="2"/>
      <c r="E58" s="427">
        <v>45560</v>
      </c>
      <c r="F58" s="8" t="s">
        <v>1384</v>
      </c>
      <c r="G58" s="8"/>
      <c r="H58" s="8"/>
      <c r="I58" s="2"/>
    </row>
    <row r="59" spans="4:9" x14ac:dyDescent="0.3">
      <c r="D59" s="2"/>
      <c r="E59" s="427">
        <v>45565</v>
      </c>
      <c r="F59" s="8" t="s">
        <v>1385</v>
      </c>
      <c r="G59" s="8"/>
      <c r="H59" s="8"/>
      <c r="I59" s="2"/>
    </row>
    <row r="60" spans="4:9" x14ac:dyDescent="0.3">
      <c r="D60" s="2"/>
      <c r="E60" s="2"/>
      <c r="F60" s="2"/>
      <c r="G60" s="2"/>
      <c r="H60" s="2"/>
      <c r="I60" s="2"/>
    </row>
    <row r="61" spans="4:9" x14ac:dyDescent="0.3">
      <c r="D61" s="2"/>
      <c r="E61" s="2"/>
      <c r="F61" s="2"/>
      <c r="G61" s="2"/>
      <c r="H61" s="2"/>
      <c r="I61" s="2"/>
    </row>
  </sheetData>
  <mergeCells count="4">
    <mergeCell ref="B4:E4"/>
    <mergeCell ref="C14:D14"/>
    <mergeCell ref="B17:E17"/>
    <mergeCell ref="C42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close</vt:lpstr>
      <vt:lpstr>Cards Payments</vt:lpstr>
      <vt:lpstr>Problem</vt:lpstr>
      <vt:lpstr>Total</vt:lpstr>
      <vt:lpstr>Pending Work</vt:lpstr>
      <vt:lpstr>Sheet2</vt:lpstr>
      <vt:lpstr>Ledgers</vt:lpstr>
      <vt:lpstr>Refund &amp; GC</vt:lpstr>
      <vt:lpstr>Prchasing Entry</vt:lpstr>
      <vt:lpstr>Sell Sheet</vt:lpstr>
      <vt:lpstr>AB CArd</vt:lpstr>
      <vt:lpstr>Starlink Stock</vt:lpstr>
      <vt:lpstr>Purchasing From July</vt:lpstr>
      <vt:lpstr>GST Charges</vt:lpstr>
      <vt:lpstr>Expense Sheet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Store Buying</dc:title>
  <dc:creator>dell5300</dc:creator>
  <cp:lastModifiedBy>dell5300</cp:lastModifiedBy>
  <cp:lastPrinted>2025-01-09T10:54:58Z</cp:lastPrinted>
  <dcterms:created xsi:type="dcterms:W3CDTF">2024-06-10T16:30:54Z</dcterms:created>
  <dcterms:modified xsi:type="dcterms:W3CDTF">2025-06-21T18:02:27Z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Google Sheets</vt:lpwstr>
  </property>
</Properties>
</file>