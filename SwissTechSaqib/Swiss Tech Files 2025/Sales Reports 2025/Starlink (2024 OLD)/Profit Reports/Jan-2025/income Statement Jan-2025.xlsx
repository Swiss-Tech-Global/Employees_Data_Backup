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32" i="3"/>
  <c r="E30"/>
  <c r="E27"/>
  <c r="E21"/>
  <c r="E20"/>
  <c r="K16"/>
  <c r="K15"/>
  <c r="K14"/>
  <c r="K13"/>
  <c r="K12"/>
  <c r="K11"/>
  <c r="K10"/>
  <c r="K9"/>
  <c r="K7"/>
  <c r="K6"/>
  <c r="E6"/>
  <c r="E8" s="1"/>
  <c r="E34" s="1"/>
  <c r="K5"/>
  <c r="K4"/>
  <c r="K3"/>
  <c r="D9" i="2"/>
  <c r="D45" i="1"/>
  <c r="D44"/>
  <c r="D52" l="1"/>
  <c r="D58"/>
  <c r="D60" l="1"/>
  <c r="D47"/>
  <c r="D40"/>
  <c r="D13"/>
  <c r="D20"/>
  <c r="D49" l="1"/>
  <c r="D63" s="1"/>
  <c r="D26"/>
  <c r="D25"/>
  <c r="D22"/>
  <c r="D21"/>
  <c r="D15"/>
  <c r="D27" l="1"/>
  <c r="D9"/>
  <c r="D17" s="1"/>
  <c r="D30" l="1"/>
</calcChain>
</file>

<file path=xl/sharedStrings.xml><?xml version="1.0" encoding="utf-8"?>
<sst xmlns="http://schemas.openxmlformats.org/spreadsheetml/2006/main" count="74" uniqueCount="58">
  <si>
    <t>Total Sales</t>
  </si>
  <si>
    <t xml:space="preserve">Discount </t>
  </si>
  <si>
    <t>Net Sales</t>
  </si>
  <si>
    <t>REVENUES</t>
  </si>
  <si>
    <t>COST OF GOODS</t>
  </si>
  <si>
    <t>Total Cost</t>
  </si>
  <si>
    <t>Shipping Charges</t>
  </si>
  <si>
    <t>Total Cost Of Sale</t>
  </si>
  <si>
    <t>Gross Profit</t>
  </si>
  <si>
    <t>INCOME STATEMENT
MONTH OF JAN-2025</t>
  </si>
  <si>
    <t>EXPENSES</t>
  </si>
  <si>
    <t>Carry Charges</t>
  </si>
  <si>
    <t>Mis.Exp</t>
  </si>
  <si>
    <t>Office Exp</t>
  </si>
  <si>
    <t>Rent Exp</t>
  </si>
  <si>
    <t>Salaries Exp</t>
  </si>
  <si>
    <t>CommissionCharges</t>
  </si>
  <si>
    <t xml:space="preserve">Net Income </t>
  </si>
  <si>
    <t>GST Refund (NZ)
$1437.01</t>
  </si>
  <si>
    <t>Australia Office Exp $3500</t>
  </si>
  <si>
    <t>INCOME STATEMENT
MONTH OF FEB-2025</t>
  </si>
  <si>
    <t>TICKET &amp; VISA EXP</t>
  </si>
  <si>
    <t>Canada Office Exp $2500</t>
  </si>
  <si>
    <t>Closing Profit 15-Oct-2024</t>
  </si>
  <si>
    <t>Closing Profit 31-Dec-2024</t>
  </si>
  <si>
    <t>GST Refund (NZ) $70421.87</t>
  </si>
  <si>
    <t>GST Refund (AUD) $4120.05</t>
  </si>
  <si>
    <t>Travelling Exp</t>
  </si>
  <si>
    <t>Closing Profit Feb-2025</t>
  </si>
  <si>
    <t>Closing Profit 30-Jan-2025</t>
  </si>
  <si>
    <t>TOTAL</t>
  </si>
  <si>
    <t>Stock In Dubai</t>
  </si>
  <si>
    <t>Stock in AUD</t>
  </si>
  <si>
    <t>Stock in NZ</t>
  </si>
  <si>
    <t>Advance Deposit AUD $2090</t>
  </si>
  <si>
    <t>Cash At Dubai</t>
  </si>
  <si>
    <t>Receivables</t>
  </si>
  <si>
    <t>Anas Gohar</t>
  </si>
  <si>
    <t>Hamza</t>
  </si>
  <si>
    <t>Mudassir</t>
  </si>
  <si>
    <t>Saad</t>
  </si>
  <si>
    <t>Sheer Alam</t>
  </si>
  <si>
    <t>Umar Canada</t>
  </si>
  <si>
    <t>US Office</t>
  </si>
  <si>
    <t>AR Meezan (karachi Stock)</t>
  </si>
  <si>
    <t>HEZAR MOHAMMAD</t>
  </si>
  <si>
    <t>WORLD MART</t>
  </si>
  <si>
    <t>GST Refund NZ  $79794.11</t>
  </si>
  <si>
    <t>Payables</t>
  </si>
  <si>
    <t>Abdul Majid Bhai</t>
  </si>
  <si>
    <t>Abdul Majid Bhai Investment</t>
  </si>
  <si>
    <t>Raaz</t>
  </si>
  <si>
    <t xml:space="preserve">Jawed Bhai </t>
  </si>
  <si>
    <t>Waheed Bhai</t>
  </si>
  <si>
    <t>AR</t>
  </si>
  <si>
    <t>Faisal Bhai</t>
  </si>
  <si>
    <t>MEGATOP CARGO $12117.47</t>
  </si>
  <si>
    <t>Net</t>
  </si>
</sst>
</file>

<file path=xl/styles.xml><?xml version="1.0" encoding="utf-8"?>
<styleSheet xmlns="http://schemas.openxmlformats.org/spreadsheetml/2006/main">
  <numFmts count="2">
    <numFmt numFmtId="43" formatCode="_-* #,##0.00_-;\-* #,##0.00_-;_-* &quot;-&quot;??_-;_-@_-"/>
    <numFmt numFmtId="164" formatCode="#,##0.000"/>
  </numFmts>
  <fonts count="10">
    <font>
      <sz val="11"/>
      <color theme="1"/>
      <name val="Calibri"/>
      <family val="2"/>
      <charset val="1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b/>
      <u val="singleAccounting"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6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 applyAlignment="1">
      <alignment vertical="center"/>
    </xf>
    <xf numFmtId="0" fontId="1" fillId="3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3" xfId="0" applyBorder="1"/>
    <xf numFmtId="3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3" xfId="0" applyFont="1" applyBorder="1" applyAlignment="1">
      <alignment wrapText="1"/>
    </xf>
    <xf numFmtId="2" fontId="0" fillId="0" borderId="4" xfId="0" applyNumberFormat="1" applyBorder="1" applyAlignment="1">
      <alignment horizontal="center" vertical="center"/>
    </xf>
    <xf numFmtId="0" fontId="1" fillId="0" borderId="3" xfId="0" applyFont="1" applyBorder="1"/>
    <xf numFmtId="0" fontId="4" fillId="4" borderId="5" xfId="0" applyFont="1" applyFill="1" applyBorder="1" applyAlignment="1">
      <alignment horizontal="center"/>
    </xf>
    <xf numFmtId="3" fontId="4" fillId="4" borderId="10" xfId="0" applyNumberFormat="1" applyFont="1" applyFill="1" applyBorder="1" applyAlignment="1">
      <alignment horizontal="center"/>
    </xf>
    <xf numFmtId="0" fontId="0" fillId="0" borderId="3" xfId="0" applyFill="1" applyBorder="1"/>
    <xf numFmtId="0" fontId="0" fillId="0" borderId="4" xfId="0" applyFill="1" applyBorder="1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3" fontId="0" fillId="0" borderId="4" xfId="0" applyNumberFormat="1" applyFill="1" applyBorder="1" applyAlignment="1">
      <alignment horizontal="center"/>
    </xf>
    <xf numFmtId="0" fontId="6" fillId="0" borderId="0" xfId="0" applyFont="1"/>
    <xf numFmtId="43" fontId="6" fillId="0" borderId="0" xfId="1" applyFont="1" applyAlignment="1">
      <alignment horizontal="center" vertical="top"/>
    </xf>
    <xf numFmtId="43" fontId="6" fillId="0" borderId="0" xfId="1" applyFont="1" applyAlignment="1">
      <alignment horizontal="center"/>
    </xf>
    <xf numFmtId="0" fontId="3" fillId="0" borderId="0" xfId="0" applyFont="1"/>
    <xf numFmtId="0" fontId="7" fillId="0" borderId="0" xfId="0" applyFont="1"/>
    <xf numFmtId="43" fontId="8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11" xfId="0" applyFon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6" fillId="0" borderId="15" xfId="0" applyFont="1" applyBorder="1" applyAlignment="1">
      <alignment horizontal="center"/>
    </xf>
    <xf numFmtId="4" fontId="0" fillId="0" borderId="16" xfId="0" applyNumberFormat="1" applyBorder="1" applyAlignment="1">
      <alignment horizontal="center"/>
    </xf>
    <xf numFmtId="0" fontId="6" fillId="0" borderId="17" xfId="0" applyFont="1" applyBorder="1" applyAlignment="1">
      <alignment horizontal="center"/>
    </xf>
    <xf numFmtId="3" fontId="9" fillId="0" borderId="18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3" xfId="0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2" fontId="4" fillId="0" borderId="21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3" fontId="0" fillId="0" borderId="23" xfId="0" applyNumberFormat="1" applyBorder="1" applyAlignment="1">
      <alignment horizontal="center"/>
    </xf>
    <xf numFmtId="4" fontId="0" fillId="0" borderId="14" xfId="0" applyNumberFormat="1" applyBorder="1" applyAlignment="1">
      <alignment horizontal="center"/>
    </xf>
    <xf numFmtId="4" fontId="0" fillId="0" borderId="4" xfId="0" applyNumberFormat="1" applyBorder="1"/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 wrapText="1"/>
    </xf>
    <xf numFmtId="3" fontId="4" fillId="0" borderId="16" xfId="0" applyNumberFormat="1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164" fontId="6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F63"/>
  <sheetViews>
    <sheetView topLeftCell="A43" workbookViewId="0">
      <selection activeCell="B32" sqref="B32:E64"/>
    </sheetView>
  </sheetViews>
  <sheetFormatPr defaultRowHeight="14.5"/>
  <cols>
    <col min="3" max="3" width="24.1796875" bestFit="1" customWidth="1"/>
    <col min="4" max="4" width="20.453125" style="1" customWidth="1"/>
    <col min="7" max="7" width="22.7265625" bestFit="1" customWidth="1"/>
    <col min="8" max="8" width="19.54296875" customWidth="1"/>
  </cols>
  <sheetData>
    <row r="1" spans="3:5" ht="15" thickBot="1"/>
    <row r="2" spans="3:5" ht="14.5" customHeight="1">
      <c r="C2" s="57" t="s">
        <v>9</v>
      </c>
      <c r="D2" s="58"/>
      <c r="E2" s="2"/>
    </row>
    <row r="3" spans="3:5" ht="14.5" customHeight="1">
      <c r="C3" s="59"/>
      <c r="D3" s="60"/>
      <c r="E3" s="2"/>
    </row>
    <row r="4" spans="3:5" ht="14.5" customHeight="1" thickBot="1">
      <c r="C4" s="61"/>
      <c r="D4" s="62"/>
      <c r="E4" s="2"/>
    </row>
    <row r="5" spans="3:5" ht="15" thickBot="1"/>
    <row r="6" spans="3:5">
      <c r="C6" s="3" t="s">
        <v>3</v>
      </c>
      <c r="D6" s="4"/>
    </row>
    <row r="7" spans="3:5">
      <c r="C7" s="5" t="s">
        <v>0</v>
      </c>
      <c r="D7" s="6">
        <v>1180080</v>
      </c>
    </row>
    <row r="8" spans="3:5">
      <c r="C8" s="5" t="s">
        <v>1</v>
      </c>
      <c r="D8" s="7">
        <v>-35</v>
      </c>
    </row>
    <row r="9" spans="3:5">
      <c r="C9" s="5" t="s">
        <v>2</v>
      </c>
      <c r="D9" s="8">
        <f>SUM(D7:D8)</f>
        <v>1180045</v>
      </c>
    </row>
    <row r="10" spans="3:5">
      <c r="C10" s="5"/>
      <c r="D10" s="7"/>
    </row>
    <row r="11" spans="3:5">
      <c r="C11" s="9" t="s">
        <v>4</v>
      </c>
      <c r="D11" s="10"/>
    </row>
    <row r="12" spans="3:5">
      <c r="C12" s="5" t="s">
        <v>5</v>
      </c>
      <c r="D12" s="6">
        <v>1144695</v>
      </c>
    </row>
    <row r="13" spans="3:5" ht="29">
      <c r="C13" s="13" t="s">
        <v>18</v>
      </c>
      <c r="D13" s="14">
        <f>-1437.01*2.19</f>
        <v>-3147.0518999999999</v>
      </c>
    </row>
    <row r="14" spans="3:5">
      <c r="C14" s="5" t="s">
        <v>6</v>
      </c>
      <c r="D14" s="7">
        <v>0</v>
      </c>
    </row>
    <row r="15" spans="3:5">
      <c r="C15" s="5" t="s">
        <v>7</v>
      </c>
      <c r="D15" s="8">
        <f>SUM(D12:D14)</f>
        <v>1141547.9480999999</v>
      </c>
    </row>
    <row r="16" spans="3:5">
      <c r="C16" s="5"/>
      <c r="D16" s="7"/>
    </row>
    <row r="17" spans="3:6" ht="15" thickBot="1">
      <c r="C17" s="5" t="s">
        <v>8</v>
      </c>
      <c r="D17" s="11">
        <f>D9-D15</f>
        <v>38497.051900000079</v>
      </c>
    </row>
    <row r="18" spans="3:6" ht="15" thickTop="1">
      <c r="C18" s="5"/>
      <c r="D18" s="7"/>
    </row>
    <row r="19" spans="3:6">
      <c r="C19" s="9" t="s">
        <v>10</v>
      </c>
      <c r="D19" s="10"/>
    </row>
    <row r="20" spans="3:6">
      <c r="C20" s="18" t="s">
        <v>19</v>
      </c>
      <c r="D20" s="19">
        <f>3500*2.3</f>
        <v>8049.9999999999991</v>
      </c>
    </row>
    <row r="21" spans="3:6">
      <c r="C21" s="5" t="s">
        <v>11</v>
      </c>
      <c r="D21" s="7">
        <f>513+513+1603+1026+835</f>
        <v>4490</v>
      </c>
    </row>
    <row r="22" spans="3:6">
      <c r="C22" s="5" t="s">
        <v>12</v>
      </c>
      <c r="D22" s="7">
        <f>65+100+15+100+100+40+130+80+15+50+30+80+60+15</f>
        <v>880</v>
      </c>
    </row>
    <row r="23" spans="3:6">
      <c r="C23" s="5" t="s">
        <v>13</v>
      </c>
      <c r="D23" s="7">
        <v>355</v>
      </c>
    </row>
    <row r="24" spans="3:6">
      <c r="C24" s="5" t="s">
        <v>14</v>
      </c>
      <c r="D24" s="7">
        <v>385</v>
      </c>
    </row>
    <row r="25" spans="3:6">
      <c r="C25" s="5" t="s">
        <v>15</v>
      </c>
      <c r="D25" s="7">
        <f>380+15000+828</f>
        <v>16208</v>
      </c>
    </row>
    <row r="26" spans="3:6">
      <c r="C26" s="5" t="s">
        <v>16</v>
      </c>
      <c r="D26" s="7">
        <f>200</f>
        <v>200</v>
      </c>
    </row>
    <row r="27" spans="3:6" ht="15" thickBot="1">
      <c r="C27" s="5"/>
      <c r="D27" s="12">
        <f>SUM(D20:D26)</f>
        <v>30568</v>
      </c>
    </row>
    <row r="28" spans="3:6">
      <c r="C28" s="15"/>
      <c r="D28" s="7"/>
    </row>
    <row r="29" spans="3:6" ht="15" thickBot="1">
      <c r="C29" s="5"/>
      <c r="D29" s="7"/>
    </row>
    <row r="30" spans="3:6" ht="15.5" thickTop="1" thickBot="1">
      <c r="C30" s="16" t="s">
        <v>17</v>
      </c>
      <c r="D30" s="17">
        <f>D17-D27</f>
        <v>7929.0519000000786</v>
      </c>
      <c r="F30">
        <v>7929</v>
      </c>
    </row>
    <row r="32" spans="3:6" ht="15" thickBot="1"/>
    <row r="33" spans="3:4">
      <c r="C33" s="57" t="s">
        <v>20</v>
      </c>
      <c r="D33" s="58"/>
    </row>
    <row r="34" spans="3:4">
      <c r="C34" s="59"/>
      <c r="D34" s="60"/>
    </row>
    <row r="35" spans="3:4" ht="15" thickBot="1">
      <c r="C35" s="61"/>
      <c r="D35" s="62"/>
    </row>
    <row r="36" spans="3:4" ht="15" thickBot="1"/>
    <row r="37" spans="3:4">
      <c r="C37" s="3" t="s">
        <v>3</v>
      </c>
      <c r="D37" s="4"/>
    </row>
    <row r="38" spans="3:4">
      <c r="C38" s="5" t="s">
        <v>0</v>
      </c>
      <c r="D38" s="6">
        <v>537542</v>
      </c>
    </row>
    <row r="39" spans="3:4">
      <c r="C39" s="5" t="s">
        <v>1</v>
      </c>
      <c r="D39" s="7"/>
    </row>
    <row r="40" spans="3:4">
      <c r="C40" s="5" t="s">
        <v>2</v>
      </c>
      <c r="D40" s="8">
        <f>SUM(D38:D39)</f>
        <v>537542</v>
      </c>
    </row>
    <row r="41" spans="3:4">
      <c r="C41" s="5"/>
      <c r="D41" s="7"/>
    </row>
    <row r="42" spans="3:4">
      <c r="C42" s="9" t="s">
        <v>4</v>
      </c>
      <c r="D42" s="10"/>
    </row>
    <row r="43" spans="3:4">
      <c r="C43" s="5" t="s">
        <v>5</v>
      </c>
      <c r="D43" s="6">
        <v>549388</v>
      </c>
    </row>
    <row r="44" spans="3:4">
      <c r="C44" s="20" t="s">
        <v>25</v>
      </c>
      <c r="D44" s="6">
        <f>-70421.87*2.19</f>
        <v>-154223.89529999997</v>
      </c>
    </row>
    <row r="45" spans="3:4">
      <c r="C45" s="20" t="s">
        <v>26</v>
      </c>
      <c r="D45" s="6">
        <f>-4120.05*2.32</f>
        <v>-9558.5159999999996</v>
      </c>
    </row>
    <row r="46" spans="3:4">
      <c r="C46" s="5" t="s">
        <v>6</v>
      </c>
      <c r="D46" s="7">
        <v>36838</v>
      </c>
    </row>
    <row r="47" spans="3:4">
      <c r="C47" s="5" t="s">
        <v>7</v>
      </c>
      <c r="D47" s="8">
        <f>SUM(D43:D46)</f>
        <v>422443.58870000002</v>
      </c>
    </row>
    <row r="48" spans="3:4">
      <c r="C48" s="5"/>
      <c r="D48" s="7"/>
    </row>
    <row r="49" spans="3:6" ht="15" thickBot="1">
      <c r="C49" s="5" t="s">
        <v>8</v>
      </c>
      <c r="D49" s="11">
        <f>D40-D47</f>
        <v>115098.41129999998</v>
      </c>
    </row>
    <row r="50" spans="3:6" ht="15" thickTop="1">
      <c r="C50" s="5"/>
      <c r="D50" s="7"/>
    </row>
    <row r="51" spans="3:6">
      <c r="C51" s="9" t="s">
        <v>10</v>
      </c>
      <c r="D51" s="10"/>
    </row>
    <row r="52" spans="3:6">
      <c r="C52" s="18" t="s">
        <v>19</v>
      </c>
      <c r="D52" s="19">
        <f>3500*2.32</f>
        <v>8119.9999999999991</v>
      </c>
    </row>
    <row r="53" spans="3:6">
      <c r="C53" s="18" t="s">
        <v>22</v>
      </c>
      <c r="D53" s="21">
        <v>6400</v>
      </c>
    </row>
    <row r="54" spans="3:6">
      <c r="C54" s="18" t="s">
        <v>27</v>
      </c>
      <c r="D54" s="21">
        <v>6670</v>
      </c>
    </row>
    <row r="55" spans="3:6">
      <c r="C55" s="5" t="s">
        <v>12</v>
      </c>
      <c r="D55" s="7">
        <v>376</v>
      </c>
    </row>
    <row r="56" spans="3:6">
      <c r="C56" s="5" t="s">
        <v>14</v>
      </c>
      <c r="D56" s="7">
        <v>385</v>
      </c>
    </row>
    <row r="57" spans="3:6">
      <c r="C57" s="5" t="s">
        <v>21</v>
      </c>
      <c r="D57" s="7">
        <v>5709</v>
      </c>
    </row>
    <row r="58" spans="3:6">
      <c r="C58" s="5" t="s">
        <v>15</v>
      </c>
      <c r="D58" s="7">
        <f>15000+828</f>
        <v>15828</v>
      </c>
    </row>
    <row r="59" spans="3:6">
      <c r="C59" s="5" t="s">
        <v>16</v>
      </c>
      <c r="D59" s="7">
        <v>0</v>
      </c>
    </row>
    <row r="60" spans="3:6" ht="15" thickBot="1">
      <c r="C60" s="5"/>
      <c r="D60" s="12">
        <f>SUM(D52:D59)</f>
        <v>43488</v>
      </c>
    </row>
    <row r="61" spans="3:6">
      <c r="C61" s="15"/>
      <c r="D61" s="7"/>
    </row>
    <row r="62" spans="3:6" ht="15" thickBot="1">
      <c r="C62" s="5"/>
      <c r="D62" s="7"/>
    </row>
    <row r="63" spans="3:6" ht="15.5" thickTop="1" thickBot="1">
      <c r="C63" s="16" t="s">
        <v>17</v>
      </c>
      <c r="D63" s="17">
        <f>D49-D60</f>
        <v>71610.411299999978</v>
      </c>
      <c r="F63">
        <v>71610</v>
      </c>
    </row>
  </sheetData>
  <mergeCells count="2">
    <mergeCell ref="C2:D4"/>
    <mergeCell ref="C33:D35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C3:D10"/>
  <sheetViews>
    <sheetView tabSelected="1" workbookViewId="0">
      <selection activeCell="D13" sqref="D13"/>
    </sheetView>
  </sheetViews>
  <sheetFormatPr defaultRowHeight="14.5"/>
  <cols>
    <col min="3" max="3" width="25.54296875" customWidth="1"/>
    <col min="4" max="4" width="19" customWidth="1"/>
  </cols>
  <sheetData>
    <row r="3" spans="3:4">
      <c r="C3" s="25"/>
      <c r="D3" s="25"/>
    </row>
    <row r="4" spans="3:4">
      <c r="C4" s="28" t="s">
        <v>23</v>
      </c>
      <c r="D4" s="23">
        <v>828101</v>
      </c>
    </row>
    <row r="5" spans="3:4">
      <c r="C5" s="28" t="s">
        <v>24</v>
      </c>
      <c r="D5" s="23">
        <v>381648</v>
      </c>
    </row>
    <row r="6" spans="3:4">
      <c r="C6" s="28" t="s">
        <v>29</v>
      </c>
      <c r="D6" s="24">
        <v>7929</v>
      </c>
    </row>
    <row r="7" spans="3:4">
      <c r="C7" s="28" t="s">
        <v>28</v>
      </c>
      <c r="D7" s="24">
        <v>71610</v>
      </c>
    </row>
    <row r="8" spans="3:4" ht="16">
      <c r="C8" s="28"/>
      <c r="D8" s="26"/>
    </row>
    <row r="9" spans="3:4" ht="16">
      <c r="C9" s="29" t="s">
        <v>30</v>
      </c>
      <c r="D9" s="27">
        <f>SUM(D4:D8)</f>
        <v>1289288</v>
      </c>
    </row>
    <row r="10" spans="3:4">
      <c r="C10" s="25"/>
      <c r="D10" s="2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D2:K34"/>
  <sheetViews>
    <sheetView workbookViewId="0">
      <selection activeCell="M18" sqref="M18"/>
    </sheetView>
  </sheetViews>
  <sheetFormatPr defaultRowHeight="14.5"/>
  <sheetData>
    <row r="2" spans="4:11" ht="15" thickBot="1">
      <c r="D2" s="22"/>
    </row>
    <row r="3" spans="4:11">
      <c r="D3" s="30" t="s">
        <v>31</v>
      </c>
      <c r="E3" s="31">
        <v>845157</v>
      </c>
      <c r="I3">
        <v>14</v>
      </c>
      <c r="J3">
        <v>1200</v>
      </c>
      <c r="K3">
        <f>I3*J3</f>
        <v>16800</v>
      </c>
    </row>
    <row r="4" spans="4:11">
      <c r="D4" s="32" t="s">
        <v>32</v>
      </c>
      <c r="E4" s="33">
        <v>51302</v>
      </c>
      <c r="I4">
        <v>291</v>
      </c>
      <c r="J4">
        <v>1300</v>
      </c>
      <c r="K4">
        <f t="shared" ref="K4:K16" si="0">I4*J4</f>
        <v>378300</v>
      </c>
    </row>
    <row r="5" spans="4:11">
      <c r="D5" s="32" t="s">
        <v>33</v>
      </c>
      <c r="E5" s="33">
        <v>169653</v>
      </c>
      <c r="I5">
        <v>2</v>
      </c>
      <c r="J5">
        <v>1300</v>
      </c>
      <c r="K5">
        <f t="shared" si="0"/>
        <v>2600</v>
      </c>
    </row>
    <row r="6" spans="4:11">
      <c r="D6" s="34" t="s">
        <v>34</v>
      </c>
      <c r="E6" s="33">
        <f>2090*2.32</f>
        <v>4848.7999999999993</v>
      </c>
      <c r="I6">
        <v>189</v>
      </c>
      <c r="J6">
        <v>265</v>
      </c>
      <c r="K6">
        <f t="shared" si="0"/>
        <v>50085</v>
      </c>
    </row>
    <row r="7" spans="4:11" ht="15" thickBot="1">
      <c r="D7" s="35" t="s">
        <v>35</v>
      </c>
      <c r="E7" s="36">
        <v>45936.5</v>
      </c>
      <c r="I7">
        <v>250</v>
      </c>
      <c r="J7">
        <v>326</v>
      </c>
      <c r="K7">
        <f t="shared" si="0"/>
        <v>81500</v>
      </c>
    </row>
    <row r="8" spans="4:11" ht="15" thickBot="1">
      <c r="D8" s="37"/>
      <c r="E8" s="38">
        <f>SUM(E3:E7)+11000</f>
        <v>1127897.3</v>
      </c>
    </row>
    <row r="9" spans="4:11">
      <c r="D9" s="30" t="s">
        <v>36</v>
      </c>
      <c r="E9" s="39"/>
      <c r="I9">
        <v>3</v>
      </c>
      <c r="K9">
        <f t="shared" si="0"/>
        <v>0</v>
      </c>
    </row>
    <row r="10" spans="4:11">
      <c r="D10" s="34" t="s">
        <v>37</v>
      </c>
      <c r="E10" s="33">
        <v>50</v>
      </c>
      <c r="I10">
        <v>11</v>
      </c>
      <c r="K10">
        <f t="shared" si="0"/>
        <v>0</v>
      </c>
    </row>
    <row r="11" spans="4:11">
      <c r="D11" s="40" t="s">
        <v>38</v>
      </c>
      <c r="E11" s="33">
        <v>4530</v>
      </c>
      <c r="I11">
        <v>1</v>
      </c>
      <c r="K11">
        <f t="shared" si="0"/>
        <v>0</v>
      </c>
    </row>
    <row r="12" spans="4:11">
      <c r="D12" s="34" t="s">
        <v>39</v>
      </c>
      <c r="E12" s="33">
        <v>1253</v>
      </c>
      <c r="I12">
        <v>1</v>
      </c>
      <c r="K12">
        <f t="shared" si="0"/>
        <v>0</v>
      </c>
    </row>
    <row r="13" spans="4:11">
      <c r="D13" s="34" t="s">
        <v>40</v>
      </c>
      <c r="E13" s="33">
        <v>31482</v>
      </c>
      <c r="I13">
        <v>5</v>
      </c>
      <c r="K13">
        <f t="shared" si="0"/>
        <v>0</v>
      </c>
    </row>
    <row r="14" spans="4:11">
      <c r="D14" s="34" t="s">
        <v>41</v>
      </c>
      <c r="E14" s="33">
        <v>692</v>
      </c>
      <c r="I14">
        <v>2</v>
      </c>
      <c r="K14">
        <f t="shared" si="0"/>
        <v>0</v>
      </c>
    </row>
    <row r="15" spans="4:11">
      <c r="D15" s="34" t="s">
        <v>42</v>
      </c>
      <c r="E15" s="33">
        <v>8992</v>
      </c>
      <c r="I15">
        <v>1</v>
      </c>
      <c r="K15">
        <f t="shared" si="0"/>
        <v>0</v>
      </c>
    </row>
    <row r="16" spans="4:11">
      <c r="D16" s="34" t="s">
        <v>43</v>
      </c>
      <c r="E16" s="33">
        <v>-1710</v>
      </c>
      <c r="I16">
        <v>2</v>
      </c>
      <c r="K16">
        <f t="shared" si="0"/>
        <v>0</v>
      </c>
    </row>
    <row r="17" spans="4:5">
      <c r="D17" s="34" t="s">
        <v>44</v>
      </c>
      <c r="E17" s="33">
        <v>53033.87</v>
      </c>
    </row>
    <row r="18" spans="4:5">
      <c r="D18" s="34" t="s">
        <v>45</v>
      </c>
      <c r="E18" s="41">
        <v>12850</v>
      </c>
    </row>
    <row r="19" spans="4:5">
      <c r="D19" s="42" t="s">
        <v>46</v>
      </c>
      <c r="E19" s="43">
        <v>31500</v>
      </c>
    </row>
    <row r="20" spans="4:5" ht="15" thickBot="1">
      <c r="D20" s="44" t="s">
        <v>47</v>
      </c>
      <c r="E20" s="45">
        <f>79794.11*2.2</f>
        <v>175547.04200000002</v>
      </c>
    </row>
    <row r="21" spans="4:5" ht="15" thickBot="1">
      <c r="D21" s="46"/>
      <c r="E21" s="47">
        <f>SUM(E10:E20)+14000</f>
        <v>332219.91200000001</v>
      </c>
    </row>
    <row r="22" spans="4:5">
      <c r="D22" s="30" t="s">
        <v>48</v>
      </c>
      <c r="E22" s="39"/>
    </row>
    <row r="23" spans="4:5">
      <c r="D23" s="48" t="s">
        <v>49</v>
      </c>
      <c r="E23" s="49">
        <v>34725</v>
      </c>
    </row>
    <row r="24" spans="4:5">
      <c r="D24" s="48" t="s">
        <v>50</v>
      </c>
      <c r="E24" s="49">
        <v>74867</v>
      </c>
    </row>
    <row r="25" spans="4:5">
      <c r="D25" s="34" t="s">
        <v>51</v>
      </c>
      <c r="E25" s="50">
        <v>98877.23</v>
      </c>
    </row>
    <row r="26" spans="4:5">
      <c r="D26" s="34" t="s">
        <v>52</v>
      </c>
      <c r="E26" s="33">
        <v>115000</v>
      </c>
    </row>
    <row r="27" spans="4:5">
      <c r="D27" s="34" t="s">
        <v>53</v>
      </c>
      <c r="E27" s="33">
        <f>442083.27-75047</f>
        <v>367036.27</v>
      </c>
    </row>
    <row r="28" spans="4:5">
      <c r="D28" s="34" t="s">
        <v>54</v>
      </c>
      <c r="E28" s="51">
        <v>654711.11</v>
      </c>
    </row>
    <row r="29" spans="4:5">
      <c r="D29" s="34" t="s">
        <v>55</v>
      </c>
      <c r="E29" s="51">
        <v>78804.210000000006</v>
      </c>
    </row>
    <row r="30" spans="4:5">
      <c r="D30" s="42" t="s">
        <v>56</v>
      </c>
      <c r="E30" s="52">
        <f>12117.47*2.3</f>
        <v>27870.180999999997</v>
      </c>
    </row>
    <row r="31" spans="4:5">
      <c r="D31" s="53"/>
      <c r="E31" s="43"/>
    </row>
    <row r="32" spans="4:5" ht="15" thickBot="1">
      <c r="D32" s="44"/>
      <c r="E32" s="54">
        <f>SUM(E23:E31)</f>
        <v>1451891.0009999999</v>
      </c>
    </row>
    <row r="34" spans="4:5">
      <c r="D34" s="55" t="s">
        <v>57</v>
      </c>
      <c r="E34" s="56">
        <f>E8+E21-E32</f>
        <v>8226.2110000001267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dell5300</dc:creator>
  <cp:lastModifiedBy>dell5300</cp:lastModifiedBy>
  <cp:lastPrinted>2025-02-24T15:19:19Z</cp:lastPrinted>
  <dcterms:created xsi:type="dcterms:W3CDTF">2025-01-30T10:10:04Z</dcterms:created>
  <dcterms:modified xsi:type="dcterms:W3CDTF">2025-02-24T15:19:20Z</dcterms:modified>
</cp:coreProperties>
</file>