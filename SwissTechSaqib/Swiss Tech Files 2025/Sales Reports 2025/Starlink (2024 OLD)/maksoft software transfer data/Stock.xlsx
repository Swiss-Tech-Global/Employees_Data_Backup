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6220" windowHeight="6550" activeTab="1"/>
  </bookViews>
  <sheets>
    <sheet name="Opening Stock" sheetId="1" r:id="rId1"/>
    <sheet name="Opening Balances" sheetId="2" r:id="rId2"/>
    <sheet name="Party Balances" sheetId="3" r:id="rId3"/>
    <sheet name="cash" sheetId="4" r:id="rId4"/>
    <sheet name="ledger" sheetId="5" r:id="rId5"/>
  </sheets>
  <calcPr calcId="124519"/>
</workbook>
</file>

<file path=xl/calcChain.xml><?xml version="1.0" encoding="utf-8"?>
<calcChain xmlns="http://schemas.openxmlformats.org/spreadsheetml/2006/main">
  <c r="F53" i="2"/>
  <c r="F56" s="1"/>
  <c r="F51"/>
  <c r="F49"/>
  <c r="F41"/>
  <c r="F40"/>
  <c r="F39"/>
  <c r="K15" i="1"/>
  <c r="K14"/>
  <c r="K13"/>
  <c r="K12"/>
  <c r="K11"/>
  <c r="K6"/>
  <c r="K5"/>
  <c r="K4"/>
  <c r="J15"/>
  <c r="J14"/>
  <c r="J13"/>
  <c r="J12"/>
  <c r="J11"/>
  <c r="J9"/>
  <c r="J8"/>
  <c r="J7"/>
  <c r="K7" s="1"/>
  <c r="J6"/>
  <c r="J5"/>
  <c r="J4"/>
  <c r="H15"/>
  <c r="H14"/>
  <c r="H13"/>
  <c r="H12"/>
  <c r="H11"/>
  <c r="H9"/>
  <c r="H8"/>
  <c r="H7"/>
  <c r="H6"/>
  <c r="H5"/>
  <c r="H4"/>
  <c r="G15"/>
  <c r="G14"/>
  <c r="G13"/>
  <c r="G12"/>
  <c r="G11"/>
  <c r="G9"/>
  <c r="G8"/>
  <c r="G7"/>
  <c r="G6"/>
  <c r="G5"/>
  <c r="G4"/>
  <c r="K8"/>
  <c r="F55" i="2" l="1"/>
  <c r="F49" i="4"/>
  <c r="E4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H22" i="2"/>
  <c r="F19"/>
  <c r="F25" s="1"/>
  <c r="F24"/>
  <c r="F23"/>
  <c r="F15"/>
  <c r="F6"/>
  <c r="E5"/>
  <c r="F4"/>
  <c r="F7" s="1"/>
  <c r="F16" s="1"/>
  <c r="F27" l="1"/>
  <c r="F5" i="3" l="1"/>
  <c r="F3"/>
  <c r="I27" i="1"/>
  <c r="I26"/>
</calcChain>
</file>

<file path=xl/sharedStrings.xml><?xml version="1.0" encoding="utf-8"?>
<sst xmlns="http://schemas.openxmlformats.org/spreadsheetml/2006/main" count="164" uniqueCount="120">
  <si>
    <t>CLOSING STOCK</t>
  </si>
  <si>
    <t>AUD</t>
  </si>
  <si>
    <t>Rate</t>
  </si>
  <si>
    <t>AED</t>
  </si>
  <si>
    <t>Australia</t>
  </si>
  <si>
    <t>V4  73Unit</t>
  </si>
  <si>
    <t>Mini 121 Units</t>
  </si>
  <si>
    <t>PS5 15units</t>
  </si>
  <si>
    <t>Charge 5 18Units</t>
  </si>
  <si>
    <t>Essential Flip 16Units</t>
  </si>
  <si>
    <t>Starlink Intax Camera</t>
  </si>
  <si>
    <t>Dubai</t>
  </si>
  <si>
    <t>IP 16PM 256GB 4units</t>
  </si>
  <si>
    <t>IP 16PM 1TB 2units</t>
  </si>
  <si>
    <t>Printer 1 Unit</t>
  </si>
  <si>
    <t xml:space="preserve">V4 55Units </t>
  </si>
  <si>
    <t>Mini 10 Units</t>
  </si>
  <si>
    <t>Dubai Local</t>
  </si>
  <si>
    <t>V4 49 Unit  @1225</t>
  </si>
  <si>
    <t>Mini 32Unit  @2120</t>
  </si>
  <si>
    <t>TOTAL</t>
  </si>
  <si>
    <t xml:space="preserve">australia </t>
  </si>
  <si>
    <t>v4</t>
  </si>
  <si>
    <t>mini</t>
  </si>
  <si>
    <t>PS5</t>
  </si>
  <si>
    <t>Charge5</t>
  </si>
  <si>
    <t>flip</t>
  </si>
  <si>
    <t>intax camera</t>
  </si>
  <si>
    <t>Dubai Stock</t>
  </si>
  <si>
    <t>ip 16 256</t>
  </si>
  <si>
    <t>ip 16 1tb</t>
  </si>
  <si>
    <t>printer</t>
  </si>
  <si>
    <t xml:space="preserve">World Mart Balance </t>
  </si>
  <si>
    <t>2 dji Camera</t>
  </si>
  <si>
    <t>Iphone 16</t>
  </si>
  <si>
    <t>Opening Balance</t>
  </si>
  <si>
    <t>Stock</t>
  </si>
  <si>
    <t>Total Stock In Australia Value</t>
  </si>
  <si>
    <t>Total Stock In Dubai Value</t>
  </si>
  <si>
    <t xml:space="preserve">Less: GST </t>
  </si>
  <si>
    <t>Final Stock Value</t>
  </si>
  <si>
    <t>Dubai Local Purchased Stock</t>
  </si>
  <si>
    <t>Payment</t>
  </si>
  <si>
    <t xml:space="preserve">Cash In Hand Dubai </t>
  </si>
  <si>
    <t>Receivable</t>
  </si>
  <si>
    <t>From Waheed Bhai</t>
  </si>
  <si>
    <t>From Abdul Rehman Bhai</t>
  </si>
  <si>
    <t>GST Refund Pending</t>
  </si>
  <si>
    <t>Gift Card Balance
JB Hifi / Harvey</t>
  </si>
  <si>
    <t>Payables</t>
  </si>
  <si>
    <t>AB Card Balance</t>
  </si>
  <si>
    <t>AR Credit Card</t>
  </si>
  <si>
    <t>AR Investment</t>
  </si>
  <si>
    <t>Abdul Majid Bhai $13754.7 CAD</t>
  </si>
  <si>
    <t>Net Profit</t>
  </si>
  <si>
    <t>done</t>
  </si>
  <si>
    <t>AMGT Cards $36186.80 USD</t>
  </si>
  <si>
    <t>AR opening Adjustment</t>
  </si>
  <si>
    <t>Faisal Bhai Cash Pending</t>
  </si>
  <si>
    <t>Date</t>
  </si>
  <si>
    <t>Details</t>
  </si>
  <si>
    <t>Dr</t>
  </si>
  <si>
    <t>Cr</t>
  </si>
  <si>
    <t>Balance AED</t>
  </si>
  <si>
    <t xml:space="preserve">Cash Paid </t>
  </si>
  <si>
    <t>IP 16 Stock Clearing</t>
  </si>
  <si>
    <t>Starlink Stock Clearing</t>
  </si>
  <si>
    <t>Extra Received From Faisal bhai</t>
  </si>
  <si>
    <t xml:space="preserve">Paid to faisal Bhai </t>
  </si>
  <si>
    <t>Local Sell Purchase Profit</t>
  </si>
  <si>
    <t>Faisal Bhai (Faheem Payment)</t>
  </si>
  <si>
    <t>Faisal Bhai (Cell&amp;Tell Payment)</t>
  </si>
  <si>
    <t>Cash Paid From AMGT</t>
  </si>
  <si>
    <t>Paid to Faisal Bhai Encell Payment</t>
  </si>
  <si>
    <t>Starlink Sell Purchased Difference</t>
  </si>
  <si>
    <t>Clearing Charges  (55Unit V4 &amp; 10 Units Mini Shipment)</t>
  </si>
  <si>
    <t>SI0112 (11 x IP 16PM ) Sell By Faisal Bhai</t>
  </si>
  <si>
    <t>Cash Received By Faisal Bhai IP 16 Payment From AMGT</t>
  </si>
  <si>
    <t xml:space="preserve">SI0115 (V4 80 Units &amp; Mini 1 Unit) </t>
  </si>
  <si>
    <t>Visa Exp  (Visa Payment to Ayaz)</t>
  </si>
  <si>
    <t>Purchase Starlink (49Mini &amp; 93 V4)</t>
  </si>
  <si>
    <t>Hamali Charges</t>
  </si>
  <si>
    <t>Commission Charges</t>
  </si>
  <si>
    <t>Send to Australia $30,000  @2.447</t>
  </si>
  <si>
    <t>Old Invoice Mini  12 Unit</t>
  </si>
  <si>
    <t xml:space="preserve">From Saad &amp; Wajahat </t>
  </si>
  <si>
    <t>Cash Paid to AR</t>
  </si>
  <si>
    <t>Cash From Waheed Bhai</t>
  </si>
  <si>
    <t>Payment to Ayaz Visa Charges Payment By Faisal Bhai  01/10/2024</t>
  </si>
  <si>
    <t>Hamali Charges (24/09/2024)</t>
  </si>
  <si>
    <t>Clearing Charges  (7/10/2024)</t>
  </si>
  <si>
    <t>Payment to Zeeshan By A/R 200,000 PKR  @76.5</t>
  </si>
  <si>
    <t>Paid to AMGT IP 16 Payment $36186.80</t>
  </si>
  <si>
    <t>SI0118  (IP 15ProMax  2units)</t>
  </si>
  <si>
    <t>Payment From A/R @76.5</t>
  </si>
  <si>
    <t>Sell Invoice (SI0119) V4 32Units  &amp; Mini 19Units</t>
  </si>
  <si>
    <t>From ABBAS</t>
  </si>
  <si>
    <t>???</t>
  </si>
  <si>
    <t xml:space="preserve">Sell Invoice (SI0121) V4 20Units </t>
  </si>
  <si>
    <t>Sell Invoice (SI0122) V4 4Units  &amp; Mini 58Units</t>
  </si>
  <si>
    <t>Cash From Abbas</t>
  </si>
  <si>
    <t>Local Purchased (PI0045)  V4 4unit &amp; Mini 64Units</t>
  </si>
  <si>
    <t xml:space="preserve">Sell Invoice (SI0123) V4 30Units </t>
  </si>
  <si>
    <t xml:space="preserve">Sell Invoice (SI0124) Mini 63Units </t>
  </si>
  <si>
    <t>Total</t>
  </si>
  <si>
    <t>Cash entry</t>
  </si>
  <si>
    <t>Sell Invoice</t>
  </si>
  <si>
    <t>cash short faisal bhai</t>
  </si>
  <si>
    <t>Jawed Bhai @2.55</t>
  </si>
  <si>
    <t xml:space="preserve">Sell Purchase Profit </t>
  </si>
  <si>
    <t>Expenses</t>
  </si>
  <si>
    <t>AMGT Cards $36016.19 USD</t>
  </si>
  <si>
    <t xml:space="preserve">Abdul Majid Bhai </t>
  </si>
  <si>
    <t xml:space="preserve">Jawed Bhai </t>
  </si>
  <si>
    <t xml:space="preserve">Faisal Bhai </t>
  </si>
  <si>
    <t>AR Profit Add</t>
  </si>
  <si>
    <t>WB Profit Add</t>
  </si>
  <si>
    <t>Update by Waheed Bhai</t>
  </si>
  <si>
    <t xml:space="preserve">Update GST File By Waheed bhai </t>
  </si>
  <si>
    <t>Returned Units GST Cancel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</si>
</sst>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14">
    <font>
      <sz val="11"/>
      <color theme="1"/>
      <name val="Calibri"/>
      <family val="2"/>
      <charset val="1"/>
      <scheme val="minor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Times New Roman"/>
      <family val="1"/>
    </font>
    <font>
      <sz val="10"/>
      <color theme="1"/>
      <name val="Arial"/>
      <family val="2"/>
    </font>
    <font>
      <b/>
      <u/>
      <sz val="13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1" applyFont="1" applyBorder="1" applyAlignment="1">
      <alignment horizontal="left" vertical="top"/>
    </xf>
    <xf numFmtId="0" fontId="1" fillId="0" borderId="1" xfId="1" applyBorder="1" applyAlignment="1">
      <alignment horizontal="center" vertical="top"/>
    </xf>
    <xf numFmtId="0" fontId="1" fillId="0" borderId="1" xfId="1" applyBorder="1" applyAlignment="1">
      <alignment horizontal="left" vertical="top"/>
    </xf>
    <xf numFmtId="14" fontId="1" fillId="0" borderId="1" xfId="1" applyNumberFormat="1" applyBorder="1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3" fontId="1" fillId="0" borderId="1" xfId="1" applyNumberFormat="1" applyBorder="1" applyAlignment="1">
      <alignment horizontal="center" vertical="top"/>
    </xf>
    <xf numFmtId="4" fontId="1" fillId="0" borderId="1" xfId="1" applyNumberFormat="1" applyBorder="1" applyAlignment="1">
      <alignment horizontal="center" vertical="top"/>
    </xf>
    <xf numFmtId="0" fontId="3" fillId="0" borderId="1" xfId="1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4" fontId="0" fillId="0" borderId="0" xfId="0" applyNumberFormat="1" applyAlignment="1">
      <alignment horizontal="center" vertical="top"/>
    </xf>
    <xf numFmtId="4" fontId="0" fillId="0" borderId="2" xfId="0" applyNumberFormat="1" applyBorder="1" applyAlignment="1">
      <alignment horizontal="center" vertical="top"/>
    </xf>
    <xf numFmtId="3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4" fontId="0" fillId="0" borderId="0" xfId="0" applyNumberFormat="1" applyAlignment="1">
      <alignment horizontal="center" vertical="center"/>
    </xf>
    <xf numFmtId="4" fontId="0" fillId="0" borderId="3" xfId="0" applyNumberForma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4" fontId="6" fillId="0" borderId="0" xfId="0" applyNumberFormat="1" applyFont="1" applyAlignment="1">
      <alignment horizontal="center" vertical="top"/>
    </xf>
    <xf numFmtId="0" fontId="0" fillId="2" borderId="0" xfId="0" applyFill="1"/>
    <xf numFmtId="0" fontId="7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43" fontId="7" fillId="0" borderId="4" xfId="2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43" fontId="9" fillId="0" borderId="1" xfId="2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43" fontId="7" fillId="0" borderId="1" xfId="2" applyFont="1" applyBorder="1" applyAlignment="1">
      <alignment horizontal="center" wrapText="1"/>
    </xf>
    <xf numFmtId="0" fontId="10" fillId="0" borderId="1" xfId="0" applyFont="1" applyBorder="1" applyAlignment="1">
      <alignment horizontal="right" wrapText="1"/>
    </xf>
    <xf numFmtId="14" fontId="7" fillId="0" borderId="1" xfId="0" applyNumberFormat="1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43" fontId="10" fillId="0" borderId="1" xfId="2" applyNumberFormat="1" applyFont="1" applyBorder="1" applyAlignment="1">
      <alignment horizontal="center" wrapText="1"/>
    </xf>
    <xf numFmtId="3" fontId="10" fillId="0" borderId="1" xfId="0" applyNumberFormat="1" applyFont="1" applyBorder="1" applyAlignment="1">
      <alignment horizontal="right" wrapText="1"/>
    </xf>
    <xf numFmtId="0" fontId="0" fillId="0" borderId="1" xfId="0" applyBorder="1"/>
    <xf numFmtId="3" fontId="7" fillId="0" borderId="1" xfId="0" applyNumberFormat="1" applyFont="1" applyBorder="1" applyAlignment="1">
      <alignment wrapText="1"/>
    </xf>
    <xf numFmtId="3" fontId="10" fillId="0" borderId="1" xfId="0" applyNumberFormat="1" applyFont="1" applyFill="1" applyBorder="1" applyAlignment="1">
      <alignment horizontal="right" wrapText="1"/>
    </xf>
    <xf numFmtId="0" fontId="10" fillId="0" borderId="1" xfId="0" applyFont="1" applyFill="1" applyBorder="1" applyAlignment="1">
      <alignment wrapText="1"/>
    </xf>
    <xf numFmtId="3" fontId="10" fillId="2" borderId="1" xfId="0" applyNumberFormat="1" applyFont="1" applyFill="1" applyBorder="1" applyAlignment="1">
      <alignment horizontal="right" wrapText="1"/>
    </xf>
    <xf numFmtId="164" fontId="10" fillId="0" borderId="1" xfId="2" applyNumberFormat="1" applyFont="1" applyBorder="1" applyAlignment="1">
      <alignment horizontal="center" wrapText="1"/>
    </xf>
    <xf numFmtId="0" fontId="10" fillId="3" borderId="1" xfId="0" applyFont="1" applyFill="1" applyBorder="1" applyAlignment="1">
      <alignment wrapText="1"/>
    </xf>
    <xf numFmtId="14" fontId="10" fillId="0" borderId="1" xfId="0" applyNumberFormat="1" applyFont="1" applyBorder="1" applyAlignment="1">
      <alignment horizontal="right" wrapText="1"/>
    </xf>
    <xf numFmtId="3" fontId="5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43" fontId="12" fillId="0" borderId="1" xfId="2" applyNumberFormat="1" applyFont="1" applyBorder="1" applyAlignment="1">
      <alignment horizontal="center" wrapText="1"/>
    </xf>
    <xf numFmtId="3" fontId="12" fillId="0" borderId="1" xfId="0" applyNumberFormat="1" applyFont="1" applyBorder="1" applyAlignment="1">
      <alignment horizontal="center" wrapText="1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top"/>
    </xf>
    <xf numFmtId="0" fontId="13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K30"/>
  <sheetViews>
    <sheetView topLeftCell="A13" workbookViewId="0">
      <selection activeCell="E33" sqref="E33"/>
    </sheetView>
  </sheetViews>
  <sheetFormatPr defaultRowHeight="14.5"/>
  <cols>
    <col min="3" max="3" width="9.1796875" bestFit="1" customWidth="1"/>
    <col min="4" max="4" width="9.7265625" bestFit="1" customWidth="1"/>
    <col min="5" max="5" width="17.7265625" bestFit="1" customWidth="1"/>
    <col min="6" max="6" width="9" bestFit="1" customWidth="1"/>
    <col min="7" max="8" width="9" customWidth="1"/>
  </cols>
  <sheetData>
    <row r="3" spans="3:11">
      <c r="C3" s="3"/>
      <c r="D3" s="3"/>
      <c r="E3" s="6" t="s">
        <v>0</v>
      </c>
      <c r="F3" s="6" t="s">
        <v>1</v>
      </c>
      <c r="G3" s="6"/>
      <c r="H3" s="6"/>
      <c r="I3" s="6" t="s">
        <v>2</v>
      </c>
      <c r="J3" s="9" t="s">
        <v>3</v>
      </c>
    </row>
    <row r="4" spans="3:11">
      <c r="C4" s="4">
        <v>45579</v>
      </c>
      <c r="D4" s="1" t="s">
        <v>4</v>
      </c>
      <c r="E4" s="1" t="s">
        <v>5</v>
      </c>
      <c r="F4" s="8">
        <v>21769.91</v>
      </c>
      <c r="G4" s="8">
        <f>F4/11</f>
        <v>1979.0827272727272</v>
      </c>
      <c r="H4" s="8">
        <f>F4-G4</f>
        <v>19790.827272727274</v>
      </c>
      <c r="I4" s="2">
        <v>2.5</v>
      </c>
      <c r="J4" s="2">
        <f>H4*I4</f>
        <v>49477.068181818184</v>
      </c>
      <c r="K4" s="47">
        <f>J4/73</f>
        <v>677.76805728518059</v>
      </c>
    </row>
    <row r="5" spans="3:11">
      <c r="C5" s="4">
        <v>45579</v>
      </c>
      <c r="D5" s="1" t="s">
        <v>4</v>
      </c>
      <c r="E5" s="1" t="s">
        <v>6</v>
      </c>
      <c r="F5" s="7">
        <v>91281</v>
      </c>
      <c r="G5" s="8">
        <f t="shared" ref="G5:G15" si="0">F5/11</f>
        <v>8298.2727272727279</v>
      </c>
      <c r="H5" s="8">
        <f t="shared" ref="H5:H9" si="1">F5-G5</f>
        <v>82982.727272727265</v>
      </c>
      <c r="I5" s="2">
        <v>2.5</v>
      </c>
      <c r="J5" s="2">
        <f t="shared" ref="J5:J9" si="2">H5*I5</f>
        <v>207456.81818181818</v>
      </c>
      <c r="K5" s="47">
        <f>J5/121</f>
        <v>1714.5191585274229</v>
      </c>
    </row>
    <row r="6" spans="3:11">
      <c r="C6" s="4">
        <v>45579</v>
      </c>
      <c r="D6" s="1" t="s">
        <v>4</v>
      </c>
      <c r="E6" s="1" t="s">
        <v>7</v>
      </c>
      <c r="F6" s="7">
        <v>10020</v>
      </c>
      <c r="G6" s="8">
        <f t="shared" si="0"/>
        <v>910.90909090909088</v>
      </c>
      <c r="H6" s="8">
        <f t="shared" si="1"/>
        <v>9109.0909090909099</v>
      </c>
      <c r="I6" s="2">
        <v>2.5</v>
      </c>
      <c r="J6" s="2">
        <f t="shared" si="2"/>
        <v>22772.727272727276</v>
      </c>
      <c r="K6" s="47">
        <f>J6/15</f>
        <v>1518.1818181818185</v>
      </c>
    </row>
    <row r="7" spans="3:11">
      <c r="C7" s="4">
        <v>45579</v>
      </c>
      <c r="D7" s="1" t="s">
        <v>4</v>
      </c>
      <c r="E7" s="1" t="s">
        <v>8</v>
      </c>
      <c r="F7" s="2">
        <v>5616</v>
      </c>
      <c r="G7" s="8">
        <f t="shared" si="0"/>
        <v>510.54545454545456</v>
      </c>
      <c r="H7" s="8">
        <f t="shared" si="1"/>
        <v>5105.454545454545</v>
      </c>
      <c r="I7" s="2">
        <v>2.5</v>
      </c>
      <c r="J7" s="2">
        <f t="shared" si="2"/>
        <v>12763.636363636362</v>
      </c>
      <c r="K7" s="47">
        <f>J7/18</f>
        <v>709.09090909090901</v>
      </c>
    </row>
    <row r="8" spans="3:11">
      <c r="C8" s="4">
        <v>45579</v>
      </c>
      <c r="D8" s="1" t="s">
        <v>4</v>
      </c>
      <c r="E8" s="1" t="s">
        <v>9</v>
      </c>
      <c r="F8" s="2">
        <v>1216</v>
      </c>
      <c r="G8" s="8">
        <f t="shared" si="0"/>
        <v>110.54545454545455</v>
      </c>
      <c r="H8" s="8">
        <f t="shared" si="1"/>
        <v>1105.4545454545455</v>
      </c>
      <c r="I8" s="2">
        <v>2.5</v>
      </c>
      <c r="J8" s="2">
        <f t="shared" si="2"/>
        <v>2763.636363636364</v>
      </c>
      <c r="K8" s="47">
        <f>J8/16</f>
        <v>172.72727272727275</v>
      </c>
    </row>
    <row r="9" spans="3:11">
      <c r="C9" s="4">
        <v>45579</v>
      </c>
      <c r="D9" s="1" t="s">
        <v>4</v>
      </c>
      <c r="E9" s="1" t="s">
        <v>10</v>
      </c>
      <c r="F9" s="2">
        <v>99</v>
      </c>
      <c r="G9" s="8">
        <f t="shared" si="0"/>
        <v>9</v>
      </c>
      <c r="H9" s="8">
        <f t="shared" si="1"/>
        <v>90</v>
      </c>
      <c r="I9" s="2">
        <v>2.5</v>
      </c>
      <c r="J9" s="2">
        <f t="shared" si="2"/>
        <v>225</v>
      </c>
    </row>
    <row r="10" spans="3:11">
      <c r="C10" s="4"/>
      <c r="D10" s="1"/>
      <c r="E10" s="1"/>
      <c r="F10" s="2"/>
      <c r="G10" s="2"/>
      <c r="H10" s="2"/>
      <c r="I10" s="2"/>
      <c r="J10" s="2"/>
    </row>
    <row r="11" spans="3:11">
      <c r="C11" s="4">
        <v>45579</v>
      </c>
      <c r="D11" s="1" t="s">
        <v>11</v>
      </c>
      <c r="E11" s="1" t="s">
        <v>12</v>
      </c>
      <c r="F11" s="2">
        <v>8596</v>
      </c>
      <c r="G11" s="8">
        <f t="shared" si="0"/>
        <v>781.4545454545455</v>
      </c>
      <c r="H11" s="8">
        <f t="shared" ref="H11:H15" si="3">F11-G11</f>
        <v>7814.545454545454</v>
      </c>
      <c r="I11" s="2">
        <v>2.5</v>
      </c>
      <c r="J11" s="2">
        <f t="shared" ref="J11:J15" si="4">H11*I11</f>
        <v>19536.363636363636</v>
      </c>
      <c r="K11" s="47">
        <f>J11/4</f>
        <v>4884.090909090909</v>
      </c>
    </row>
    <row r="12" spans="3:11">
      <c r="C12" s="4">
        <v>45579</v>
      </c>
      <c r="D12" s="1" t="s">
        <v>11</v>
      </c>
      <c r="E12" s="1" t="s">
        <v>13</v>
      </c>
      <c r="F12" s="2">
        <v>5698</v>
      </c>
      <c r="G12" s="8">
        <f t="shared" si="0"/>
        <v>518</v>
      </c>
      <c r="H12" s="8">
        <f t="shared" si="3"/>
        <v>5180</v>
      </c>
      <c r="I12" s="2">
        <v>2.5</v>
      </c>
      <c r="J12" s="2">
        <f t="shared" si="4"/>
        <v>12950</v>
      </c>
      <c r="K12" s="47">
        <f>J12/2</f>
        <v>6475</v>
      </c>
    </row>
    <row r="13" spans="3:11">
      <c r="C13" s="4">
        <v>45579</v>
      </c>
      <c r="D13" s="1" t="s">
        <v>11</v>
      </c>
      <c r="E13" s="1" t="s">
        <v>14</v>
      </c>
      <c r="F13" s="2">
        <v>290</v>
      </c>
      <c r="G13" s="8">
        <f t="shared" si="0"/>
        <v>26.363636363636363</v>
      </c>
      <c r="H13" s="8">
        <f t="shared" si="3"/>
        <v>263.63636363636363</v>
      </c>
      <c r="I13" s="2">
        <v>2.5</v>
      </c>
      <c r="J13" s="2">
        <f t="shared" si="4"/>
        <v>659.09090909090901</v>
      </c>
      <c r="K13" s="47">
        <f>J13</f>
        <v>659.09090909090901</v>
      </c>
    </row>
    <row r="14" spans="3:11">
      <c r="C14" s="4">
        <v>45580</v>
      </c>
      <c r="D14" s="1" t="s">
        <v>11</v>
      </c>
      <c r="E14" s="1" t="s">
        <v>15</v>
      </c>
      <c r="F14" s="2">
        <v>17490</v>
      </c>
      <c r="G14" s="8">
        <f t="shared" si="0"/>
        <v>1590</v>
      </c>
      <c r="H14" s="8">
        <f t="shared" si="3"/>
        <v>15900</v>
      </c>
      <c r="I14" s="2">
        <v>2.5</v>
      </c>
      <c r="J14" s="2">
        <f t="shared" si="4"/>
        <v>39750</v>
      </c>
      <c r="K14" s="47">
        <f>J14/55</f>
        <v>722.72727272727275</v>
      </c>
    </row>
    <row r="15" spans="3:11">
      <c r="C15" s="4">
        <v>45580</v>
      </c>
      <c r="D15" s="1" t="s">
        <v>11</v>
      </c>
      <c r="E15" s="1" t="s">
        <v>16</v>
      </c>
      <c r="F15" s="2">
        <v>7990</v>
      </c>
      <c r="G15" s="8">
        <f t="shared" si="0"/>
        <v>726.36363636363637</v>
      </c>
      <c r="H15" s="8">
        <f t="shared" si="3"/>
        <v>7263.636363636364</v>
      </c>
      <c r="I15" s="2">
        <v>2.5</v>
      </c>
      <c r="J15" s="2">
        <f t="shared" si="4"/>
        <v>18159.090909090912</v>
      </c>
      <c r="K15" s="47">
        <f>J15/10</f>
        <v>1815.9090909090912</v>
      </c>
    </row>
    <row r="16" spans="3:11">
      <c r="C16" s="4"/>
      <c r="D16" s="1"/>
      <c r="E16" s="1"/>
      <c r="F16" s="2"/>
      <c r="G16" s="2"/>
      <c r="H16" s="2"/>
      <c r="I16" s="2"/>
      <c r="J16" s="2"/>
    </row>
    <row r="17" spans="3:10">
      <c r="C17" s="4">
        <v>45575</v>
      </c>
      <c r="D17" s="1" t="s">
        <v>17</v>
      </c>
      <c r="E17" s="1" t="s">
        <v>18</v>
      </c>
      <c r="F17" s="2"/>
      <c r="G17" s="2"/>
      <c r="H17" s="2"/>
      <c r="I17" s="2"/>
      <c r="J17" s="2">
        <v>60025</v>
      </c>
    </row>
    <row r="18" spans="3:10">
      <c r="C18" s="4">
        <v>45575</v>
      </c>
      <c r="D18" s="1" t="s">
        <v>17</v>
      </c>
      <c r="E18" s="1" t="s">
        <v>19</v>
      </c>
      <c r="F18" s="2"/>
      <c r="G18" s="2"/>
      <c r="H18" s="2"/>
      <c r="I18" s="2"/>
      <c r="J18" s="2">
        <v>67840</v>
      </c>
    </row>
    <row r="19" spans="3:10">
      <c r="C19" s="3"/>
      <c r="D19" s="3"/>
      <c r="E19" s="5" t="s">
        <v>20</v>
      </c>
      <c r="F19" s="8">
        <v>170065.91</v>
      </c>
      <c r="G19" s="8"/>
      <c r="H19" s="8"/>
      <c r="I19" s="2"/>
      <c r="J19" s="6">
        <v>561533.07049999991</v>
      </c>
    </row>
    <row r="22" spans="3:10">
      <c r="C22" s="48" t="s">
        <v>21</v>
      </c>
      <c r="D22" s="48"/>
      <c r="F22" s="48" t="s">
        <v>28</v>
      </c>
      <c r="G22" s="48"/>
      <c r="H22" s="48"/>
      <c r="I22" s="48"/>
    </row>
    <row r="23" spans="3:10">
      <c r="C23" t="s">
        <v>22</v>
      </c>
      <c r="D23">
        <v>73</v>
      </c>
      <c r="F23" t="s">
        <v>29</v>
      </c>
      <c r="I23">
        <v>4</v>
      </c>
    </row>
    <row r="24" spans="3:10">
      <c r="C24" t="s">
        <v>23</v>
      </c>
      <c r="D24">
        <v>121</v>
      </c>
      <c r="F24" t="s">
        <v>30</v>
      </c>
      <c r="I24">
        <v>2</v>
      </c>
    </row>
    <row r="25" spans="3:10">
      <c r="C25" t="s">
        <v>24</v>
      </c>
      <c r="D25">
        <v>15</v>
      </c>
      <c r="F25" t="s">
        <v>31</v>
      </c>
      <c r="I25">
        <v>1</v>
      </c>
    </row>
    <row r="26" spans="3:10">
      <c r="C26" t="s">
        <v>25</v>
      </c>
      <c r="D26">
        <v>18</v>
      </c>
      <c r="F26" t="s">
        <v>22</v>
      </c>
      <c r="I26">
        <f>55+49</f>
        <v>104</v>
      </c>
    </row>
    <row r="27" spans="3:10">
      <c r="C27" t="s">
        <v>26</v>
      </c>
      <c r="D27">
        <v>16</v>
      </c>
      <c r="F27" t="s">
        <v>23</v>
      </c>
      <c r="I27">
        <f>10+32</f>
        <v>42</v>
      </c>
    </row>
    <row r="28" spans="3:10">
      <c r="C28" t="s">
        <v>27</v>
      </c>
      <c r="D28">
        <v>1</v>
      </c>
    </row>
    <row r="30" spans="3:10">
      <c r="C30" s="22"/>
      <c r="D30" s="22"/>
      <c r="E30" s="22"/>
      <c r="F30" s="22"/>
      <c r="G30" s="22"/>
      <c r="H30" s="22"/>
      <c r="I30" s="22"/>
    </row>
  </sheetData>
  <mergeCells count="2">
    <mergeCell ref="C22:D22"/>
    <mergeCell ref="F22: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3:I57"/>
  <sheetViews>
    <sheetView tabSelected="1" topLeftCell="A40" workbookViewId="0">
      <selection activeCell="H56" sqref="H56"/>
    </sheetView>
  </sheetViews>
  <sheetFormatPr defaultRowHeight="14.5"/>
  <cols>
    <col min="4" max="4" width="25.7265625" bestFit="1" customWidth="1"/>
    <col min="5" max="5" width="9.81640625" bestFit="1" customWidth="1"/>
    <col min="6" max="6" width="21.1796875" customWidth="1"/>
    <col min="8" max="8" width="28.6328125" bestFit="1" customWidth="1"/>
  </cols>
  <sheetData>
    <row r="3" spans="3:7">
      <c r="C3" s="10" t="s">
        <v>36</v>
      </c>
      <c r="D3" s="11"/>
      <c r="E3" s="10" t="s">
        <v>1</v>
      </c>
      <c r="F3" s="10" t="s">
        <v>3</v>
      </c>
    </row>
    <row r="4" spans="3:7">
      <c r="C4" s="10"/>
      <c r="D4" s="12" t="s">
        <v>37</v>
      </c>
      <c r="E4" s="13">
        <v>130001.91</v>
      </c>
      <c r="F4" s="13">
        <f>E4*2.55</f>
        <v>331504.87049999996</v>
      </c>
    </row>
    <row r="5" spans="3:7">
      <c r="C5" s="10"/>
      <c r="D5" s="12" t="s">
        <v>38</v>
      </c>
      <c r="E5" s="13">
        <f>F5/2.55</f>
        <v>40064</v>
      </c>
      <c r="F5" s="13">
        <v>102163.2</v>
      </c>
    </row>
    <row r="6" spans="3:7">
      <c r="C6" s="10"/>
      <c r="D6" s="11" t="s">
        <v>39</v>
      </c>
      <c r="E6" s="13">
        <v>-15460</v>
      </c>
      <c r="F6" s="13">
        <f>E6*2.55</f>
        <v>-39423</v>
      </c>
    </row>
    <row r="7" spans="3:7">
      <c r="C7" s="10"/>
      <c r="D7" s="11" t="s">
        <v>40</v>
      </c>
      <c r="E7" s="13"/>
      <c r="F7" s="14">
        <f>SUM(F4:F6)</f>
        <v>394245.07049999997</v>
      </c>
    </row>
    <row r="8" spans="3:7">
      <c r="C8" s="10"/>
      <c r="D8" s="11" t="s">
        <v>41</v>
      </c>
      <c r="E8" s="13"/>
      <c r="F8" s="15">
        <v>127865</v>
      </c>
    </row>
    <row r="9" spans="3:7">
      <c r="C9" s="10" t="s">
        <v>42</v>
      </c>
      <c r="D9" s="11"/>
      <c r="E9" s="13"/>
      <c r="F9" s="13"/>
    </row>
    <row r="10" spans="3:7">
      <c r="C10" s="10"/>
      <c r="D10" s="12" t="s">
        <v>43</v>
      </c>
      <c r="E10" s="13"/>
      <c r="F10" s="13">
        <v>499380</v>
      </c>
      <c r="G10" t="s">
        <v>55</v>
      </c>
    </row>
    <row r="11" spans="3:7">
      <c r="C11" s="10"/>
      <c r="D11" s="11"/>
      <c r="E11" s="13"/>
      <c r="F11" s="13"/>
    </row>
    <row r="12" spans="3:7">
      <c r="C12" s="10" t="s">
        <v>44</v>
      </c>
      <c r="D12" s="12" t="s">
        <v>45</v>
      </c>
      <c r="E12" s="13"/>
      <c r="F12" s="13">
        <v>67567.839999999997</v>
      </c>
      <c r="G12" t="s">
        <v>55</v>
      </c>
    </row>
    <row r="13" spans="3:7">
      <c r="C13" s="10"/>
      <c r="D13" s="12" t="s">
        <v>46</v>
      </c>
      <c r="E13" s="13"/>
      <c r="F13" s="13">
        <v>35995.79</v>
      </c>
      <c r="G13" t="s">
        <v>55</v>
      </c>
    </row>
    <row r="14" spans="3:7">
      <c r="C14" s="10"/>
      <c r="D14" s="12" t="s">
        <v>47</v>
      </c>
      <c r="E14" s="13"/>
      <c r="F14" s="13">
        <v>90397.72</v>
      </c>
      <c r="G14" t="s">
        <v>55</v>
      </c>
    </row>
    <row r="15" spans="3:7" ht="26">
      <c r="C15" s="10"/>
      <c r="D15" s="16" t="s">
        <v>48</v>
      </c>
      <c r="E15" s="17">
        <v>3501</v>
      </c>
      <c r="F15" s="17">
        <f>E15*2.55</f>
        <v>8927.5499999999993</v>
      </c>
      <c r="G15" t="s">
        <v>55</v>
      </c>
    </row>
    <row r="16" spans="3:7" ht="15" thickBot="1">
      <c r="C16" s="10"/>
      <c r="D16" s="12"/>
      <c r="E16" s="13"/>
      <c r="F16" s="18">
        <f>SUM(F7:F15)</f>
        <v>1224378.9705000001</v>
      </c>
    </row>
    <row r="17" spans="3:9">
      <c r="C17" s="10"/>
      <c r="D17" s="12"/>
      <c r="E17" s="13"/>
      <c r="F17" s="13"/>
    </row>
    <row r="18" spans="3:9">
      <c r="C18" s="10"/>
      <c r="D18" s="12"/>
      <c r="E18" s="13"/>
      <c r="F18" s="13"/>
    </row>
    <row r="19" spans="3:9">
      <c r="C19" s="10" t="s">
        <v>49</v>
      </c>
      <c r="D19" s="12" t="s">
        <v>56</v>
      </c>
      <c r="E19" s="13"/>
      <c r="F19" s="13">
        <f>132947</f>
        <v>132947</v>
      </c>
      <c r="G19" t="s">
        <v>55</v>
      </c>
    </row>
    <row r="20" spans="3:9">
      <c r="C20" s="10"/>
      <c r="D20" s="12" t="s">
        <v>50</v>
      </c>
      <c r="E20" s="13"/>
      <c r="F20" s="13">
        <v>12213.3</v>
      </c>
      <c r="G20" t="s">
        <v>55</v>
      </c>
    </row>
    <row r="21" spans="3:9">
      <c r="C21" s="11"/>
      <c r="D21" s="12" t="s">
        <v>51</v>
      </c>
      <c r="E21" s="13"/>
      <c r="F21" s="13">
        <v>6118.27</v>
      </c>
      <c r="G21" t="s">
        <v>55</v>
      </c>
    </row>
    <row r="22" spans="3:9">
      <c r="C22" s="11"/>
      <c r="D22" s="12" t="s">
        <v>52</v>
      </c>
      <c r="E22" s="13"/>
      <c r="F22" s="13">
        <v>175000</v>
      </c>
      <c r="G22" t="s">
        <v>55</v>
      </c>
      <c r="H22" s="22">
        <f>175000-35995.79</f>
        <v>139004.21</v>
      </c>
      <c r="I22" t="s">
        <v>57</v>
      </c>
    </row>
    <row r="23" spans="3:9">
      <c r="C23" s="11"/>
      <c r="D23" s="12" t="s">
        <v>53</v>
      </c>
      <c r="E23" s="13"/>
      <c r="F23" s="13">
        <f>13754.7*2.67</f>
        <v>36725.048999999999</v>
      </c>
      <c r="G23" t="s">
        <v>55</v>
      </c>
    </row>
    <row r="24" spans="3:9">
      <c r="C24" s="11"/>
      <c r="D24" s="12" t="s">
        <v>108</v>
      </c>
      <c r="E24" s="13">
        <v>84000</v>
      </c>
      <c r="F24" s="13">
        <f>E24*2.55</f>
        <v>214199.99999999997</v>
      </c>
      <c r="G24" t="s">
        <v>55</v>
      </c>
    </row>
    <row r="25" spans="3:9" ht="15" thickBot="1">
      <c r="C25" s="11"/>
      <c r="D25" s="11"/>
      <c r="E25" s="11"/>
      <c r="F25" s="18">
        <f>SUM(F19:F24)</f>
        <v>577203.61899999995</v>
      </c>
    </row>
    <row r="26" spans="3:9">
      <c r="C26" s="11"/>
      <c r="D26" s="11"/>
      <c r="E26" s="11"/>
      <c r="F26" s="11"/>
    </row>
    <row r="27" spans="3:9">
      <c r="C27" s="11"/>
      <c r="D27" s="19" t="s">
        <v>54</v>
      </c>
      <c r="E27" s="20"/>
      <c r="F27" s="21">
        <f>F16-F25</f>
        <v>647175.35150000011</v>
      </c>
    </row>
    <row r="30" spans="3:9" ht="18.5">
      <c r="C30" s="50" t="s">
        <v>117</v>
      </c>
      <c r="D30" s="50"/>
    </row>
    <row r="31" spans="3:9">
      <c r="C31" s="11"/>
      <c r="D31" s="11"/>
      <c r="E31" s="11"/>
      <c r="F31" s="11"/>
    </row>
    <row r="32" spans="3:9">
      <c r="C32" s="11"/>
      <c r="D32" s="11" t="s">
        <v>109</v>
      </c>
      <c r="E32" s="11"/>
      <c r="F32" s="13">
        <v>899001</v>
      </c>
    </row>
    <row r="33" spans="3:9">
      <c r="C33" s="10"/>
      <c r="D33" s="11" t="s">
        <v>110</v>
      </c>
      <c r="E33" s="13"/>
      <c r="F33" s="13">
        <v>-291967</v>
      </c>
    </row>
    <row r="34" spans="3:9">
      <c r="C34" s="10"/>
      <c r="D34" s="11"/>
      <c r="E34" s="13"/>
      <c r="F34" s="13"/>
    </row>
    <row r="35" spans="3:9">
      <c r="C35" s="10"/>
      <c r="D35" s="12" t="s">
        <v>43</v>
      </c>
      <c r="E35" s="13"/>
      <c r="F35" s="13">
        <v>530815</v>
      </c>
    </row>
    <row r="36" spans="3:9">
      <c r="C36" s="10"/>
      <c r="D36" s="11"/>
      <c r="E36" s="13"/>
      <c r="F36" s="13"/>
    </row>
    <row r="37" spans="3:9">
      <c r="C37" s="10" t="s">
        <v>44</v>
      </c>
      <c r="D37" s="12" t="s">
        <v>45</v>
      </c>
      <c r="E37" s="13"/>
      <c r="F37" s="13">
        <v>65225.34</v>
      </c>
    </row>
    <row r="38" spans="3:9">
      <c r="C38" s="10"/>
      <c r="D38" s="12" t="s">
        <v>46</v>
      </c>
      <c r="E38" s="13"/>
      <c r="F38" s="13">
        <v>35995.79</v>
      </c>
    </row>
    <row r="39" spans="3:9">
      <c r="C39" s="10"/>
      <c r="D39" s="12" t="s">
        <v>47</v>
      </c>
      <c r="E39" s="13">
        <v>85522.81</v>
      </c>
      <c r="F39" s="17">
        <f>E39*2.5</f>
        <v>213807.02499999999</v>
      </c>
      <c r="H39" t="s">
        <v>118</v>
      </c>
      <c r="I39" t="s">
        <v>119</v>
      </c>
    </row>
    <row r="40" spans="3:9" ht="26">
      <c r="C40" s="10"/>
      <c r="D40" s="16" t="s">
        <v>48</v>
      </c>
      <c r="E40" s="17">
        <v>3501</v>
      </c>
      <c r="F40" s="17">
        <f>E40*2.55</f>
        <v>8927.5499999999993</v>
      </c>
    </row>
    <row r="41" spans="3:9" ht="15" thickBot="1">
      <c r="C41" s="10"/>
      <c r="D41" s="12"/>
      <c r="E41" s="13"/>
      <c r="F41" s="18">
        <f>SUM(F32:F40)</f>
        <v>1461804.7050000001</v>
      </c>
    </row>
    <row r="42" spans="3:9">
      <c r="C42" s="10"/>
      <c r="D42" s="12"/>
      <c r="E42" s="13"/>
      <c r="F42" s="13"/>
    </row>
    <row r="43" spans="3:9">
      <c r="C43" s="10"/>
      <c r="D43" s="12"/>
      <c r="E43" s="13"/>
      <c r="F43" s="13"/>
    </row>
    <row r="44" spans="3:9">
      <c r="C44" s="10" t="s">
        <v>49</v>
      </c>
      <c r="D44" s="12" t="s">
        <v>111</v>
      </c>
      <c r="E44" s="13"/>
      <c r="F44" s="13">
        <v>132947</v>
      </c>
    </row>
    <row r="45" spans="3:9">
      <c r="C45" s="10"/>
      <c r="D45" s="12" t="s">
        <v>50</v>
      </c>
      <c r="E45" s="13"/>
      <c r="F45" s="13">
        <v>12213.3</v>
      </c>
    </row>
    <row r="46" spans="3:9">
      <c r="C46" s="11"/>
      <c r="D46" s="12" t="s">
        <v>51</v>
      </c>
      <c r="E46" s="13"/>
      <c r="F46" s="13">
        <v>6118.27</v>
      </c>
    </row>
    <row r="47" spans="3:9">
      <c r="C47" s="11"/>
      <c r="D47" s="12" t="s">
        <v>52</v>
      </c>
      <c r="E47" s="13"/>
      <c r="F47" s="13">
        <v>175000</v>
      </c>
    </row>
    <row r="48" spans="3:9">
      <c r="C48" s="11"/>
      <c r="D48" s="12" t="s">
        <v>112</v>
      </c>
      <c r="E48" s="13"/>
      <c r="F48" s="13">
        <v>41625.050000000003</v>
      </c>
    </row>
    <row r="49" spans="3:6">
      <c r="C49" s="11"/>
      <c r="D49" s="12" t="s">
        <v>113</v>
      </c>
      <c r="E49" s="13">
        <v>84000</v>
      </c>
      <c r="F49" s="13">
        <f>E49*2.45</f>
        <v>205800.00000000003</v>
      </c>
    </row>
    <row r="50" spans="3:6">
      <c r="C50" s="11"/>
      <c r="D50" s="12" t="s">
        <v>114</v>
      </c>
      <c r="E50" s="13"/>
      <c r="F50" s="13">
        <v>60000</v>
      </c>
    </row>
    <row r="51" spans="3:6" ht="15" thickBot="1">
      <c r="C51" s="11"/>
      <c r="D51" s="11"/>
      <c r="E51" s="11"/>
      <c r="F51" s="18">
        <f>SUM(F44:F50)</f>
        <v>633703.62</v>
      </c>
    </row>
    <row r="52" spans="3:6">
      <c r="C52" s="11"/>
      <c r="D52" s="11"/>
      <c r="E52" s="11"/>
      <c r="F52" s="11"/>
    </row>
    <row r="53" spans="3:6">
      <c r="C53" s="11"/>
      <c r="D53" s="19" t="s">
        <v>54</v>
      </c>
      <c r="E53" s="20"/>
      <c r="F53" s="21">
        <f>F41-F51</f>
        <v>828101.08500000008</v>
      </c>
    </row>
    <row r="54" spans="3:6">
      <c r="C54" s="11"/>
      <c r="D54" s="11"/>
      <c r="E54" s="11"/>
      <c r="F54" s="11"/>
    </row>
    <row r="55" spans="3:6">
      <c r="C55" s="11"/>
      <c r="D55" s="11" t="s">
        <v>115</v>
      </c>
      <c r="E55" s="11"/>
      <c r="F55" s="49">
        <f>F53/2</f>
        <v>414050.54250000004</v>
      </c>
    </row>
    <row r="56" spans="3:6">
      <c r="C56" s="11"/>
      <c r="D56" s="11" t="s">
        <v>116</v>
      </c>
      <c r="E56" s="11"/>
      <c r="F56" s="49">
        <f>F53/2</f>
        <v>414050.54250000004</v>
      </c>
    </row>
    <row r="57" spans="3:6">
      <c r="C57" s="11"/>
      <c r="D57" s="11"/>
      <c r="E57" s="11"/>
      <c r="F57" s="11"/>
    </row>
  </sheetData>
  <mergeCells count="1">
    <mergeCell ref="C30:D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F5"/>
  <sheetViews>
    <sheetView workbookViewId="0">
      <selection activeCell="F9" sqref="F9"/>
    </sheetView>
  </sheetViews>
  <sheetFormatPr defaultRowHeight="14.5"/>
  <cols>
    <col min="3" max="3" width="18.08984375" bestFit="1" customWidth="1"/>
    <col min="5" max="5" width="11.1796875" bestFit="1" customWidth="1"/>
  </cols>
  <sheetData>
    <row r="3" spans="3:6">
      <c r="C3" t="s">
        <v>32</v>
      </c>
      <c r="E3" t="s">
        <v>33</v>
      </c>
      <c r="F3">
        <f>6130*2</f>
        <v>12260</v>
      </c>
    </row>
    <row r="4" spans="3:6">
      <c r="E4" t="s">
        <v>34</v>
      </c>
      <c r="F4">
        <v>4850</v>
      </c>
    </row>
    <row r="5" spans="3:6">
      <c r="C5" s="48" t="s">
        <v>35</v>
      </c>
      <c r="D5" s="48"/>
      <c r="F5">
        <f>SUM(F3:F4)</f>
        <v>17110</v>
      </c>
    </row>
  </sheetData>
  <mergeCells count="1"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G56"/>
  <sheetViews>
    <sheetView topLeftCell="A34" workbookViewId="0">
      <selection activeCell="D53" sqref="D53"/>
    </sheetView>
  </sheetViews>
  <sheetFormatPr defaultRowHeight="14.5"/>
  <cols>
    <col min="2" max="2" width="10" bestFit="1" customWidth="1"/>
    <col min="3" max="3" width="9.90625" bestFit="1" customWidth="1"/>
    <col min="4" max="4" width="74.54296875" customWidth="1"/>
    <col min="6" max="6" width="10.7265625" bestFit="1" customWidth="1"/>
  </cols>
  <sheetData>
    <row r="3" spans="3:7" ht="15" thickBot="1"/>
    <row r="4" spans="3:7" ht="17">
      <c r="C4" s="23"/>
      <c r="D4" s="24" t="s">
        <v>58</v>
      </c>
      <c r="E4" s="23"/>
      <c r="F4" s="25"/>
      <c r="G4" s="23"/>
    </row>
    <row r="5" spans="3:7" ht="29">
      <c r="C5" s="26" t="s">
        <v>59</v>
      </c>
      <c r="D5" s="26" t="s">
        <v>60</v>
      </c>
      <c r="E5" s="26" t="s">
        <v>61</v>
      </c>
      <c r="F5" s="27" t="s">
        <v>62</v>
      </c>
      <c r="G5" s="26" t="s">
        <v>63</v>
      </c>
    </row>
    <row r="6" spans="3:7">
      <c r="C6" s="28"/>
      <c r="D6" s="28"/>
      <c r="E6" s="28"/>
      <c r="F6" s="29"/>
      <c r="G6" s="30">
        <v>0</v>
      </c>
    </row>
    <row r="7" spans="3:7">
      <c r="C7" s="31">
        <v>45558</v>
      </c>
      <c r="D7" s="32" t="s">
        <v>64</v>
      </c>
      <c r="E7" s="28">
        <v>2000</v>
      </c>
      <c r="F7" s="33"/>
      <c r="G7" s="34">
        <f>G6+E7-F7</f>
        <v>2000</v>
      </c>
    </row>
    <row r="8" spans="3:7">
      <c r="C8" s="31">
        <v>45559</v>
      </c>
      <c r="D8" s="32" t="s">
        <v>64</v>
      </c>
      <c r="E8" s="28">
        <v>3000</v>
      </c>
      <c r="F8" s="33"/>
      <c r="G8" s="34">
        <f t="shared" ref="G8:G56" si="0">G7+E8-F8</f>
        <v>5000</v>
      </c>
    </row>
    <row r="9" spans="3:7">
      <c r="C9" s="31">
        <v>45558</v>
      </c>
      <c r="D9" s="32" t="s">
        <v>65</v>
      </c>
      <c r="E9" s="28"/>
      <c r="F9" s="33">
        <v>1155</v>
      </c>
      <c r="G9" s="34">
        <f t="shared" si="0"/>
        <v>3845</v>
      </c>
    </row>
    <row r="10" spans="3:7">
      <c r="C10" s="31">
        <v>45559</v>
      </c>
      <c r="D10" s="32" t="s">
        <v>66</v>
      </c>
      <c r="E10" s="28"/>
      <c r="F10" s="33">
        <v>2085</v>
      </c>
      <c r="G10" s="34">
        <f t="shared" si="0"/>
        <v>1760</v>
      </c>
    </row>
    <row r="11" spans="3:7">
      <c r="C11" s="31">
        <v>45562</v>
      </c>
      <c r="D11" s="32" t="s">
        <v>67</v>
      </c>
      <c r="E11" s="28"/>
      <c r="F11" s="33">
        <v>750</v>
      </c>
      <c r="G11" s="34">
        <f t="shared" si="0"/>
        <v>1010</v>
      </c>
    </row>
    <row r="12" spans="3:7">
      <c r="C12" s="31">
        <v>45566</v>
      </c>
      <c r="D12" s="35" t="s">
        <v>68</v>
      </c>
      <c r="E12" s="28">
        <v>1000</v>
      </c>
      <c r="F12" s="33"/>
      <c r="G12" s="34">
        <f t="shared" si="0"/>
        <v>2010</v>
      </c>
    </row>
    <row r="13" spans="3:7">
      <c r="C13" s="31">
        <v>45566</v>
      </c>
      <c r="D13" s="35" t="s">
        <v>68</v>
      </c>
      <c r="E13" s="28">
        <v>2000</v>
      </c>
      <c r="F13" s="33"/>
      <c r="G13" s="34">
        <f t="shared" si="0"/>
        <v>4010</v>
      </c>
    </row>
    <row r="14" spans="3:7">
      <c r="C14" s="31">
        <v>45566</v>
      </c>
      <c r="D14" s="35" t="s">
        <v>68</v>
      </c>
      <c r="E14" s="28">
        <v>35850</v>
      </c>
      <c r="F14" s="33"/>
      <c r="G14" s="34">
        <f t="shared" si="0"/>
        <v>39860</v>
      </c>
    </row>
    <row r="15" spans="3:7">
      <c r="C15" s="31">
        <v>45567</v>
      </c>
      <c r="D15" s="35" t="s">
        <v>69</v>
      </c>
      <c r="E15" s="28">
        <v>1020</v>
      </c>
      <c r="F15" s="33"/>
      <c r="G15" s="34">
        <f t="shared" si="0"/>
        <v>40880</v>
      </c>
    </row>
    <row r="16" spans="3:7">
      <c r="C16" s="31">
        <v>45568</v>
      </c>
      <c r="D16" s="35" t="s">
        <v>70</v>
      </c>
      <c r="E16" s="28">
        <v>5700</v>
      </c>
      <c r="F16" s="33"/>
      <c r="G16" s="34">
        <f t="shared" si="0"/>
        <v>46580</v>
      </c>
    </row>
    <row r="17" spans="1:7">
      <c r="C17" s="31">
        <v>45568</v>
      </c>
      <c r="D17" s="35" t="s">
        <v>70</v>
      </c>
      <c r="E17" s="28">
        <v>100</v>
      </c>
      <c r="F17" s="33"/>
      <c r="G17" s="34">
        <f t="shared" si="0"/>
        <v>46680</v>
      </c>
    </row>
    <row r="18" spans="1:7">
      <c r="C18" s="31">
        <v>45568</v>
      </c>
      <c r="D18" s="35" t="s">
        <v>71</v>
      </c>
      <c r="E18" s="28">
        <v>32400</v>
      </c>
      <c r="F18" s="33"/>
      <c r="G18" s="34">
        <f t="shared" si="0"/>
        <v>79080</v>
      </c>
    </row>
    <row r="19" spans="1:7">
      <c r="C19" s="31">
        <v>45569</v>
      </c>
      <c r="D19" s="35" t="s">
        <v>72</v>
      </c>
      <c r="E19" s="28">
        <v>89000</v>
      </c>
      <c r="F19" s="33"/>
      <c r="G19" s="34">
        <f t="shared" si="0"/>
        <v>168080</v>
      </c>
    </row>
    <row r="20" spans="1:7">
      <c r="C20" s="31">
        <v>45574</v>
      </c>
      <c r="D20" s="35" t="s">
        <v>73</v>
      </c>
      <c r="E20" s="28">
        <v>5000</v>
      </c>
      <c r="F20" s="33"/>
      <c r="G20" s="34">
        <f t="shared" si="0"/>
        <v>173080</v>
      </c>
    </row>
    <row r="21" spans="1:7">
      <c r="C21" s="31">
        <v>45576</v>
      </c>
      <c r="D21" s="35" t="s">
        <v>74</v>
      </c>
      <c r="E21" s="36">
        <v>275460</v>
      </c>
      <c r="F21" s="33"/>
      <c r="G21" s="37">
        <f t="shared" si="0"/>
        <v>448540</v>
      </c>
    </row>
    <row r="22" spans="1:7">
      <c r="C22" s="31">
        <v>45580</v>
      </c>
      <c r="D22" s="35" t="s">
        <v>75</v>
      </c>
      <c r="E22" s="36"/>
      <c r="F22" s="33">
        <v>860</v>
      </c>
      <c r="G22" s="37">
        <f t="shared" si="0"/>
        <v>447680</v>
      </c>
    </row>
    <row r="23" spans="1:7">
      <c r="C23" s="31">
        <v>45580</v>
      </c>
      <c r="D23" s="38" t="s">
        <v>76</v>
      </c>
      <c r="E23" s="28">
        <v>51700</v>
      </c>
      <c r="F23" s="33"/>
      <c r="G23" s="39">
        <f t="shared" si="0"/>
        <v>499380</v>
      </c>
    </row>
    <row r="24" spans="1:7">
      <c r="A24" t="s">
        <v>55</v>
      </c>
      <c r="C24" s="31"/>
      <c r="D24" s="38" t="s">
        <v>107</v>
      </c>
      <c r="E24" s="28"/>
      <c r="F24" s="33">
        <v>6820</v>
      </c>
      <c r="G24" s="37">
        <f t="shared" si="0"/>
        <v>492560</v>
      </c>
    </row>
    <row r="25" spans="1:7">
      <c r="A25" t="s">
        <v>55</v>
      </c>
      <c r="B25" t="s">
        <v>105</v>
      </c>
      <c r="C25" s="31">
        <v>45580</v>
      </c>
      <c r="D25" s="38" t="s">
        <v>77</v>
      </c>
      <c r="E25" s="28">
        <v>4850</v>
      </c>
      <c r="F25" s="33"/>
      <c r="G25" s="37">
        <f t="shared" si="0"/>
        <v>497410</v>
      </c>
    </row>
    <row r="26" spans="1:7">
      <c r="B26" t="s">
        <v>106</v>
      </c>
      <c r="C26" s="31">
        <v>45580</v>
      </c>
      <c r="D26" s="38" t="s">
        <v>78</v>
      </c>
      <c r="E26" s="28">
        <v>98100</v>
      </c>
      <c r="F26" s="33"/>
      <c r="G26" s="34">
        <f t="shared" si="0"/>
        <v>595510</v>
      </c>
    </row>
    <row r="27" spans="1:7">
      <c r="A27" t="s">
        <v>55</v>
      </c>
      <c r="B27" t="s">
        <v>105</v>
      </c>
      <c r="C27" s="31">
        <v>45580</v>
      </c>
      <c r="D27" s="38" t="s">
        <v>79</v>
      </c>
      <c r="E27" s="28"/>
      <c r="F27" s="40">
        <v>500</v>
      </c>
      <c r="G27" s="34">
        <f t="shared" si="0"/>
        <v>595010</v>
      </c>
    </row>
    <row r="28" spans="1:7">
      <c r="C28" s="31">
        <v>45580</v>
      </c>
      <c r="D28" s="38" t="s">
        <v>80</v>
      </c>
      <c r="E28" s="28"/>
      <c r="F28" s="40">
        <v>205100</v>
      </c>
      <c r="G28" s="34">
        <f t="shared" si="0"/>
        <v>389910</v>
      </c>
    </row>
    <row r="29" spans="1:7">
      <c r="C29" s="31">
        <v>45581</v>
      </c>
      <c r="D29" s="38" t="s">
        <v>81</v>
      </c>
      <c r="E29" s="28"/>
      <c r="F29" s="40">
        <v>110</v>
      </c>
      <c r="G29" s="34">
        <f t="shared" si="0"/>
        <v>389800</v>
      </c>
    </row>
    <row r="30" spans="1:7">
      <c r="C30" s="31">
        <v>45581</v>
      </c>
      <c r="D30" s="38" t="s">
        <v>82</v>
      </c>
      <c r="E30" s="28"/>
      <c r="F30" s="33">
        <v>200</v>
      </c>
      <c r="G30" s="34">
        <f t="shared" si="0"/>
        <v>389600</v>
      </c>
    </row>
    <row r="31" spans="1:7">
      <c r="C31" s="31">
        <v>45581</v>
      </c>
      <c r="D31" s="38" t="s">
        <v>83</v>
      </c>
      <c r="E31" s="28"/>
      <c r="F31" s="40">
        <v>73410</v>
      </c>
      <c r="G31" s="34">
        <f t="shared" si="0"/>
        <v>316190</v>
      </c>
    </row>
    <row r="32" spans="1:7">
      <c r="C32" s="31">
        <v>45582</v>
      </c>
      <c r="D32" s="38" t="s">
        <v>84</v>
      </c>
      <c r="E32" s="28">
        <v>25670</v>
      </c>
      <c r="F32" s="33"/>
      <c r="G32" s="34">
        <f t="shared" si="0"/>
        <v>341860</v>
      </c>
    </row>
    <row r="33" spans="3:7">
      <c r="C33" s="31">
        <v>45582</v>
      </c>
      <c r="D33" s="38" t="s">
        <v>85</v>
      </c>
      <c r="E33" s="28">
        <v>31320</v>
      </c>
      <c r="F33" s="33"/>
      <c r="G33" s="34">
        <f t="shared" si="0"/>
        <v>373180</v>
      </c>
    </row>
    <row r="34" spans="3:7">
      <c r="C34" s="31">
        <v>45582</v>
      </c>
      <c r="D34" s="35" t="s">
        <v>86</v>
      </c>
      <c r="E34" s="28"/>
      <c r="F34" s="33">
        <v>5000</v>
      </c>
      <c r="G34" s="34">
        <f>G33+E34-F34</f>
        <v>368180</v>
      </c>
    </row>
    <row r="35" spans="3:7">
      <c r="C35" s="31">
        <v>45582</v>
      </c>
      <c r="D35" s="38" t="s">
        <v>87</v>
      </c>
      <c r="E35" s="28">
        <v>6500</v>
      </c>
      <c r="F35" s="33"/>
      <c r="G35" s="34">
        <f t="shared" si="0"/>
        <v>374680</v>
      </c>
    </row>
    <row r="36" spans="3:7">
      <c r="C36" s="31">
        <v>45583</v>
      </c>
      <c r="D36" s="38" t="s">
        <v>88</v>
      </c>
      <c r="E36" s="28"/>
      <c r="F36" s="33">
        <v>2000</v>
      </c>
      <c r="G36" s="34">
        <f t="shared" si="0"/>
        <v>372680</v>
      </c>
    </row>
    <row r="37" spans="3:7">
      <c r="C37" s="31">
        <v>45583</v>
      </c>
      <c r="D37" s="38" t="s">
        <v>89</v>
      </c>
      <c r="E37" s="28"/>
      <c r="F37" s="33">
        <v>180</v>
      </c>
      <c r="G37" s="34">
        <f t="shared" si="0"/>
        <v>372500</v>
      </c>
    </row>
    <row r="38" spans="3:7">
      <c r="C38" s="31">
        <v>45583</v>
      </c>
      <c r="D38" s="38" t="s">
        <v>90</v>
      </c>
      <c r="E38" s="28"/>
      <c r="F38" s="33">
        <v>1085</v>
      </c>
      <c r="G38" s="34">
        <f t="shared" si="0"/>
        <v>371415</v>
      </c>
    </row>
    <row r="39" spans="3:7">
      <c r="C39" s="31">
        <v>45583</v>
      </c>
      <c r="D39" s="38" t="s">
        <v>91</v>
      </c>
      <c r="E39" s="28">
        <v>2615</v>
      </c>
      <c r="F39" s="33"/>
      <c r="G39" s="34">
        <f t="shared" si="0"/>
        <v>374030</v>
      </c>
    </row>
    <row r="40" spans="3:7">
      <c r="C40" s="31">
        <v>45583</v>
      </c>
      <c r="D40" s="38" t="s">
        <v>92</v>
      </c>
      <c r="E40" s="28"/>
      <c r="F40" s="33">
        <v>132947</v>
      </c>
      <c r="G40" s="34">
        <f t="shared" si="0"/>
        <v>241083</v>
      </c>
    </row>
    <row r="41" spans="3:7">
      <c r="C41" s="31">
        <v>45583</v>
      </c>
      <c r="D41" s="38" t="s">
        <v>93</v>
      </c>
      <c r="E41" s="28">
        <f>2650*2</f>
        <v>5300</v>
      </c>
      <c r="F41" s="33"/>
      <c r="G41" s="34">
        <f t="shared" si="0"/>
        <v>246383</v>
      </c>
    </row>
    <row r="42" spans="3:7">
      <c r="C42" s="31">
        <v>45586</v>
      </c>
      <c r="D42" s="35" t="s">
        <v>94</v>
      </c>
      <c r="E42" s="28">
        <v>4650</v>
      </c>
      <c r="F42" s="33"/>
      <c r="G42" s="34">
        <f t="shared" si="0"/>
        <v>251033</v>
      </c>
    </row>
    <row r="43" spans="3:7">
      <c r="C43" s="31">
        <v>45586</v>
      </c>
      <c r="D43" s="38" t="s">
        <v>95</v>
      </c>
      <c r="E43" s="28">
        <v>73500</v>
      </c>
      <c r="F43" s="33"/>
      <c r="G43" s="34">
        <f t="shared" si="0"/>
        <v>324533</v>
      </c>
    </row>
    <row r="44" spans="3:7">
      <c r="C44" s="31">
        <v>45586</v>
      </c>
      <c r="D44" s="38" t="s">
        <v>96</v>
      </c>
      <c r="E44" s="28">
        <v>19500</v>
      </c>
      <c r="F44" s="33"/>
      <c r="G44" s="34">
        <f t="shared" si="0"/>
        <v>344033</v>
      </c>
    </row>
    <row r="45" spans="3:7">
      <c r="C45" s="31">
        <v>45586</v>
      </c>
      <c r="D45" s="41" t="s">
        <v>97</v>
      </c>
      <c r="E45" s="28">
        <v>8700</v>
      </c>
      <c r="F45" s="33"/>
      <c r="G45" s="34">
        <f t="shared" si="0"/>
        <v>352733</v>
      </c>
    </row>
    <row r="46" spans="3:7">
      <c r="C46" s="31">
        <v>45586</v>
      </c>
      <c r="D46" s="38" t="s">
        <v>98</v>
      </c>
      <c r="E46" s="28">
        <v>23400</v>
      </c>
      <c r="F46" s="33"/>
      <c r="G46" s="34">
        <f t="shared" si="0"/>
        <v>376133</v>
      </c>
    </row>
    <row r="47" spans="3:7">
      <c r="C47" s="31">
        <v>45586</v>
      </c>
      <c r="D47" s="38" t="s">
        <v>99</v>
      </c>
      <c r="E47" s="28">
        <v>113060</v>
      </c>
      <c r="F47" s="33"/>
      <c r="G47" s="34">
        <f t="shared" si="0"/>
        <v>489193</v>
      </c>
    </row>
    <row r="48" spans="3:7">
      <c r="C48" s="31">
        <v>45587</v>
      </c>
      <c r="D48" s="38" t="s">
        <v>100</v>
      </c>
      <c r="E48" s="28">
        <v>3900</v>
      </c>
      <c r="F48" s="33"/>
      <c r="G48" s="34">
        <f t="shared" si="0"/>
        <v>493093</v>
      </c>
    </row>
    <row r="49" spans="3:7">
      <c r="C49" s="31">
        <v>45587</v>
      </c>
      <c r="D49" s="38" t="s">
        <v>101</v>
      </c>
      <c r="E49" s="28"/>
      <c r="F49" s="33">
        <f>4660+105000</f>
        <v>109660</v>
      </c>
      <c r="G49" s="34">
        <f t="shared" si="0"/>
        <v>383433</v>
      </c>
    </row>
    <row r="50" spans="3:7">
      <c r="C50" s="31">
        <v>45587</v>
      </c>
      <c r="D50" s="38" t="s">
        <v>102</v>
      </c>
      <c r="E50" s="28">
        <v>35700</v>
      </c>
      <c r="F50" s="33"/>
      <c r="G50" s="34">
        <f t="shared" si="0"/>
        <v>419133</v>
      </c>
    </row>
    <row r="51" spans="3:7">
      <c r="C51" s="31"/>
      <c r="D51" s="38" t="s">
        <v>82</v>
      </c>
      <c r="E51" s="28"/>
      <c r="F51" s="33">
        <v>300</v>
      </c>
      <c r="G51" s="34">
        <f t="shared" si="0"/>
        <v>418833</v>
      </c>
    </row>
    <row r="52" spans="3:7">
      <c r="C52" s="31">
        <v>45587</v>
      </c>
      <c r="D52" s="38" t="s">
        <v>103</v>
      </c>
      <c r="E52" s="28">
        <v>117180</v>
      </c>
      <c r="F52" s="33"/>
      <c r="G52" s="34">
        <f t="shared" si="0"/>
        <v>536013</v>
      </c>
    </row>
    <row r="53" spans="3:7">
      <c r="C53" s="31"/>
      <c r="D53" s="38"/>
      <c r="E53" s="28"/>
      <c r="F53" s="33"/>
      <c r="G53" s="34">
        <f t="shared" si="0"/>
        <v>536013</v>
      </c>
    </row>
    <row r="54" spans="3:7">
      <c r="C54" s="31"/>
      <c r="D54" s="38"/>
      <c r="E54" s="28"/>
      <c r="F54" s="33"/>
      <c r="G54" s="34">
        <f t="shared" si="0"/>
        <v>536013</v>
      </c>
    </row>
    <row r="55" spans="3:7">
      <c r="C55" s="31"/>
      <c r="D55" s="35"/>
      <c r="E55" s="28"/>
      <c r="F55" s="33"/>
      <c r="G55" s="34">
        <f t="shared" si="0"/>
        <v>536013</v>
      </c>
    </row>
    <row r="56" spans="3:7">
      <c r="C56" s="42"/>
      <c r="D56" s="43" t="s">
        <v>104</v>
      </c>
      <c r="E56" s="44"/>
      <c r="F56" s="45"/>
      <c r="G56" s="46">
        <f t="shared" si="0"/>
        <v>536013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Opening Stock</vt:lpstr>
      <vt:lpstr>Opening Balances</vt:lpstr>
      <vt:lpstr>Party Balances</vt:lpstr>
      <vt:lpstr>cash</vt:lpstr>
      <vt:lpstr>ledger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2024-10-24T05:32:03Z</dcterms:created>
  <dcterms:modified xsi:type="dcterms:W3CDTF">2024-11-04T13:34:39Z</dcterms:modified>
</cp:coreProperties>
</file>