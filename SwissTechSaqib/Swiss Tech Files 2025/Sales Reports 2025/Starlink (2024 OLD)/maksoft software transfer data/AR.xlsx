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5300\Desktop\Starlink\maksoft software transfer data\"/>
    </mc:Choice>
  </mc:AlternateContent>
  <xr:revisionPtr revIDLastSave="0" documentId="13_ncr:1_{453EC1CB-6640-4D9A-A76D-F87328752E24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Balance Sheet" sheetId="6" r:id="rId1"/>
    <sheet name="Customer Ledger" sheetId="4" r:id="rId2"/>
    <sheet name="final closing" sheetId="15" r:id="rId3"/>
    <sheet name="Vendor Ledger" sheetId="3" r:id="rId4"/>
    <sheet name="IMEI Record" sheetId="10" r:id="rId5"/>
    <sheet name="Sell.Invoice" sheetId="2" r:id="rId6"/>
    <sheet name="Pur.Invoice" sheetId="1" r:id="rId7"/>
    <sheet name="AR Bank Accounts" sheetId="16" r:id="rId8"/>
    <sheet name="Mudassir Purchasing" sheetId="14" r:id="rId9"/>
    <sheet name="Stock" sheetId="12" r:id="rId10"/>
    <sheet name="Australia 2" sheetId="13" r:id="rId11"/>
    <sheet name="AR Expense " sheetId="17" r:id="rId12"/>
    <sheet name="Book 1" sheetId="19" r:id="rId13"/>
    <sheet name="Book 2" sheetId="18" r:id="rId14"/>
  </sheets>
  <definedNames>
    <definedName name="_xlnm._FilterDatabase" localSheetId="4" hidden="1">'IMEI Record'!$P$299:$R$381</definedName>
    <definedName name="_xlnm._FilterDatabase" localSheetId="9" hidden="1">Stock!$O$106:$R$188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7" i="16" l="1"/>
  <c r="G1038" i="16" s="1"/>
  <c r="G1039" i="16" s="1"/>
  <c r="G1040" i="16" s="1"/>
  <c r="G1041" i="16" s="1"/>
  <c r="G1042" i="16" s="1"/>
  <c r="G1043" i="16" s="1"/>
  <c r="G1044" i="16" s="1"/>
  <c r="G1045" i="16" s="1"/>
  <c r="G1046" i="16" s="1"/>
  <c r="G1047" i="16" s="1"/>
  <c r="G1048" i="16" s="1"/>
  <c r="G1049" i="16" s="1"/>
  <c r="G1050" i="16" s="1"/>
  <c r="G1051" i="16" s="1"/>
  <c r="G1052" i="16" s="1"/>
  <c r="G1053" i="16" s="1"/>
  <c r="G1054" i="16" s="1"/>
  <c r="G1055" i="16" s="1"/>
  <c r="G1056" i="16" s="1"/>
  <c r="G1057" i="16" s="1"/>
  <c r="G1058" i="16" s="1"/>
  <c r="G1059" i="16" s="1"/>
  <c r="G1060" i="16" s="1"/>
  <c r="G1061" i="16" s="1"/>
  <c r="G1062" i="16" s="1"/>
  <c r="G1063" i="16" s="1"/>
  <c r="G1064" i="16" s="1"/>
  <c r="G1065" i="16" s="1"/>
  <c r="G1066" i="16" s="1"/>
  <c r="G1067" i="16" s="1"/>
  <c r="G1068" i="16" s="1"/>
  <c r="G1069" i="16" s="1"/>
  <c r="G1070" i="16" s="1"/>
  <c r="G1071" i="16" s="1"/>
  <c r="G1072" i="16" s="1"/>
  <c r="G1073" i="16" s="1"/>
  <c r="G1074" i="16" s="1"/>
  <c r="G1075" i="16" s="1"/>
  <c r="G1076" i="16" s="1"/>
  <c r="G1077" i="16" s="1"/>
  <c r="G1078" i="16" s="1"/>
  <c r="G1079" i="16" s="1"/>
  <c r="G1080" i="16" s="1"/>
  <c r="G1081" i="16" s="1"/>
  <c r="G1082" i="16" s="1"/>
  <c r="G1083" i="16" s="1"/>
  <c r="G1084" i="16" s="1"/>
  <c r="G1085" i="16" s="1"/>
  <c r="G1086" i="16" s="1"/>
  <c r="G1087" i="16" s="1"/>
  <c r="G1088" i="16" s="1"/>
  <c r="G1089" i="16" s="1"/>
  <c r="G1090" i="16" s="1"/>
  <c r="G1091" i="16" s="1"/>
  <c r="G1092" i="16" s="1"/>
  <c r="G1093" i="16" s="1"/>
  <c r="G1094" i="16" s="1"/>
  <c r="G1095" i="16" s="1"/>
  <c r="G1096" i="16" s="1"/>
  <c r="G1097" i="16" s="1"/>
  <c r="G1098" i="16" s="1"/>
  <c r="G1099" i="16" s="1"/>
  <c r="G1100" i="16" s="1"/>
  <c r="G1101" i="16" s="1"/>
  <c r="G1102" i="16" s="1"/>
  <c r="G1103" i="16" s="1"/>
  <c r="G1104" i="16" s="1"/>
  <c r="G1105" i="16" s="1"/>
  <c r="G1106" i="16" s="1"/>
  <c r="G1107" i="16" s="1"/>
  <c r="G1108" i="16" s="1"/>
  <c r="G1109" i="16" s="1"/>
  <c r="G1110" i="16" s="1"/>
  <c r="G1111" i="16" s="1"/>
  <c r="G1112" i="16" s="1"/>
  <c r="G1113" i="16" s="1"/>
  <c r="G1114" i="16" s="1"/>
  <c r="G1115" i="16" s="1"/>
  <c r="G1116" i="16" s="1"/>
  <c r="G1117" i="16" s="1"/>
  <c r="G1118" i="16" s="1"/>
  <c r="G1119" i="16" s="1"/>
  <c r="G1120" i="16" s="1"/>
  <c r="G1121" i="16" s="1"/>
  <c r="G1122" i="16" s="1"/>
  <c r="G1123" i="16" s="1"/>
  <c r="G1124" i="16" s="1"/>
  <c r="G1125" i="16" s="1"/>
  <c r="G1126" i="16" s="1"/>
  <c r="G1127" i="16" s="1"/>
  <c r="G1128" i="16" s="1"/>
  <c r="G1129" i="16" s="1"/>
  <c r="G1130" i="16" s="1"/>
  <c r="G1131" i="16" s="1"/>
  <c r="G1132" i="16" s="1"/>
  <c r="G1133" i="16" s="1"/>
  <c r="G1134" i="16" s="1"/>
  <c r="G1135" i="16" s="1"/>
  <c r="G1136" i="16" s="1"/>
  <c r="G1137" i="16" s="1"/>
  <c r="G1138" i="16" s="1"/>
  <c r="G1139" i="16" s="1"/>
  <c r="G1140" i="16" s="1"/>
  <c r="G1141" i="16" s="1"/>
  <c r="G1142" i="16" s="1"/>
  <c r="G1143" i="16" s="1"/>
  <c r="G1144" i="16" s="1"/>
  <c r="G1145" i="16" s="1"/>
  <c r="G1146" i="16" s="1"/>
  <c r="G1147" i="16" s="1"/>
  <c r="G1148" i="16" s="1"/>
  <c r="G1149" i="16" s="1"/>
  <c r="G1150" i="16" s="1"/>
  <c r="G1151" i="16" s="1"/>
  <c r="G1152" i="16" s="1"/>
  <c r="G1153" i="16" s="1"/>
  <c r="G1154" i="16" s="1"/>
  <c r="G1155" i="16" s="1"/>
  <c r="G1156" i="16" s="1"/>
  <c r="G1157" i="16" s="1"/>
  <c r="G1158" i="16" s="1"/>
  <c r="G937" i="16"/>
  <c r="G938" i="16" s="1"/>
  <c r="G939" i="16" s="1"/>
  <c r="G940" i="16" s="1"/>
  <c r="G941" i="16" s="1"/>
  <c r="G942" i="16" s="1"/>
  <c r="G943" i="16" s="1"/>
  <c r="G944" i="16" s="1"/>
  <c r="G945" i="16" s="1"/>
  <c r="G946" i="16" s="1"/>
  <c r="G947" i="16" s="1"/>
  <c r="G948" i="16" s="1"/>
  <c r="G949" i="16" s="1"/>
  <c r="G950" i="16" s="1"/>
  <c r="G951" i="16" s="1"/>
  <c r="G952" i="16" s="1"/>
  <c r="G953" i="16" s="1"/>
  <c r="G954" i="16" s="1"/>
  <c r="G955" i="16" s="1"/>
  <c r="G956" i="16" s="1"/>
  <c r="G957" i="16" s="1"/>
  <c r="G958" i="16" s="1"/>
  <c r="G959" i="16" s="1"/>
  <c r="G960" i="16" s="1"/>
  <c r="G961" i="16" s="1"/>
  <c r="G962" i="16" s="1"/>
  <c r="G963" i="16" s="1"/>
  <c r="G964" i="16" s="1"/>
  <c r="G965" i="16" s="1"/>
  <c r="G966" i="16" s="1"/>
  <c r="G967" i="16" s="1"/>
  <c r="G968" i="16" s="1"/>
  <c r="G969" i="16" s="1"/>
  <c r="G970" i="16" s="1"/>
  <c r="G971" i="16" s="1"/>
  <c r="G972" i="16" s="1"/>
  <c r="G973" i="16" s="1"/>
  <c r="G974" i="16" s="1"/>
  <c r="G975" i="16" s="1"/>
  <c r="G976" i="16" s="1"/>
  <c r="G977" i="16" s="1"/>
  <c r="G978" i="16" s="1"/>
  <c r="G979" i="16" s="1"/>
  <c r="G980" i="16" s="1"/>
  <c r="G981" i="16" s="1"/>
  <c r="G982" i="16" s="1"/>
  <c r="G983" i="16" s="1"/>
  <c r="G984" i="16" s="1"/>
  <c r="G985" i="16" s="1"/>
  <c r="G986" i="16" s="1"/>
  <c r="G987" i="16" s="1"/>
  <c r="G988" i="16" s="1"/>
  <c r="G989" i="16" s="1"/>
  <c r="G990" i="16" s="1"/>
  <c r="G991" i="16" s="1"/>
  <c r="G992" i="16" s="1"/>
  <c r="G993" i="16" s="1"/>
  <c r="G994" i="16" s="1"/>
  <c r="G995" i="16" s="1"/>
  <c r="G996" i="16" s="1"/>
  <c r="G997" i="16" s="1"/>
  <c r="G998" i="16" s="1"/>
  <c r="G999" i="16" s="1"/>
  <c r="G1000" i="16" s="1"/>
  <c r="G1001" i="16" s="1"/>
  <c r="G1002" i="16" s="1"/>
  <c r="G1003" i="16" s="1"/>
  <c r="G1004" i="16" s="1"/>
  <c r="G1005" i="16" s="1"/>
  <c r="G1006" i="16" s="1"/>
  <c r="G1007" i="16" s="1"/>
  <c r="G1008" i="16" s="1"/>
  <c r="G1009" i="16" s="1"/>
  <c r="G1010" i="16" s="1"/>
  <c r="G1011" i="16" s="1"/>
  <c r="G1012" i="16" s="1"/>
  <c r="G1013" i="16" s="1"/>
  <c r="G1014" i="16" s="1"/>
  <c r="G1015" i="16" s="1"/>
  <c r="G1016" i="16" s="1"/>
  <c r="G1017" i="16" s="1"/>
  <c r="G1018" i="16" s="1"/>
  <c r="G1019" i="16" s="1"/>
  <c r="G1020" i="16" s="1"/>
  <c r="G1021" i="16" s="1"/>
  <c r="G1022" i="16" s="1"/>
  <c r="G1023" i="16" s="1"/>
  <c r="G1024" i="16" s="1"/>
  <c r="G1025" i="16" s="1"/>
  <c r="G1026" i="16" s="1"/>
  <c r="G1027" i="16" s="1"/>
  <c r="G1028" i="16" s="1"/>
  <c r="G1029" i="16" s="1"/>
  <c r="G1030" i="16" s="1"/>
  <c r="G1031" i="16" s="1"/>
  <c r="G1032" i="16" s="1"/>
  <c r="G1033" i="16" s="1"/>
  <c r="G1034" i="16" s="1"/>
  <c r="G1035" i="16" s="1"/>
  <c r="G1036" i="16" s="1"/>
  <c r="F382" i="4"/>
  <c r="F383" i="4" s="1"/>
  <c r="F384" i="4" s="1"/>
  <c r="F385" i="4" s="1"/>
  <c r="F386" i="4" s="1"/>
  <c r="D29" i="6" s="1"/>
  <c r="F394" i="4" l="1"/>
  <c r="F395" i="4" s="1"/>
  <c r="F396" i="4" s="1"/>
  <c r="F397" i="4" s="1"/>
  <c r="F398" i="4" s="1"/>
  <c r="D27" i="6" s="1"/>
  <c r="F2115" i="2"/>
  <c r="F2114" i="2"/>
  <c r="F2113" i="2"/>
  <c r="F2112" i="2"/>
  <c r="AO434" i="12"/>
  <c r="AM434" i="12"/>
  <c r="AI434" i="12"/>
  <c r="AN434" i="12" s="1"/>
  <c r="AH482" i="12"/>
  <c r="AE482" i="12"/>
  <c r="W482" i="12"/>
  <c r="V482" i="12"/>
  <c r="U482" i="12"/>
  <c r="S482" i="12"/>
  <c r="R482" i="12"/>
  <c r="Q482" i="12"/>
  <c r="P482" i="12"/>
  <c r="N482" i="12"/>
  <c r="M482" i="12"/>
  <c r="K482" i="12"/>
  <c r="J482" i="12"/>
  <c r="I482" i="12"/>
  <c r="H482" i="12"/>
  <c r="G482" i="12"/>
  <c r="F482" i="12"/>
  <c r="E482" i="12"/>
  <c r="AP481" i="12"/>
  <c r="AP480" i="12"/>
  <c r="AI479" i="12"/>
  <c r="AN479" i="12" s="1"/>
  <c r="AP479" i="12" s="1"/>
  <c r="AI478" i="12"/>
  <c r="AN478" i="12" s="1"/>
  <c r="AP478" i="12" s="1"/>
  <c r="AI477" i="12"/>
  <c r="AN477" i="12" s="1"/>
  <c r="AP477" i="12" s="1"/>
  <c r="AI476" i="12"/>
  <c r="AN476" i="12" s="1"/>
  <c r="AP476" i="12" s="1"/>
  <c r="AI474" i="12"/>
  <c r="AN474" i="12" s="1"/>
  <c r="AP474" i="12" s="1"/>
  <c r="AO473" i="12"/>
  <c r="AM473" i="12"/>
  <c r="AI473" i="12"/>
  <c r="AN473" i="12" s="1"/>
  <c r="AI471" i="12"/>
  <c r="AN471" i="12" s="1"/>
  <c r="AP471" i="12" s="1"/>
  <c r="AI470" i="12"/>
  <c r="AN470" i="12" s="1"/>
  <c r="AP470" i="12" s="1"/>
  <c r="AI469" i="12"/>
  <c r="AN469" i="12" s="1"/>
  <c r="AP469" i="12" s="1"/>
  <c r="AI468" i="12"/>
  <c r="AN468" i="12" s="1"/>
  <c r="AP468" i="12" s="1"/>
  <c r="AI466" i="12"/>
  <c r="AN466" i="12" s="1"/>
  <c r="AP466" i="12" s="1"/>
  <c r="AM464" i="12"/>
  <c r="AI464" i="12"/>
  <c r="AN464" i="12" s="1"/>
  <c r="AP464" i="12" s="1"/>
  <c r="AI463" i="12"/>
  <c r="AI462" i="12"/>
  <c r="F1488" i="16"/>
  <c r="AP473" i="12" l="1"/>
  <c r="F2116" i="2"/>
  <c r="AP482" i="12"/>
  <c r="AN482" i="12"/>
  <c r="AI482" i="12"/>
  <c r="I508" i="4"/>
  <c r="D504" i="4"/>
  <c r="E1488" i="16"/>
  <c r="E1489" i="16" s="1"/>
  <c r="F2099" i="2" l="1"/>
  <c r="F2098" i="2"/>
  <c r="F2097" i="2"/>
  <c r="F2096" i="2"/>
  <c r="F116" i="15"/>
  <c r="F119" i="15" s="1"/>
  <c r="F113" i="15"/>
  <c r="F109" i="15"/>
  <c r="F114" i="15" s="1"/>
  <c r="F108" i="15"/>
  <c r="F105" i="15"/>
  <c r="F102" i="15"/>
  <c r="AP453" i="12"/>
  <c r="AI451" i="12"/>
  <c r="AN451" i="12" s="1"/>
  <c r="AP451" i="12" s="1"/>
  <c r="F2083" i="2"/>
  <c r="F2082" i="2"/>
  <c r="F2081" i="2"/>
  <c r="F2080" i="2"/>
  <c r="F2079" i="2"/>
  <c r="F87" i="15"/>
  <c r="F76" i="15"/>
  <c r="F83" i="15"/>
  <c r="F90" i="15"/>
  <c r="F82" i="15"/>
  <c r="F79" i="15"/>
  <c r="AH455" i="12"/>
  <c r="AE455" i="12"/>
  <c r="W455" i="12"/>
  <c r="V455" i="12"/>
  <c r="U455" i="12"/>
  <c r="S455" i="12"/>
  <c r="R455" i="12"/>
  <c r="Q455" i="12"/>
  <c r="P455" i="12"/>
  <c r="N455" i="12"/>
  <c r="M455" i="12"/>
  <c r="K455" i="12"/>
  <c r="J455" i="12"/>
  <c r="I455" i="12"/>
  <c r="H455" i="12"/>
  <c r="G455" i="12"/>
  <c r="F455" i="12"/>
  <c r="E455" i="12"/>
  <c r="AP454" i="12"/>
  <c r="AI452" i="12"/>
  <c r="AN452" i="12" s="1"/>
  <c r="AP452" i="12" s="1"/>
  <c r="AI450" i="12"/>
  <c r="AN450" i="12" s="1"/>
  <c r="AP450" i="12" s="1"/>
  <c r="AI449" i="12"/>
  <c r="AN449" i="12" s="1"/>
  <c r="AP449" i="12" s="1"/>
  <c r="AI447" i="12"/>
  <c r="AN447" i="12" s="1"/>
  <c r="AP447" i="12" s="1"/>
  <c r="AO446" i="12"/>
  <c r="AM446" i="12"/>
  <c r="AI446" i="12"/>
  <c r="AN446" i="12" s="1"/>
  <c r="AI444" i="12"/>
  <c r="AN444" i="12" s="1"/>
  <c r="AP444" i="12" s="1"/>
  <c r="AI443" i="12"/>
  <c r="AN443" i="12" s="1"/>
  <c r="AP443" i="12" s="1"/>
  <c r="AI442" i="12"/>
  <c r="AN442" i="12" s="1"/>
  <c r="AP442" i="12" s="1"/>
  <c r="AI441" i="12"/>
  <c r="AN441" i="12" s="1"/>
  <c r="AP441" i="12" s="1"/>
  <c r="AI439" i="12"/>
  <c r="AN439" i="12" s="1"/>
  <c r="AP439" i="12" s="1"/>
  <c r="AM437" i="12"/>
  <c r="AI437" i="12"/>
  <c r="AN437" i="12" s="1"/>
  <c r="AP437" i="12" s="1"/>
  <c r="AM436" i="12"/>
  <c r="AI436" i="12"/>
  <c r="AN436" i="12" s="1"/>
  <c r="AP436" i="12" s="1"/>
  <c r="AM435" i="12"/>
  <c r="AI435" i="12"/>
  <c r="AN435" i="12" s="1"/>
  <c r="AP435" i="12" s="1"/>
  <c r="AO370" i="12"/>
  <c r="AO369" i="12"/>
  <c r="AI369" i="12"/>
  <c r="AN369" i="12" s="1"/>
  <c r="AI370" i="12"/>
  <c r="AN370" i="12" s="1"/>
  <c r="F549" i="4"/>
  <c r="F550" i="4" s="1"/>
  <c r="F551" i="4" s="1"/>
  <c r="F552" i="4" s="1"/>
  <c r="F553" i="4" s="1"/>
  <c r="F554" i="4" s="1"/>
  <c r="D26" i="6" s="1"/>
  <c r="F1319" i="1"/>
  <c r="F1318" i="1"/>
  <c r="F1317" i="1"/>
  <c r="F1321" i="1" s="1"/>
  <c r="F1316" i="1"/>
  <c r="F2100" i="2" l="1"/>
  <c r="F121" i="15"/>
  <c r="F2084" i="2"/>
  <c r="AP370" i="12"/>
  <c r="AP446" i="12"/>
  <c r="AN455" i="12"/>
  <c r="AI455" i="12"/>
  <c r="AP369" i="12"/>
  <c r="AP455" i="12" l="1"/>
  <c r="D1131" i="1"/>
  <c r="E156" i="3"/>
  <c r="F2066" i="2"/>
  <c r="F2065" i="2"/>
  <c r="F2064" i="2"/>
  <c r="F2063" i="2"/>
  <c r="F2062" i="2"/>
  <c r="F1301" i="1"/>
  <c r="F1300" i="1"/>
  <c r="F1299" i="1"/>
  <c r="F1298" i="1"/>
  <c r="F1284" i="1"/>
  <c r="F1283" i="1"/>
  <c r="F1282" i="1"/>
  <c r="F1281" i="1"/>
  <c r="F2067" i="2" l="1"/>
  <c r="F1303" i="1"/>
  <c r="F1286" i="1"/>
  <c r="AJ425" i="12"/>
  <c r="AF426" i="12"/>
  <c r="AD426" i="12"/>
  <c r="AJ426" i="12" l="1"/>
  <c r="F2049" i="2"/>
  <c r="F2048" i="2"/>
  <c r="F2050" i="2"/>
  <c r="F2047" i="2"/>
  <c r="F2046" i="2"/>
  <c r="E775" i="4"/>
  <c r="F2051" i="2" l="1"/>
  <c r="Z404" i="12"/>
  <c r="AI404" i="12" s="1"/>
  <c r="AN404" i="12" s="1"/>
  <c r="Z403" i="12"/>
  <c r="AI403" i="12" s="1"/>
  <c r="AN403" i="12" s="1"/>
  <c r="Z401" i="12"/>
  <c r="AI401" i="12" s="1"/>
  <c r="AN401" i="12" s="1"/>
  <c r="Z402" i="12"/>
  <c r="AI402" i="12" s="1"/>
  <c r="AN402" i="12" s="1"/>
  <c r="Z400" i="12"/>
  <c r="AI400" i="12" s="1"/>
  <c r="AN400" i="12" s="1"/>
  <c r="Z407" i="12"/>
  <c r="Z406" i="12"/>
  <c r="F1265" i="1"/>
  <c r="F1264" i="1"/>
  <c r="F1263" i="1"/>
  <c r="F1262" i="1"/>
  <c r="F1261" i="1"/>
  <c r="F1259" i="1"/>
  <c r="F1258" i="1"/>
  <c r="F1257" i="1"/>
  <c r="K1264" i="1"/>
  <c r="K1263" i="1"/>
  <c r="K1262" i="1"/>
  <c r="K1261" i="1"/>
  <c r="K1259" i="1"/>
  <c r="K1258" i="1"/>
  <c r="K1257" i="1"/>
  <c r="F1266" i="1"/>
  <c r="F156" i="3"/>
  <c r="F157" i="3" s="1"/>
  <c r="F158" i="3" s="1"/>
  <c r="F159" i="3" s="1"/>
  <c r="F160" i="3" s="1"/>
  <c r="F161" i="3" s="1"/>
  <c r="F162" i="3" s="1"/>
  <c r="I1130" i="1"/>
  <c r="AI413" i="12"/>
  <c r="AN413" i="12" s="1"/>
  <c r="K1265" i="1" l="1"/>
  <c r="F1268" i="1"/>
  <c r="F251" i="4"/>
  <c r="F252" i="4" s="1"/>
  <c r="F253" i="4" s="1"/>
  <c r="F254" i="4" s="1"/>
  <c r="F255" i="4" s="1"/>
  <c r="F256" i="4" s="1"/>
  <c r="F257" i="4" s="1"/>
  <c r="F258" i="4" s="1"/>
  <c r="F2033" i="2"/>
  <c r="F2032" i="2"/>
  <c r="F2031" i="2"/>
  <c r="F2034" i="2" s="1"/>
  <c r="F2019" i="2"/>
  <c r="F2018" i="2"/>
  <c r="F2017" i="2"/>
  <c r="F2006" i="2"/>
  <c r="F2005" i="2"/>
  <c r="F2004" i="2"/>
  <c r="F2007" i="2" s="1"/>
  <c r="F181" i="3"/>
  <c r="F182" i="3" s="1"/>
  <c r="F183" i="3" s="1"/>
  <c r="F184" i="3" s="1"/>
  <c r="F185" i="3" s="1"/>
  <c r="F186" i="3" s="1"/>
  <c r="F187" i="3" s="1"/>
  <c r="F1243" i="1"/>
  <c r="F1242" i="1"/>
  <c r="F1241" i="1"/>
  <c r="F1245" i="1" s="1"/>
  <c r="F1240" i="1"/>
  <c r="AO372" i="12"/>
  <c r="AI372" i="12"/>
  <c r="AN372" i="12" s="1"/>
  <c r="F1225" i="1"/>
  <c r="F1224" i="1"/>
  <c r="F1223" i="1"/>
  <c r="F1222" i="1"/>
  <c r="Y406" i="12"/>
  <c r="Y407" i="12"/>
  <c r="F1992" i="2"/>
  <c r="F1991" i="2"/>
  <c r="F1990" i="2"/>
  <c r="F1989" i="2"/>
  <c r="F1977" i="2"/>
  <c r="F1976" i="2"/>
  <c r="F1975" i="2"/>
  <c r="F1963" i="2"/>
  <c r="F1962" i="2"/>
  <c r="F1961" i="2"/>
  <c r="F1949" i="2"/>
  <c r="F1948" i="2"/>
  <c r="F1947" i="2"/>
  <c r="F1946" i="2"/>
  <c r="F1945" i="2"/>
  <c r="F1944" i="2"/>
  <c r="F1943" i="2"/>
  <c r="F1931" i="2"/>
  <c r="F1930" i="2"/>
  <c r="F1929" i="2"/>
  <c r="F1928" i="2"/>
  <c r="F1927" i="2"/>
  <c r="F1915" i="2"/>
  <c r="F1914" i="2"/>
  <c r="F1913" i="2"/>
  <c r="F1912" i="2"/>
  <c r="F1911" i="2"/>
  <c r="F2020" i="2" l="1"/>
  <c r="F1978" i="2"/>
  <c r="F1964" i="2"/>
  <c r="AP372" i="12"/>
  <c r="F1227" i="1"/>
  <c r="F1993" i="2"/>
  <c r="F1950" i="2"/>
  <c r="F1932" i="2"/>
  <c r="F1916" i="2"/>
  <c r="F1899" i="2" l="1"/>
  <c r="F1898" i="2"/>
  <c r="F1897" i="2"/>
  <c r="F1896" i="2"/>
  <c r="F1895" i="2"/>
  <c r="F169" i="3"/>
  <c r="F170" i="3" s="1"/>
  <c r="F171" i="3" s="1"/>
  <c r="F172" i="3" s="1"/>
  <c r="F173" i="3" s="1"/>
  <c r="F174" i="3" s="1"/>
  <c r="F175" i="3" s="1"/>
  <c r="F1206" i="1"/>
  <c r="F1205" i="1"/>
  <c r="F1204" i="1"/>
  <c r="F1203" i="1"/>
  <c r="F1900" i="2" l="1"/>
  <c r="F1208" i="1"/>
  <c r="F93" i="15" l="1"/>
  <c r="F88" i="15"/>
  <c r="N171" i="15"/>
  <c r="L191" i="15"/>
  <c r="N174" i="15"/>
  <c r="Q174" i="15"/>
  <c r="N173" i="15"/>
  <c r="N172" i="15"/>
  <c r="Q172" i="15"/>
  <c r="N191" i="15" l="1"/>
  <c r="F95" i="15"/>
  <c r="AO371" i="12"/>
  <c r="F1883" i="2" l="1"/>
  <c r="F1882" i="2"/>
  <c r="F1881" i="2"/>
  <c r="F1880" i="2"/>
  <c r="F1879" i="2"/>
  <c r="E225" i="4"/>
  <c r="F225" i="4" s="1"/>
  <c r="F226" i="4" s="1"/>
  <c r="F227" i="4" s="1"/>
  <c r="F228" i="4" s="1"/>
  <c r="F229" i="4" s="1"/>
  <c r="F230" i="4" s="1"/>
  <c r="F1867" i="2"/>
  <c r="F1866" i="2"/>
  <c r="F1865" i="2"/>
  <c r="F1864" i="2"/>
  <c r="F1863" i="2"/>
  <c r="F1851" i="2"/>
  <c r="F1850" i="2"/>
  <c r="F1849" i="2"/>
  <c r="F1848" i="2"/>
  <c r="F1847" i="2"/>
  <c r="AN409" i="12"/>
  <c r="AI409" i="12"/>
  <c r="AI412" i="12"/>
  <c r="AN412" i="12" s="1"/>
  <c r="AI411" i="12"/>
  <c r="AN411" i="12" s="1"/>
  <c r="AI407" i="12"/>
  <c r="AN407" i="12" s="1"/>
  <c r="AI406" i="12"/>
  <c r="AN406" i="12" s="1"/>
  <c r="AI398" i="12"/>
  <c r="AN398" i="12" s="1"/>
  <c r="AI397" i="12"/>
  <c r="AN397" i="12" s="1"/>
  <c r="F1836" i="2"/>
  <c r="F1835" i="2"/>
  <c r="F1834" i="2"/>
  <c r="F1833" i="2"/>
  <c r="F1832" i="2"/>
  <c r="F1820" i="2"/>
  <c r="F1819" i="2"/>
  <c r="F1818" i="2"/>
  <c r="F1817" i="2"/>
  <c r="F1816" i="2"/>
  <c r="F1852" i="2" l="1"/>
  <c r="F1821" i="2"/>
  <c r="F1837" i="2"/>
  <c r="F1868" i="2"/>
  <c r="F1884" i="2"/>
  <c r="F143" i="3" l="1"/>
  <c r="F144" i="3" s="1"/>
  <c r="F145" i="3" s="1"/>
  <c r="F146" i="3" s="1"/>
  <c r="F147" i="3" s="1"/>
  <c r="F148" i="3" s="1"/>
  <c r="F149" i="3" s="1"/>
  <c r="F1188" i="1" l="1"/>
  <c r="F1187" i="1"/>
  <c r="F1186" i="1"/>
  <c r="F1185" i="1"/>
  <c r="F1190" i="1" s="1"/>
  <c r="F1170" i="1" l="1"/>
  <c r="F1169" i="1"/>
  <c r="F1168" i="1"/>
  <c r="F1167" i="1"/>
  <c r="F1152" i="1"/>
  <c r="F1151" i="1"/>
  <c r="F1150" i="1"/>
  <c r="F1149" i="1"/>
  <c r="F1801" i="2"/>
  <c r="F1800" i="2"/>
  <c r="F1799" i="2"/>
  <c r="F1798" i="2"/>
  <c r="F1797" i="2"/>
  <c r="F1796" i="2"/>
  <c r="F1795" i="2"/>
  <c r="F1794" i="2"/>
  <c r="F1793" i="2"/>
  <c r="F1779" i="2"/>
  <c r="F1778" i="2"/>
  <c r="F1777" i="2"/>
  <c r="F1776" i="2"/>
  <c r="F1775" i="2"/>
  <c r="F1774" i="2"/>
  <c r="F1773" i="2"/>
  <c r="F1772" i="2"/>
  <c r="F1771" i="2"/>
  <c r="F1781" i="2"/>
  <c r="F1770" i="2"/>
  <c r="F1769" i="2"/>
  <c r="F1768" i="2"/>
  <c r="F1154" i="1" l="1"/>
  <c r="F1172" i="1"/>
  <c r="F1782" i="2"/>
  <c r="F1804" i="2"/>
  <c r="F1134" i="1" l="1"/>
  <c r="F1133" i="1"/>
  <c r="F1132" i="1"/>
  <c r="F1131" i="1"/>
  <c r="F368" i="4"/>
  <c r="F369" i="4" s="1"/>
  <c r="F370" i="4" s="1"/>
  <c r="F371" i="4" s="1"/>
  <c r="F372" i="4" s="1"/>
  <c r="D35" i="6" s="1"/>
  <c r="AI371" i="12"/>
  <c r="AN371" i="12" s="1"/>
  <c r="AP371" i="12" s="1"/>
  <c r="E487" i="4"/>
  <c r="F1136" i="1" l="1"/>
  <c r="AI393" i="12"/>
  <c r="AN393" i="12" s="1"/>
  <c r="AP393" i="12" s="1"/>
  <c r="AI391" i="12"/>
  <c r="AN391" i="12" s="1"/>
  <c r="AP391" i="12" s="1"/>
  <c r="AI390" i="12"/>
  <c r="AN390" i="12" s="1"/>
  <c r="AP390" i="12" s="1"/>
  <c r="AI388" i="12"/>
  <c r="AN388" i="12" s="1"/>
  <c r="AP388" i="12" s="1"/>
  <c r="AI387" i="12"/>
  <c r="AI385" i="12"/>
  <c r="AN385" i="12" s="1"/>
  <c r="AP385" i="12" s="1"/>
  <c r="AI384" i="12"/>
  <c r="AN384" i="12" s="1"/>
  <c r="AP384" i="12" s="1"/>
  <c r="AI383" i="12"/>
  <c r="AN383" i="12" s="1"/>
  <c r="AP383" i="12" s="1"/>
  <c r="AI382" i="12"/>
  <c r="AN382" i="12" s="1"/>
  <c r="AP382" i="12" s="1"/>
  <c r="AI380" i="12"/>
  <c r="AN380" i="12" s="1"/>
  <c r="AP380" i="12" s="1"/>
  <c r="AI378" i="12"/>
  <c r="AN378" i="12" s="1"/>
  <c r="AP378" i="12" s="1"/>
  <c r="AI377" i="12"/>
  <c r="AN377" i="12" s="1"/>
  <c r="AP377" i="12" s="1"/>
  <c r="AI376" i="12"/>
  <c r="AN376" i="12" s="1"/>
  <c r="AP376" i="12" s="1"/>
  <c r="AI373" i="12"/>
  <c r="AN373" i="12" s="1"/>
  <c r="AH415" i="12"/>
  <c r="AE415" i="12"/>
  <c r="W415" i="12"/>
  <c r="V415" i="12"/>
  <c r="U415" i="12"/>
  <c r="S415" i="12"/>
  <c r="R415" i="12"/>
  <c r="Q415" i="12"/>
  <c r="P415" i="12"/>
  <c r="N415" i="12"/>
  <c r="M415" i="12"/>
  <c r="K415" i="12"/>
  <c r="J415" i="12"/>
  <c r="I415" i="12"/>
  <c r="H415" i="12"/>
  <c r="G415" i="12"/>
  <c r="F415" i="12"/>
  <c r="E415" i="12"/>
  <c r="AP414" i="12"/>
  <c r="AO387" i="12"/>
  <c r="AM387" i="12"/>
  <c r="AM378" i="12"/>
  <c r="AM377" i="12"/>
  <c r="AM376" i="12"/>
  <c r="AO373" i="12"/>
  <c r="F406" i="4"/>
  <c r="F407" i="4" s="1"/>
  <c r="F408" i="4" s="1"/>
  <c r="F409" i="4" s="1"/>
  <c r="F410" i="4" s="1"/>
  <c r="AI415" i="12" l="1"/>
  <c r="AN387" i="12"/>
  <c r="AN415" i="12" s="1"/>
  <c r="AP373" i="12"/>
  <c r="F1116" i="1"/>
  <c r="F1115" i="1"/>
  <c r="F1114" i="1"/>
  <c r="F1113" i="1"/>
  <c r="F1118" i="1" s="1"/>
  <c r="F1756" i="2"/>
  <c r="F1755" i="2"/>
  <c r="F1754" i="2"/>
  <c r="F1753" i="2"/>
  <c r="F1752" i="2"/>
  <c r="AP387" i="12" l="1"/>
  <c r="AP415" i="12" s="1"/>
  <c r="F1757" i="2"/>
  <c r="F1740" i="2" l="1"/>
  <c r="F1739" i="2"/>
  <c r="F1738" i="2"/>
  <c r="F1737" i="2"/>
  <c r="F1736" i="2"/>
  <c r="F1707" i="2"/>
  <c r="F1706" i="2"/>
  <c r="F1705" i="2"/>
  <c r="F1704" i="2"/>
  <c r="F1692" i="2"/>
  <c r="F1691" i="2"/>
  <c r="F1690" i="2"/>
  <c r="F1689" i="2"/>
  <c r="F1741" i="2" l="1"/>
  <c r="F1708" i="2"/>
  <c r="F1693" i="2"/>
  <c r="G113" i="17"/>
  <c r="G114" i="17" s="1"/>
  <c r="G115" i="17" s="1"/>
  <c r="G116" i="17" s="1"/>
  <c r="G117" i="17" s="1"/>
  <c r="G118" i="17" s="1"/>
  <c r="G119" i="17" s="1"/>
  <c r="G112" i="17"/>
  <c r="G101" i="17"/>
  <c r="G100" i="17"/>
  <c r="G99" i="17"/>
  <c r="G96" i="17"/>
  <c r="G97" i="17" s="1"/>
  <c r="G98" i="17" s="1"/>
  <c r="F1722" i="2"/>
  <c r="F1723" i="2"/>
  <c r="F1721" i="2"/>
  <c r="F1720" i="2"/>
  <c r="F1719" i="2"/>
  <c r="G120" i="17" l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02" i="17"/>
  <c r="G103" i="17" s="1"/>
  <c r="G104" i="17" s="1"/>
  <c r="G105" i="17" s="1"/>
  <c r="F1724" i="2"/>
  <c r="G132" i="17" l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331" i="16"/>
  <c r="G332" i="16" s="1"/>
  <c r="G333" i="16" s="1"/>
  <c r="G334" i="16" s="1"/>
  <c r="G335" i="16" s="1"/>
  <c r="G336" i="16" s="1"/>
  <c r="G337" i="16" s="1"/>
  <c r="G338" i="16" s="1"/>
  <c r="G339" i="16" s="1"/>
  <c r="G340" i="16" s="1"/>
  <c r="G341" i="16" s="1"/>
  <c r="G342" i="16" s="1"/>
  <c r="G343" i="16" s="1"/>
  <c r="G344" i="16" s="1"/>
  <c r="G345" i="16" s="1"/>
  <c r="G346" i="16" s="1"/>
  <c r="D152" i="4"/>
  <c r="F1677" i="2"/>
  <c r="F1676" i="2"/>
  <c r="F1675" i="2"/>
  <c r="F1674" i="2"/>
  <c r="F1678" i="2" l="1"/>
  <c r="G347" i="16"/>
  <c r="G348" i="16" s="1"/>
  <c r="G349" i="16" s="1"/>
  <c r="G350" i="16" s="1"/>
  <c r="G351" i="16" s="1"/>
  <c r="G352" i="16" s="1"/>
  <c r="G353" i="16" s="1"/>
  <c r="G354" i="16" s="1"/>
  <c r="G355" i="16" s="1"/>
  <c r="G356" i="16" s="1"/>
  <c r="D1659" i="2"/>
  <c r="F1659" i="2" s="1"/>
  <c r="F1662" i="2"/>
  <c r="F1661" i="2"/>
  <c r="F1660" i="2"/>
  <c r="F1647" i="2"/>
  <c r="F1646" i="2"/>
  <c r="F1645" i="2"/>
  <c r="F1644" i="2"/>
  <c r="F1648" i="2" l="1"/>
  <c r="F1663" i="2"/>
  <c r="G357" i="16"/>
  <c r="G358" i="16" s="1"/>
  <c r="G359" i="16" s="1"/>
  <c r="G360" i="16" s="1"/>
  <c r="G361" i="16" s="1"/>
  <c r="G362" i="16" s="1"/>
  <c r="G363" i="16" s="1"/>
  <c r="G364" i="16" s="1"/>
  <c r="G365" i="16" s="1"/>
  <c r="G366" i="16" s="1"/>
  <c r="G367" i="16" s="1"/>
  <c r="G368" i="16" s="1"/>
  <c r="G369" i="16" s="1"/>
  <c r="G370" i="16" s="1"/>
  <c r="G371" i="16" s="1"/>
  <c r="G372" i="16" s="1"/>
  <c r="G373" i="16" s="1"/>
  <c r="G374" i="16" s="1"/>
  <c r="G375" i="16" s="1"/>
  <c r="G376" i="16" s="1"/>
  <c r="G377" i="16" s="1"/>
  <c r="G378" i="16" s="1"/>
  <c r="G379" i="16" s="1"/>
  <c r="G380" i="16" s="1"/>
  <c r="G381" i="16" s="1"/>
  <c r="G382" i="16" s="1"/>
  <c r="G383" i="16" s="1"/>
  <c r="G384" i="16" s="1"/>
  <c r="G385" i="16" l="1"/>
  <c r="K362" i="12"/>
  <c r="D1097" i="1"/>
  <c r="F1097" i="1" s="1"/>
  <c r="D1096" i="1"/>
  <c r="F1096" i="1" s="1"/>
  <c r="D1095" i="1"/>
  <c r="F1095" i="1" s="1"/>
  <c r="D1094" i="1"/>
  <c r="F1094" i="1" s="1"/>
  <c r="D1093" i="1"/>
  <c r="F1093" i="1" s="1"/>
  <c r="D1092" i="1"/>
  <c r="F1092" i="1" s="1"/>
  <c r="D1091" i="1"/>
  <c r="F1091" i="1" s="1"/>
  <c r="F1631" i="2"/>
  <c r="F1630" i="2"/>
  <c r="F1629" i="2"/>
  <c r="F1628" i="2"/>
  <c r="F1616" i="2"/>
  <c r="F1615" i="2"/>
  <c r="F1614" i="2"/>
  <c r="F1613" i="2"/>
  <c r="G386" i="16" l="1"/>
  <c r="G387" i="16" s="1"/>
  <c r="G388" i="16" s="1"/>
  <c r="G389" i="16" s="1"/>
  <c r="G390" i="16" s="1"/>
  <c r="G391" i="16" s="1"/>
  <c r="G392" i="16" s="1"/>
  <c r="G393" i="16" s="1"/>
  <c r="G394" i="16" s="1"/>
  <c r="G395" i="16" s="1"/>
  <c r="G396" i="16" s="1"/>
  <c r="G397" i="16" s="1"/>
  <c r="G398" i="16" s="1"/>
  <c r="G399" i="16" s="1"/>
  <c r="G400" i="16" s="1"/>
  <c r="G401" i="16" s="1"/>
  <c r="G402" i="16" s="1"/>
  <c r="G403" i="16" s="1"/>
  <c r="G404" i="16" s="1"/>
  <c r="G405" i="16" s="1"/>
  <c r="G406" i="16" s="1"/>
  <c r="F1617" i="2"/>
  <c r="F1099" i="1"/>
  <c r="F1632" i="2"/>
  <c r="G407" i="16" l="1"/>
  <c r="G408" i="16" s="1"/>
  <c r="G409" i="16" s="1"/>
  <c r="G410" i="16" s="1"/>
  <c r="G411" i="16" s="1"/>
  <c r="G412" i="16" s="1"/>
  <c r="G413" i="16" s="1"/>
  <c r="G414" i="16" s="1"/>
  <c r="G415" i="16" s="1"/>
  <c r="G416" i="16" s="1"/>
  <c r="G417" i="16" s="1"/>
  <c r="G418" i="16" s="1"/>
  <c r="G419" i="16" s="1"/>
  <c r="G420" i="16" s="1"/>
  <c r="G421" i="16" s="1"/>
  <c r="G422" i="16" s="1"/>
  <c r="G423" i="16" s="1"/>
  <c r="F1601" i="2"/>
  <c r="F1600" i="2"/>
  <c r="F1599" i="2"/>
  <c r="F1598" i="2"/>
  <c r="G424" i="16" l="1"/>
  <c r="G425" i="16" s="1"/>
  <c r="G426" i="16" s="1"/>
  <c r="G427" i="16" s="1"/>
  <c r="G428" i="16" s="1"/>
  <c r="G429" i="16" s="1"/>
  <c r="G430" i="16" s="1"/>
  <c r="G431" i="16" s="1"/>
  <c r="G432" i="16" s="1"/>
  <c r="G433" i="16" s="1"/>
  <c r="G434" i="16" s="1"/>
  <c r="F1602" i="2"/>
  <c r="E237" i="4" l="1"/>
  <c r="F1585" i="2"/>
  <c r="F1584" i="2"/>
  <c r="F1583" i="2"/>
  <c r="F1582" i="2"/>
  <c r="F1570" i="2"/>
  <c r="F1569" i="2"/>
  <c r="F1568" i="2"/>
  <c r="F1567" i="2"/>
  <c r="AO333" i="12"/>
  <c r="AM333" i="12"/>
  <c r="AI333" i="12"/>
  <c r="AN333" i="12" s="1"/>
  <c r="AH362" i="12"/>
  <c r="AE362" i="12"/>
  <c r="W362" i="12"/>
  <c r="V362" i="12"/>
  <c r="U362" i="12"/>
  <c r="S362" i="12"/>
  <c r="R362" i="12"/>
  <c r="Q362" i="12"/>
  <c r="P362" i="12"/>
  <c r="N362" i="12"/>
  <c r="M362" i="12"/>
  <c r="J362" i="12"/>
  <c r="I362" i="12"/>
  <c r="H362" i="12"/>
  <c r="G362" i="12"/>
  <c r="F362" i="12"/>
  <c r="E362" i="12"/>
  <c r="AP361" i="12"/>
  <c r="AI361" i="12"/>
  <c r="AI360" i="12"/>
  <c r="AN360" i="12" s="1"/>
  <c r="AP360" i="12" s="1"/>
  <c r="AI358" i="12"/>
  <c r="AN358" i="12" s="1"/>
  <c r="AP358" i="12" s="1"/>
  <c r="AI357" i="12"/>
  <c r="AN357" i="12" s="1"/>
  <c r="AP357" i="12" s="1"/>
  <c r="AI356" i="12"/>
  <c r="AN356" i="12" s="1"/>
  <c r="AP356" i="12" s="1"/>
  <c r="AI355" i="12"/>
  <c r="AN355" i="12" s="1"/>
  <c r="AP355" i="12" s="1"/>
  <c r="AI354" i="12"/>
  <c r="AN354" i="12" s="1"/>
  <c r="AP354" i="12" s="1"/>
  <c r="AI353" i="12"/>
  <c r="AN353" i="12" s="1"/>
  <c r="AP353" i="12" s="1"/>
  <c r="AI352" i="12"/>
  <c r="AN352" i="12" s="1"/>
  <c r="AP352" i="12" s="1"/>
  <c r="AI351" i="12"/>
  <c r="AN351" i="12" s="1"/>
  <c r="AP351" i="12" s="1"/>
  <c r="AI350" i="12"/>
  <c r="AN350" i="12" s="1"/>
  <c r="AP350" i="12" s="1"/>
  <c r="AI349" i="12"/>
  <c r="AN349" i="12" s="1"/>
  <c r="AP349" i="12" s="1"/>
  <c r="AI348" i="12"/>
  <c r="AI347" i="12"/>
  <c r="AN347" i="12" s="1"/>
  <c r="AP347" i="12" s="1"/>
  <c r="AO346" i="12"/>
  <c r="AM346" i="12"/>
  <c r="AI346" i="12"/>
  <c r="AN346" i="12" s="1"/>
  <c r="AI344" i="12"/>
  <c r="AN344" i="12" s="1"/>
  <c r="AP344" i="12" s="1"/>
  <c r="AI343" i="12"/>
  <c r="AN343" i="12" s="1"/>
  <c r="AP343" i="12" s="1"/>
  <c r="AI342" i="12"/>
  <c r="AN342" i="12" s="1"/>
  <c r="AP342" i="12" s="1"/>
  <c r="AI341" i="12"/>
  <c r="AN341" i="12" s="1"/>
  <c r="AP341" i="12" s="1"/>
  <c r="AI340" i="12"/>
  <c r="AI339" i="12"/>
  <c r="AN339" i="12" s="1"/>
  <c r="AP339" i="12" s="1"/>
  <c r="AM337" i="12"/>
  <c r="AI337" i="12"/>
  <c r="AN337" i="12" s="1"/>
  <c r="AP337" i="12" s="1"/>
  <c r="AM336" i="12"/>
  <c r="AI336" i="12"/>
  <c r="AN336" i="12" s="1"/>
  <c r="AP336" i="12" s="1"/>
  <c r="AM335" i="12"/>
  <c r="AI335" i="12"/>
  <c r="AN335" i="12" s="1"/>
  <c r="AP335" i="12" s="1"/>
  <c r="AM334" i="12"/>
  <c r="AI334" i="12"/>
  <c r="AN334" i="12" s="1"/>
  <c r="AP334" i="12" s="1"/>
  <c r="AO332" i="12"/>
  <c r="AM332" i="12"/>
  <c r="AI332" i="12"/>
  <c r="AN332" i="12" s="1"/>
  <c r="AO331" i="12"/>
  <c r="AI331" i="12"/>
  <c r="AN331" i="12" s="1"/>
  <c r="F1586" i="2" l="1"/>
  <c r="AP346" i="12"/>
  <c r="AP333" i="12"/>
  <c r="F1571" i="2"/>
  <c r="AP332" i="12"/>
  <c r="AP331" i="12"/>
  <c r="AI362" i="12"/>
  <c r="AN362" i="12"/>
  <c r="AP362" i="12" l="1"/>
  <c r="F1555" i="2"/>
  <c r="F1554" i="2"/>
  <c r="F1553" i="2"/>
  <c r="F1552" i="2"/>
  <c r="F1556" i="2" l="1"/>
  <c r="F1539" i="2"/>
  <c r="F1538" i="2"/>
  <c r="F1537" i="2"/>
  <c r="F1540" i="2" l="1"/>
  <c r="F165" i="4"/>
  <c r="F166" i="4" s="1"/>
  <c r="F167" i="4" s="1"/>
  <c r="F168" i="4" s="1"/>
  <c r="F1525" i="2"/>
  <c r="F1524" i="2"/>
  <c r="F1523" i="2"/>
  <c r="F1522" i="2"/>
  <c r="F1509" i="2"/>
  <c r="F1508" i="2"/>
  <c r="F1507" i="2"/>
  <c r="F1506" i="2"/>
  <c r="D1491" i="2"/>
  <c r="F1491" i="2" s="1"/>
  <c r="F1492" i="2"/>
  <c r="D1490" i="2"/>
  <c r="F1490" i="2" s="1"/>
  <c r="D1489" i="2"/>
  <c r="F1489" i="2" s="1"/>
  <c r="D1488" i="2"/>
  <c r="F1488" i="2" s="1"/>
  <c r="F1493" i="2"/>
  <c r="F83" i="17"/>
  <c r="D299" i="4"/>
  <c r="D126" i="3"/>
  <c r="D125" i="3"/>
  <c r="D124" i="3"/>
  <c r="E63" i="15"/>
  <c r="E57" i="15"/>
  <c r="E68" i="15" s="1"/>
  <c r="E71" i="15" s="1"/>
  <c r="G42" i="17"/>
  <c r="F346" i="4"/>
  <c r="F347" i="4" s="1"/>
  <c r="F348" i="4" s="1"/>
  <c r="F349" i="4" s="1"/>
  <c r="F350" i="4" s="1"/>
  <c r="F351" i="4" s="1"/>
  <c r="AE324" i="12"/>
  <c r="AI316" i="12"/>
  <c r="AN316" i="12" s="1"/>
  <c r="AP316" i="12" s="1"/>
  <c r="AM295" i="12"/>
  <c r="AI295" i="12"/>
  <c r="AN295" i="12" s="1"/>
  <c r="AP295" i="12" s="1"/>
  <c r="AM296" i="12"/>
  <c r="AI296" i="12"/>
  <c r="AN296" i="12" s="1"/>
  <c r="AP296" i="12" s="1"/>
  <c r="AM297" i="12"/>
  <c r="AI297" i="12"/>
  <c r="AN297" i="12" s="1"/>
  <c r="AP297" i="12" s="1"/>
  <c r="F169" i="4" l="1"/>
  <c r="F170" i="4" s="1"/>
  <c r="F171" i="4" s="1"/>
  <c r="F172" i="4" s="1"/>
  <c r="F1526" i="2"/>
  <c r="F1510" i="2"/>
  <c r="F1494" i="2"/>
  <c r="G573" i="10" l="1"/>
  <c r="J573" i="10" s="1"/>
  <c r="D1075" i="1" s="1"/>
  <c r="F1075" i="1" s="1"/>
  <c r="G572" i="10"/>
  <c r="J572" i="10" s="1"/>
  <c r="D1074" i="1" s="1"/>
  <c r="F1074" i="1" s="1"/>
  <c r="G570" i="10"/>
  <c r="J570" i="10" s="1"/>
  <c r="D1073" i="1" s="1"/>
  <c r="F1073" i="1" s="1"/>
  <c r="G569" i="10"/>
  <c r="J569" i="10" s="1"/>
  <c r="D1072" i="1" s="1"/>
  <c r="F1072" i="1" s="1"/>
  <c r="G568" i="10"/>
  <c r="J568" i="10" s="1"/>
  <c r="D1071" i="1" s="1"/>
  <c r="F1071" i="1" s="1"/>
  <c r="G567" i="10"/>
  <c r="J567" i="10" s="1"/>
  <c r="D1070" i="1" s="1"/>
  <c r="F1070" i="1" s="1"/>
  <c r="G562" i="10"/>
  <c r="J562" i="10" s="1"/>
  <c r="D1069" i="1" s="1"/>
  <c r="F1069" i="1" s="1"/>
  <c r="G561" i="10"/>
  <c r="J561" i="10" s="1"/>
  <c r="G1434" i="16"/>
  <c r="G1435" i="16" s="1"/>
  <c r="G1436" i="16" s="1"/>
  <c r="G1437" i="16" s="1"/>
  <c r="G1438" i="16" s="1"/>
  <c r="G1439" i="16" s="1"/>
  <c r="G1440" i="16" s="1"/>
  <c r="D1068" i="1" l="1"/>
  <c r="F1068" i="1" s="1"/>
  <c r="F1078" i="1" s="1"/>
  <c r="E123" i="3" s="1"/>
  <c r="J575" i="10"/>
  <c r="G575" i="10"/>
  <c r="AO294" i="12"/>
  <c r="AO293" i="12"/>
  <c r="AH324" i="12"/>
  <c r="W324" i="12"/>
  <c r="V324" i="12"/>
  <c r="U324" i="12"/>
  <c r="R324" i="12"/>
  <c r="Q324" i="12"/>
  <c r="P324" i="12"/>
  <c r="N324" i="12"/>
  <c r="M324" i="12"/>
  <c r="J324" i="12"/>
  <c r="I324" i="12"/>
  <c r="H324" i="12"/>
  <c r="G324" i="12"/>
  <c r="F324" i="12"/>
  <c r="E324" i="12"/>
  <c r="AI323" i="12"/>
  <c r="AP323" i="12" s="1"/>
  <c r="AI322" i="12"/>
  <c r="AN322" i="12" s="1"/>
  <c r="AP322" i="12" s="1"/>
  <c r="AI320" i="12"/>
  <c r="AN320" i="12" s="1"/>
  <c r="AP320" i="12" s="1"/>
  <c r="AI319" i="12"/>
  <c r="AN319" i="12" s="1"/>
  <c r="AI318" i="12"/>
  <c r="AN318" i="12" s="1"/>
  <c r="AP318" i="12" s="1"/>
  <c r="AI317" i="12"/>
  <c r="AN317" i="12" s="1"/>
  <c r="AP317" i="12" s="1"/>
  <c r="AI315" i="12"/>
  <c r="AN315" i="12" s="1"/>
  <c r="AP315" i="12" s="1"/>
  <c r="AI314" i="12"/>
  <c r="AN314" i="12" s="1"/>
  <c r="AP314" i="12" s="1"/>
  <c r="AI313" i="12"/>
  <c r="AN313" i="12" s="1"/>
  <c r="AP313" i="12" s="1"/>
  <c r="AI312" i="12"/>
  <c r="AN312" i="12" s="1"/>
  <c r="AP312" i="12" s="1"/>
  <c r="AI311" i="12"/>
  <c r="AN311" i="12" s="1"/>
  <c r="AP311" i="12" s="1"/>
  <c r="AI310" i="12"/>
  <c r="AN310" i="12" s="1"/>
  <c r="AP310" i="12" s="1"/>
  <c r="AI309" i="12"/>
  <c r="AI308" i="12"/>
  <c r="AN308" i="12" s="1"/>
  <c r="AP308" i="12" s="1"/>
  <c r="AO307" i="12"/>
  <c r="AM307" i="12"/>
  <c r="AI307" i="12"/>
  <c r="AN307" i="12" s="1"/>
  <c r="AI305" i="12"/>
  <c r="AN305" i="12" s="1"/>
  <c r="AP305" i="12" s="1"/>
  <c r="AI304" i="12"/>
  <c r="AN304" i="12" s="1"/>
  <c r="AP304" i="12" s="1"/>
  <c r="AI303" i="12"/>
  <c r="AN303" i="12" s="1"/>
  <c r="AP303" i="12" s="1"/>
  <c r="AI302" i="12"/>
  <c r="AN302" i="12" s="1"/>
  <c r="AP302" i="12" s="1"/>
  <c r="AI301" i="12"/>
  <c r="AI300" i="12"/>
  <c r="AN300" i="12" s="1"/>
  <c r="AP300" i="12" s="1"/>
  <c r="AM298" i="12"/>
  <c r="AI298" i="12"/>
  <c r="AN298" i="12" s="1"/>
  <c r="AP298" i="12" s="1"/>
  <c r="AM294" i="12"/>
  <c r="AI294" i="12"/>
  <c r="AN294" i="12" s="1"/>
  <c r="AM293" i="12"/>
  <c r="AI293" i="12"/>
  <c r="AN293" i="12" s="1"/>
  <c r="AI292" i="12"/>
  <c r="AN292" i="12" s="1"/>
  <c r="AP292" i="12" s="1"/>
  <c r="AI291" i="12"/>
  <c r="AN291" i="12" s="1"/>
  <c r="AP291" i="12" s="1"/>
  <c r="AO290" i="12"/>
  <c r="AI290" i="12"/>
  <c r="AN290" i="12" s="1"/>
  <c r="S324" i="12"/>
  <c r="F1476" i="2"/>
  <c r="F1475" i="2"/>
  <c r="F1474" i="2"/>
  <c r="F1473" i="2"/>
  <c r="F1477" i="2" l="1"/>
  <c r="AP294" i="12"/>
  <c r="AP293" i="12"/>
  <c r="AP307" i="12"/>
  <c r="AP290" i="12"/>
  <c r="AN324" i="12"/>
  <c r="AI324" i="12"/>
  <c r="D320" i="4"/>
  <c r="W282" i="12"/>
  <c r="F1460" i="2"/>
  <c r="F1459" i="2"/>
  <c r="F1458" i="2"/>
  <c r="F1457" i="2"/>
  <c r="F1445" i="2"/>
  <c r="F1444" i="2"/>
  <c r="F1443" i="2"/>
  <c r="F1442" i="2"/>
  <c r="F1430" i="2"/>
  <c r="F1429" i="2"/>
  <c r="F1428" i="2"/>
  <c r="F1427" i="2"/>
  <c r="F1461" i="2" l="1"/>
  <c r="AP324" i="12"/>
  <c r="F1446" i="2"/>
  <c r="F1431" i="2"/>
  <c r="F1414" i="2"/>
  <c r="F1413" i="2"/>
  <c r="F1412" i="2"/>
  <c r="F1411" i="2"/>
  <c r="F1399" i="2"/>
  <c r="F1398" i="2"/>
  <c r="F1397" i="2"/>
  <c r="F1396" i="2"/>
  <c r="F1400" i="2" s="1"/>
  <c r="F1415" i="2" l="1"/>
  <c r="AI278" i="12"/>
  <c r="AN278" i="12" s="1"/>
  <c r="AI277" i="12"/>
  <c r="AN277" i="12" s="1"/>
  <c r="AI276" i="12"/>
  <c r="AN276" i="12" s="1"/>
  <c r="AI275" i="12"/>
  <c r="AN275" i="12" s="1"/>
  <c r="AI273" i="12"/>
  <c r="AN273" i="12" s="1"/>
  <c r="AI272" i="12"/>
  <c r="AN272" i="12" s="1"/>
  <c r="AI271" i="12"/>
  <c r="AN271" i="12" s="1"/>
  <c r="AI270" i="12"/>
  <c r="AN270" i="12" s="1"/>
  <c r="AI268" i="12"/>
  <c r="AN268" i="12" s="1"/>
  <c r="AI267" i="12"/>
  <c r="AN267" i="12" s="1"/>
  <c r="S244" i="12"/>
  <c r="S269" i="12"/>
  <c r="AI269" i="12" s="1"/>
  <c r="AN269" i="12" s="1"/>
  <c r="I522" i="10"/>
  <c r="I521" i="10"/>
  <c r="I520" i="10"/>
  <c r="J520" i="10" s="1"/>
  <c r="I519" i="10"/>
  <c r="I518" i="10"/>
  <c r="I517" i="10"/>
  <c r="I516" i="10"/>
  <c r="I515" i="10"/>
  <c r="I514" i="10"/>
  <c r="I513" i="10"/>
  <c r="I512" i="10"/>
  <c r="D1041" i="1" s="1"/>
  <c r="F1041" i="1" s="1"/>
  <c r="I511" i="10"/>
  <c r="I510" i="10"/>
  <c r="F1383" i="2"/>
  <c r="F1382" i="2"/>
  <c r="F1381" i="2"/>
  <c r="F1380" i="2"/>
  <c r="D1048" i="1"/>
  <c r="F1048" i="1" s="1"/>
  <c r="J515" i="10"/>
  <c r="F1368" i="2"/>
  <c r="F1367" i="2"/>
  <c r="F1366" i="2"/>
  <c r="F1365" i="2"/>
  <c r="H522" i="10"/>
  <c r="F522" i="10"/>
  <c r="H521" i="10"/>
  <c r="F521" i="10"/>
  <c r="H520" i="10"/>
  <c r="F520" i="10"/>
  <c r="H519" i="10"/>
  <c r="F519" i="10"/>
  <c r="H518" i="10"/>
  <c r="F518" i="10"/>
  <c r="H517" i="10"/>
  <c r="F517" i="10"/>
  <c r="H516" i="10"/>
  <c r="F516" i="10"/>
  <c r="H515" i="10"/>
  <c r="F515" i="10"/>
  <c r="H514" i="10"/>
  <c r="F514" i="10"/>
  <c r="H513" i="10"/>
  <c r="F513" i="10"/>
  <c r="H512" i="10"/>
  <c r="F512" i="10"/>
  <c r="H511" i="10"/>
  <c r="H510" i="10"/>
  <c r="F511" i="10"/>
  <c r="F510" i="10"/>
  <c r="AM250" i="12"/>
  <c r="AM249" i="12"/>
  <c r="AI250" i="12"/>
  <c r="AN250" i="12" s="1"/>
  <c r="F114" i="3"/>
  <c r="F115" i="3" s="1"/>
  <c r="F116" i="3" s="1"/>
  <c r="E706" i="4"/>
  <c r="G7" i="17"/>
  <c r="G8" i="17" s="1"/>
  <c r="G9" i="17" s="1"/>
  <c r="G10" i="17" s="1"/>
  <c r="G11" i="17" s="1"/>
  <c r="G12" i="17" s="1"/>
  <c r="G43" i="17"/>
  <c r="G44" i="17" s="1"/>
  <c r="G45" i="17" s="1"/>
  <c r="G46" i="17" s="1"/>
  <c r="G47" i="17" s="1"/>
  <c r="G48" i="17" s="1"/>
  <c r="G497" i="16"/>
  <c r="G498" i="16" s="1"/>
  <c r="G499" i="16" s="1"/>
  <c r="G500" i="16" s="1"/>
  <c r="G501" i="16" s="1"/>
  <c r="G502" i="16" s="1"/>
  <c r="G503" i="16" s="1"/>
  <c r="G504" i="16" s="1"/>
  <c r="G505" i="16" s="1"/>
  <c r="G506" i="16" s="1"/>
  <c r="G507" i="16" s="1"/>
  <c r="G508" i="16" s="1"/>
  <c r="G509" i="16" s="1"/>
  <c r="G510" i="16" s="1"/>
  <c r="G511" i="16" s="1"/>
  <c r="G512" i="16" s="1"/>
  <c r="G513" i="16" s="1"/>
  <c r="G514" i="16" s="1"/>
  <c r="G515" i="16" s="1"/>
  <c r="G516" i="16" s="1"/>
  <c r="G517" i="16" s="1"/>
  <c r="F1024" i="1"/>
  <c r="F1023" i="1"/>
  <c r="F1022" i="1"/>
  <c r="F1021" i="1"/>
  <c r="D1039" i="1" l="1"/>
  <c r="F1039" i="1" s="1"/>
  <c r="D1040" i="1"/>
  <c r="F1040" i="1" s="1"/>
  <c r="J519" i="10"/>
  <c r="F1384" i="2"/>
  <c r="F1369" i="2"/>
  <c r="D1046" i="1"/>
  <c r="F1046" i="1" s="1"/>
  <c r="D1044" i="1"/>
  <c r="F1044" i="1" s="1"/>
  <c r="F524" i="10"/>
  <c r="D1049" i="1"/>
  <c r="F1049" i="1" s="1"/>
  <c r="D1047" i="1"/>
  <c r="F1047" i="1" s="1"/>
  <c r="D1045" i="1"/>
  <c r="F1045" i="1" s="1"/>
  <c r="D1043" i="1"/>
  <c r="F1043" i="1" s="1"/>
  <c r="D1051" i="1"/>
  <c r="F1051" i="1" s="1"/>
  <c r="D1042" i="1"/>
  <c r="F1042" i="1" s="1"/>
  <c r="D1050" i="1"/>
  <c r="F1050" i="1" s="1"/>
  <c r="G49" i="17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13" i="17"/>
  <c r="G14" i="17" s="1"/>
  <c r="G15" i="17" s="1"/>
  <c r="G16" i="17" s="1"/>
  <c r="G518" i="16"/>
  <c r="G519" i="16" s="1"/>
  <c r="G520" i="16" s="1"/>
  <c r="G521" i="16" s="1"/>
  <c r="G522" i="16" s="1"/>
  <c r="G523" i="16" s="1"/>
  <c r="G524" i="16" s="1"/>
  <c r="G525" i="16" s="1"/>
  <c r="G526" i="16" s="1"/>
  <c r="G527" i="16" s="1"/>
  <c r="G528" i="16" s="1"/>
  <c r="G529" i="16" s="1"/>
  <c r="J522" i="10"/>
  <c r="J521" i="10"/>
  <c r="L521" i="10" s="1"/>
  <c r="J518" i="10"/>
  <c r="J517" i="10"/>
  <c r="J516" i="10"/>
  <c r="J514" i="10"/>
  <c r="J513" i="10"/>
  <c r="J512" i="10"/>
  <c r="J511" i="10"/>
  <c r="J510" i="10"/>
  <c r="F1026" i="1"/>
  <c r="E478" i="4"/>
  <c r="F1353" i="2"/>
  <c r="F1352" i="2"/>
  <c r="F1351" i="2"/>
  <c r="F1350" i="2"/>
  <c r="G83" i="17" l="1"/>
  <c r="G84" i="17" s="1"/>
  <c r="G85" i="17" s="1"/>
  <c r="G86" i="17" s="1"/>
  <c r="G87" i="17" s="1"/>
  <c r="G88" i="17" s="1"/>
  <c r="F1354" i="2"/>
  <c r="G530" i="16"/>
  <c r="G531" i="16" s="1"/>
  <c r="G532" i="16" s="1"/>
  <c r="G533" i="16" s="1"/>
  <c r="G534" i="16" s="1"/>
  <c r="G535" i="16" s="1"/>
  <c r="G536" i="16" s="1"/>
  <c r="G537" i="16" s="1"/>
  <c r="G538" i="16" s="1"/>
  <c r="G539" i="16" s="1"/>
  <c r="G540" i="16" s="1"/>
  <c r="G541" i="16" s="1"/>
  <c r="G542" i="16" s="1"/>
  <c r="F1054" i="1"/>
  <c r="G17" i="17"/>
  <c r="G18" i="17" s="1"/>
  <c r="G19" i="17" s="1"/>
  <c r="G20" i="17" s="1"/>
  <c r="G21" i="17" s="1"/>
  <c r="G22" i="17" s="1"/>
  <c r="G23" i="17" s="1"/>
  <c r="G24" i="17" s="1"/>
  <c r="G25" i="17" s="1"/>
  <c r="J524" i="10"/>
  <c r="F117" i="3"/>
  <c r="F118" i="3" s="1"/>
  <c r="AM204" i="12"/>
  <c r="AH282" i="12"/>
  <c r="V282" i="12"/>
  <c r="U282" i="12"/>
  <c r="S282" i="12"/>
  <c r="R282" i="12"/>
  <c r="Q282" i="12"/>
  <c r="P282" i="12"/>
  <c r="N282" i="12"/>
  <c r="M282" i="12"/>
  <c r="J282" i="12"/>
  <c r="H282" i="12"/>
  <c r="G282" i="12"/>
  <c r="F282" i="12"/>
  <c r="E282" i="12"/>
  <c r="AI281" i="12"/>
  <c r="AN281" i="12" s="1"/>
  <c r="AP281" i="12" s="1"/>
  <c r="AI280" i="12"/>
  <c r="AN280" i="12" s="1"/>
  <c r="AP280" i="12" s="1"/>
  <c r="AP278" i="12"/>
  <c r="AP276" i="12"/>
  <c r="AP275" i="12"/>
  <c r="AP273" i="12"/>
  <c r="AI266" i="12"/>
  <c r="AI265" i="12"/>
  <c r="AN265" i="12" s="1"/>
  <c r="AP265" i="12" s="1"/>
  <c r="AO264" i="12"/>
  <c r="AM264" i="12"/>
  <c r="I282" i="12"/>
  <c r="AI262" i="12"/>
  <c r="AN262" i="12" s="1"/>
  <c r="AP262" i="12" s="1"/>
  <c r="AI261" i="12"/>
  <c r="AN261" i="12" s="1"/>
  <c r="AP261" i="12" s="1"/>
  <c r="AI260" i="12"/>
  <c r="AN260" i="12" s="1"/>
  <c r="AP260" i="12" s="1"/>
  <c r="AI259" i="12"/>
  <c r="AN259" i="12" s="1"/>
  <c r="AP259" i="12" s="1"/>
  <c r="AI257" i="12"/>
  <c r="AN257" i="12" s="1"/>
  <c r="AP257" i="12" s="1"/>
  <c r="AI256" i="12"/>
  <c r="AN256" i="12" s="1"/>
  <c r="AP256" i="12" s="1"/>
  <c r="AI255" i="12"/>
  <c r="AI254" i="12"/>
  <c r="AN254" i="12" s="1"/>
  <c r="AP254" i="12" s="1"/>
  <c r="AI253" i="12"/>
  <c r="AN253" i="12" s="1"/>
  <c r="AP253" i="12" s="1"/>
  <c r="AM251" i="12"/>
  <c r="AI251" i="12"/>
  <c r="AN251" i="12" s="1"/>
  <c r="AP251" i="12" s="1"/>
  <c r="AI249" i="12"/>
  <c r="AN249" i="12" s="1"/>
  <c r="AI248" i="12"/>
  <c r="AN248" i="12" s="1"/>
  <c r="AP248" i="12" s="1"/>
  <c r="AI247" i="12"/>
  <c r="AN247" i="12" s="1"/>
  <c r="AP247" i="12" s="1"/>
  <c r="AM246" i="12"/>
  <c r="AI246" i="12"/>
  <c r="AN246" i="12" s="1"/>
  <c r="AP246" i="12" s="1"/>
  <c r="AI245" i="12"/>
  <c r="AN245" i="12" s="1"/>
  <c r="AO244" i="12"/>
  <c r="AI244" i="12"/>
  <c r="AN244" i="12" s="1"/>
  <c r="F1338" i="2"/>
  <c r="F1337" i="2"/>
  <c r="F1336" i="2"/>
  <c r="F1335" i="2"/>
  <c r="F1339" i="2" l="1"/>
  <c r="G543" i="16"/>
  <c r="G544" i="16" s="1"/>
  <c r="G545" i="16" s="1"/>
  <c r="G546" i="16" s="1"/>
  <c r="G547" i="16" s="1"/>
  <c r="G26" i="17"/>
  <c r="G27" i="17" s="1"/>
  <c r="G28" i="17" s="1"/>
  <c r="G29" i="17" s="1"/>
  <c r="G30" i="17" s="1"/>
  <c r="G31" i="17" s="1"/>
  <c r="G32" i="17" s="1"/>
  <c r="G33" i="17" s="1"/>
  <c r="G34" i="17" s="1"/>
  <c r="F119" i="3"/>
  <c r="F120" i="3" s="1"/>
  <c r="F121" i="3" s="1"/>
  <c r="F122" i="3" s="1"/>
  <c r="F123" i="3" s="1"/>
  <c r="F124" i="3" s="1"/>
  <c r="F125" i="3" s="1"/>
  <c r="F126" i="3" s="1"/>
  <c r="AP244" i="12"/>
  <c r="AP245" i="12"/>
  <c r="AI264" i="12"/>
  <c r="AN264" i="12" s="1"/>
  <c r="AP264" i="12" s="1"/>
  <c r="F127" i="3" l="1"/>
  <c r="F128" i="3" s="1"/>
  <c r="F129" i="3" s="1"/>
  <c r="F130" i="3" s="1"/>
  <c r="F131" i="3" s="1"/>
  <c r="F132" i="3" s="1"/>
  <c r="F133" i="3" s="1"/>
  <c r="AN282" i="12"/>
  <c r="G548" i="16"/>
  <c r="G549" i="16" s="1"/>
  <c r="G550" i="16" s="1"/>
  <c r="G551" i="16" s="1"/>
  <c r="G552" i="16" s="1"/>
  <c r="AI282" i="12"/>
  <c r="AP282" i="12"/>
  <c r="G553" i="16" l="1"/>
  <c r="G554" i="16" s="1"/>
  <c r="G555" i="16" s="1"/>
  <c r="G556" i="16" s="1"/>
  <c r="G557" i="16" s="1"/>
  <c r="G558" i="16" s="1"/>
  <c r="G559" i="16" s="1"/>
  <c r="G560" i="16" s="1"/>
  <c r="G561" i="16" s="1"/>
  <c r="G562" i="16" s="1"/>
  <c r="G563" i="16" s="1"/>
  <c r="G564" i="16" s="1"/>
  <c r="G565" i="16" s="1"/>
  <c r="G566" i="16" s="1"/>
  <c r="G567" i="16" s="1"/>
  <c r="G568" i="16" s="1"/>
  <c r="G569" i="16" s="1"/>
  <c r="G570" i="16" s="1"/>
  <c r="G571" i="16" s="1"/>
  <c r="G572" i="16" s="1"/>
  <c r="G573" i="16" s="1"/>
  <c r="G574" i="16" s="1"/>
  <c r="G575" i="16" s="1"/>
  <c r="G576" i="16" s="1"/>
  <c r="G577" i="16" s="1"/>
  <c r="G578" i="16" s="1"/>
  <c r="G579" i="16" s="1"/>
  <c r="G580" i="16" s="1"/>
  <c r="G581" i="16" s="1"/>
  <c r="G582" i="16" s="1"/>
  <c r="G583" i="16" s="1"/>
  <c r="F1321" i="2"/>
  <c r="F1320" i="2"/>
  <c r="F1319" i="2"/>
  <c r="G584" i="16" l="1"/>
  <c r="G585" i="16" s="1"/>
  <c r="G586" i="16" s="1"/>
  <c r="G587" i="16" s="1"/>
  <c r="G588" i="16" s="1"/>
  <c r="G589" i="16" s="1"/>
  <c r="G590" i="16" s="1"/>
  <c r="G591" i="16" s="1"/>
  <c r="G592" i="16" s="1"/>
  <c r="G593" i="16" s="1"/>
  <c r="G594" i="16" s="1"/>
  <c r="G595" i="16" s="1"/>
  <c r="G596" i="16" s="1"/>
  <c r="G597" i="16" s="1"/>
  <c r="G598" i="16" s="1"/>
  <c r="G599" i="16" s="1"/>
  <c r="G600" i="16" s="1"/>
  <c r="G601" i="16" s="1"/>
  <c r="G602" i="16" s="1"/>
  <c r="G603" i="16" s="1"/>
  <c r="G604" i="16" s="1"/>
  <c r="G605" i="16" s="1"/>
  <c r="G606" i="16" s="1"/>
  <c r="G607" i="16" s="1"/>
  <c r="G608" i="16" s="1"/>
  <c r="G609" i="16" s="1"/>
  <c r="G610" i="16" s="1"/>
  <c r="G611" i="16" s="1"/>
  <c r="G612" i="16" s="1"/>
  <c r="G613" i="16" s="1"/>
  <c r="G614" i="16" s="1"/>
  <c r="G615" i="16" s="1"/>
  <c r="G616" i="16" s="1"/>
  <c r="G617" i="16" s="1"/>
  <c r="G618" i="16" s="1"/>
  <c r="G619" i="16" s="1"/>
  <c r="G620" i="16" s="1"/>
  <c r="G621" i="16" s="1"/>
  <c r="G622" i="16" s="1"/>
  <c r="G623" i="16" s="1"/>
  <c r="G624" i="16" s="1"/>
  <c r="G625" i="16" s="1"/>
  <c r="G626" i="16" s="1"/>
  <c r="G627" i="16" s="1"/>
  <c r="G628" i="16" s="1"/>
  <c r="G629" i="16" s="1"/>
  <c r="G630" i="16" s="1"/>
  <c r="G631" i="16" s="1"/>
  <c r="G632" i="16" s="1"/>
  <c r="G633" i="16" s="1"/>
  <c r="G634" i="16" s="1"/>
  <c r="G635" i="16" s="1"/>
  <c r="G636" i="16" s="1"/>
  <c r="G637" i="16" s="1"/>
  <c r="G638" i="16" s="1"/>
  <c r="G639" i="16" s="1"/>
  <c r="G640" i="16" s="1"/>
  <c r="G641" i="16" s="1"/>
  <c r="G642" i="16" s="1"/>
  <c r="G643" i="16" s="1"/>
  <c r="G644" i="16" s="1"/>
  <c r="G645" i="16" s="1"/>
  <c r="G646" i="16" s="1"/>
  <c r="G647" i="16" s="1"/>
  <c r="F1323" i="2"/>
  <c r="G648" i="16" l="1"/>
  <c r="G649" i="16" s="1"/>
  <c r="G650" i="16" s="1"/>
  <c r="G651" i="16" s="1"/>
  <c r="G652" i="16" s="1"/>
  <c r="G653" i="16" s="1"/>
  <c r="G654" i="16" s="1"/>
  <c r="G655" i="16" s="1"/>
  <c r="G656" i="16" s="1"/>
  <c r="G657" i="16" s="1"/>
  <c r="G658" i="16" s="1"/>
  <c r="G659" i="16" s="1"/>
  <c r="G660" i="16" s="1"/>
  <c r="G661" i="16" s="1"/>
  <c r="G662" i="16" s="1"/>
  <c r="G663" i="16" s="1"/>
  <c r="AM201" i="12"/>
  <c r="AI201" i="12"/>
  <c r="AN201" i="12" s="1"/>
  <c r="AP201" i="12" s="1"/>
  <c r="F1006" i="1"/>
  <c r="F1005" i="1"/>
  <c r="F1004" i="1"/>
  <c r="F1003" i="1"/>
  <c r="AH235" i="12"/>
  <c r="F988" i="1"/>
  <c r="F987" i="1"/>
  <c r="F986" i="1"/>
  <c r="F985" i="1"/>
  <c r="F970" i="1"/>
  <c r="F969" i="1"/>
  <c r="F968" i="1"/>
  <c r="F967" i="1"/>
  <c r="F972" i="1" s="1"/>
  <c r="F952" i="1"/>
  <c r="F951" i="1"/>
  <c r="F950" i="1"/>
  <c r="F949" i="1"/>
  <c r="F954" i="1" s="1"/>
  <c r="D476" i="4"/>
  <c r="F427" i="4"/>
  <c r="F428" i="4" s="1"/>
  <c r="F429" i="4" s="1"/>
  <c r="G664" i="16" l="1"/>
  <c r="G665" i="16" s="1"/>
  <c r="G666" i="16" s="1"/>
  <c r="G667" i="16" s="1"/>
  <c r="G668" i="16" s="1"/>
  <c r="G669" i="16" s="1"/>
  <c r="G670" i="16" s="1"/>
  <c r="G671" i="16" s="1"/>
  <c r="G672" i="16" s="1"/>
  <c r="G673" i="16" s="1"/>
  <c r="G674" i="16" s="1"/>
  <c r="G675" i="16" s="1"/>
  <c r="G676" i="16" s="1"/>
  <c r="G677" i="16" s="1"/>
  <c r="G678" i="16" s="1"/>
  <c r="F1008" i="1"/>
  <c r="F990" i="1"/>
  <c r="G679" i="16" l="1"/>
  <c r="G680" i="16" s="1"/>
  <c r="G681" i="16" s="1"/>
  <c r="G682" i="16" s="1"/>
  <c r="G683" i="16" s="1"/>
  <c r="G684" i="16" s="1"/>
  <c r="G685" i="16" s="1"/>
  <c r="G686" i="16" s="1"/>
  <c r="F1306" i="2"/>
  <c r="F1305" i="2"/>
  <c r="F1308" i="2" s="1"/>
  <c r="F1304" i="2"/>
  <c r="E700" i="4"/>
  <c r="G241" i="16"/>
  <c r="G242" i="16" s="1"/>
  <c r="G243" i="16" s="1"/>
  <c r="G244" i="16" s="1"/>
  <c r="G245" i="16" s="1"/>
  <c r="G246" i="16" s="1"/>
  <c r="G247" i="16" s="1"/>
  <c r="G248" i="16" s="1"/>
  <c r="G249" i="16" s="1"/>
  <c r="G250" i="16" s="1"/>
  <c r="G251" i="16" s="1"/>
  <c r="G252" i="16" s="1"/>
  <c r="G253" i="16" s="1"/>
  <c r="G254" i="16" s="1"/>
  <c r="G255" i="16" s="1"/>
  <c r="G256" i="16" s="1"/>
  <c r="G257" i="16" s="1"/>
  <c r="G258" i="16" s="1"/>
  <c r="G259" i="16" s="1"/>
  <c r="G260" i="16" s="1"/>
  <c r="G261" i="16" s="1"/>
  <c r="G262" i="16" s="1"/>
  <c r="G263" i="16" s="1"/>
  <c r="G264" i="16" s="1"/>
  <c r="G265" i="16" s="1"/>
  <c r="G266" i="16" s="1"/>
  <c r="G5" i="16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F1290" i="2"/>
  <c r="F1289" i="2"/>
  <c r="F1288" i="2"/>
  <c r="G687" i="16" l="1"/>
  <c r="F1292" i="2"/>
  <c r="G19" i="16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267" i="16"/>
  <c r="G268" i="16" s="1"/>
  <c r="G269" i="16" s="1"/>
  <c r="G270" i="16" s="1"/>
  <c r="G271" i="16" s="1"/>
  <c r="G272" i="16" s="1"/>
  <c r="G273" i="16" s="1"/>
  <c r="G274" i="16" s="1"/>
  <c r="G275" i="16" s="1"/>
  <c r="G276" i="16" s="1"/>
  <c r="G688" i="16" l="1"/>
  <c r="G689" i="16" s="1"/>
  <c r="G690" i="16" s="1"/>
  <c r="G691" i="16" s="1"/>
  <c r="G692" i="16" s="1"/>
  <c r="G693" i="16" s="1"/>
  <c r="G694" i="16" s="1"/>
  <c r="G695" i="16" s="1"/>
  <c r="G696" i="16" s="1"/>
  <c r="G697" i="16" s="1"/>
  <c r="G698" i="16" s="1"/>
  <c r="G699" i="16" s="1"/>
  <c r="G700" i="16" s="1"/>
  <c r="G701" i="16" s="1"/>
  <c r="G41" i="16"/>
  <c r="G42" i="16" s="1"/>
  <c r="G43" i="16" s="1"/>
  <c r="G44" i="16" s="1"/>
  <c r="G45" i="16" s="1"/>
  <c r="G277" i="16"/>
  <c r="G278" i="16" s="1"/>
  <c r="G279" i="16" s="1"/>
  <c r="G280" i="16" s="1"/>
  <c r="G281" i="16" s="1"/>
  <c r="G282" i="16" s="1"/>
  <c r="G283" i="16" s="1"/>
  <c r="G284" i="16" s="1"/>
  <c r="G285" i="16" s="1"/>
  <c r="G286" i="16" s="1"/>
  <c r="F1275" i="2"/>
  <c r="F1274" i="2"/>
  <c r="F1273" i="2"/>
  <c r="F1198" i="2"/>
  <c r="F1197" i="2"/>
  <c r="AO199" i="12"/>
  <c r="F1260" i="2"/>
  <c r="F1259" i="2"/>
  <c r="F1258" i="2"/>
  <c r="F1257" i="2"/>
  <c r="G702" i="16" l="1"/>
  <c r="G703" i="16" s="1"/>
  <c r="G704" i="16" s="1"/>
  <c r="G705" i="16" s="1"/>
  <c r="G706" i="16" s="1"/>
  <c r="G707" i="16" s="1"/>
  <c r="G46" i="16"/>
  <c r="G47" i="16" s="1"/>
  <c r="G48" i="16" s="1"/>
  <c r="G49" i="16" s="1"/>
  <c r="G50" i="16" s="1"/>
  <c r="G51" i="16" s="1"/>
  <c r="G52" i="16" s="1"/>
  <c r="G53" i="16" s="1"/>
  <c r="F1277" i="2"/>
  <c r="G287" i="16"/>
  <c r="G288" i="16" s="1"/>
  <c r="F1261" i="2"/>
  <c r="Q168" i="12"/>
  <c r="C916" i="1" s="1"/>
  <c r="G708" i="16" l="1"/>
  <c r="G709" i="16" s="1"/>
  <c r="G710" i="16" s="1"/>
  <c r="G711" i="16" s="1"/>
  <c r="G54" i="16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289" i="16"/>
  <c r="G290" i="16" s="1"/>
  <c r="G291" i="16" s="1"/>
  <c r="G292" i="16" s="1"/>
  <c r="G293" i="16" s="1"/>
  <c r="G294" i="16" s="1"/>
  <c r="G295" i="16" s="1"/>
  <c r="G296" i="16" s="1"/>
  <c r="G297" i="16" s="1"/>
  <c r="G298" i="16" s="1"/>
  <c r="F896" i="1"/>
  <c r="F895" i="1"/>
  <c r="F894" i="1"/>
  <c r="F893" i="1"/>
  <c r="F1243" i="2"/>
  <c r="F1242" i="2"/>
  <c r="F1241" i="2"/>
  <c r="F1228" i="2"/>
  <c r="F1227" i="2"/>
  <c r="F1226" i="2"/>
  <c r="AC205" i="12"/>
  <c r="F878" i="1"/>
  <c r="F877" i="1"/>
  <c r="G712" i="16" l="1"/>
  <c r="G713" i="16" s="1"/>
  <c r="G714" i="16" s="1"/>
  <c r="G715" i="16" s="1"/>
  <c r="G716" i="16" s="1"/>
  <c r="G717" i="16" s="1"/>
  <c r="G718" i="16" s="1"/>
  <c r="E44" i="15"/>
  <c r="G67" i="16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G93" i="16" s="1"/>
  <c r="G94" i="16" s="1"/>
  <c r="G95" i="16" s="1"/>
  <c r="G96" i="16" s="1"/>
  <c r="G97" i="16" s="1"/>
  <c r="G98" i="16" s="1"/>
  <c r="G99" i="16" s="1"/>
  <c r="G100" i="16" s="1"/>
  <c r="G101" i="16" s="1"/>
  <c r="G102" i="16" s="1"/>
  <c r="G103" i="16" s="1"/>
  <c r="G104" i="16" s="1"/>
  <c r="G105" i="16" s="1"/>
  <c r="G106" i="16" s="1"/>
  <c r="G107" i="16" s="1"/>
  <c r="G108" i="16" s="1"/>
  <c r="G109" i="16" s="1"/>
  <c r="G110" i="16" s="1"/>
  <c r="G111" i="16" s="1"/>
  <c r="G112" i="16" s="1"/>
  <c r="G113" i="16" s="1"/>
  <c r="G114" i="16" s="1"/>
  <c r="G115" i="16" s="1"/>
  <c r="G116" i="16" s="1"/>
  <c r="G117" i="16" s="1"/>
  <c r="G118" i="16" s="1"/>
  <c r="G119" i="16" s="1"/>
  <c r="G120" i="16" s="1"/>
  <c r="G121" i="16" s="1"/>
  <c r="G122" i="16" s="1"/>
  <c r="G123" i="16" s="1"/>
  <c r="G124" i="16" s="1"/>
  <c r="G125" i="16" s="1"/>
  <c r="G126" i="16" s="1"/>
  <c r="G127" i="16" s="1"/>
  <c r="G128" i="16" s="1"/>
  <c r="G129" i="16" s="1"/>
  <c r="G130" i="16" s="1"/>
  <c r="G131" i="16" s="1"/>
  <c r="G132" i="16" s="1"/>
  <c r="G133" i="16" s="1"/>
  <c r="F1230" i="2"/>
  <c r="G299" i="16"/>
  <c r="F1245" i="2"/>
  <c r="F898" i="1"/>
  <c r="F880" i="1"/>
  <c r="G134" i="16" l="1"/>
  <c r="G135" i="16" s="1"/>
  <c r="G136" i="16" s="1"/>
  <c r="G137" i="16" s="1"/>
  <c r="G138" i="16" s="1"/>
  <c r="G139" i="16" s="1"/>
  <c r="G140" i="16" s="1"/>
  <c r="G141" i="16" s="1"/>
  <c r="G142" i="16" s="1"/>
  <c r="G143" i="16" s="1"/>
  <c r="G144" i="16" s="1"/>
  <c r="G145" i="16" s="1"/>
  <c r="G146" i="16" s="1"/>
  <c r="G147" i="16" s="1"/>
  <c r="G148" i="16" s="1"/>
  <c r="G149" i="16" s="1"/>
  <c r="G150" i="16" s="1"/>
  <c r="G151" i="16" s="1"/>
  <c r="G152" i="16" s="1"/>
  <c r="G153" i="16" s="1"/>
  <c r="G154" i="16" s="1"/>
  <c r="G155" i="16" s="1"/>
  <c r="G156" i="16" s="1"/>
  <c r="G157" i="16" s="1"/>
  <c r="G158" i="16" s="1"/>
  <c r="G159" i="16" s="1"/>
  <c r="G160" i="16" s="1"/>
  <c r="G161" i="16" s="1"/>
  <c r="G162" i="16" s="1"/>
  <c r="G163" i="16" s="1"/>
  <c r="G164" i="16" s="1"/>
  <c r="G165" i="16" s="1"/>
  <c r="G166" i="16" s="1"/>
  <c r="G167" i="16" s="1"/>
  <c r="G168" i="16" s="1"/>
  <c r="G169" i="16" s="1"/>
  <c r="G170" i="16" s="1"/>
  <c r="G171" i="16" s="1"/>
  <c r="G172" i="16" s="1"/>
  <c r="G173" i="16" s="1"/>
  <c r="G174" i="16" s="1"/>
  <c r="G175" i="16" s="1"/>
  <c r="G176" i="16" s="1"/>
  <c r="G177" i="16" s="1"/>
  <c r="G178" i="16" s="1"/>
  <c r="G179" i="16" s="1"/>
  <c r="G180" i="16" s="1"/>
  <c r="G181" i="16" s="1"/>
  <c r="G182" i="16" s="1"/>
  <c r="G183" i="16" s="1"/>
  <c r="G719" i="16"/>
  <c r="G720" i="16" s="1"/>
  <c r="G721" i="16" s="1"/>
  <c r="G722" i="16" s="1"/>
  <c r="G723" i="16" s="1"/>
  <c r="G724" i="16" s="1"/>
  <c r="G725" i="16" s="1"/>
  <c r="G726" i="16" s="1"/>
  <c r="G727" i="16" s="1"/>
  <c r="G728" i="16" s="1"/>
  <c r="G729" i="16" s="1"/>
  <c r="G730" i="16" s="1"/>
  <c r="G731" i="16" s="1"/>
  <c r="G732" i="16" s="1"/>
  <c r="G300" i="16"/>
  <c r="G301" i="16" s="1"/>
  <c r="G302" i="16" s="1"/>
  <c r="G303" i="16" s="1"/>
  <c r="G304" i="16" s="1"/>
  <c r="G305" i="16" s="1"/>
  <c r="G306" i="16" s="1"/>
  <c r="F1213" i="2"/>
  <c r="F1212" i="2"/>
  <c r="F1211" i="2"/>
  <c r="F1215" i="2" s="1"/>
  <c r="H4" i="15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F861" i="1"/>
  <c r="F860" i="1"/>
  <c r="F859" i="1"/>
  <c r="F858" i="1"/>
  <c r="G184" i="16" l="1"/>
  <c r="G185" i="16" s="1"/>
  <c r="G186" i="16" s="1"/>
  <c r="G187" i="16" s="1"/>
  <c r="G188" i="16" s="1"/>
  <c r="G189" i="16" s="1"/>
  <c r="G190" i="16" s="1"/>
  <c r="G191" i="16" s="1"/>
  <c r="G192" i="16" s="1"/>
  <c r="G193" i="16" s="1"/>
  <c r="G194" i="16" s="1"/>
  <c r="G195" i="16" s="1"/>
  <c r="G196" i="16" s="1"/>
  <c r="G197" i="16" s="1"/>
  <c r="G198" i="16" s="1"/>
  <c r="G199" i="16" s="1"/>
  <c r="G200" i="16" s="1"/>
  <c r="G201" i="16" s="1"/>
  <c r="G202" i="16" s="1"/>
  <c r="G733" i="16"/>
  <c r="G734" i="16" s="1"/>
  <c r="G735" i="16" s="1"/>
  <c r="G736" i="16" s="1"/>
  <c r="G737" i="16" s="1"/>
  <c r="G738" i="16" s="1"/>
  <c r="G739" i="16" s="1"/>
  <c r="G740" i="16" s="1"/>
  <c r="G741" i="16" s="1"/>
  <c r="G307" i="16"/>
  <c r="G308" i="16" s="1"/>
  <c r="G309" i="16" s="1"/>
  <c r="G310" i="16" s="1"/>
  <c r="G311" i="16" s="1"/>
  <c r="H31" i="15"/>
  <c r="H32" i="15" s="1"/>
  <c r="H33" i="15" s="1"/>
  <c r="H34" i="15" s="1"/>
  <c r="H35" i="15" s="1"/>
  <c r="F863" i="1"/>
  <c r="G203" i="16" l="1"/>
  <c r="G204" i="16" s="1"/>
  <c r="G205" i="16" s="1"/>
  <c r="G206" i="16" s="1"/>
  <c r="G207" i="16" s="1"/>
  <c r="G208" i="16" s="1"/>
  <c r="G209" i="16" s="1"/>
  <c r="G210" i="16" s="1"/>
  <c r="G211" i="16" s="1"/>
  <c r="G212" i="16" s="1"/>
  <c r="G213" i="16" s="1"/>
  <c r="G214" i="16" s="1"/>
  <c r="G215" i="16" s="1"/>
  <c r="G216" i="16" s="1"/>
  <c r="G217" i="16" s="1"/>
  <c r="G218" i="16" s="1"/>
  <c r="G219" i="16" s="1"/>
  <c r="G220" i="16" s="1"/>
  <c r="G221" i="16" s="1"/>
  <c r="G222" i="16" s="1"/>
  <c r="G223" i="16" s="1"/>
  <c r="G224" i="16" s="1"/>
  <c r="G225" i="16" s="1"/>
  <c r="G226" i="16" s="1"/>
  <c r="G227" i="16" s="1"/>
  <c r="G228" i="16" s="1"/>
  <c r="G229" i="16" s="1"/>
  <c r="G230" i="16" s="1"/>
  <c r="G231" i="16" s="1"/>
  <c r="G232" i="16" s="1"/>
  <c r="G233" i="16" s="1"/>
  <c r="G234" i="16" s="1"/>
  <c r="G235" i="16" s="1"/>
  <c r="G742" i="16"/>
  <c r="G743" i="16" s="1"/>
  <c r="G744" i="16" s="1"/>
  <c r="G745" i="16" s="1"/>
  <c r="G746" i="16" s="1"/>
  <c r="G747" i="16" s="1"/>
  <c r="G312" i="16"/>
  <c r="G313" i="16" s="1"/>
  <c r="G314" i="16" s="1"/>
  <c r="G315" i="16" s="1"/>
  <c r="G316" i="16" s="1"/>
  <c r="G317" i="16" s="1"/>
  <c r="G318" i="16" s="1"/>
  <c r="G319" i="16" s="1"/>
  <c r="G320" i="16" s="1"/>
  <c r="G321" i="16" s="1"/>
  <c r="G322" i="16" s="1"/>
  <c r="AM206" i="12"/>
  <c r="E235" i="12"/>
  <c r="G748" i="16" l="1"/>
  <c r="G749" i="16" s="1"/>
  <c r="G750" i="16" s="1"/>
  <c r="G751" i="16" s="1"/>
  <c r="G752" i="16" s="1"/>
  <c r="G753" i="16" s="1"/>
  <c r="G754" i="16" s="1"/>
  <c r="G755" i="16" s="1"/>
  <c r="G756" i="16" s="1"/>
  <c r="F1196" i="2"/>
  <c r="F1195" i="2"/>
  <c r="F1194" i="2"/>
  <c r="F1193" i="2"/>
  <c r="F1192" i="2"/>
  <c r="F1191" i="2"/>
  <c r="F1190" i="2"/>
  <c r="G757" i="16" l="1"/>
  <c r="G758" i="16" s="1"/>
  <c r="G759" i="16" s="1"/>
  <c r="G760" i="16" s="1"/>
  <c r="G761" i="16" s="1"/>
  <c r="G762" i="16" s="1"/>
  <c r="G763" i="16" s="1"/>
  <c r="G764" i="16" s="1"/>
  <c r="F1200" i="2"/>
  <c r="G765" i="16" l="1"/>
  <c r="G766" i="16" s="1"/>
  <c r="G767" i="16" s="1"/>
  <c r="G768" i="16" s="1"/>
  <c r="G769" i="16" s="1"/>
  <c r="G770" i="16" s="1"/>
  <c r="G771" i="16" s="1"/>
  <c r="G772" i="16" s="1"/>
  <c r="G773" i="16" s="1"/>
  <c r="E29" i="13"/>
  <c r="G774" i="16" l="1"/>
  <c r="G775" i="16" s="1"/>
  <c r="G776" i="16" s="1"/>
  <c r="G777" i="16" s="1"/>
  <c r="G778" i="16" s="1"/>
  <c r="G779" i="16" s="1"/>
  <c r="G780" i="16" s="1"/>
  <c r="G781" i="16" s="1"/>
  <c r="G782" i="16" s="1"/>
  <c r="G783" i="16" s="1"/>
  <c r="G784" i="16" s="1"/>
  <c r="G785" i="16" s="1"/>
  <c r="G786" i="16" s="1"/>
  <c r="G787" i="16" s="1"/>
  <c r="G788" i="16" s="1"/>
  <c r="G789" i="16" s="1"/>
  <c r="G790" i="16" s="1"/>
  <c r="G791" i="16" s="1"/>
  <c r="G792" i="16" s="1"/>
  <c r="G793" i="16" s="1"/>
  <c r="G794" i="16" s="1"/>
  <c r="G795" i="16" s="1"/>
  <c r="G796" i="16" s="1"/>
  <c r="G797" i="16" s="1"/>
  <c r="G798" i="16" s="1"/>
  <c r="E30" i="13"/>
  <c r="F1175" i="2"/>
  <c r="F1174" i="2"/>
  <c r="F1173" i="2"/>
  <c r="F1158" i="2"/>
  <c r="F1157" i="2"/>
  <c r="F1156" i="2"/>
  <c r="F843" i="1"/>
  <c r="F842" i="1"/>
  <c r="F841" i="1"/>
  <c r="F840" i="1"/>
  <c r="F839" i="1"/>
  <c r="G799" i="16" l="1"/>
  <c r="G800" i="16" s="1"/>
  <c r="G801" i="16" s="1"/>
  <c r="G802" i="16" s="1"/>
  <c r="G803" i="16" s="1"/>
  <c r="G804" i="16" s="1"/>
  <c r="G805" i="16" s="1"/>
  <c r="G806" i="16" s="1"/>
  <c r="G807" i="16" s="1"/>
  <c r="G808" i="16" s="1"/>
  <c r="G809" i="16" s="1"/>
  <c r="G810" i="16" s="1"/>
  <c r="G811" i="16" s="1"/>
  <c r="F1177" i="2"/>
  <c r="F845" i="1"/>
  <c r="F1160" i="2"/>
  <c r="G812" i="16" l="1"/>
  <c r="G813" i="16" s="1"/>
  <c r="G814" i="16" s="1"/>
  <c r="G815" i="16" s="1"/>
  <c r="G816" i="16" s="1"/>
  <c r="G817" i="16" s="1"/>
  <c r="G818" i="16" s="1"/>
  <c r="G819" i="16" s="1"/>
  <c r="G820" i="16" s="1"/>
  <c r="G821" i="16" s="1"/>
  <c r="G822" i="16" s="1"/>
  <c r="G823" i="16" s="1"/>
  <c r="G824" i="16" s="1"/>
  <c r="G825" i="16" s="1"/>
  <c r="G826" i="16" s="1"/>
  <c r="G827" i="16" s="1"/>
  <c r="G828" i="16" s="1"/>
  <c r="G829" i="16" s="1"/>
  <c r="G830" i="16" s="1"/>
  <c r="G831" i="16" s="1"/>
  <c r="G832" i="16" s="1"/>
  <c r="G833" i="16" s="1"/>
  <c r="G834" i="16" s="1"/>
  <c r="G835" i="16" s="1"/>
  <c r="G836" i="16" s="1"/>
  <c r="G837" i="16" s="1"/>
  <c r="G838" i="16" s="1"/>
  <c r="G839" i="16" s="1"/>
  <c r="G840" i="16" s="1"/>
  <c r="G841" i="16" s="1"/>
  <c r="G842" i="16" s="1"/>
  <c r="G843" i="16" s="1"/>
  <c r="G844" i="16" s="1"/>
  <c r="G845" i="16" s="1"/>
  <c r="G846" i="16" s="1"/>
  <c r="G847" i="16" s="1"/>
  <c r="G848" i="16" s="1"/>
  <c r="G849" i="16" s="1"/>
  <c r="G850" i="16" s="1"/>
  <c r="G851" i="16" s="1"/>
  <c r="G852" i="16" s="1"/>
  <c r="G853" i="16" s="1"/>
  <c r="G854" i="16" s="1"/>
  <c r="G855" i="16" s="1"/>
  <c r="G856" i="16" s="1"/>
  <c r="G857" i="16" s="1"/>
  <c r="G858" i="16" s="1"/>
  <c r="G859" i="16" s="1"/>
  <c r="G860" i="16" s="1"/>
  <c r="G861" i="16" s="1"/>
  <c r="F227" i="13"/>
  <c r="G862" i="16" l="1"/>
  <c r="G863" i="16" s="1"/>
  <c r="G864" i="16" s="1"/>
  <c r="G865" i="16" s="1"/>
  <c r="G866" i="16" s="1"/>
  <c r="G867" i="16" s="1"/>
  <c r="G868" i="16" s="1"/>
  <c r="G869" i="16" s="1"/>
  <c r="G870" i="16" s="1"/>
  <c r="G871" i="16" s="1"/>
  <c r="G872" i="16" s="1"/>
  <c r="G873" i="16" s="1"/>
  <c r="G874" i="16" s="1"/>
  <c r="G875" i="16" s="1"/>
  <c r="G876" i="16" s="1"/>
  <c r="G877" i="16" s="1"/>
  <c r="G878" i="16" s="1"/>
  <c r="G879" i="16" s="1"/>
  <c r="G880" i="16" s="1"/>
  <c r="G881" i="16" s="1"/>
  <c r="G882" i="16" s="1"/>
  <c r="G883" i="16" s="1"/>
  <c r="G884" i="16" s="1"/>
  <c r="G885" i="16" s="1"/>
  <c r="G886" i="16" s="1"/>
  <c r="G887" i="16" s="1"/>
  <c r="G888" i="16" s="1"/>
  <c r="G889" i="16" s="1"/>
  <c r="G890" i="16" s="1"/>
  <c r="G891" i="16" s="1"/>
  <c r="G892" i="16" s="1"/>
  <c r="G893" i="16" s="1"/>
  <c r="G894" i="16" s="1"/>
  <c r="G895" i="16" s="1"/>
  <c r="G896" i="16" s="1"/>
  <c r="G897" i="16" s="1"/>
  <c r="G898" i="16" s="1"/>
  <c r="G899" i="16" s="1"/>
  <c r="G900" i="16" s="1"/>
  <c r="G901" i="16" s="1"/>
  <c r="G902" i="16" s="1"/>
  <c r="G903" i="16" s="1"/>
  <c r="G904" i="16" s="1"/>
  <c r="G905" i="16" s="1"/>
  <c r="G906" i="16" s="1"/>
  <c r="G907" i="16" s="1"/>
  <c r="G908" i="16" s="1"/>
  <c r="G909" i="16" s="1"/>
  <c r="G910" i="16" s="1"/>
  <c r="G911" i="16" s="1"/>
  <c r="G912" i="16" s="1"/>
  <c r="G913" i="16" s="1"/>
  <c r="G914" i="16" s="1"/>
  <c r="G915" i="16" s="1"/>
  <c r="G916" i="16" s="1"/>
  <c r="G917" i="16" s="1"/>
  <c r="G918" i="16" s="1"/>
  <c r="G919" i="16" s="1"/>
  <c r="G920" i="16" s="1"/>
  <c r="G921" i="16" s="1"/>
  <c r="G922" i="16" s="1"/>
  <c r="G923" i="16" s="1"/>
  <c r="G924" i="16" s="1"/>
  <c r="G925" i="16" s="1"/>
  <c r="G926" i="16" s="1"/>
  <c r="G927" i="16" s="1"/>
  <c r="G928" i="16" s="1"/>
  <c r="G929" i="16" s="1"/>
  <c r="G930" i="16" s="1"/>
  <c r="G931" i="16" s="1"/>
  <c r="G932" i="16" s="1"/>
  <c r="G933" i="16" s="1"/>
  <c r="G934" i="16" s="1"/>
  <c r="G935" i="16" s="1"/>
  <c r="G936" i="16" s="1"/>
  <c r="E369" i="13"/>
  <c r="E429" i="13"/>
  <c r="E368" i="13"/>
  <c r="F428" i="13"/>
  <c r="E466" i="13"/>
  <c r="E465" i="13"/>
  <c r="E464" i="13"/>
  <c r="E394" i="13"/>
  <c r="F1143" i="2"/>
  <c r="F1142" i="2"/>
  <c r="F1141" i="2"/>
  <c r="F1145" i="2" s="1"/>
  <c r="W235" i="12"/>
  <c r="AI206" i="12" l="1"/>
  <c r="AN206" i="12" s="1"/>
  <c r="AP206" i="12" s="1"/>
  <c r="AI205" i="12"/>
  <c r="AN205" i="12" s="1"/>
  <c r="AP205" i="12" s="1"/>
  <c r="AI204" i="12"/>
  <c r="AN204" i="12" s="1"/>
  <c r="AI203" i="12"/>
  <c r="AN203" i="12" s="1"/>
  <c r="AP203" i="12" s="1"/>
  <c r="AI202" i="12"/>
  <c r="AN202" i="12" s="1"/>
  <c r="AP202" i="12" s="1"/>
  <c r="AI200" i="12"/>
  <c r="AN200" i="12" s="1"/>
  <c r="AP200" i="12" s="1"/>
  <c r="AI213" i="12"/>
  <c r="AN213" i="12" s="1"/>
  <c r="AP213" i="12" s="1"/>
  <c r="F821" i="1"/>
  <c r="F820" i="1"/>
  <c r="F819" i="1"/>
  <c r="F818" i="1"/>
  <c r="F817" i="1"/>
  <c r="F816" i="1"/>
  <c r="F815" i="1"/>
  <c r="F814" i="1"/>
  <c r="F813" i="1"/>
  <c r="F812" i="1"/>
  <c r="F811" i="1"/>
  <c r="F810" i="1"/>
  <c r="D501" i="10"/>
  <c r="F101" i="3"/>
  <c r="F102" i="3" s="1"/>
  <c r="F103" i="3" s="1"/>
  <c r="F104" i="3" s="1"/>
  <c r="F105" i="3" s="1"/>
  <c r="F106" i="3" s="1"/>
  <c r="F107" i="3" s="1"/>
  <c r="F826" i="1" l="1"/>
  <c r="I225" i="12"/>
  <c r="F1128" i="2"/>
  <c r="F1127" i="2"/>
  <c r="F1126" i="2"/>
  <c r="F499" i="10"/>
  <c r="F498" i="10"/>
  <c r="F486" i="10"/>
  <c r="F497" i="10"/>
  <c r="F496" i="10"/>
  <c r="F488" i="10"/>
  <c r="F492" i="10"/>
  <c r="F491" i="10"/>
  <c r="F484" i="10"/>
  <c r="F490" i="10"/>
  <c r="F495" i="10"/>
  <c r="F494" i="10"/>
  <c r="F483" i="10"/>
  <c r="F482" i="10"/>
  <c r="F487" i="10"/>
  <c r="E448" i="13"/>
  <c r="G448" i="13" s="1"/>
  <c r="E447" i="13"/>
  <c r="G447" i="13" s="1"/>
  <c r="F464" i="13"/>
  <c r="F465" i="13" s="1"/>
  <c r="F466" i="13" s="1"/>
  <c r="F467" i="13" s="1"/>
  <c r="F468" i="13" s="1"/>
  <c r="F469" i="13" s="1"/>
  <c r="F470" i="13" s="1"/>
  <c r="F471" i="13" s="1"/>
  <c r="F472" i="13" s="1"/>
  <c r="F473" i="13" s="1"/>
  <c r="G453" i="13"/>
  <c r="G452" i="13"/>
  <c r="G450" i="13"/>
  <c r="G449" i="13"/>
  <c r="G387" i="13"/>
  <c r="G386" i="13"/>
  <c r="E291" i="13"/>
  <c r="E290" i="13"/>
  <c r="E289" i="13"/>
  <c r="E288" i="13"/>
  <c r="E287" i="13"/>
  <c r="E281" i="13"/>
  <c r="E269" i="13"/>
  <c r="E272" i="13"/>
  <c r="E270" i="13"/>
  <c r="E268" i="13"/>
  <c r="F501" i="10" l="1"/>
  <c r="F1130" i="2"/>
  <c r="G459" i="13"/>
  <c r="I459" i="13" l="1"/>
  <c r="I464" i="13"/>
  <c r="L15" i="13"/>
  <c r="F296" i="13"/>
  <c r="E242" i="13"/>
  <c r="E433" i="13"/>
  <c r="E432" i="13"/>
  <c r="E431" i="13"/>
  <c r="F1113" i="2"/>
  <c r="F1112" i="2"/>
  <c r="F1111" i="2"/>
  <c r="F1097" i="2"/>
  <c r="F1096" i="2"/>
  <c r="F1095" i="2"/>
  <c r="F235" i="12"/>
  <c r="E430" i="13"/>
  <c r="Q142" i="12"/>
  <c r="F1081" i="2"/>
  <c r="F1080" i="2"/>
  <c r="F1079" i="2"/>
  <c r="F1064" i="2"/>
  <c r="F1063" i="2"/>
  <c r="F1062" i="2"/>
  <c r="F1061" i="2"/>
  <c r="F1060" i="2"/>
  <c r="F1059" i="2"/>
  <c r="F295" i="13"/>
  <c r="E237" i="13"/>
  <c r="E414" i="13"/>
  <c r="F1044" i="2"/>
  <c r="F1043" i="2"/>
  <c r="F1042" i="2"/>
  <c r="F1029" i="2"/>
  <c r="F1028" i="2"/>
  <c r="F1027" i="2"/>
  <c r="F1014" i="2"/>
  <c r="F1013" i="2"/>
  <c r="F1012" i="2"/>
  <c r="F1031" i="2" l="1"/>
  <c r="F1016" i="2"/>
  <c r="F1046" i="2"/>
  <c r="F1115" i="2"/>
  <c r="F1099" i="2"/>
  <c r="F1083" i="2"/>
  <c r="F1066" i="2"/>
  <c r="E28" i="13"/>
  <c r="F429" i="13"/>
  <c r="F430" i="13" s="1"/>
  <c r="F431" i="13" s="1"/>
  <c r="F432" i="13" s="1"/>
  <c r="F433" i="13" s="1"/>
  <c r="F434" i="13" s="1"/>
  <c r="F435" i="13" s="1"/>
  <c r="G414" i="13"/>
  <c r="G413" i="13"/>
  <c r="G412" i="13"/>
  <c r="G411" i="13"/>
  <c r="G410" i="13"/>
  <c r="G409" i="13"/>
  <c r="G408" i="13"/>
  <c r="F436" i="13" l="1"/>
  <c r="F437" i="13" s="1"/>
  <c r="G423" i="13"/>
  <c r="E284" i="13"/>
  <c r="E283" i="13"/>
  <c r="E385" i="13"/>
  <c r="G385" i="13" s="1"/>
  <c r="E384" i="13"/>
  <c r="G384" i="13" s="1"/>
  <c r="E383" i="13"/>
  <c r="G383" i="13" s="1"/>
  <c r="E234" i="13"/>
  <c r="F286" i="13"/>
  <c r="F999" i="2"/>
  <c r="F998" i="2"/>
  <c r="F997" i="2"/>
  <c r="E367" i="13"/>
  <c r="E333" i="13"/>
  <c r="F394" i="13"/>
  <c r="F395" i="13" s="1"/>
  <c r="F396" i="13" s="1"/>
  <c r="F397" i="13" s="1"/>
  <c r="F398" i="13" s="1"/>
  <c r="F399" i="13" s="1"/>
  <c r="F285" i="13"/>
  <c r="E233" i="13"/>
  <c r="H429" i="13" l="1"/>
  <c r="F1001" i="2"/>
  <c r="G389" i="13"/>
  <c r="D802" i="2"/>
  <c r="D801" i="2"/>
  <c r="D800" i="2"/>
  <c r="D799" i="2"/>
  <c r="D798" i="2"/>
  <c r="I389" i="13" l="1"/>
  <c r="H394" i="13"/>
  <c r="F793" i="1"/>
  <c r="F792" i="1"/>
  <c r="F791" i="1"/>
  <c r="F790" i="1"/>
  <c r="F789" i="1"/>
  <c r="L380" i="10"/>
  <c r="N380" i="10" s="1"/>
  <c r="J381" i="10"/>
  <c r="L188" i="12"/>
  <c r="E282" i="13"/>
  <c r="G356" i="13"/>
  <c r="L16" i="13"/>
  <c r="E355" i="13"/>
  <c r="G355" i="13" s="1"/>
  <c r="E354" i="13"/>
  <c r="G354" i="13" s="1"/>
  <c r="E353" i="13"/>
  <c r="G353" i="13" s="1"/>
  <c r="E351" i="13"/>
  <c r="G351" i="13" s="1"/>
  <c r="E350" i="13"/>
  <c r="G350" i="13" s="1"/>
  <c r="E349" i="13"/>
  <c r="G349" i="13" s="1"/>
  <c r="E348" i="13"/>
  <c r="G348" i="13" s="1"/>
  <c r="F367" i="13"/>
  <c r="F368" i="13" s="1"/>
  <c r="F369" i="13" s="1"/>
  <c r="F370" i="13" s="1"/>
  <c r="F371" i="13" s="1"/>
  <c r="F372" i="13" s="1"/>
  <c r="G352" i="13"/>
  <c r="G347" i="13"/>
  <c r="F982" i="2"/>
  <c r="F981" i="2"/>
  <c r="F980" i="2"/>
  <c r="F773" i="1"/>
  <c r="F771" i="1"/>
  <c r="F770" i="1"/>
  <c r="F769" i="1"/>
  <c r="F768" i="1"/>
  <c r="F280" i="13"/>
  <c r="E232" i="13"/>
  <c r="L326" i="13"/>
  <c r="F966" i="2"/>
  <c r="F965" i="2"/>
  <c r="F964" i="2"/>
  <c r="F968" i="2" s="1"/>
  <c r="F949" i="2"/>
  <c r="F948" i="2"/>
  <c r="F947" i="2"/>
  <c r="E311" i="13"/>
  <c r="E310" i="13"/>
  <c r="E309" i="13"/>
  <c r="G315" i="13"/>
  <c r="G313" i="13"/>
  <c r="G312" i="13"/>
  <c r="J307" i="13"/>
  <c r="J309" i="13" s="1"/>
  <c r="F932" i="2"/>
  <c r="F931" i="2"/>
  <c r="F930" i="2"/>
  <c r="F795" i="1" l="1"/>
  <c r="F934" i="2"/>
  <c r="G362" i="13"/>
  <c r="F984" i="2"/>
  <c r="F775" i="1"/>
  <c r="F951" i="2"/>
  <c r="AH236" i="12"/>
  <c r="V236" i="12"/>
  <c r="U236" i="12"/>
  <c r="S236" i="12"/>
  <c r="R236" i="12"/>
  <c r="Q236" i="12"/>
  <c r="P236" i="12"/>
  <c r="N236" i="12"/>
  <c r="M236" i="12"/>
  <c r="J236" i="12"/>
  <c r="I236" i="12"/>
  <c r="H236" i="12"/>
  <c r="G236" i="12"/>
  <c r="F236" i="12"/>
  <c r="E236" i="12"/>
  <c r="AI235" i="12"/>
  <c r="AN235" i="12" s="1"/>
  <c r="AP235" i="12" s="1"/>
  <c r="AI234" i="12"/>
  <c r="AN234" i="12" s="1"/>
  <c r="AP234" i="12" s="1"/>
  <c r="AI232" i="12"/>
  <c r="AN232" i="12" s="1"/>
  <c r="AP232" i="12" s="1"/>
  <c r="AI231" i="12"/>
  <c r="AN231" i="12" s="1"/>
  <c r="AP231" i="12" s="1"/>
  <c r="AI230" i="12"/>
  <c r="AN230" i="12" s="1"/>
  <c r="AP230" i="12" s="1"/>
  <c r="AI228" i="12"/>
  <c r="AN228" i="12" s="1"/>
  <c r="AP228" i="12" s="1"/>
  <c r="AI227" i="12"/>
  <c r="AI226" i="12"/>
  <c r="AN226" i="12" s="1"/>
  <c r="AP226" i="12" s="1"/>
  <c r="AO225" i="12"/>
  <c r="AM225" i="12"/>
  <c r="AI225" i="12"/>
  <c r="AN225" i="12" s="1"/>
  <c r="AI223" i="12"/>
  <c r="AN223" i="12" s="1"/>
  <c r="AP223" i="12" s="1"/>
  <c r="AI222" i="12"/>
  <c r="AN222" i="12" s="1"/>
  <c r="AP222" i="12" s="1"/>
  <c r="AI221" i="12"/>
  <c r="AN221" i="12" s="1"/>
  <c r="AP221" i="12" s="1"/>
  <c r="AI220" i="12"/>
  <c r="AN220" i="12" s="1"/>
  <c r="AP220" i="12" s="1"/>
  <c r="AI219" i="12"/>
  <c r="AN219" i="12" s="1"/>
  <c r="AP219" i="12" s="1"/>
  <c r="AI217" i="12"/>
  <c r="AN217" i="12" s="1"/>
  <c r="AP217" i="12" s="1"/>
  <c r="AI216" i="12"/>
  <c r="AN216" i="12" s="1"/>
  <c r="AP216" i="12" s="1"/>
  <c r="AI215" i="12"/>
  <c r="AN215" i="12" s="1"/>
  <c r="AP215" i="12" s="1"/>
  <c r="AI212" i="12"/>
  <c r="AN212" i="12" s="1"/>
  <c r="AP212" i="12" s="1"/>
  <c r="AI211" i="12"/>
  <c r="AN211" i="12" s="1"/>
  <c r="AP211" i="12" s="1"/>
  <c r="AI210" i="12"/>
  <c r="AI209" i="12"/>
  <c r="AN209" i="12" s="1"/>
  <c r="AP209" i="12" s="1"/>
  <c r="AI208" i="12"/>
  <c r="AN208" i="12" s="1"/>
  <c r="AP208" i="12" s="1"/>
  <c r="AI207" i="12"/>
  <c r="AN207" i="12" s="1"/>
  <c r="AP207" i="12" s="1"/>
  <c r="AI199" i="12"/>
  <c r="AN199" i="12" s="1"/>
  <c r="F750" i="1"/>
  <c r="H473" i="10"/>
  <c r="J473" i="10" s="1"/>
  <c r="D738" i="1" s="1"/>
  <c r="F738" i="1" s="1"/>
  <c r="H472" i="10"/>
  <c r="J472" i="10" s="1"/>
  <c r="D737" i="1" s="1"/>
  <c r="F737" i="1" s="1"/>
  <c r="H471" i="10"/>
  <c r="J471" i="10" s="1"/>
  <c r="D736" i="1" s="1"/>
  <c r="F736" i="1" s="1"/>
  <c r="H470" i="10"/>
  <c r="J470" i="10" s="1"/>
  <c r="D735" i="1" s="1"/>
  <c r="F735" i="1" s="1"/>
  <c r="H469" i="10"/>
  <c r="J469" i="10" s="1"/>
  <c r="D734" i="1" s="1"/>
  <c r="F734" i="1" s="1"/>
  <c r="H468" i="10"/>
  <c r="J468" i="10" s="1"/>
  <c r="D733" i="1" s="1"/>
  <c r="F733" i="1" s="1"/>
  <c r="H467" i="10"/>
  <c r="J467" i="10" s="1"/>
  <c r="D732" i="1" s="1"/>
  <c r="F732" i="1" s="1"/>
  <c r="H466" i="10"/>
  <c r="J466" i="10" s="1"/>
  <c r="D731" i="1" s="1"/>
  <c r="F731" i="1" s="1"/>
  <c r="H465" i="10"/>
  <c r="J465" i="10" s="1"/>
  <c r="D730" i="1" s="1"/>
  <c r="F730" i="1" s="1"/>
  <c r="H464" i="10"/>
  <c r="J464" i="10" s="1"/>
  <c r="D729" i="1" s="1"/>
  <c r="F729" i="1" s="1"/>
  <c r="H463" i="10"/>
  <c r="J463" i="10" s="1"/>
  <c r="D728" i="1" s="1"/>
  <c r="F728" i="1" s="1"/>
  <c r="H462" i="10"/>
  <c r="J462" i="10" s="1"/>
  <c r="D727" i="1" s="1"/>
  <c r="F727" i="1" s="1"/>
  <c r="H461" i="10"/>
  <c r="J461" i="10" s="1"/>
  <c r="D726" i="1" s="1"/>
  <c r="F726" i="1" s="1"/>
  <c r="H460" i="10"/>
  <c r="J460" i="10" s="1"/>
  <c r="D725" i="1" s="1"/>
  <c r="F725" i="1" s="1"/>
  <c r="H459" i="10"/>
  <c r="J459" i="10" s="1"/>
  <c r="D724" i="1" s="1"/>
  <c r="F724" i="1" s="1"/>
  <c r="H458" i="10"/>
  <c r="J458" i="10" s="1"/>
  <c r="D723" i="1" s="1"/>
  <c r="F723" i="1" s="1"/>
  <c r="H457" i="10"/>
  <c r="J457" i="10" s="1"/>
  <c r="D722" i="1" s="1"/>
  <c r="F722" i="1" s="1"/>
  <c r="H456" i="10"/>
  <c r="J456" i="10" s="1"/>
  <c r="D721" i="1" s="1"/>
  <c r="F721" i="1" s="1"/>
  <c r="H455" i="10"/>
  <c r="J455" i="10" s="1"/>
  <c r="D720" i="1" s="1"/>
  <c r="F720" i="1" s="1"/>
  <c r="H454" i="10"/>
  <c r="J454" i="10" s="1"/>
  <c r="D719" i="1" s="1"/>
  <c r="F719" i="1" s="1"/>
  <c r="H453" i="10"/>
  <c r="J453" i="10" s="1"/>
  <c r="D718" i="1" s="1"/>
  <c r="F718" i="1" s="1"/>
  <c r="H452" i="10"/>
  <c r="J452" i="10" s="1"/>
  <c r="D717" i="1" s="1"/>
  <c r="F717" i="1" s="1"/>
  <c r="H451" i="10"/>
  <c r="J451" i="10" s="1"/>
  <c r="D716" i="1" s="1"/>
  <c r="F716" i="1" s="1"/>
  <c r="H450" i="10"/>
  <c r="J450" i="10" s="1"/>
  <c r="D715" i="1" s="1"/>
  <c r="F715" i="1" s="1"/>
  <c r="H449" i="10"/>
  <c r="J449" i="10" s="1"/>
  <c r="D714" i="1" s="1"/>
  <c r="F714" i="1" s="1"/>
  <c r="H448" i="10"/>
  <c r="J448" i="10" s="1"/>
  <c r="D713" i="1" s="1"/>
  <c r="F713" i="1" s="1"/>
  <c r="H447" i="10"/>
  <c r="J447" i="10" s="1"/>
  <c r="D712" i="1" s="1"/>
  <c r="F712" i="1" s="1"/>
  <c r="H446" i="10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8" i="1"/>
  <c r="D587" i="1"/>
  <c r="D586" i="1"/>
  <c r="D585" i="1"/>
  <c r="D584" i="1"/>
  <c r="D583" i="1"/>
  <c r="D581" i="1"/>
  <c r="D580" i="1"/>
  <c r="D579" i="1"/>
  <c r="D578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F384" i="1"/>
  <c r="F383" i="1"/>
  <c r="F382" i="1"/>
  <c r="F381" i="1"/>
  <c r="F380" i="1"/>
  <c r="F379" i="1"/>
  <c r="F378" i="1"/>
  <c r="D182" i="4"/>
  <c r="F182" i="4" s="1"/>
  <c r="F183" i="4" s="1"/>
  <c r="F184" i="4" s="1"/>
  <c r="F185" i="4" s="1"/>
  <c r="F186" i="4" s="1"/>
  <c r="F915" i="2"/>
  <c r="F914" i="2"/>
  <c r="F913" i="2"/>
  <c r="F898" i="2"/>
  <c r="F897" i="2"/>
  <c r="F896" i="2"/>
  <c r="E224" i="13"/>
  <c r="E223" i="13"/>
  <c r="E222" i="13"/>
  <c r="F278" i="13"/>
  <c r="F277" i="13"/>
  <c r="F276" i="13"/>
  <c r="F882" i="2"/>
  <c r="F881" i="2"/>
  <c r="F880" i="2"/>
  <c r="I362" i="13" l="1"/>
  <c r="I366" i="13"/>
  <c r="H474" i="10"/>
  <c r="J446" i="10"/>
  <c r="AP225" i="12"/>
  <c r="AI236" i="12"/>
  <c r="AN236" i="12"/>
  <c r="AP199" i="12"/>
  <c r="F187" i="4"/>
  <c r="F917" i="2"/>
  <c r="F900" i="2"/>
  <c r="F884" i="2"/>
  <c r="F866" i="2"/>
  <c r="F865" i="2"/>
  <c r="F864" i="2"/>
  <c r="F868" i="2" l="1"/>
  <c r="D711" i="1"/>
  <c r="F711" i="1" s="1"/>
  <c r="F752" i="1" s="1"/>
  <c r="J474" i="10"/>
  <c r="AP236" i="12"/>
  <c r="F851" i="2"/>
  <c r="F850" i="2"/>
  <c r="F849" i="2"/>
  <c r="E331" i="13"/>
  <c r="G123" i="13"/>
  <c r="G185" i="13"/>
  <c r="F853" i="2" l="1"/>
  <c r="F695" i="1"/>
  <c r="F694" i="1"/>
  <c r="F693" i="1"/>
  <c r="F692" i="1"/>
  <c r="F691" i="1"/>
  <c r="F834" i="2"/>
  <c r="F833" i="2"/>
  <c r="F832" i="2"/>
  <c r="F818" i="2"/>
  <c r="F817" i="2"/>
  <c r="F816" i="2"/>
  <c r="F309" i="4"/>
  <c r="F310" i="4" s="1"/>
  <c r="F311" i="4" s="1"/>
  <c r="F312" i="4" s="1"/>
  <c r="F313" i="4" s="1"/>
  <c r="F314" i="4" s="1"/>
  <c r="F800" i="2"/>
  <c r="F802" i="2"/>
  <c r="F801" i="2"/>
  <c r="F799" i="2"/>
  <c r="F798" i="2"/>
  <c r="E314" i="13"/>
  <c r="G314" i="13" s="1"/>
  <c r="G311" i="13"/>
  <c r="G310" i="13"/>
  <c r="G309" i="13"/>
  <c r="F331" i="13"/>
  <c r="F332" i="13" s="1"/>
  <c r="F333" i="13" s="1"/>
  <c r="F334" i="13" s="1"/>
  <c r="G317" i="13"/>
  <c r="G316" i="13"/>
  <c r="F103" i="13"/>
  <c r="F102" i="13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F783" i="2"/>
  <c r="F782" i="2"/>
  <c r="F781" i="2"/>
  <c r="F780" i="2"/>
  <c r="F766" i="2"/>
  <c r="F765" i="2"/>
  <c r="F764" i="2"/>
  <c r="D676" i="4"/>
  <c r="H607" i="4"/>
  <c r="H606" i="4"/>
  <c r="H605" i="4"/>
  <c r="C34" i="6"/>
  <c r="F315" i="4" l="1"/>
  <c r="F316" i="4" s="1"/>
  <c r="F317" i="4" s="1"/>
  <c r="F318" i="4" s="1"/>
  <c r="F319" i="4" s="1"/>
  <c r="F320" i="4" s="1"/>
  <c r="G326" i="13"/>
  <c r="F697" i="1"/>
  <c r="F335" i="13"/>
  <c r="F336" i="13" s="1"/>
  <c r="L323" i="13" s="1"/>
  <c r="F836" i="2"/>
  <c r="F820" i="2"/>
  <c r="F768" i="2"/>
  <c r="F804" i="2"/>
  <c r="F785" i="2"/>
  <c r="L322" i="13" l="1"/>
  <c r="L325" i="13" s="1"/>
  <c r="L328" i="13" s="1"/>
  <c r="L329" i="13" s="1"/>
  <c r="E231" i="13" s="1"/>
  <c r="I326" i="13"/>
  <c r="R188" i="12"/>
  <c r="F676" i="1"/>
  <c r="F675" i="1"/>
  <c r="F674" i="1"/>
  <c r="F673" i="1"/>
  <c r="F672" i="1"/>
  <c r="G121" i="13"/>
  <c r="G117" i="13"/>
  <c r="F750" i="2"/>
  <c r="F749" i="2"/>
  <c r="F748" i="2"/>
  <c r="F735" i="2"/>
  <c r="F734" i="2"/>
  <c r="F733" i="2"/>
  <c r="F719" i="2"/>
  <c r="F718" i="2"/>
  <c r="F717" i="2"/>
  <c r="F656" i="1"/>
  <c r="F655" i="1"/>
  <c r="F654" i="1"/>
  <c r="F653" i="1"/>
  <c r="F652" i="1"/>
  <c r="F237" i="4"/>
  <c r="F238" i="4" s="1"/>
  <c r="F239" i="4" s="1"/>
  <c r="F240" i="4" s="1"/>
  <c r="F214" i="4"/>
  <c r="F215" i="4" s="1"/>
  <c r="F216" i="4" s="1"/>
  <c r="F217" i="4" s="1"/>
  <c r="F218" i="4" s="1"/>
  <c r="F219" i="4" s="1"/>
  <c r="D34" i="6" s="1"/>
  <c r="F702" i="2"/>
  <c r="F701" i="2"/>
  <c r="F700" i="2"/>
  <c r="F699" i="2"/>
  <c r="F698" i="2"/>
  <c r="F703" i="2"/>
  <c r="F697" i="2"/>
  <c r="F696" i="2"/>
  <c r="E90" i="13"/>
  <c r="E89" i="13"/>
  <c r="E88" i="13"/>
  <c r="E87" i="13"/>
  <c r="G87" i="13" s="1"/>
  <c r="G152" i="13"/>
  <c r="G151" i="13"/>
  <c r="G184" i="13"/>
  <c r="G183" i="13"/>
  <c r="F682" i="2"/>
  <c r="F681" i="2"/>
  <c r="F680" i="2"/>
  <c r="F679" i="2"/>
  <c r="F666" i="2"/>
  <c r="F665" i="2"/>
  <c r="F664" i="2"/>
  <c r="F663" i="2"/>
  <c r="Q97" i="12"/>
  <c r="Q98" i="12" s="1"/>
  <c r="P98" i="12"/>
  <c r="N98" i="12"/>
  <c r="M98" i="12"/>
  <c r="F623" i="1"/>
  <c r="F621" i="1"/>
  <c r="F620" i="1"/>
  <c r="F619" i="1"/>
  <c r="F617" i="1"/>
  <c r="F616" i="1"/>
  <c r="F615" i="1"/>
  <c r="F613" i="1"/>
  <c r="F610" i="1"/>
  <c r="F609" i="1"/>
  <c r="F607" i="1"/>
  <c r="F606" i="1"/>
  <c r="F605" i="1"/>
  <c r="F603" i="1"/>
  <c r="F601" i="1"/>
  <c r="F600" i="1"/>
  <c r="F599" i="1"/>
  <c r="F598" i="1"/>
  <c r="F597" i="1"/>
  <c r="F596" i="1"/>
  <c r="F595" i="1"/>
  <c r="F594" i="1"/>
  <c r="F593" i="1"/>
  <c r="F592" i="1"/>
  <c r="F591" i="1"/>
  <c r="F586" i="1"/>
  <c r="F585" i="1"/>
  <c r="F581" i="1"/>
  <c r="F580" i="1"/>
  <c r="F579" i="1"/>
  <c r="F578" i="1"/>
  <c r="F635" i="1"/>
  <c r="F622" i="1"/>
  <c r="F618" i="1"/>
  <c r="F614" i="1"/>
  <c r="F612" i="1"/>
  <c r="F611" i="1"/>
  <c r="F608" i="1"/>
  <c r="F604" i="1"/>
  <c r="F602" i="1"/>
  <c r="F590" i="1"/>
  <c r="F588" i="1"/>
  <c r="F587" i="1"/>
  <c r="F584" i="1"/>
  <c r="F583" i="1"/>
  <c r="H438" i="10"/>
  <c r="J438" i="10" s="1"/>
  <c r="H437" i="10"/>
  <c r="J437" i="10" s="1"/>
  <c r="H436" i="10"/>
  <c r="J436" i="10" s="1"/>
  <c r="H435" i="10"/>
  <c r="J435" i="10" s="1"/>
  <c r="H434" i="10"/>
  <c r="J434" i="10" s="1"/>
  <c r="H433" i="10"/>
  <c r="J433" i="10" s="1"/>
  <c r="H432" i="10"/>
  <c r="J432" i="10" s="1"/>
  <c r="H431" i="10"/>
  <c r="J431" i="10" s="1"/>
  <c r="H430" i="10"/>
  <c r="J430" i="10" s="1"/>
  <c r="H429" i="10"/>
  <c r="J429" i="10" s="1"/>
  <c r="H428" i="10"/>
  <c r="J428" i="10" s="1"/>
  <c r="H427" i="10"/>
  <c r="J427" i="10" s="1"/>
  <c r="H426" i="10"/>
  <c r="J426" i="10" s="1"/>
  <c r="H425" i="10"/>
  <c r="J425" i="10" s="1"/>
  <c r="H424" i="10"/>
  <c r="J424" i="10" s="1"/>
  <c r="H423" i="10"/>
  <c r="J423" i="10" s="1"/>
  <c r="H422" i="10"/>
  <c r="J422" i="10" s="1"/>
  <c r="H421" i="10"/>
  <c r="J421" i="10" s="1"/>
  <c r="H420" i="10"/>
  <c r="J420" i="10" s="1"/>
  <c r="H419" i="10"/>
  <c r="J419" i="10" s="1"/>
  <c r="H418" i="10"/>
  <c r="J418" i="10" s="1"/>
  <c r="H417" i="10"/>
  <c r="J417" i="10" s="1"/>
  <c r="H416" i="10"/>
  <c r="J416" i="10" s="1"/>
  <c r="H415" i="10"/>
  <c r="J415" i="10" s="1"/>
  <c r="H414" i="10"/>
  <c r="J414" i="10" s="1"/>
  <c r="H413" i="10"/>
  <c r="J413" i="10" s="1"/>
  <c r="H412" i="10"/>
  <c r="J412" i="10" s="1"/>
  <c r="H411" i="10"/>
  <c r="J411" i="10" s="1"/>
  <c r="H410" i="10"/>
  <c r="J410" i="10" s="1"/>
  <c r="H409" i="10"/>
  <c r="J409" i="10" s="1"/>
  <c r="H408" i="10"/>
  <c r="J408" i="10" s="1"/>
  <c r="H407" i="10"/>
  <c r="J407" i="10" s="1"/>
  <c r="H406" i="10"/>
  <c r="J406" i="10" s="1"/>
  <c r="H405" i="10"/>
  <c r="J405" i="10" s="1"/>
  <c r="H401" i="10"/>
  <c r="J401" i="10" s="1"/>
  <c r="H400" i="10"/>
  <c r="J400" i="10" s="1"/>
  <c r="H399" i="10"/>
  <c r="J399" i="10" s="1"/>
  <c r="H398" i="10"/>
  <c r="J398" i="10" s="1"/>
  <c r="H397" i="10"/>
  <c r="J397" i="10" s="1"/>
  <c r="H396" i="10"/>
  <c r="J396" i="10" s="1"/>
  <c r="H392" i="10"/>
  <c r="J392" i="10" s="1"/>
  <c r="H391" i="10"/>
  <c r="J391" i="10" s="1"/>
  <c r="H390" i="10"/>
  <c r="J390" i="10" s="1"/>
  <c r="H389" i="10"/>
  <c r="J389" i="10" s="1"/>
  <c r="E162" i="13"/>
  <c r="F193" i="4"/>
  <c r="F194" i="4" s="1"/>
  <c r="F195" i="4" s="1"/>
  <c r="F196" i="4" s="1"/>
  <c r="F649" i="2"/>
  <c r="F648" i="2"/>
  <c r="F647" i="2"/>
  <c r="F646" i="2"/>
  <c r="F561" i="1"/>
  <c r="F560" i="1"/>
  <c r="F559" i="1"/>
  <c r="F558" i="1"/>
  <c r="F557" i="1"/>
  <c r="F633" i="2"/>
  <c r="F632" i="2"/>
  <c r="F631" i="2"/>
  <c r="F630" i="2"/>
  <c r="Q186" i="12"/>
  <c r="C934" i="1" s="1"/>
  <c r="Q185" i="12"/>
  <c r="C933" i="1" s="1"/>
  <c r="Q184" i="12"/>
  <c r="C932" i="1" s="1"/>
  <c r="Q183" i="12"/>
  <c r="C931" i="1" s="1"/>
  <c r="Q182" i="12"/>
  <c r="C930" i="1" s="1"/>
  <c r="Q181" i="12"/>
  <c r="C929" i="1" s="1"/>
  <c r="Q180" i="12"/>
  <c r="C928" i="1" s="1"/>
  <c r="Q179" i="12"/>
  <c r="C927" i="1" s="1"/>
  <c r="Q178" i="12"/>
  <c r="C926" i="1" s="1"/>
  <c r="Q177" i="12"/>
  <c r="C925" i="1" s="1"/>
  <c r="Q176" i="12"/>
  <c r="C924" i="1" s="1"/>
  <c r="Q175" i="12"/>
  <c r="C923" i="1" s="1"/>
  <c r="Q174" i="12"/>
  <c r="C922" i="1" s="1"/>
  <c r="Q173" i="12"/>
  <c r="C921" i="1" s="1"/>
  <c r="Q172" i="12"/>
  <c r="C920" i="1" s="1"/>
  <c r="Q171" i="12"/>
  <c r="C919" i="1" s="1"/>
  <c r="Q170" i="12"/>
  <c r="C918" i="1" s="1"/>
  <c r="Q169" i="12"/>
  <c r="C917" i="1" s="1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F241" i="4" l="1"/>
  <c r="F321" i="4"/>
  <c r="F322" i="4" s="1"/>
  <c r="F323" i="4" s="1"/>
  <c r="F324" i="4" s="1"/>
  <c r="F752" i="2"/>
  <c r="F651" i="2"/>
  <c r="J402" i="10"/>
  <c r="J439" i="10"/>
  <c r="J393" i="10"/>
  <c r="F678" i="1"/>
  <c r="L330" i="13"/>
  <c r="E279" i="13" s="1"/>
  <c r="F737" i="2"/>
  <c r="G88" i="13"/>
  <c r="G89" i="13" s="1"/>
  <c r="G90" i="13" s="1"/>
  <c r="G91" i="13" s="1"/>
  <c r="G92" i="13" s="1"/>
  <c r="G93" i="13" s="1"/>
  <c r="F668" i="2"/>
  <c r="F721" i="2"/>
  <c r="F658" i="1"/>
  <c r="F705" i="2"/>
  <c r="F684" i="2"/>
  <c r="F637" i="1"/>
  <c r="F563" i="1"/>
  <c r="F635" i="2"/>
  <c r="F540" i="1"/>
  <c r="F197" i="4"/>
  <c r="F617" i="2"/>
  <c r="F616" i="2"/>
  <c r="F615" i="2"/>
  <c r="F614" i="2"/>
  <c r="M357" i="10"/>
  <c r="L379" i="10"/>
  <c r="L378" i="10"/>
  <c r="L377" i="10"/>
  <c r="L376" i="10"/>
  <c r="L375" i="10"/>
  <c r="L374" i="10"/>
  <c r="L373" i="10"/>
  <c r="L372" i="10"/>
  <c r="L371" i="10"/>
  <c r="L370" i="10"/>
  <c r="L369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56" i="10"/>
  <c r="L355" i="10"/>
  <c r="L354" i="10"/>
  <c r="L353" i="10"/>
  <c r="L352" i="10"/>
  <c r="L351" i="10"/>
  <c r="L350" i="10"/>
  <c r="L349" i="10"/>
  <c r="L348" i="10"/>
  <c r="L347" i="10"/>
  <c r="L346" i="10"/>
  <c r="L345" i="10"/>
  <c r="L344" i="10"/>
  <c r="L343" i="10"/>
  <c r="L342" i="10"/>
  <c r="L341" i="10"/>
  <c r="L340" i="10"/>
  <c r="L339" i="10"/>
  <c r="L338" i="10"/>
  <c r="L337" i="10"/>
  <c r="L336" i="10"/>
  <c r="L335" i="10"/>
  <c r="L334" i="10"/>
  <c r="L333" i="10"/>
  <c r="L332" i="10"/>
  <c r="L331" i="10"/>
  <c r="L330" i="10"/>
  <c r="L329" i="10"/>
  <c r="L328" i="10"/>
  <c r="L327" i="10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L314" i="10"/>
  <c r="L313" i="10"/>
  <c r="L312" i="10"/>
  <c r="L311" i="10"/>
  <c r="L310" i="10"/>
  <c r="L309" i="10"/>
  <c r="L308" i="10"/>
  <c r="L307" i="10"/>
  <c r="L306" i="10"/>
  <c r="L305" i="10"/>
  <c r="L304" i="10"/>
  <c r="L303" i="10"/>
  <c r="L302" i="10"/>
  <c r="L301" i="10"/>
  <c r="L300" i="10"/>
  <c r="F242" i="4" l="1"/>
  <c r="F243" i="4" s="1"/>
  <c r="F244" i="4" s="1"/>
  <c r="K440" i="10"/>
  <c r="G94" i="13"/>
  <c r="G95" i="13" s="1"/>
  <c r="F198" i="4"/>
  <c r="F199" i="4" s="1"/>
  <c r="F200" i="4" s="1"/>
  <c r="F201" i="4" s="1"/>
  <c r="F202" i="4" s="1"/>
  <c r="N319" i="10"/>
  <c r="R319" i="10" s="1"/>
  <c r="D479" i="1"/>
  <c r="F479" i="1" s="1"/>
  <c r="N335" i="10"/>
  <c r="D495" i="1"/>
  <c r="F495" i="1" s="1"/>
  <c r="N359" i="10"/>
  <c r="D914" i="1" s="1"/>
  <c r="F914" i="1" s="1"/>
  <c r="D519" i="1"/>
  <c r="F519" i="1" s="1"/>
  <c r="N302" i="10"/>
  <c r="R302" i="10" s="1"/>
  <c r="D462" i="1"/>
  <c r="F462" i="1" s="1"/>
  <c r="N310" i="10"/>
  <c r="R310" i="10" s="1"/>
  <c r="D470" i="1"/>
  <c r="F470" i="1" s="1"/>
  <c r="N318" i="10"/>
  <c r="R318" i="10" s="1"/>
  <c r="D478" i="1"/>
  <c r="F478" i="1" s="1"/>
  <c r="N326" i="10"/>
  <c r="R326" i="10" s="1"/>
  <c r="D486" i="1"/>
  <c r="F486" i="1" s="1"/>
  <c r="N334" i="10"/>
  <c r="R334" i="10" s="1"/>
  <c r="D494" i="1"/>
  <c r="F494" i="1" s="1"/>
  <c r="N342" i="10"/>
  <c r="D502" i="1"/>
  <c r="F502" i="1" s="1"/>
  <c r="N350" i="10"/>
  <c r="D510" i="1"/>
  <c r="F510" i="1" s="1"/>
  <c r="N358" i="10"/>
  <c r="D518" i="1"/>
  <c r="F518" i="1" s="1"/>
  <c r="N366" i="10"/>
  <c r="D921" i="1" s="1"/>
  <c r="F921" i="1" s="1"/>
  <c r="D526" i="1"/>
  <c r="F526" i="1" s="1"/>
  <c r="N374" i="10"/>
  <c r="D929" i="1" s="1"/>
  <c r="F929" i="1" s="1"/>
  <c r="D534" i="1"/>
  <c r="F534" i="1" s="1"/>
  <c r="N303" i="10"/>
  <c r="R303" i="10" s="1"/>
  <c r="D463" i="1"/>
  <c r="F463" i="1" s="1"/>
  <c r="N343" i="10"/>
  <c r="D503" i="1"/>
  <c r="F503" i="1" s="1"/>
  <c r="N367" i="10"/>
  <c r="D922" i="1" s="1"/>
  <c r="F922" i="1" s="1"/>
  <c r="D527" i="1"/>
  <c r="F527" i="1" s="1"/>
  <c r="N317" i="10"/>
  <c r="R317" i="10" s="1"/>
  <c r="D477" i="1"/>
  <c r="F477" i="1" s="1"/>
  <c r="N333" i="10"/>
  <c r="R333" i="10" s="1"/>
  <c r="D493" i="1"/>
  <c r="F493" i="1" s="1"/>
  <c r="N341" i="10"/>
  <c r="R341" i="10" s="1"/>
  <c r="D501" i="1"/>
  <c r="F501" i="1" s="1"/>
  <c r="N349" i="10"/>
  <c r="R349" i="10" s="1"/>
  <c r="D509" i="1"/>
  <c r="F509" i="1" s="1"/>
  <c r="N357" i="10"/>
  <c r="D517" i="1"/>
  <c r="F517" i="1" s="1"/>
  <c r="N365" i="10"/>
  <c r="D920" i="1" s="1"/>
  <c r="F920" i="1" s="1"/>
  <c r="D525" i="1"/>
  <c r="F525" i="1" s="1"/>
  <c r="N373" i="10"/>
  <c r="D928" i="1" s="1"/>
  <c r="F928" i="1" s="1"/>
  <c r="D533" i="1"/>
  <c r="F533" i="1" s="1"/>
  <c r="N327" i="10"/>
  <c r="R327" i="10" s="1"/>
  <c r="D487" i="1"/>
  <c r="F487" i="1" s="1"/>
  <c r="N375" i="10"/>
  <c r="D930" i="1" s="1"/>
  <c r="F930" i="1" s="1"/>
  <c r="D535" i="1"/>
  <c r="F535" i="1" s="1"/>
  <c r="N309" i="10"/>
  <c r="D913" i="1" s="1"/>
  <c r="F913" i="1" s="1"/>
  <c r="D469" i="1"/>
  <c r="F469" i="1" s="1"/>
  <c r="N308" i="10"/>
  <c r="R308" i="10" s="1"/>
  <c r="D468" i="1"/>
  <c r="F468" i="1" s="1"/>
  <c r="N340" i="10"/>
  <c r="R340" i="10" s="1"/>
  <c r="D500" i="1"/>
  <c r="F500" i="1" s="1"/>
  <c r="N356" i="10"/>
  <c r="D516" i="1"/>
  <c r="F516" i="1" s="1"/>
  <c r="N372" i="10"/>
  <c r="D927" i="1" s="1"/>
  <c r="F927" i="1" s="1"/>
  <c r="D532" i="1"/>
  <c r="F532" i="1" s="1"/>
  <c r="N315" i="10"/>
  <c r="R315" i="10" s="1"/>
  <c r="D475" i="1"/>
  <c r="F475" i="1" s="1"/>
  <c r="N331" i="10"/>
  <c r="D491" i="1"/>
  <c r="F491" i="1" s="1"/>
  <c r="N347" i="10"/>
  <c r="D507" i="1"/>
  <c r="F507" i="1" s="1"/>
  <c r="N363" i="10"/>
  <c r="D918" i="1" s="1"/>
  <c r="F918" i="1" s="1"/>
  <c r="D523" i="1"/>
  <c r="F523" i="1" s="1"/>
  <c r="N379" i="10"/>
  <c r="D934" i="1" s="1"/>
  <c r="F934" i="1" s="1"/>
  <c r="D539" i="1"/>
  <c r="F539" i="1" s="1"/>
  <c r="N325" i="10"/>
  <c r="R325" i="10" s="1"/>
  <c r="D485" i="1"/>
  <c r="F485" i="1" s="1"/>
  <c r="N316" i="10"/>
  <c r="R316" i="10" s="1"/>
  <c r="D476" i="1"/>
  <c r="F476" i="1" s="1"/>
  <c r="N324" i="10"/>
  <c r="R324" i="10" s="1"/>
  <c r="D484" i="1"/>
  <c r="F484" i="1" s="1"/>
  <c r="N348" i="10"/>
  <c r="R348" i="10" s="1"/>
  <c r="D508" i="1"/>
  <c r="F508" i="1" s="1"/>
  <c r="N364" i="10"/>
  <c r="D919" i="1" s="1"/>
  <c r="F919" i="1" s="1"/>
  <c r="D524" i="1"/>
  <c r="F524" i="1" s="1"/>
  <c r="N307" i="10"/>
  <c r="R307" i="10" s="1"/>
  <c r="D467" i="1"/>
  <c r="F467" i="1" s="1"/>
  <c r="N323" i="10"/>
  <c r="D483" i="1"/>
  <c r="F483" i="1" s="1"/>
  <c r="N339" i="10"/>
  <c r="R339" i="10" s="1"/>
  <c r="D499" i="1"/>
  <c r="F499" i="1" s="1"/>
  <c r="N355" i="10"/>
  <c r="D515" i="1"/>
  <c r="F515" i="1" s="1"/>
  <c r="N371" i="10"/>
  <c r="D926" i="1" s="1"/>
  <c r="F926" i="1" s="1"/>
  <c r="D531" i="1"/>
  <c r="F531" i="1" s="1"/>
  <c r="N306" i="10"/>
  <c r="R306" i="10" s="1"/>
  <c r="D466" i="1"/>
  <c r="F466" i="1" s="1"/>
  <c r="N314" i="10"/>
  <c r="R314" i="10" s="1"/>
  <c r="D474" i="1"/>
  <c r="F474" i="1" s="1"/>
  <c r="N322" i="10"/>
  <c r="D482" i="1"/>
  <c r="F482" i="1" s="1"/>
  <c r="N330" i="10"/>
  <c r="R330" i="10" s="1"/>
  <c r="D490" i="1"/>
  <c r="F490" i="1" s="1"/>
  <c r="N338" i="10"/>
  <c r="R338" i="10" s="1"/>
  <c r="D498" i="1"/>
  <c r="F498" i="1" s="1"/>
  <c r="N346" i="10"/>
  <c r="D506" i="1"/>
  <c r="F506" i="1" s="1"/>
  <c r="N354" i="10"/>
  <c r="D514" i="1"/>
  <c r="F514" i="1" s="1"/>
  <c r="N362" i="10"/>
  <c r="D917" i="1" s="1"/>
  <c r="F917" i="1" s="1"/>
  <c r="D522" i="1"/>
  <c r="F522" i="1" s="1"/>
  <c r="N370" i="10"/>
  <c r="D925" i="1" s="1"/>
  <c r="F925" i="1" s="1"/>
  <c r="D530" i="1"/>
  <c r="F530" i="1" s="1"/>
  <c r="N378" i="10"/>
  <c r="D933" i="1" s="1"/>
  <c r="F933" i="1" s="1"/>
  <c r="D538" i="1"/>
  <c r="F538" i="1" s="1"/>
  <c r="N311" i="10"/>
  <c r="R311" i="10" s="1"/>
  <c r="D471" i="1"/>
  <c r="F471" i="1" s="1"/>
  <c r="N351" i="10"/>
  <c r="D511" i="1"/>
  <c r="F511" i="1" s="1"/>
  <c r="N301" i="10"/>
  <c r="D912" i="1" s="1"/>
  <c r="F912" i="1" s="1"/>
  <c r="D461" i="1"/>
  <c r="F461" i="1" s="1"/>
  <c r="N300" i="10"/>
  <c r="D911" i="1" s="1"/>
  <c r="F911" i="1" s="1"/>
  <c r="D460" i="1"/>
  <c r="F460" i="1" s="1"/>
  <c r="L381" i="10"/>
  <c r="N332" i="10"/>
  <c r="R332" i="10" s="1"/>
  <c r="D492" i="1"/>
  <c r="F492" i="1" s="1"/>
  <c r="N305" i="10"/>
  <c r="R305" i="10" s="1"/>
  <c r="D465" i="1"/>
  <c r="F465" i="1" s="1"/>
  <c r="N313" i="10"/>
  <c r="R313" i="10" s="1"/>
  <c r="D473" i="1"/>
  <c r="F473" i="1" s="1"/>
  <c r="N321" i="10"/>
  <c r="R321" i="10" s="1"/>
  <c r="D481" i="1"/>
  <c r="F481" i="1" s="1"/>
  <c r="N329" i="10"/>
  <c r="R329" i="10" s="1"/>
  <c r="D489" i="1"/>
  <c r="F489" i="1" s="1"/>
  <c r="N337" i="10"/>
  <c r="R337" i="10" s="1"/>
  <c r="D497" i="1"/>
  <c r="F497" i="1" s="1"/>
  <c r="N345" i="10"/>
  <c r="D505" i="1"/>
  <c r="F505" i="1" s="1"/>
  <c r="N353" i="10"/>
  <c r="R353" i="10" s="1"/>
  <c r="D513" i="1"/>
  <c r="F513" i="1" s="1"/>
  <c r="N361" i="10"/>
  <c r="D916" i="1" s="1"/>
  <c r="F916" i="1" s="1"/>
  <c r="D521" i="1"/>
  <c r="F521" i="1" s="1"/>
  <c r="N369" i="10"/>
  <c r="D924" i="1" s="1"/>
  <c r="F924" i="1" s="1"/>
  <c r="D529" i="1"/>
  <c r="F529" i="1" s="1"/>
  <c r="N377" i="10"/>
  <c r="D932" i="1" s="1"/>
  <c r="F932" i="1" s="1"/>
  <c r="D537" i="1"/>
  <c r="F537" i="1" s="1"/>
  <c r="N304" i="10"/>
  <c r="R304" i="10" s="1"/>
  <c r="D464" i="1"/>
  <c r="F464" i="1" s="1"/>
  <c r="N312" i="10"/>
  <c r="R312" i="10" s="1"/>
  <c r="D472" i="1"/>
  <c r="F472" i="1" s="1"/>
  <c r="N320" i="10"/>
  <c r="R320" i="10" s="1"/>
  <c r="D480" i="1"/>
  <c r="F480" i="1" s="1"/>
  <c r="N328" i="10"/>
  <c r="R328" i="10" s="1"/>
  <c r="D488" i="1"/>
  <c r="F488" i="1" s="1"/>
  <c r="N336" i="10"/>
  <c r="R336" i="10" s="1"/>
  <c r="D496" i="1"/>
  <c r="F496" i="1" s="1"/>
  <c r="N344" i="10"/>
  <c r="D504" i="1"/>
  <c r="F504" i="1" s="1"/>
  <c r="N352" i="10"/>
  <c r="R352" i="10" s="1"/>
  <c r="D512" i="1"/>
  <c r="F512" i="1" s="1"/>
  <c r="N360" i="10"/>
  <c r="D915" i="1" s="1"/>
  <c r="F915" i="1" s="1"/>
  <c r="D520" i="1"/>
  <c r="F520" i="1" s="1"/>
  <c r="N368" i="10"/>
  <c r="D923" i="1" s="1"/>
  <c r="F923" i="1" s="1"/>
  <c r="D528" i="1"/>
  <c r="F528" i="1" s="1"/>
  <c r="N376" i="10"/>
  <c r="D931" i="1" s="1"/>
  <c r="F931" i="1" s="1"/>
  <c r="D536" i="1"/>
  <c r="F536" i="1" s="1"/>
  <c r="F619" i="2"/>
  <c r="F597" i="2"/>
  <c r="F598" i="2"/>
  <c r="F599" i="2"/>
  <c r="F600" i="2"/>
  <c r="L18" i="13"/>
  <c r="F584" i="2"/>
  <c r="F583" i="2"/>
  <c r="F582" i="2"/>
  <c r="F581" i="2"/>
  <c r="F567" i="2"/>
  <c r="F566" i="2"/>
  <c r="F565" i="2"/>
  <c r="F550" i="2"/>
  <c r="F549" i="2"/>
  <c r="F548" i="2"/>
  <c r="F935" i="1" l="1"/>
  <c r="F203" i="4"/>
  <c r="F204" i="4" s="1"/>
  <c r="F205" i="4" s="1"/>
  <c r="F206" i="4" s="1"/>
  <c r="F207" i="4" s="1"/>
  <c r="E104" i="13"/>
  <c r="E72" i="13"/>
  <c r="F542" i="1"/>
  <c r="N381" i="10"/>
  <c r="F570" i="2"/>
  <c r="F553" i="2"/>
  <c r="F602" i="2"/>
  <c r="F586" i="2"/>
  <c r="F445" i="1"/>
  <c r="F444" i="1"/>
  <c r="F443" i="1"/>
  <c r="F442" i="1"/>
  <c r="F441" i="1"/>
  <c r="F425" i="1"/>
  <c r="F424" i="1"/>
  <c r="F423" i="1"/>
  <c r="F422" i="1"/>
  <c r="F421" i="1"/>
  <c r="E178" i="13"/>
  <c r="G178" i="13" s="1"/>
  <c r="E177" i="13"/>
  <c r="G177" i="13" s="1"/>
  <c r="G180" i="13"/>
  <c r="G179" i="13"/>
  <c r="E176" i="13"/>
  <c r="G176" i="13" s="1"/>
  <c r="F191" i="13"/>
  <c r="F192" i="13" s="1"/>
  <c r="F193" i="13" s="1"/>
  <c r="F194" i="13" s="1"/>
  <c r="F195" i="13" s="1"/>
  <c r="F196" i="13" s="1"/>
  <c r="F197" i="13" s="1"/>
  <c r="F198" i="13" s="1"/>
  <c r="L182" i="13" s="1"/>
  <c r="G186" i="13" l="1"/>
  <c r="L181" i="13" s="1"/>
  <c r="L183" i="13" s="1"/>
  <c r="L186" i="13" s="1"/>
  <c r="L188" i="13" s="1"/>
  <c r="F447" i="1"/>
  <c r="F427" i="1"/>
  <c r="I98" i="12"/>
  <c r="F533" i="2"/>
  <c r="F532" i="2"/>
  <c r="F531" i="2"/>
  <c r="AI97" i="12"/>
  <c r="AN97" i="12" s="1"/>
  <c r="AP97" i="12" s="1"/>
  <c r="J98" i="12"/>
  <c r="E27" i="13"/>
  <c r="D422" i="2"/>
  <c r="D420" i="2"/>
  <c r="E97" i="13"/>
  <c r="L156" i="13"/>
  <c r="E160" i="13"/>
  <c r="E159" i="13"/>
  <c r="F159" i="13" s="1"/>
  <c r="E148" i="13"/>
  <c r="G148" i="13" s="1"/>
  <c r="G153" i="13"/>
  <c r="G150" i="13"/>
  <c r="F517" i="2"/>
  <c r="F516" i="2"/>
  <c r="F515" i="2"/>
  <c r="F501" i="2"/>
  <c r="F500" i="2"/>
  <c r="F499" i="2"/>
  <c r="G42" i="13"/>
  <c r="G43" i="13" s="1"/>
  <c r="G44" i="13" s="1"/>
  <c r="G45" i="13" s="1"/>
  <c r="G122" i="13"/>
  <c r="E26" i="13"/>
  <c r="E25" i="13"/>
  <c r="G25" i="13" s="1"/>
  <c r="F537" i="4"/>
  <c r="F538" i="4" s="1"/>
  <c r="F539" i="4" s="1"/>
  <c r="F540" i="4" s="1"/>
  <c r="F541" i="4" s="1"/>
  <c r="F542" i="4" s="1"/>
  <c r="F485" i="2"/>
  <c r="F484" i="2"/>
  <c r="F483" i="2"/>
  <c r="AI63" i="12"/>
  <c r="AN63" i="12" s="1"/>
  <c r="F405" i="1"/>
  <c r="F404" i="1"/>
  <c r="F403" i="1"/>
  <c r="F402" i="1"/>
  <c r="F401" i="1"/>
  <c r="F87" i="3"/>
  <c r="G98" i="12"/>
  <c r="H98" i="12"/>
  <c r="AI81" i="12"/>
  <c r="AN81" i="12" s="1"/>
  <c r="AP81" i="12" s="1"/>
  <c r="AI83" i="12"/>
  <c r="AN83" i="12" s="1"/>
  <c r="F368" i="1"/>
  <c r="F376" i="1"/>
  <c r="F375" i="1"/>
  <c r="F374" i="1"/>
  <c r="F373" i="1"/>
  <c r="F372" i="1"/>
  <c r="F371" i="1"/>
  <c r="F370" i="1"/>
  <c r="F369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3" i="1"/>
  <c r="F342" i="1"/>
  <c r="F341" i="1"/>
  <c r="F340" i="1"/>
  <c r="F338" i="1"/>
  <c r="F336" i="1"/>
  <c r="F335" i="1"/>
  <c r="F334" i="1"/>
  <c r="F332" i="1"/>
  <c r="F337" i="1"/>
  <c r="F333" i="1"/>
  <c r="F386" i="1"/>
  <c r="F377" i="1"/>
  <c r="F344" i="1"/>
  <c r="F339" i="1"/>
  <c r="G289" i="10"/>
  <c r="I289" i="10" s="1"/>
  <c r="G288" i="10"/>
  <c r="I288" i="10" s="1"/>
  <c r="G287" i="10"/>
  <c r="I287" i="10" s="1"/>
  <c r="G286" i="10"/>
  <c r="I286" i="10" s="1"/>
  <c r="G285" i="10"/>
  <c r="I285" i="10" s="1"/>
  <c r="G284" i="10"/>
  <c r="I284" i="10" s="1"/>
  <c r="G283" i="10"/>
  <c r="I283" i="10" s="1"/>
  <c r="G282" i="10"/>
  <c r="I282" i="10" s="1"/>
  <c r="G281" i="10"/>
  <c r="I281" i="10" s="1"/>
  <c r="G280" i="10"/>
  <c r="I280" i="10" s="1"/>
  <c r="G279" i="10"/>
  <c r="I279" i="10" s="1"/>
  <c r="G278" i="10"/>
  <c r="I278" i="10" s="1"/>
  <c r="G277" i="10"/>
  <c r="I277" i="10" s="1"/>
  <c r="G276" i="10"/>
  <c r="I276" i="10" s="1"/>
  <c r="G275" i="10"/>
  <c r="I275" i="10" s="1"/>
  <c r="G274" i="10"/>
  <c r="I274" i="10" s="1"/>
  <c r="G273" i="10"/>
  <c r="I273" i="10" s="1"/>
  <c r="G272" i="10"/>
  <c r="I272" i="10" s="1"/>
  <c r="G271" i="10"/>
  <c r="I271" i="10" s="1"/>
  <c r="G270" i="10"/>
  <c r="I270" i="10" s="1"/>
  <c r="G269" i="10"/>
  <c r="I269" i="10" s="1"/>
  <c r="G268" i="10"/>
  <c r="I268" i="10" s="1"/>
  <c r="G267" i="10"/>
  <c r="I267" i="10" s="1"/>
  <c r="G266" i="10"/>
  <c r="I266" i="10" s="1"/>
  <c r="G265" i="10"/>
  <c r="I265" i="10" s="1"/>
  <c r="G264" i="10"/>
  <c r="I264" i="10" s="1"/>
  <c r="G263" i="10"/>
  <c r="I263" i="10" s="1"/>
  <c r="G262" i="10"/>
  <c r="I262" i="10" s="1"/>
  <c r="G261" i="10"/>
  <c r="I261" i="10" s="1"/>
  <c r="G260" i="10"/>
  <c r="I260" i="10" s="1"/>
  <c r="G259" i="10"/>
  <c r="I259" i="10" s="1"/>
  <c r="G258" i="10"/>
  <c r="I258" i="10" s="1"/>
  <c r="G255" i="10"/>
  <c r="I255" i="10" s="1"/>
  <c r="G254" i="10"/>
  <c r="I254" i="10" s="1"/>
  <c r="G253" i="10"/>
  <c r="I253" i="10" s="1"/>
  <c r="G252" i="10"/>
  <c r="I252" i="10" s="1"/>
  <c r="G251" i="10"/>
  <c r="I251" i="10" s="1"/>
  <c r="G250" i="10"/>
  <c r="I250" i="10" s="1"/>
  <c r="G249" i="10"/>
  <c r="I249" i="10" s="1"/>
  <c r="G248" i="10"/>
  <c r="I248" i="10" s="1"/>
  <c r="G247" i="10"/>
  <c r="I247" i="10" s="1"/>
  <c r="G246" i="10"/>
  <c r="I246" i="10" s="1"/>
  <c r="G245" i="10"/>
  <c r="I245" i="10" s="1"/>
  <c r="G244" i="10"/>
  <c r="I244" i="10" s="1"/>
  <c r="F385" i="1"/>
  <c r="F318" i="1"/>
  <c r="F317" i="1"/>
  <c r="F316" i="1"/>
  <c r="F315" i="1"/>
  <c r="F314" i="1"/>
  <c r="F564" i="4"/>
  <c r="F565" i="4" s="1"/>
  <c r="F566" i="4" s="1"/>
  <c r="F567" i="4" s="1"/>
  <c r="F568" i="4" s="1"/>
  <c r="F569" i="4" s="1"/>
  <c r="D25" i="6" s="1"/>
  <c r="F297" i="4"/>
  <c r="F298" i="4" s="1"/>
  <c r="F299" i="4" s="1"/>
  <c r="F300" i="4" s="1"/>
  <c r="F301" i="4" s="1"/>
  <c r="F302" i="4" s="1"/>
  <c r="D33" i="6" s="1"/>
  <c r="F98" i="12"/>
  <c r="F407" i="1" l="1"/>
  <c r="F88" i="3"/>
  <c r="F89" i="3" s="1"/>
  <c r="F90" i="3" s="1"/>
  <c r="F91" i="3" s="1"/>
  <c r="F92" i="3" s="1"/>
  <c r="F93" i="3" s="1"/>
  <c r="G46" i="13"/>
  <c r="G47" i="13" s="1"/>
  <c r="G48" i="13" s="1"/>
  <c r="G49" i="13" s="1"/>
  <c r="G50" i="13" s="1"/>
  <c r="F520" i="2"/>
  <c r="L187" i="13"/>
  <c r="F388" i="1"/>
  <c r="F488" i="2"/>
  <c r="F536" i="2"/>
  <c r="F504" i="2"/>
  <c r="F160" i="13"/>
  <c r="F161" i="13" s="1"/>
  <c r="F162" i="13" s="1"/>
  <c r="F163" i="13" s="1"/>
  <c r="F164" i="13" s="1"/>
  <c r="F165" i="13" s="1"/>
  <c r="F166" i="13" s="1"/>
  <c r="L154" i="13" s="1"/>
  <c r="G154" i="13"/>
  <c r="G26" i="13"/>
  <c r="G27" i="13" s="1"/>
  <c r="G28" i="13" s="1"/>
  <c r="G29" i="13" s="1"/>
  <c r="G30" i="13" s="1"/>
  <c r="F320" i="1"/>
  <c r="AO87" i="12"/>
  <c r="AO57" i="12"/>
  <c r="AI57" i="12"/>
  <c r="AN57" i="12" s="1"/>
  <c r="F467" i="2"/>
  <c r="F469" i="2"/>
  <c r="F468" i="2"/>
  <c r="F453" i="2"/>
  <c r="F452" i="2"/>
  <c r="F451" i="2"/>
  <c r="F438" i="2"/>
  <c r="F437" i="2"/>
  <c r="F436" i="2"/>
  <c r="AV22" i="12"/>
  <c r="F121" i="1"/>
  <c r="F120" i="1"/>
  <c r="F119" i="1"/>
  <c r="F118" i="1"/>
  <c r="F117" i="1"/>
  <c r="F116" i="1"/>
  <c r="F294" i="2"/>
  <c r="F293" i="2"/>
  <c r="F292" i="2"/>
  <c r="F299" i="1"/>
  <c r="F298" i="1"/>
  <c r="F297" i="1"/>
  <c r="F296" i="1"/>
  <c r="F295" i="1"/>
  <c r="AH98" i="12"/>
  <c r="V98" i="12"/>
  <c r="U98" i="12"/>
  <c r="S98" i="12"/>
  <c r="R98" i="12"/>
  <c r="E98" i="12"/>
  <c r="AI96" i="12"/>
  <c r="AN96" i="12" s="1"/>
  <c r="AP96" i="12" s="1"/>
  <c r="AI94" i="12"/>
  <c r="AN94" i="12" s="1"/>
  <c r="AP94" i="12" s="1"/>
  <c r="AI93" i="12"/>
  <c r="AN93" i="12" s="1"/>
  <c r="AP93" i="12" s="1"/>
  <c r="AI92" i="12"/>
  <c r="AN92" i="12" s="1"/>
  <c r="AP92" i="12" s="1"/>
  <c r="AI90" i="12"/>
  <c r="AN90" i="12" s="1"/>
  <c r="AP90" i="12" s="1"/>
  <c r="AI89" i="12"/>
  <c r="AI88" i="12"/>
  <c r="AN88" i="12" s="1"/>
  <c r="AP88" i="12" s="1"/>
  <c r="AM87" i="12"/>
  <c r="AI87" i="12"/>
  <c r="AN87" i="12" s="1"/>
  <c r="AI85" i="12"/>
  <c r="AN85" i="12" s="1"/>
  <c r="AP85" i="12" s="1"/>
  <c r="AI84" i="12"/>
  <c r="AN84" i="12" s="1"/>
  <c r="AP84" i="12" s="1"/>
  <c r="AI82" i="12"/>
  <c r="AN82" i="12" s="1"/>
  <c r="AP82" i="12" s="1"/>
  <c r="AI80" i="12"/>
  <c r="AN80" i="12" s="1"/>
  <c r="AP80" i="12" s="1"/>
  <c r="AI78" i="12"/>
  <c r="AN78" i="12" s="1"/>
  <c r="AP78" i="12" s="1"/>
  <c r="AI77" i="12"/>
  <c r="AN77" i="12" s="1"/>
  <c r="AP77" i="12" s="1"/>
  <c r="AI76" i="12"/>
  <c r="AN76" i="12" s="1"/>
  <c r="AP76" i="12" s="1"/>
  <c r="AI75" i="12"/>
  <c r="AN75" i="12" s="1"/>
  <c r="AP75" i="12" s="1"/>
  <c r="AI74" i="12"/>
  <c r="AN74" i="12" s="1"/>
  <c r="AP74" i="12" s="1"/>
  <c r="AI73" i="12"/>
  <c r="AN73" i="12" s="1"/>
  <c r="AP73" i="12" s="1"/>
  <c r="AI72" i="12"/>
  <c r="AN72" i="12" s="1"/>
  <c r="AP72" i="12" s="1"/>
  <c r="AI70" i="12"/>
  <c r="AN70" i="12" s="1"/>
  <c r="AP70" i="12" s="1"/>
  <c r="AI69" i="12"/>
  <c r="AN69" i="12" s="1"/>
  <c r="AP69" i="12" s="1"/>
  <c r="AI68" i="12"/>
  <c r="AN68" i="12" s="1"/>
  <c r="AP68" i="12" s="1"/>
  <c r="AI66" i="12"/>
  <c r="AN66" i="12" s="1"/>
  <c r="AP66" i="12" s="1"/>
  <c r="AI65" i="12"/>
  <c r="AN65" i="12" s="1"/>
  <c r="AP65" i="12" s="1"/>
  <c r="AI62" i="12"/>
  <c r="AN62" i="12" s="1"/>
  <c r="AP62" i="12" s="1"/>
  <c r="AI61" i="12"/>
  <c r="AN61" i="12" s="1"/>
  <c r="AP61" i="12" s="1"/>
  <c r="AM60" i="12"/>
  <c r="AI60" i="12"/>
  <c r="AN60" i="12" s="1"/>
  <c r="AP60" i="12" s="1"/>
  <c r="AM59" i="12"/>
  <c r="AI59" i="12"/>
  <c r="AN59" i="12" s="1"/>
  <c r="AP59" i="12" s="1"/>
  <c r="AM58" i="12"/>
  <c r="AI58" i="12"/>
  <c r="AN58" i="12" s="1"/>
  <c r="F422" i="2"/>
  <c r="F421" i="2"/>
  <c r="F420" i="2"/>
  <c r="G31" i="13" l="1"/>
  <c r="G32" i="13" s="1"/>
  <c r="G33" i="13" s="1"/>
  <c r="G34" i="13" s="1"/>
  <c r="G35" i="13" s="1"/>
  <c r="AP57" i="12"/>
  <c r="L153" i="13"/>
  <c r="L155" i="13" s="1"/>
  <c r="L157" i="13" s="1"/>
  <c r="L159" i="13" s="1"/>
  <c r="E98" i="13" s="1"/>
  <c r="I153" i="13"/>
  <c r="F301" i="1"/>
  <c r="E101" i="13"/>
  <c r="E61" i="13"/>
  <c r="F472" i="2"/>
  <c r="AP87" i="12"/>
  <c r="F456" i="2"/>
  <c r="F441" i="2"/>
  <c r="AI67" i="12"/>
  <c r="AN67" i="12" s="1"/>
  <c r="AP67" i="12" s="1"/>
  <c r="AP58" i="12"/>
  <c r="F425" i="2"/>
  <c r="F406" i="2"/>
  <c r="F405" i="2"/>
  <c r="F821" i="4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132" i="13"/>
  <c r="F133" i="13" s="1"/>
  <c r="F134" i="13" s="1"/>
  <c r="F135" i="13" s="1"/>
  <c r="F136" i="13" s="1"/>
  <c r="F137" i="13" s="1"/>
  <c r="F391" i="2"/>
  <c r="F390" i="2"/>
  <c r="F389" i="2"/>
  <c r="F277" i="4"/>
  <c r="F278" i="4" s="1"/>
  <c r="F279" i="4" s="1"/>
  <c r="F280" i="4" s="1"/>
  <c r="F375" i="2"/>
  <c r="F374" i="2"/>
  <c r="F373" i="2"/>
  <c r="F281" i="1"/>
  <c r="F280" i="1"/>
  <c r="F279" i="1"/>
  <c r="F278" i="1"/>
  <c r="F277" i="1"/>
  <c r="AM46" i="12"/>
  <c r="AI46" i="12"/>
  <c r="AN46" i="12" s="1"/>
  <c r="F357" i="2"/>
  <c r="F356" i="2"/>
  <c r="F283" i="1" l="1"/>
  <c r="F281" i="4"/>
  <c r="F282" i="4" s="1"/>
  <c r="F283" i="4" s="1"/>
  <c r="F284" i="4" s="1"/>
  <c r="F285" i="4" s="1"/>
  <c r="L158" i="13"/>
  <c r="E58" i="13" s="1"/>
  <c r="AP98" i="12"/>
  <c r="AN98" i="12"/>
  <c r="AI98" i="12"/>
  <c r="F409" i="2"/>
  <c r="F138" i="13"/>
  <c r="F139" i="13" s="1"/>
  <c r="L132" i="13" s="1"/>
  <c r="F394" i="2"/>
  <c r="F378" i="2"/>
  <c r="F361" i="2"/>
  <c r="F286" i="4" l="1"/>
  <c r="F287" i="4" s="1"/>
  <c r="F288" i="4" s="1"/>
  <c r="F289" i="4" s="1"/>
  <c r="F290" i="4" s="1"/>
  <c r="F518" i="4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D28" i="6" s="1"/>
  <c r="G120" i="13"/>
  <c r="G118" i="13"/>
  <c r="E116" i="13"/>
  <c r="G116" i="13" s="1"/>
  <c r="G124" i="13"/>
  <c r="F341" i="2"/>
  <c r="F340" i="2"/>
  <c r="F324" i="2"/>
  <c r="F329" i="2" s="1"/>
  <c r="E656" i="4"/>
  <c r="E655" i="4"/>
  <c r="AO34" i="12"/>
  <c r="AM34" i="12"/>
  <c r="AI34" i="12"/>
  <c r="AN34" i="12" s="1"/>
  <c r="F262" i="1"/>
  <c r="F261" i="1"/>
  <c r="F260" i="1"/>
  <c r="F259" i="1"/>
  <c r="F258" i="1"/>
  <c r="F310" i="2"/>
  <c r="F309" i="2"/>
  <c r="F308" i="2"/>
  <c r="V47" i="12"/>
  <c r="F265" i="4"/>
  <c r="F266" i="4" s="1"/>
  <c r="F267" i="4" s="1"/>
  <c r="F268" i="4" s="1"/>
  <c r="F269" i="4" s="1"/>
  <c r="F270" i="4" s="1"/>
  <c r="F277" i="2"/>
  <c r="F276" i="2"/>
  <c r="F275" i="2"/>
  <c r="F260" i="2"/>
  <c r="F259" i="2"/>
  <c r="F258" i="2"/>
  <c r="F244" i="2"/>
  <c r="F243" i="2"/>
  <c r="F242" i="2"/>
  <c r="D214" i="1"/>
  <c r="D213" i="1"/>
  <c r="F213" i="1" s="1"/>
  <c r="D212" i="1"/>
  <c r="F212" i="1" s="1"/>
  <c r="D211" i="1"/>
  <c r="F211" i="1" s="1"/>
  <c r="D210" i="1"/>
  <c r="F210" i="1" s="1"/>
  <c r="D209" i="1"/>
  <c r="F209" i="1" s="1"/>
  <c r="D208" i="1"/>
  <c r="F208" i="1" s="1"/>
  <c r="D207" i="1"/>
  <c r="D206" i="1"/>
  <c r="D205" i="1"/>
  <c r="D204" i="1"/>
  <c r="D203" i="1"/>
  <c r="D202" i="1"/>
  <c r="D201" i="1"/>
  <c r="D200" i="1"/>
  <c r="D199" i="1"/>
  <c r="D198" i="1"/>
  <c r="D197" i="1"/>
  <c r="U47" i="12"/>
  <c r="AM9" i="12"/>
  <c r="AM8" i="12"/>
  <c r="AM7" i="12"/>
  <c r="AM6" i="12"/>
  <c r="AI9" i="12"/>
  <c r="AN9" i="12" s="1"/>
  <c r="AP9" i="12" s="1"/>
  <c r="AI8" i="12"/>
  <c r="AN8" i="12" s="1"/>
  <c r="AP8" i="12" s="1"/>
  <c r="AI7" i="12"/>
  <c r="AN7" i="12" s="1"/>
  <c r="AP7" i="12" s="1"/>
  <c r="AI6" i="12"/>
  <c r="AN6" i="12" s="1"/>
  <c r="AP6" i="12" s="1"/>
  <c r="S47" i="12"/>
  <c r="F73" i="3"/>
  <c r="F74" i="3" s="1"/>
  <c r="F243" i="1"/>
  <c r="F242" i="1"/>
  <c r="F241" i="1"/>
  <c r="F240" i="1"/>
  <c r="F239" i="1"/>
  <c r="F238" i="1"/>
  <c r="F237" i="1"/>
  <c r="AH47" i="12"/>
  <c r="AI45" i="12"/>
  <c r="AN45" i="12" s="1"/>
  <c r="AP45" i="12" s="1"/>
  <c r="F325" i="4"/>
  <c r="D11" i="6" l="1"/>
  <c r="F75" i="3"/>
  <c r="F76" i="3" s="1"/>
  <c r="F77" i="3" s="1"/>
  <c r="F78" i="3" s="1"/>
  <c r="F79" i="3" s="1"/>
  <c r="G125" i="13"/>
  <c r="L131" i="13" s="1"/>
  <c r="L133" i="13" s="1"/>
  <c r="L135" i="13" s="1"/>
  <c r="F263" i="2"/>
  <c r="F264" i="1"/>
  <c r="F313" i="2"/>
  <c r="AP34" i="12"/>
  <c r="F345" i="2"/>
  <c r="F280" i="2"/>
  <c r="F281" i="2" s="1"/>
  <c r="F247" i="2"/>
  <c r="F245" i="1"/>
  <c r="O47" i="12"/>
  <c r="R47" i="12"/>
  <c r="AI28" i="12"/>
  <c r="AN28" i="12" s="1"/>
  <c r="AP28" i="12" s="1"/>
  <c r="AI22" i="12"/>
  <c r="AN22" i="12" s="1"/>
  <c r="AP22" i="12" s="1"/>
  <c r="AI18" i="12"/>
  <c r="AN18" i="12" s="1"/>
  <c r="AP18" i="12" s="1"/>
  <c r="F222" i="1"/>
  <c r="F214" i="1"/>
  <c r="F207" i="1"/>
  <c r="F206" i="1"/>
  <c r="F205" i="1"/>
  <c r="F204" i="1"/>
  <c r="F203" i="1"/>
  <c r="F202" i="1"/>
  <c r="F201" i="1"/>
  <c r="F200" i="1"/>
  <c r="F199" i="1"/>
  <c r="F198" i="1"/>
  <c r="F197" i="1"/>
  <c r="F229" i="2"/>
  <c r="F228" i="2"/>
  <c r="F227" i="2"/>
  <c r="F34" i="3"/>
  <c r="F35" i="3" s="1"/>
  <c r="J15" i="12"/>
  <c r="AI15" i="12" s="1"/>
  <c r="AN15" i="12" s="1"/>
  <c r="D172" i="1"/>
  <c r="F172" i="1" s="1"/>
  <c r="E47" i="12"/>
  <c r="AI43" i="12"/>
  <c r="AN43" i="12" s="1"/>
  <c r="AP43" i="12" s="1"/>
  <c r="AI41" i="12"/>
  <c r="AN41" i="12" s="1"/>
  <c r="AP41" i="12" s="1"/>
  <c r="AI40" i="12"/>
  <c r="AN40" i="12" s="1"/>
  <c r="AP40" i="12" s="1"/>
  <c r="AI39" i="12"/>
  <c r="AN39" i="12" s="1"/>
  <c r="AP39" i="12" s="1"/>
  <c r="AI37" i="12"/>
  <c r="AN37" i="12" s="1"/>
  <c r="AP37" i="12" s="1"/>
  <c r="AI36" i="12"/>
  <c r="AI35" i="12"/>
  <c r="AN35" i="12" s="1"/>
  <c r="AP35" i="12" s="1"/>
  <c r="AI32" i="12"/>
  <c r="AN32" i="12" s="1"/>
  <c r="AP32" i="12" s="1"/>
  <c r="AI31" i="12"/>
  <c r="AN31" i="12" s="1"/>
  <c r="AP31" i="12" s="1"/>
  <c r="AI30" i="12"/>
  <c r="AN30" i="12" s="1"/>
  <c r="AP30" i="12" s="1"/>
  <c r="AI29" i="12"/>
  <c r="AN29" i="12" s="1"/>
  <c r="AP29" i="12" s="1"/>
  <c r="AI26" i="12"/>
  <c r="AN26" i="12" s="1"/>
  <c r="AP26" i="12" s="1"/>
  <c r="AI25" i="12"/>
  <c r="AN25" i="12" s="1"/>
  <c r="AP25" i="12" s="1"/>
  <c r="AI24" i="12"/>
  <c r="AN24" i="12" s="1"/>
  <c r="AP24" i="12" s="1"/>
  <c r="AI23" i="12"/>
  <c r="AN23" i="12" s="1"/>
  <c r="AP23" i="12" s="1"/>
  <c r="AI21" i="12"/>
  <c r="AN21" i="12" s="1"/>
  <c r="AP21" i="12" s="1"/>
  <c r="AI20" i="12"/>
  <c r="AN20" i="12" s="1"/>
  <c r="AP20" i="12" s="1"/>
  <c r="AI17" i="12"/>
  <c r="AN17" i="12" s="1"/>
  <c r="AP17" i="12" s="1"/>
  <c r="AI16" i="12"/>
  <c r="AN16" i="12" s="1"/>
  <c r="AP16" i="12" s="1"/>
  <c r="AI14" i="12"/>
  <c r="AN14" i="12" s="1"/>
  <c r="AP14" i="12" s="1"/>
  <c r="AI13" i="12"/>
  <c r="AN13" i="12" s="1"/>
  <c r="AP13" i="12" s="1"/>
  <c r="AI11" i="12"/>
  <c r="AN11" i="12" s="1"/>
  <c r="AP11" i="12" s="1"/>
  <c r="AI10" i="12"/>
  <c r="F213" i="2"/>
  <c r="F212" i="2"/>
  <c r="F211" i="2"/>
  <c r="F216" i="2" l="1"/>
  <c r="F232" i="2"/>
  <c r="L137" i="13"/>
  <c r="E96" i="13" s="1"/>
  <c r="L136" i="13"/>
  <c r="E51" i="13" s="1"/>
  <c r="G51" i="13" s="1"/>
  <c r="G52" i="13" s="1"/>
  <c r="G53" i="13" s="1"/>
  <c r="G54" i="13" s="1"/>
  <c r="G55" i="13" s="1"/>
  <c r="AI47" i="12"/>
  <c r="J47" i="12"/>
  <c r="AN10" i="12"/>
  <c r="AP10" i="12" s="1"/>
  <c r="AP15" i="12"/>
  <c r="F224" i="1"/>
  <c r="F197" i="2"/>
  <c r="F196" i="2"/>
  <c r="F195" i="2"/>
  <c r="F180" i="2"/>
  <c r="F179" i="2"/>
  <c r="F178" i="2"/>
  <c r="F162" i="2"/>
  <c r="F161" i="2"/>
  <c r="F160" i="2"/>
  <c r="F144" i="2"/>
  <c r="F143" i="2"/>
  <c r="F142" i="2"/>
  <c r="E627" i="4"/>
  <c r="F357" i="4"/>
  <c r="F358" i="4" s="1"/>
  <c r="F359" i="4" s="1"/>
  <c r="F360" i="4" s="1"/>
  <c r="F361" i="4" s="1"/>
  <c r="F362" i="4" s="1"/>
  <c r="D31" i="6" s="1"/>
  <c r="F727" i="4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l="1"/>
  <c r="F756" i="4" s="1"/>
  <c r="F757" i="4" s="1"/>
  <c r="G96" i="13"/>
  <c r="G97" i="13" s="1"/>
  <c r="G98" i="13" s="1"/>
  <c r="G99" i="13" s="1"/>
  <c r="G100" i="13" s="1"/>
  <c r="G101" i="13" s="1"/>
  <c r="F183" i="2"/>
  <c r="F147" i="2"/>
  <c r="G56" i="13"/>
  <c r="G57" i="13" s="1"/>
  <c r="G58" i="13" s="1"/>
  <c r="G59" i="13" s="1"/>
  <c r="G60" i="13" s="1"/>
  <c r="G61" i="13" s="1"/>
  <c r="F165" i="2"/>
  <c r="AP47" i="12"/>
  <c r="AN47" i="12"/>
  <c r="F200" i="2"/>
  <c r="F126" i="2"/>
  <c r="F125" i="2"/>
  <c r="F124" i="2"/>
  <c r="F123" i="2"/>
  <c r="F122" i="2"/>
  <c r="F104" i="2"/>
  <c r="F103" i="2"/>
  <c r="F802" i="4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784" i="4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71" i="4"/>
  <c r="F772" i="4" s="1"/>
  <c r="F773" i="4" s="1"/>
  <c r="F774" i="4" s="1"/>
  <c r="F576" i="4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36" i="3"/>
  <c r="F37" i="3" s="1"/>
  <c r="F38" i="3" s="1"/>
  <c r="D163" i="1"/>
  <c r="F163" i="1" s="1"/>
  <c r="D158" i="1"/>
  <c r="F158" i="1" s="1"/>
  <c r="D149" i="1"/>
  <c r="F149" i="1" s="1"/>
  <c r="D146" i="1"/>
  <c r="F146" i="1" s="1"/>
  <c r="D147" i="1"/>
  <c r="F147" i="1" s="1"/>
  <c r="D166" i="1"/>
  <c r="F166" i="1" s="1"/>
  <c r="D175" i="1"/>
  <c r="F175" i="1" s="1"/>
  <c r="D174" i="1"/>
  <c r="F174" i="1" s="1"/>
  <c r="D173" i="1"/>
  <c r="F173" i="1" s="1"/>
  <c r="D171" i="1"/>
  <c r="F171" i="1" s="1"/>
  <c r="D170" i="1"/>
  <c r="F170" i="1" s="1"/>
  <c r="D169" i="1"/>
  <c r="F169" i="1" s="1"/>
  <c r="D168" i="1"/>
  <c r="F168" i="1" s="1"/>
  <c r="D167" i="1"/>
  <c r="F167" i="1" s="1"/>
  <c r="D165" i="1"/>
  <c r="F165" i="1" s="1"/>
  <c r="D164" i="1"/>
  <c r="F164" i="1" s="1"/>
  <c r="D162" i="1"/>
  <c r="F162" i="1" s="1"/>
  <c r="D161" i="1"/>
  <c r="F161" i="1" s="1"/>
  <c r="D160" i="1"/>
  <c r="F160" i="1" s="1"/>
  <c r="D159" i="1"/>
  <c r="F159" i="1" s="1"/>
  <c r="D157" i="1"/>
  <c r="F157" i="1" s="1"/>
  <c r="D156" i="1"/>
  <c r="F156" i="1" s="1"/>
  <c r="D155" i="1"/>
  <c r="F155" i="1" s="1"/>
  <c r="D154" i="1"/>
  <c r="F154" i="1" s="1"/>
  <c r="D153" i="1"/>
  <c r="F153" i="1" s="1"/>
  <c r="D152" i="1"/>
  <c r="F152" i="1" s="1"/>
  <c r="D151" i="1"/>
  <c r="F151" i="1" s="1"/>
  <c r="D150" i="1"/>
  <c r="F150" i="1" s="1"/>
  <c r="D148" i="1"/>
  <c r="F148" i="1" s="1"/>
  <c r="D145" i="1"/>
  <c r="F145" i="1" s="1"/>
  <c r="D144" i="1"/>
  <c r="F144" i="1" s="1"/>
  <c r="D143" i="1"/>
  <c r="F143" i="1" s="1"/>
  <c r="D142" i="1"/>
  <c r="F142" i="1" s="1"/>
  <c r="D141" i="1"/>
  <c r="F141" i="1" s="1"/>
  <c r="D140" i="1"/>
  <c r="F140" i="1" s="1"/>
  <c r="D139" i="1"/>
  <c r="F139" i="1" s="1"/>
  <c r="D138" i="1"/>
  <c r="F138" i="1" s="1"/>
  <c r="D137" i="1"/>
  <c r="F137" i="1" s="1"/>
  <c r="D136" i="1"/>
  <c r="F136" i="1" s="1"/>
  <c r="F775" i="4" l="1"/>
  <c r="F776" i="4" s="1"/>
  <c r="F777" i="4" s="1"/>
  <c r="F758" i="4"/>
  <c r="F759" i="4" s="1"/>
  <c r="F760" i="4" s="1"/>
  <c r="F761" i="4" s="1"/>
  <c r="F762" i="4" s="1"/>
  <c r="D24" i="6" s="1"/>
  <c r="D8" i="6"/>
  <c r="G102" i="13"/>
  <c r="G103" i="13" s="1"/>
  <c r="G104" i="13" s="1"/>
  <c r="G105" i="13" s="1"/>
  <c r="G106" i="13" s="1"/>
  <c r="G266" i="13" s="1"/>
  <c r="G267" i="13" s="1"/>
  <c r="G268" i="13" s="1"/>
  <c r="D5" i="6"/>
  <c r="F129" i="2"/>
  <c r="G62" i="13"/>
  <c r="G63" i="13" s="1"/>
  <c r="G64" i="13" s="1"/>
  <c r="G65" i="13" s="1"/>
  <c r="G66" i="13" s="1"/>
  <c r="G67" i="13" s="1"/>
  <c r="F39" i="3"/>
  <c r="F40" i="3" s="1"/>
  <c r="F41" i="3" s="1"/>
  <c r="F636" i="4"/>
  <c r="F637" i="4" s="1"/>
  <c r="F638" i="4" s="1"/>
  <c r="F639" i="4" s="1"/>
  <c r="F640" i="4" s="1"/>
  <c r="F641" i="4" s="1"/>
  <c r="F642" i="4" s="1"/>
  <c r="F643" i="4" s="1"/>
  <c r="F644" i="4" s="1"/>
  <c r="F645" i="4" s="1"/>
  <c r="F108" i="2"/>
  <c r="F814" i="4"/>
  <c r="F795" i="4"/>
  <c r="F184" i="1"/>
  <c r="F418" i="4"/>
  <c r="F419" i="4" s="1"/>
  <c r="F420" i="4" s="1"/>
  <c r="F86" i="2"/>
  <c r="F85" i="2"/>
  <c r="F84" i="2"/>
  <c r="F83" i="2"/>
  <c r="F82" i="2"/>
  <c r="F81" i="2"/>
  <c r="F80" i="2"/>
  <c r="F79" i="2"/>
  <c r="F78" i="2"/>
  <c r="F77" i="2"/>
  <c r="F76" i="2"/>
  <c r="F58" i="2"/>
  <c r="F57" i="2"/>
  <c r="F56" i="2"/>
  <c r="F39" i="2"/>
  <c r="F38" i="2"/>
  <c r="F37" i="2"/>
  <c r="F36" i="2"/>
  <c r="F18" i="2"/>
  <c r="F17" i="2"/>
  <c r="F16" i="2"/>
  <c r="F15" i="2"/>
  <c r="F14" i="2"/>
  <c r="F13" i="2"/>
  <c r="F17" i="1"/>
  <c r="F16" i="1"/>
  <c r="F15" i="1"/>
  <c r="F14" i="1"/>
  <c r="F13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37" i="1"/>
  <c r="F36" i="1"/>
  <c r="F35" i="1"/>
  <c r="G269" i="13" l="1"/>
  <c r="G270" i="13" s="1"/>
  <c r="G271" i="13" s="1"/>
  <c r="G272" i="13" s="1"/>
  <c r="G273" i="13" s="1"/>
  <c r="G274" i="13" s="1"/>
  <c r="G275" i="13" s="1"/>
  <c r="F434" i="4"/>
  <c r="F435" i="4" s="1"/>
  <c r="F436" i="4" s="1"/>
  <c r="F437" i="4" s="1"/>
  <c r="F438" i="4" s="1"/>
  <c r="F439" i="4" s="1"/>
  <c r="F440" i="4" s="1"/>
  <c r="F42" i="3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646" i="4"/>
  <c r="F647" i="4" s="1"/>
  <c r="F90" i="2"/>
  <c r="D10" i="4" s="1"/>
  <c r="F63" i="2"/>
  <c r="D9" i="4" s="1"/>
  <c r="F23" i="2"/>
  <c r="D7" i="4" s="1"/>
  <c r="F7" i="4" s="1"/>
  <c r="F43" i="2"/>
  <c r="D8" i="4" s="1"/>
  <c r="F21" i="1"/>
  <c r="F123" i="1"/>
  <c r="E10" i="3" s="1"/>
  <c r="F74" i="1"/>
  <c r="E9" i="3" s="1"/>
  <c r="F43" i="1"/>
  <c r="E8" i="3" s="1"/>
  <c r="G276" i="13" l="1"/>
  <c r="G277" i="13" s="1"/>
  <c r="G278" i="13" s="1"/>
  <c r="G279" i="13" s="1"/>
  <c r="F57" i="3"/>
  <c r="F58" i="3" s="1"/>
  <c r="F59" i="3" s="1"/>
  <c r="F60" i="3" s="1"/>
  <c r="F441" i="4"/>
  <c r="F648" i="4"/>
  <c r="F649" i="4" s="1"/>
  <c r="F650" i="4" s="1"/>
  <c r="F651" i="4" s="1"/>
  <c r="F652" i="4" s="1"/>
  <c r="F653" i="4" s="1"/>
  <c r="F654" i="4" s="1"/>
  <c r="F8" i="4"/>
  <c r="F9" i="4" s="1"/>
  <c r="F10" i="4" s="1"/>
  <c r="F11" i="4" s="1"/>
  <c r="F12" i="4" s="1"/>
  <c r="F13" i="4" s="1"/>
  <c r="F14" i="4" s="1"/>
  <c r="F15" i="4" s="1"/>
  <c r="F16" i="4" s="1"/>
  <c r="E7" i="3"/>
  <c r="F7" i="3" s="1"/>
  <c r="F8" i="3" s="1"/>
  <c r="F9" i="3" s="1"/>
  <c r="F10" i="3" s="1"/>
  <c r="F11" i="3" s="1"/>
  <c r="F12" i="3" s="1"/>
  <c r="F13" i="3" s="1"/>
  <c r="F14" i="3" s="1"/>
  <c r="F15" i="3" s="1"/>
  <c r="F61" i="3" l="1"/>
  <c r="F62" i="3" s="1"/>
  <c r="F63" i="3" s="1"/>
  <c r="F64" i="3" s="1"/>
  <c r="F65" i="3" s="1"/>
  <c r="F66" i="3" s="1"/>
  <c r="G280" i="13"/>
  <c r="G68" i="13"/>
  <c r="G69" i="13" s="1"/>
  <c r="F442" i="4"/>
  <c r="F443" i="4" s="1"/>
  <c r="F444" i="4" s="1"/>
  <c r="F445" i="4" s="1"/>
  <c r="F446" i="4" s="1"/>
  <c r="F16" i="3"/>
  <c r="F17" i="3" s="1"/>
  <c r="F18" i="3" s="1"/>
  <c r="F19" i="3" s="1"/>
  <c r="F20" i="3" s="1"/>
  <c r="F21" i="3" s="1"/>
  <c r="F22" i="3" s="1"/>
  <c r="F655" i="4"/>
  <c r="F656" i="4" s="1"/>
  <c r="F657" i="4" s="1"/>
  <c r="F658" i="4" s="1"/>
  <c r="F659" i="4" s="1"/>
  <c r="F17" i="4"/>
  <c r="F18" i="4" s="1"/>
  <c r="F19" i="4" s="1"/>
  <c r="F20" i="4" s="1"/>
  <c r="F23" i="3" l="1"/>
  <c r="F24" i="3" s="1"/>
  <c r="F25" i="3" s="1"/>
  <c r="F26" i="3" s="1"/>
  <c r="F27" i="3" s="1"/>
  <c r="D32" i="6" s="1"/>
  <c r="G281" i="13"/>
  <c r="G282" i="13" s="1"/>
  <c r="G70" i="13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209" i="13" s="1"/>
  <c r="G210" i="13" s="1"/>
  <c r="G211" i="13" s="1"/>
  <c r="G212" i="13" s="1"/>
  <c r="G213" i="13" s="1"/>
  <c r="G214" i="13" s="1"/>
  <c r="G215" i="13" s="1"/>
  <c r="G216" i="13" s="1"/>
  <c r="G217" i="13" s="1"/>
  <c r="G218" i="13" s="1"/>
  <c r="G219" i="13" s="1"/>
  <c r="G220" i="13" s="1"/>
  <c r="G221" i="13" s="1"/>
  <c r="G222" i="13" s="1"/>
  <c r="G223" i="13" s="1"/>
  <c r="G224" i="13" s="1"/>
  <c r="G225" i="13" s="1"/>
  <c r="G226" i="13" s="1"/>
  <c r="G227" i="13" s="1"/>
  <c r="F447" i="4"/>
  <c r="F448" i="4" s="1"/>
  <c r="F449" i="4" s="1"/>
  <c r="F450" i="4" s="1"/>
  <c r="F451" i="4" s="1"/>
  <c r="F452" i="4" s="1"/>
  <c r="F453" i="4" s="1"/>
  <c r="F660" i="4"/>
  <c r="F661" i="4" s="1"/>
  <c r="F662" i="4" s="1"/>
  <c r="F663" i="4" s="1"/>
  <c r="F664" i="4" s="1"/>
  <c r="F665" i="4" s="1"/>
  <c r="F666" i="4" s="1"/>
  <c r="F667" i="4" s="1"/>
  <c r="F21" i="4"/>
  <c r="F22" i="4" s="1"/>
  <c r="F23" i="4" s="1"/>
  <c r="G283" i="13" l="1"/>
  <c r="G284" i="13" s="1"/>
  <c r="G285" i="13" s="1"/>
  <c r="G286" i="13" s="1"/>
  <c r="F454" i="4"/>
  <c r="F455" i="4" s="1"/>
  <c r="F456" i="4" s="1"/>
  <c r="F668" i="4"/>
  <c r="F669" i="4" s="1"/>
  <c r="F670" i="4" s="1"/>
  <c r="F671" i="4" s="1"/>
  <c r="F672" i="4" s="1"/>
  <c r="F673" i="4" s="1"/>
  <c r="F24" i="4"/>
  <c r="F25" i="4" s="1"/>
  <c r="F26" i="4" s="1"/>
  <c r="G287" i="13" l="1"/>
  <c r="G288" i="13" s="1"/>
  <c r="G289" i="13" s="1"/>
  <c r="G290" i="13" s="1"/>
  <c r="G291" i="13" s="1"/>
  <c r="F674" i="4"/>
  <c r="F675" i="4" s="1"/>
  <c r="F676" i="4" s="1"/>
  <c r="F677" i="4" s="1"/>
  <c r="F678" i="4" s="1"/>
  <c r="F679" i="4" s="1"/>
  <c r="F457" i="4"/>
  <c r="F27" i="4"/>
  <c r="F28" i="4" s="1"/>
  <c r="F29" i="4" s="1"/>
  <c r="G292" i="13" l="1"/>
  <c r="G293" i="13" s="1"/>
  <c r="G294" i="13" s="1"/>
  <c r="G295" i="13" s="1"/>
  <c r="G296" i="13" s="1"/>
  <c r="G297" i="13" s="1"/>
  <c r="G298" i="13" s="1"/>
  <c r="G299" i="13" s="1"/>
  <c r="G300" i="13" s="1"/>
  <c r="G228" i="13"/>
  <c r="G229" i="13" s="1"/>
  <c r="G230" i="13" s="1"/>
  <c r="F680" i="4"/>
  <c r="F681" i="4" s="1"/>
  <c r="F458" i="4"/>
  <c r="F459" i="4" s="1"/>
  <c r="F460" i="4" s="1"/>
  <c r="F461" i="4" s="1"/>
  <c r="F462" i="4" s="1"/>
  <c r="F30" i="4"/>
  <c r="F31" i="4" s="1"/>
  <c r="F32" i="4" s="1"/>
  <c r="F33" i="4" s="1"/>
  <c r="F34" i="4" s="1"/>
  <c r="F35" i="4" s="1"/>
  <c r="F682" i="4" l="1"/>
  <c r="F683" i="4" s="1"/>
  <c r="F463" i="4"/>
  <c r="F464" i="4" s="1"/>
  <c r="F465" i="4" s="1"/>
  <c r="G231" i="13"/>
  <c r="G232" i="13" s="1"/>
  <c r="G233" i="13" s="1"/>
  <c r="F36" i="4"/>
  <c r="F37" i="4" s="1"/>
  <c r="F38" i="4" s="1"/>
  <c r="F684" i="4" l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466" i="4"/>
  <c r="F467" i="4" s="1"/>
  <c r="F468" i="4" s="1"/>
  <c r="G234" i="13"/>
  <c r="G235" i="13" s="1"/>
  <c r="G236" i="13" s="1"/>
  <c r="G237" i="13" s="1"/>
  <c r="F39" i="4"/>
  <c r="F697" i="4" l="1"/>
  <c r="F698" i="4" s="1"/>
  <c r="F699" i="4" s="1"/>
  <c r="F700" i="4" s="1"/>
  <c r="F469" i="4"/>
  <c r="F470" i="4" s="1"/>
  <c r="F471" i="4" s="1"/>
  <c r="G238" i="13"/>
  <c r="G239" i="13" s="1"/>
  <c r="F40" i="4"/>
  <c r="F41" i="4" s="1"/>
  <c r="F42" i="4" s="1"/>
  <c r="F43" i="4" s="1"/>
  <c r="F701" i="4" l="1"/>
  <c r="F702" i="4" s="1"/>
  <c r="F703" i="4" s="1"/>
  <c r="F704" i="4" s="1"/>
  <c r="F705" i="4" s="1"/>
  <c r="F706" i="4" s="1"/>
  <c r="F707" i="4" s="1"/>
  <c r="F472" i="4"/>
  <c r="F473" i="4" s="1"/>
  <c r="F474" i="4" s="1"/>
  <c r="F475" i="4" s="1"/>
  <c r="G242" i="13"/>
  <c r="G243" i="13" s="1"/>
  <c r="G244" i="13" s="1"/>
  <c r="G245" i="13" s="1"/>
  <c r="G240" i="13"/>
  <c r="G241" i="13" s="1"/>
  <c r="F44" i="4"/>
  <c r="F45" i="4" s="1"/>
  <c r="F46" i="4" s="1"/>
  <c r="F708" i="4" l="1"/>
  <c r="F709" i="4" s="1"/>
  <c r="F710" i="4" s="1"/>
  <c r="F711" i="4" s="1"/>
  <c r="F476" i="4"/>
  <c r="F477" i="4" s="1"/>
  <c r="F478" i="4" s="1"/>
  <c r="F479" i="4" s="1"/>
  <c r="F480" i="4" s="1"/>
  <c r="G246" i="13"/>
  <c r="F47" i="4"/>
  <c r="F48" i="4" s="1"/>
  <c r="F49" i="4" s="1"/>
  <c r="F50" i="4" s="1"/>
  <c r="F51" i="4" s="1"/>
  <c r="F52" i="4" s="1"/>
  <c r="F712" i="4" l="1"/>
  <c r="F713" i="4" s="1"/>
  <c r="F714" i="4" s="1"/>
  <c r="F716" i="4" s="1"/>
  <c r="F717" i="4" s="1"/>
  <c r="F481" i="4"/>
  <c r="F482" i="4" s="1"/>
  <c r="F483" i="4" s="1"/>
  <c r="F484" i="4" s="1"/>
  <c r="F485" i="4" s="1"/>
  <c r="F486" i="4" s="1"/>
  <c r="F487" i="4" s="1"/>
  <c r="G247" i="13"/>
  <c r="G248" i="13" s="1"/>
  <c r="G249" i="13" s="1"/>
  <c r="G250" i="13" s="1"/>
  <c r="G251" i="13" s="1"/>
  <c r="F53" i="4"/>
  <c r="F54" i="4" s="1"/>
  <c r="F55" i="4" s="1"/>
  <c r="F56" i="4" s="1"/>
  <c r="F57" i="4" s="1"/>
  <c r="F58" i="4" s="1"/>
  <c r="F59" i="4" s="1"/>
  <c r="G252" i="13" l="1"/>
  <c r="G253" i="13" s="1"/>
  <c r="G254" i="13" s="1"/>
  <c r="G255" i="13" s="1"/>
  <c r="G256" i="13" s="1"/>
  <c r="G257" i="13" s="1"/>
  <c r="G258" i="13" s="1"/>
  <c r="G259" i="13" s="1"/>
  <c r="G260" i="13" s="1"/>
  <c r="G261" i="13" s="1"/>
  <c r="F718" i="4"/>
  <c r="F719" i="4" s="1"/>
  <c r="F720" i="4" s="1"/>
  <c r="F721" i="4" s="1"/>
  <c r="D23" i="6" s="1"/>
  <c r="F488" i="4"/>
  <c r="F489" i="4" s="1"/>
  <c r="F490" i="4" s="1"/>
  <c r="F491" i="4" s="1"/>
  <c r="F492" i="4" s="1"/>
  <c r="F493" i="4" s="1"/>
  <c r="F494" i="4" s="1"/>
  <c r="F60" i="4"/>
  <c r="F61" i="4" s="1"/>
  <c r="F62" i="4" s="1"/>
  <c r="F495" i="4" l="1"/>
  <c r="F496" i="4" s="1"/>
  <c r="F497" i="4" s="1"/>
  <c r="F63" i="4"/>
  <c r="F64" i="4" s="1"/>
  <c r="F498" i="4" l="1"/>
  <c r="F499" i="4" s="1"/>
  <c r="F500" i="4" s="1"/>
  <c r="F65" i="4"/>
  <c r="F66" i="4" s="1"/>
  <c r="F67" i="4" s="1"/>
  <c r="F68" i="4" s="1"/>
  <c r="F501" i="4" l="1"/>
  <c r="F502" i="4" s="1"/>
  <c r="F69" i="4"/>
  <c r="F503" i="4" l="1"/>
  <c r="F504" i="4" s="1"/>
  <c r="F70" i="4"/>
  <c r="F71" i="4" s="1"/>
  <c r="F72" i="4" s="1"/>
  <c r="F73" i="4" s="1"/>
  <c r="F74" i="4" s="1"/>
  <c r="F505" i="4" l="1"/>
  <c r="F506" i="4" s="1"/>
  <c r="F507" i="4" s="1"/>
  <c r="F508" i="4" s="1"/>
  <c r="F509" i="4" s="1"/>
  <c r="F510" i="4" s="1"/>
  <c r="F511" i="4" s="1"/>
  <c r="D22" i="6" s="1"/>
  <c r="F75" i="4"/>
  <c r="F76" i="4" s="1"/>
  <c r="F77" i="4" s="1"/>
  <c r="F78" i="4" s="1"/>
  <c r="F79" i="4" s="1"/>
  <c r="F80" i="4" s="1"/>
  <c r="F81" i="4" s="1"/>
  <c r="F82" i="4" s="1"/>
  <c r="F83" i="4" l="1"/>
  <c r="F84" i="4" s="1"/>
  <c r="F85" i="4" s="1"/>
  <c r="F86" i="4" s="1"/>
  <c r="F87" i="4" l="1"/>
  <c r="F88" i="4" s="1"/>
  <c r="F89" i="4" s="1"/>
  <c r="F90" i="4" s="1"/>
  <c r="F91" i="4" s="1"/>
  <c r="F92" i="4" l="1"/>
  <c r="F93" i="4" s="1"/>
  <c r="F94" i="4" s="1"/>
  <c r="F95" i="4" s="1"/>
  <c r="F96" i="4" s="1"/>
  <c r="F97" i="4" s="1"/>
  <c r="F98" i="4" s="1"/>
  <c r="F99" i="4" s="1"/>
  <c r="F100" i="4" s="1"/>
  <c r="F101" i="4" l="1"/>
  <c r="F102" i="4" s="1"/>
  <c r="F103" i="4" s="1"/>
  <c r="F104" i="4" s="1"/>
  <c r="F105" i="4" s="1"/>
  <c r="F106" i="4" s="1"/>
  <c r="F107" i="4" s="1"/>
  <c r="F108" i="4" s="1"/>
  <c r="F109" i="4" s="1"/>
  <c r="F110" i="4" s="1"/>
  <c r="F111" i="4" l="1"/>
  <c r="F112" i="4" s="1"/>
  <c r="F113" i="4" l="1"/>
  <c r="F114" i="4" s="1"/>
  <c r="F115" i="4" s="1"/>
  <c r="F116" i="4" s="1"/>
  <c r="F117" i="4" s="1"/>
  <c r="F118" i="4" s="1"/>
  <c r="F119" i="4" l="1"/>
  <c r="F120" i="4" s="1"/>
  <c r="F121" i="4" s="1"/>
  <c r="F122" i="4" s="1"/>
  <c r="F123" i="4" l="1"/>
  <c r="F124" i="4" s="1"/>
  <c r="F125" i="4" s="1"/>
  <c r="F126" i="4" s="1"/>
  <c r="F127" i="4" l="1"/>
  <c r="F128" i="4" s="1"/>
  <c r="F129" i="4" s="1"/>
  <c r="F130" i="4" s="1"/>
  <c r="F131" i="4" s="1"/>
  <c r="F132" i="4" l="1"/>
  <c r="F133" i="4" s="1"/>
  <c r="F134" i="4" s="1"/>
  <c r="F135" i="4" s="1"/>
  <c r="D4" i="6" l="1"/>
  <c r="F136" i="4"/>
  <c r="F137" i="4" s="1"/>
  <c r="F138" i="4" s="1"/>
  <c r="F139" i="4" s="1"/>
  <c r="F140" i="4" s="1"/>
  <c r="F141" i="4" s="1"/>
  <c r="F142" i="4" l="1"/>
  <c r="F143" i="4" s="1"/>
  <c r="F144" i="4" s="1"/>
  <c r="F145" i="4" l="1"/>
  <c r="F146" i="4" s="1"/>
  <c r="F147" i="4" s="1"/>
  <c r="F148" i="4" s="1"/>
  <c r="F149" i="4" l="1"/>
  <c r="F150" i="4" s="1"/>
  <c r="F151" i="4" s="1"/>
  <c r="F152" i="4" s="1"/>
  <c r="F153" i="4" l="1"/>
  <c r="F154" i="4" s="1"/>
  <c r="F155" i="4" s="1"/>
  <c r="F156" i="4" s="1"/>
  <c r="F157" i="4" s="1"/>
  <c r="F158" i="4" s="1"/>
  <c r="E41" i="15" l="1"/>
  <c r="D7" i="6" l="1"/>
</calcChain>
</file>

<file path=xl/sharedStrings.xml><?xml version="1.0" encoding="utf-8"?>
<sst xmlns="http://schemas.openxmlformats.org/spreadsheetml/2006/main" count="9703" uniqueCount="2913">
  <si>
    <t>Purchased Invoice</t>
  </si>
  <si>
    <t>Bill No:</t>
  </si>
  <si>
    <t>Name:</t>
  </si>
  <si>
    <t>Contact</t>
  </si>
  <si>
    <t>Add:</t>
  </si>
  <si>
    <t>Date:</t>
  </si>
  <si>
    <t>S.No</t>
  </si>
  <si>
    <t>Particulars</t>
  </si>
  <si>
    <t>Rate</t>
  </si>
  <si>
    <t>Qnty</t>
  </si>
  <si>
    <t>Amount</t>
  </si>
  <si>
    <t>Total</t>
  </si>
  <si>
    <t>Sell Invoice</t>
  </si>
  <si>
    <t>Date</t>
  </si>
  <si>
    <t>Particular</t>
  </si>
  <si>
    <t>Dr</t>
  </si>
  <si>
    <t>Cr</t>
  </si>
  <si>
    <t>Balance</t>
  </si>
  <si>
    <t>Vendor Name :</t>
  </si>
  <si>
    <t>Muhammad Usman</t>
  </si>
  <si>
    <t>TOTAL BALANCE</t>
  </si>
  <si>
    <t>Customer Name :</t>
  </si>
  <si>
    <t>Company</t>
  </si>
  <si>
    <t>Model Name</t>
  </si>
  <si>
    <t>Imei</t>
  </si>
  <si>
    <t>Remaining Stock</t>
  </si>
  <si>
    <t>APPLE</t>
  </si>
  <si>
    <t>IP 15ProMax 1Tb</t>
  </si>
  <si>
    <t>IP 15ProMax</t>
  </si>
  <si>
    <t>IP 15ProMax 256Gb</t>
  </si>
  <si>
    <t>IP 15Pro</t>
  </si>
  <si>
    <t>IP 15 128Gb</t>
  </si>
  <si>
    <t>IP 14ProMax 128Gb</t>
  </si>
  <si>
    <t>IP 14ProMax 256Gb</t>
  </si>
  <si>
    <t>IP 14Pro 128Gb</t>
  </si>
  <si>
    <t>IP 14Pro 512Gb</t>
  </si>
  <si>
    <t>IP 13ProMax 128Gb</t>
  </si>
  <si>
    <t>IP 13ProMax 256Gb</t>
  </si>
  <si>
    <t>IP 13Pro 128Gb</t>
  </si>
  <si>
    <t>IP 13Pro 256Gb</t>
  </si>
  <si>
    <t>IP 13 128Gb</t>
  </si>
  <si>
    <t>IP 13 256Gb</t>
  </si>
  <si>
    <t>SE 3rd Gen</t>
  </si>
  <si>
    <t>IP 12ProMax 128GB</t>
  </si>
  <si>
    <t>IP 12 64Gb</t>
  </si>
  <si>
    <t>IP 12 128Gb</t>
  </si>
  <si>
    <t>IP 12 256Gb</t>
  </si>
  <si>
    <t>SAMSUNG</t>
  </si>
  <si>
    <t>S24 Ultra</t>
  </si>
  <si>
    <t>S24 box</t>
  </si>
  <si>
    <t>S24</t>
  </si>
  <si>
    <t>S23 FE 128GB</t>
  </si>
  <si>
    <t>S23Plus 512Gb</t>
  </si>
  <si>
    <t>S22 Ultra 128GB</t>
  </si>
  <si>
    <t>S22 Ultra 512GB</t>
  </si>
  <si>
    <t>S22 Ultra 256GB</t>
  </si>
  <si>
    <t>S20</t>
  </si>
  <si>
    <t>Z Fold 5</t>
  </si>
  <si>
    <t>Flip5 256GB</t>
  </si>
  <si>
    <t>GOOGLE</t>
  </si>
  <si>
    <t>Google Pixel 7</t>
  </si>
  <si>
    <t>Google Pixel 6A</t>
  </si>
  <si>
    <t>PI0001</t>
  </si>
  <si>
    <t>IP 11 Box</t>
  </si>
  <si>
    <t>PI0002</t>
  </si>
  <si>
    <t>PI0003</t>
  </si>
  <si>
    <t>Google Pixel 7 Locked</t>
  </si>
  <si>
    <t>A54 128GB Locked</t>
  </si>
  <si>
    <t>Flip5 256GB Locked</t>
  </si>
  <si>
    <t>Note20 ultra 128GB Locked</t>
  </si>
  <si>
    <t>S21 128GB Locked</t>
  </si>
  <si>
    <t>S21 256GB Locked</t>
  </si>
  <si>
    <t>S21Plus 128GB Locked</t>
  </si>
  <si>
    <t>S22 Ultra 256GB Locked</t>
  </si>
  <si>
    <t>S22 Ultra 512GB Locked</t>
  </si>
  <si>
    <t>S23 FE 128GB Locked</t>
  </si>
  <si>
    <t>S23 Ultra 512GB Locked</t>
  </si>
  <si>
    <t>S23 Ultra Locked</t>
  </si>
  <si>
    <t>S23 Plus 256Gb Locked</t>
  </si>
  <si>
    <t>Series A Locked</t>
  </si>
  <si>
    <t>S20 Locked</t>
  </si>
  <si>
    <t>PI0004</t>
  </si>
  <si>
    <t>XT2321-5</t>
  </si>
  <si>
    <t>Bill No PI0001</t>
  </si>
  <si>
    <t>Bill No PI0002</t>
  </si>
  <si>
    <t>Bill No PI0003</t>
  </si>
  <si>
    <t>Bill No PI0004</t>
  </si>
  <si>
    <t>From A/R Meezan A/C 15lacs</t>
  </si>
  <si>
    <t>From EuroNext Meezan A/C 2.5lacs</t>
  </si>
  <si>
    <t>SI0001</t>
  </si>
  <si>
    <t>Saad &amp; Wajahat  Encell Shop</t>
  </si>
  <si>
    <t>SI0002</t>
  </si>
  <si>
    <t xml:space="preserve">IP 15Pro 128Gb (Lock) </t>
  </si>
  <si>
    <t xml:space="preserve">IP 11 64Gb Box </t>
  </si>
  <si>
    <t xml:space="preserve">S24 Ultra </t>
  </si>
  <si>
    <t xml:space="preserve">S24 </t>
  </si>
  <si>
    <t xml:space="preserve">S22 Ultra </t>
  </si>
  <si>
    <t xml:space="preserve">Note 20Ultra </t>
  </si>
  <si>
    <t xml:space="preserve">S21 </t>
  </si>
  <si>
    <t xml:space="preserve">S21Plus </t>
  </si>
  <si>
    <t xml:space="preserve">S23 Ultra </t>
  </si>
  <si>
    <t xml:space="preserve">S23Plus </t>
  </si>
  <si>
    <t xml:space="preserve">Fold 5 </t>
  </si>
  <si>
    <t>SI0003</t>
  </si>
  <si>
    <t>SI0004</t>
  </si>
  <si>
    <t>Pixel 6A 01pcs</t>
  </si>
  <si>
    <t>IP 12pro 01pcs</t>
  </si>
  <si>
    <t>IP 13ProMax 02pcs @2100</t>
  </si>
  <si>
    <t>IP 13Pro (Lock) 01pcs</t>
  </si>
  <si>
    <t>IP 14Pro (Lock) 01pcs</t>
  </si>
  <si>
    <t>IP 13ProMax (Lock) 01pcs</t>
  </si>
  <si>
    <t>IP 12 (Lock) 01pcs</t>
  </si>
  <si>
    <t>IP 13 (Lock) 02pcs @950</t>
  </si>
  <si>
    <t>IP 15 (Lock) 01pcs</t>
  </si>
  <si>
    <t>IP 15 MDM(Lock) 01pcs</t>
  </si>
  <si>
    <t>Bill No SI0001</t>
  </si>
  <si>
    <t>Bill No SI0002</t>
  </si>
  <si>
    <t>Bill No SI0003</t>
  </si>
  <si>
    <t>Bill No SI0004</t>
  </si>
  <si>
    <t>Bill No SI0005</t>
  </si>
  <si>
    <t>Cash Received From Wajahat</t>
  </si>
  <si>
    <t>SE 3rd Gen 01pcs</t>
  </si>
  <si>
    <t>Samsung A54</t>
  </si>
  <si>
    <t>Mudassir A/R</t>
  </si>
  <si>
    <t>17 Pcs Iphone 15PM Purchased By A/R</t>
  </si>
  <si>
    <t>Payment Till 07/03/2024</t>
  </si>
  <si>
    <t>Faisal Bhai (EURONEXT)</t>
  </si>
  <si>
    <t>A/R Receivable Till Date 07/03/2024
(11 Pro Max stock)</t>
  </si>
  <si>
    <t>Online A/R Meezan A/C (517444)</t>
  </si>
  <si>
    <t>Cash By Saqib</t>
  </si>
  <si>
    <t>Cash By Maaz</t>
  </si>
  <si>
    <t>Online A/R Meezan A/C (164771)</t>
  </si>
  <si>
    <t>Online A/R Meezan A/C (773963)</t>
  </si>
  <si>
    <t>Online A/R Meezan A/C (334447)</t>
  </si>
  <si>
    <t>Online A/R Meezan A/C (542797)</t>
  </si>
  <si>
    <t>Online A/R Meezan A/C (937960)</t>
  </si>
  <si>
    <t>Online Danish MEBL A/C (529625)</t>
  </si>
  <si>
    <t>Online A/R Meezan A/C (122644)</t>
  </si>
  <si>
    <t>Online A/R Meezan A/C (809950)</t>
  </si>
  <si>
    <t>Online A/R Meezan A/C (112476)</t>
  </si>
  <si>
    <t>Online A/R Meezan A/C (851327)</t>
  </si>
  <si>
    <t>Chq Deposite A/R MEBL A/C (7959615)</t>
  </si>
  <si>
    <t>Online A/R Meezan A/C (141931)</t>
  </si>
  <si>
    <t>Online A/R Meezan A/C (438585)</t>
  </si>
  <si>
    <t>Online A/R Meezan A/C (531825)</t>
  </si>
  <si>
    <t>Online A/R Meezan A/C (857276)</t>
  </si>
  <si>
    <t>Online A/R Meezan A/C (2408804PVFTRXD)</t>
  </si>
  <si>
    <t>Transfer AED Balance @77.5</t>
  </si>
  <si>
    <t>Online A/R Meezan A/C (302970)</t>
  </si>
  <si>
    <t>Online A/R Meezan A/C (210965)</t>
  </si>
  <si>
    <t>Online A/R Meezan A/C (934200)</t>
  </si>
  <si>
    <t>Iphone 11 128GB 81pcs @102,000</t>
  </si>
  <si>
    <t>Iphone 11 64GB 1pc @92,000</t>
  </si>
  <si>
    <t>Iphone 11ProMax 1.pc Sell @160,000</t>
  </si>
  <si>
    <t>Online A/R Meezan A/C (269927)</t>
  </si>
  <si>
    <t>Online A/R Meezan A/C (749966)</t>
  </si>
  <si>
    <t>Online A/R Meezan A/C (531783)</t>
  </si>
  <si>
    <t>Online A/R Meezan A/C (329833)</t>
  </si>
  <si>
    <t>Online A/R Meezan A/C (833882)</t>
  </si>
  <si>
    <t>Online A/R Meezan A/C (398875)</t>
  </si>
  <si>
    <t>Online Muhammad Sohail MEBL A/C (849239)</t>
  </si>
  <si>
    <t>Online ARY Laguna (480678)</t>
  </si>
  <si>
    <t>Online ARY Laguna (336689)</t>
  </si>
  <si>
    <t>Online A/R Meezan A/C (215648)</t>
  </si>
  <si>
    <t>Online A/R Meezan A/C (264273)</t>
  </si>
  <si>
    <t>Online A/R Meezan A/C (107605)</t>
  </si>
  <si>
    <t>Online A/R Meezan A/C (410657)</t>
  </si>
  <si>
    <t>Online A/R Meezan A/C (344280)</t>
  </si>
  <si>
    <t>Online A/R Meezan A/C (695899)</t>
  </si>
  <si>
    <t>Online A/R Meezan A/C (664219)</t>
  </si>
  <si>
    <t>Online A/R Meezan A/C (747299)</t>
  </si>
  <si>
    <t>1pc 15.ProMax</t>
  </si>
  <si>
    <t>Online A/R Meezan A/C (411081)</t>
  </si>
  <si>
    <t>Online A/R Meezan A/C (399781)</t>
  </si>
  <si>
    <t>Online A/R Meezan A/C (358615)</t>
  </si>
  <si>
    <t>Online A/R Meezan A/C (686263)</t>
  </si>
  <si>
    <t>Online Usman Ahmad Meezan A/C (982833)</t>
  </si>
  <si>
    <t>Online Usman Ahmad Meezan A/C (844838)</t>
  </si>
  <si>
    <t>Online A/R Meezan A/C (141384)</t>
  </si>
  <si>
    <t>PI0005</t>
  </si>
  <si>
    <t>ALI KARACHI</t>
  </si>
  <si>
    <t>US Wire Charges $160</t>
  </si>
  <si>
    <t>Air Freight Charges $225.06</t>
  </si>
  <si>
    <t>Dubai (Import + Delivery)  $ 64.63</t>
  </si>
  <si>
    <t>Commission Charges $ 811.22</t>
  </si>
  <si>
    <t>Cash Handling Charges $ 62.91</t>
  </si>
  <si>
    <t>Local US Shipping Charge$119.51</t>
  </si>
  <si>
    <t>Total $1,443.33 @3.674  =5303Aed 
Add 138Phone  @38.42Aed</t>
  </si>
  <si>
    <t>Discount</t>
  </si>
  <si>
    <t>Apple / iPhone 13 Pro Max / A2484 / 512GB / Graphite / Other / LOCKED / TPS A+</t>
  </si>
  <si>
    <t>Apple / iPhone 13 Pro Max / A2484 / 256GB / Graphite / ATT / LOCKED / TPS B+</t>
  </si>
  <si>
    <t>Apple / iPhone 13 Pro Max / A2484 / 256GB / Sierra Blue / Other / LOCKED / TPS B+</t>
  </si>
  <si>
    <t>Apple / iPhone 13 Pro Max / A2484 / 256GB / Gold / ATT / LOCKED / TPS A+</t>
  </si>
  <si>
    <t>APPL.iPhone 13 Pro Max.A2484.256GB.Silver.UNL.B+</t>
  </si>
  <si>
    <t>APPL.iPhone 13 Pro Max.A2484.256GB.Sierra Blue.UNL.B+</t>
  </si>
  <si>
    <t>APPL.iPhone 13 Pro Max.A2484.256GB.Alpine Green.ATT.B+</t>
  </si>
  <si>
    <t>APPL.iPhone 13 Pro Max.A2484.256GB.Gold.VZW.B+</t>
  </si>
  <si>
    <t>APPL.iPhone 13 Pro Max.A2484.256GB.Silver.VZW.B+</t>
  </si>
  <si>
    <t>APPL.iPhone 13 Pro Max.A2484.512GB.Silver.ATT.B+</t>
  </si>
  <si>
    <t>APPL.iPhone 13 Pro Max.A2484.256GB.Sierra Blue.VZW.B+</t>
  </si>
  <si>
    <t>Apple / iPhone 12 Pro Max / A2342 / 256GB / Blue / ATT / LOCKED / TPS A+</t>
  </si>
  <si>
    <t>Apple / iPhone 12 Pro / A2341 / 128GB / Blue / ATT / LOCKED / TPS B+</t>
  </si>
  <si>
    <t>APPL.iPhone 11 Pro Max.A2161.256GB.Space Gray.ATT.A+</t>
  </si>
  <si>
    <t>APPL.iPhone 11 Pro Max.A2161.256GB.Gold.UNL.B+</t>
  </si>
  <si>
    <t>APPL.iPhone 11 Pro Max.A2161.512GB.Midnight Green.ATT.B+</t>
  </si>
  <si>
    <t>APPL.iPhone 11 Pro Max.A2161.512GB.Silver.UNL.B+</t>
  </si>
  <si>
    <t>Apple / iPhone 11 Pro Max / A2161 / 256GB / Silver / Verizon / UNLOCKED / TPS C+</t>
  </si>
  <si>
    <t>Apple / iPhone 11 Pro Max / A2161 / 256GB / Green / Verizon / UNLOCKED / TPS C+</t>
  </si>
  <si>
    <t>Apple / iPhone 11 Pro Max / A2161 / 256GB / Grey / Unlocked / UNLOCKED / TPS C+</t>
  </si>
  <si>
    <t>Apple / iPhone 11 Pro Max / A2161 / 64GB / Grey / ATT / LOCKED / TPS B+</t>
  </si>
  <si>
    <t>APPL.iPhone 11 Pro Max.A2161.512GB.Gold.UNL.B+</t>
  </si>
  <si>
    <t>Apple / iPhone 11 Pro / A2160 / 256GB / Grey / ATT / LOCKED / TPS C+</t>
  </si>
  <si>
    <t>Apple / iPhone 11 Pro / A2160 / 256GB / Grey / Other / LOCKED / TPS A+</t>
  </si>
  <si>
    <t>Apple / iPhone 11 Pro / A2160 / 256GB / Grey / ATT / LOCKED / TPS B+</t>
  </si>
  <si>
    <t>APPL.iPhone 11 Pro.A2160.256GB.Space Gray.VZW.B+</t>
  </si>
  <si>
    <t>APPL.iPhone 11 Pro.A2160.256GB.Gold.ATT.B+</t>
  </si>
  <si>
    <t>APPL.iPhone 11 Pro.A2160.256GB.Midnight Green.VZW.B+</t>
  </si>
  <si>
    <t>APPL.iPhone 11 Pro.A2160.512GB.Gold.ATT.B+</t>
  </si>
  <si>
    <t>APPL.iPhone 11 Pro.A2160.512GB.Silver.ATT.B+</t>
  </si>
  <si>
    <t>APPL.iPhone 11 Pro.A2160.256GB.Gold.UNL.B+</t>
  </si>
  <si>
    <t>APPL.iPhone 11 Pro.A2160.256GB.Silver.UNL.B+</t>
  </si>
  <si>
    <t>APPL.iPhone 11 Pro.A2160.512GB.Gold.UNL.B+</t>
  </si>
  <si>
    <t>APPL.iPhone 11 Pro.A2160.512GB.Midnight Green.UNL.B+</t>
  </si>
  <si>
    <t>Apple / iPhone 11 / A2111 / 128GB / White / ATT / LOCKED / TPS B+</t>
  </si>
  <si>
    <t>Apple / iPhone 11 / A2111 / 128GB / Purple / ATT / LOCKED / TPS B+</t>
  </si>
  <si>
    <t>Apple / iPhone 11 / A2111 / 128GB / White / ATT / LOCKED / TPS C+</t>
  </si>
  <si>
    <t>Apple / iPhone 11 / A2111 / 128GB / Purple / TMobile / LOCKED / TPS C+</t>
  </si>
  <si>
    <t>Bill No PI0005</t>
  </si>
  <si>
    <t>IP 13ProMax 512Gb</t>
  </si>
  <si>
    <t>IP 12ProMax 256GB</t>
  </si>
  <si>
    <t>IP 12 Pro 128GB</t>
  </si>
  <si>
    <t>IP 11ProMax 512Gb</t>
  </si>
  <si>
    <t>IP 11ProMax 256Gb</t>
  </si>
  <si>
    <t>IP 11ProMax 64Gb</t>
  </si>
  <si>
    <t>IP 11Pro 256Gb</t>
  </si>
  <si>
    <t>IP 11 128Gb</t>
  </si>
  <si>
    <t>DATE</t>
  </si>
  <si>
    <t>DETAILS</t>
  </si>
  <si>
    <t>BALANCE</t>
  </si>
  <si>
    <t>Sir Noman</t>
  </si>
  <si>
    <t>Iphone 11 128Gb (Saleem Software)</t>
  </si>
  <si>
    <t>Abdul Haseeb (Mobile Merchant)</t>
  </si>
  <si>
    <t>Iphone 11 128Gb 23Pcs @66000</t>
  </si>
  <si>
    <t>Online To Al-Barkat System A/C</t>
  </si>
  <si>
    <t>Ahsan Duty Payment</t>
  </si>
  <si>
    <t>Online To Al-Barkat System A/C (Reference A.Haseeb Payment)</t>
  </si>
  <si>
    <t>NAME</t>
  </si>
  <si>
    <t>BALANCES (PKR)</t>
  </si>
  <si>
    <t>EuroNext Shop</t>
  </si>
  <si>
    <t>BALANCES (AED)</t>
  </si>
  <si>
    <t>IN</t>
  </si>
  <si>
    <t>OUT</t>
  </si>
  <si>
    <t>From Faisal Bhai</t>
  </si>
  <si>
    <t>From EuroNext</t>
  </si>
  <si>
    <t>Online A/R Meezan A/C (773335)</t>
  </si>
  <si>
    <t>Online A/R Meezan A/C (280256)</t>
  </si>
  <si>
    <t>Details</t>
  </si>
  <si>
    <t>Total Amount</t>
  </si>
  <si>
    <t>Online To Al-Barkat System A/C (From A/R meezan A/C)</t>
  </si>
  <si>
    <t>EURONEXT</t>
  </si>
  <si>
    <t>Bill SI005  (IP 15 Pro Max 512GB)</t>
  </si>
  <si>
    <t>IP 15PRO MAX 512GB
353134983719808</t>
  </si>
  <si>
    <t>Online A/R Meezan A/C (398371)</t>
  </si>
  <si>
    <t>Online A/R Meezan A/C (900024)</t>
  </si>
  <si>
    <t>SI0006</t>
  </si>
  <si>
    <t>IP 11  128GB</t>
  </si>
  <si>
    <t>IP 12Pro 128GB</t>
  </si>
  <si>
    <t>Bill No SI0007</t>
  </si>
  <si>
    <t>SI0007</t>
  </si>
  <si>
    <t xml:space="preserve">Danish </t>
  </si>
  <si>
    <t>Danish Bhai Ledger</t>
  </si>
  <si>
    <t xml:space="preserve">Detail </t>
  </si>
  <si>
    <t>Iphone X Invoice  98pcs  @65000</t>
  </si>
  <si>
    <t>Online A/R Meezan A/C</t>
  </si>
  <si>
    <t>Cash By Abdul Qadir</t>
  </si>
  <si>
    <t>Cash From Shop By Raheem</t>
  </si>
  <si>
    <t>Online Rabi Meezan A/C</t>
  </si>
  <si>
    <t>CHQ Recvd Faysal Bank</t>
  </si>
  <si>
    <t>CHQ Returned</t>
  </si>
  <si>
    <t xml:space="preserve">Cash By Danish </t>
  </si>
  <si>
    <t>CHQ Recvd Meezan Bank</t>
  </si>
  <si>
    <t>Payment Against Chq</t>
  </si>
  <si>
    <t>CHQ Recvd UBL (01/04/2024)</t>
  </si>
  <si>
    <t>Cash Recvd</t>
  </si>
  <si>
    <t>SCB Chq  (22/04/2024)</t>
  </si>
  <si>
    <t>PARTY NAME</t>
  </si>
  <si>
    <t>IP 11 24pcs Discount  65x24</t>
  </si>
  <si>
    <t>IP 11ProMax  38pcs Discount  38x20</t>
  </si>
  <si>
    <t>Cash Received From Saad</t>
  </si>
  <si>
    <t>Cash Received From Wajahat 
(Machine Cargo Charges )</t>
  </si>
  <si>
    <t xml:space="preserve">Machine Cargo Payment </t>
  </si>
  <si>
    <t>Paid By Wajahat  (Adjust Encell Ledger)</t>
  </si>
  <si>
    <t>Online A/R Meezan A/C (566554)</t>
  </si>
  <si>
    <t>Online A/R Meezan A/C (731848)</t>
  </si>
  <si>
    <t>Online A/R Meezan A/C (965246)</t>
  </si>
  <si>
    <t>Online A/R Meezan A/C (701810)</t>
  </si>
  <si>
    <t>3pcs 15.ProMax  @198,000</t>
  </si>
  <si>
    <t>Cash From Shop By Saqib</t>
  </si>
  <si>
    <t>Paid By A/R</t>
  </si>
  <si>
    <t>Sell Returned</t>
  </si>
  <si>
    <t>SR0008</t>
  </si>
  <si>
    <t>IP 13ProMax 256GB</t>
  </si>
  <si>
    <t>SI0009</t>
  </si>
  <si>
    <t>Bill No SR0008</t>
  </si>
  <si>
    <t>Bill No SI0009</t>
  </si>
  <si>
    <t>Vendor Name</t>
  </si>
  <si>
    <t>Model</t>
  </si>
  <si>
    <t>359272538672231</t>
  </si>
  <si>
    <t>358226363284224</t>
  </si>
  <si>
    <t>352206206248129</t>
  </si>
  <si>
    <t>352569487339366</t>
  </si>
  <si>
    <t>352569482118625</t>
  </si>
  <si>
    <t>353243103508718</t>
  </si>
  <si>
    <t>353901105081428</t>
  </si>
  <si>
    <t>353898100810571</t>
  </si>
  <si>
    <t>353906102600203</t>
  </si>
  <si>
    <t>iPhone 13 Pro Max</t>
  </si>
  <si>
    <t>iPhone 11 Pro</t>
  </si>
  <si>
    <t>iPhone 11 Pro Max</t>
  </si>
  <si>
    <t>358677238942364</t>
  </si>
  <si>
    <t>356370168789391</t>
  </si>
  <si>
    <t>358074297242847</t>
  </si>
  <si>
    <t>353895108481975</t>
  </si>
  <si>
    <t>352844113669423</t>
  </si>
  <si>
    <t>352845114253109</t>
  </si>
  <si>
    <t>352845114407465</t>
  </si>
  <si>
    <t>352855111295128</t>
  </si>
  <si>
    <t>352856111150792</t>
  </si>
  <si>
    <t>353893103407004</t>
  </si>
  <si>
    <t>353893109246786</t>
  </si>
  <si>
    <t>353901106911367</t>
  </si>
  <si>
    <t>353903100186012</t>
  </si>
  <si>
    <t>353906105908116</t>
  </si>
  <si>
    <t>353244102319180</t>
  </si>
  <si>
    <t>352838115787977</t>
  </si>
  <si>
    <t>352842111267372</t>
  </si>
  <si>
    <t>352851110161700</t>
  </si>
  <si>
    <t>352853112648734</t>
  </si>
  <si>
    <t>352857116367860</t>
  </si>
  <si>
    <t>353892108136865</t>
  </si>
  <si>
    <t>353896100426653</t>
  </si>
  <si>
    <t>353897106941034</t>
  </si>
  <si>
    <t>353899109271773</t>
  </si>
  <si>
    <t>353903105571697</t>
  </si>
  <si>
    <t>353903102293964</t>
  </si>
  <si>
    <t>353900101463994</t>
  </si>
  <si>
    <t>353895106327881</t>
  </si>
  <si>
    <t>353894106168981</t>
  </si>
  <si>
    <t>353894102639092</t>
  </si>
  <si>
    <t>353893106593909</t>
  </si>
  <si>
    <t>353892101559725</t>
  </si>
  <si>
    <t>352852110313044</t>
  </si>
  <si>
    <t>352840111874031</t>
  </si>
  <si>
    <t>352839113339266</t>
  </si>
  <si>
    <t>352865670080753</t>
  </si>
  <si>
    <t>350360637169065</t>
  </si>
  <si>
    <t>352996432263880</t>
  </si>
  <si>
    <t>353232102215615</t>
  </si>
  <si>
    <t>353245100815442</t>
  </si>
  <si>
    <t>352653442265609</t>
  </si>
  <si>
    <t>353245100810385</t>
  </si>
  <si>
    <t>353242100378869</t>
  </si>
  <si>
    <t>353239102806350</t>
  </si>
  <si>
    <t>353236106094538</t>
  </si>
  <si>
    <t>353236103523141</t>
  </si>
  <si>
    <t>353235105010735</t>
  </si>
  <si>
    <t>353234109203297</t>
  </si>
  <si>
    <t>353234104923022</t>
  </si>
  <si>
    <t>353233102008745</t>
  </si>
  <si>
    <t>353243106971111</t>
  </si>
  <si>
    <t>353239106347294</t>
  </si>
  <si>
    <t>353236106018057</t>
  </si>
  <si>
    <t>353243105201072</t>
  </si>
  <si>
    <t>353239108776334</t>
  </si>
  <si>
    <t>353249103705378</t>
  </si>
  <si>
    <t>353249103109795</t>
  </si>
  <si>
    <t>353245107194163</t>
  </si>
  <si>
    <t>353245106904448</t>
  </si>
  <si>
    <t>353245100934979</t>
  </si>
  <si>
    <t>353243107590639</t>
  </si>
  <si>
    <t>353242101405547</t>
  </si>
  <si>
    <t>353241105072683</t>
  </si>
  <si>
    <t>353241102520312</t>
  </si>
  <si>
    <t>353236100120602</t>
  </si>
  <si>
    <t>353233100958396</t>
  </si>
  <si>
    <t>353238103861331</t>
  </si>
  <si>
    <t>353905108910442</t>
  </si>
  <si>
    <t>353904100418520</t>
  </si>
  <si>
    <t>353898103230215</t>
  </si>
  <si>
    <t>353888106528525</t>
  </si>
  <si>
    <t>352851114483613</t>
  </si>
  <si>
    <t>352849112103514</t>
  </si>
  <si>
    <t>352843112914905</t>
  </si>
  <si>
    <t>353888104818100</t>
  </si>
  <si>
    <t>353887109820442</t>
  </si>
  <si>
    <t>352857112033466</t>
  </si>
  <si>
    <t>353906109894700</t>
  </si>
  <si>
    <t>353906102089449</t>
  </si>
  <si>
    <t>353904106515592</t>
  </si>
  <si>
    <t>353895105046755</t>
  </si>
  <si>
    <t>353893107504806</t>
  </si>
  <si>
    <t>353891107982352</t>
  </si>
  <si>
    <t>353887106170940</t>
  </si>
  <si>
    <t>352856112844443</t>
  </si>
  <si>
    <t>352855116142580</t>
  </si>
  <si>
    <t>352853114586213</t>
  </si>
  <si>
    <t>352853113587964</t>
  </si>
  <si>
    <t>352853112938945</t>
  </si>
  <si>
    <t>352853111284184</t>
  </si>
  <si>
    <t>352853110408289</t>
  </si>
  <si>
    <t>352852114959644</t>
  </si>
  <si>
    <t>352847114892266</t>
  </si>
  <si>
    <t>352846110272085</t>
  </si>
  <si>
    <t>352840114682365</t>
  </si>
  <si>
    <t>353240107581071</t>
  </si>
  <si>
    <t>356714119746937</t>
  </si>
  <si>
    <t>350360636779617</t>
  </si>
  <si>
    <t>353247105566665</t>
  </si>
  <si>
    <t>352853115426666</t>
  </si>
  <si>
    <t>353974109461664</t>
  </si>
  <si>
    <t>352904116577435</t>
  </si>
  <si>
    <t>356037840785226</t>
  </si>
  <si>
    <t>356683119471830</t>
  </si>
  <si>
    <t>352907118005693</t>
  </si>
  <si>
    <t>356559100944987</t>
  </si>
  <si>
    <t>iPhone 12 Pro Max</t>
  </si>
  <si>
    <t>iPhone 11</t>
  </si>
  <si>
    <t>iPhone 12 Pro</t>
  </si>
  <si>
    <t>358677234396664</t>
  </si>
  <si>
    <t>354941730449177</t>
  </si>
  <si>
    <t>353935594401291</t>
  </si>
  <si>
    <t>352865677066458</t>
  </si>
  <si>
    <t>352653445030380</t>
  </si>
  <si>
    <t>352206209939468</t>
  </si>
  <si>
    <t>353889105335698</t>
  </si>
  <si>
    <t>352856110733283</t>
  </si>
  <si>
    <t>353905106893376</t>
  </si>
  <si>
    <t>353903107364174</t>
  </si>
  <si>
    <t>353893104586848</t>
  </si>
  <si>
    <t>353890109023421</t>
  </si>
  <si>
    <t>353890107158203</t>
  </si>
  <si>
    <t>352855113572102</t>
  </si>
  <si>
    <t>352852112547375</t>
  </si>
  <si>
    <t>352848114355791</t>
  </si>
  <si>
    <t>352840110449850</t>
  </si>
  <si>
    <t>359272530232000</t>
  </si>
  <si>
    <t>352856113900913</t>
  </si>
  <si>
    <t>356942215820989</t>
  </si>
  <si>
    <t>356514419614219</t>
  </si>
  <si>
    <t>351016096508362</t>
  </si>
  <si>
    <t>350419539067031</t>
  </si>
  <si>
    <t xml:space="preserve">Ali Karachi </t>
  </si>
  <si>
    <t>Bill #</t>
  </si>
  <si>
    <t>SI0010</t>
  </si>
  <si>
    <t xml:space="preserve">Starlink V3 </t>
  </si>
  <si>
    <t>Bill No SI0010  (V3)</t>
  </si>
  <si>
    <t xml:space="preserve">Dollar </t>
  </si>
  <si>
    <t>Aed</t>
  </si>
  <si>
    <t>Total V3 Sold</t>
  </si>
  <si>
    <t>SI0011</t>
  </si>
  <si>
    <t>IPHONE XS.Max</t>
  </si>
  <si>
    <t>Iphone 11ProMax</t>
  </si>
  <si>
    <t>Bill SI011  (IP Xsmax 4)</t>
  </si>
  <si>
    <t>IP 7Plus</t>
  </si>
  <si>
    <t>Hamali Charges</t>
  </si>
  <si>
    <t>Bill No SI0012  (V3)</t>
  </si>
  <si>
    <t>SI0012</t>
  </si>
  <si>
    <t>From Encell Shop</t>
  </si>
  <si>
    <t>Costing</t>
  </si>
  <si>
    <t>A/R Karachi Expense Ledger</t>
  </si>
  <si>
    <t>Old Balance</t>
  </si>
  <si>
    <t>Payment By A/R To AMGT</t>
  </si>
  <si>
    <t>adjustment By A/R</t>
  </si>
  <si>
    <t>Cash Deposite A/R Meezan A/C</t>
  </si>
  <si>
    <t>Online A/R Meezan A/C (946556)</t>
  </si>
  <si>
    <t>SI0013</t>
  </si>
  <si>
    <t>Iphone 11ProMax 256Gb</t>
  </si>
  <si>
    <t>Bill No SI0013</t>
  </si>
  <si>
    <t>Karachi Cash</t>
  </si>
  <si>
    <t>Karachi Expense</t>
  </si>
  <si>
    <t xml:space="preserve">Dubai Cash </t>
  </si>
  <si>
    <t>Dubai Expense</t>
  </si>
  <si>
    <t>Received And Paid to Waheed Bhai 
(A/R Aus group)</t>
  </si>
  <si>
    <t>Online A/R Meezan A/C (811004)</t>
  </si>
  <si>
    <t>350419531801221</t>
  </si>
  <si>
    <t>350879908057279</t>
  </si>
  <si>
    <t>353282623901839</t>
  </si>
  <si>
    <t>357774339917303</t>
  </si>
  <si>
    <t>350566102429814</t>
  </si>
  <si>
    <t>353210482274550</t>
  </si>
  <si>
    <t>350555046945225</t>
  </si>
  <si>
    <t>354455405036508</t>
  </si>
  <si>
    <t>359175929817986</t>
  </si>
  <si>
    <t>352838116444875</t>
  </si>
  <si>
    <t>352843112285413</t>
  </si>
  <si>
    <t>352844114944262</t>
  </si>
  <si>
    <t>352849114333382</t>
  </si>
  <si>
    <t>352849115691473</t>
  </si>
  <si>
    <t>352852112646110</t>
  </si>
  <si>
    <t>353894101290780</t>
  </si>
  <si>
    <t>353897102454370</t>
  </si>
  <si>
    <t>353900102326711</t>
  </si>
  <si>
    <t>353904102095078</t>
  </si>
  <si>
    <t>353906100349019</t>
  </si>
  <si>
    <t>353916104988365</t>
  </si>
  <si>
    <t>358686416816894</t>
  </si>
  <si>
    <t>354741660139735</t>
  </si>
  <si>
    <t>352569484750532</t>
  </si>
  <si>
    <t>352396477711747</t>
  </si>
  <si>
    <t>357447886566522</t>
  </si>
  <si>
    <t>350225646859065</t>
  </si>
  <si>
    <t>350555043566156</t>
  </si>
  <si>
    <t>350980293501861</t>
  </si>
  <si>
    <t>352941881432180</t>
  </si>
  <si>
    <t>354066785774129</t>
  </si>
  <si>
    <t>356815607149417</t>
  </si>
  <si>
    <t>350879903491598</t>
  </si>
  <si>
    <t>358800350734100</t>
  </si>
  <si>
    <t>352569484039563</t>
  </si>
  <si>
    <t>352851115229403</t>
  </si>
  <si>
    <t>353977103646412</t>
  </si>
  <si>
    <t>353075115864048</t>
  </si>
  <si>
    <t>354347185723985</t>
  </si>
  <si>
    <t>352060427436751</t>
  </si>
  <si>
    <t>352842114873762</t>
  </si>
  <si>
    <t>352844114827673</t>
  </si>
  <si>
    <t>353889106805319</t>
  </si>
  <si>
    <t>353890109487576</t>
  </si>
  <si>
    <t>353896105763068</t>
  </si>
  <si>
    <t>353897108828130</t>
  </si>
  <si>
    <t>353898102945631</t>
  </si>
  <si>
    <t>353901109040842</t>
  </si>
  <si>
    <t>353902103896239</t>
  </si>
  <si>
    <t>353904109974135</t>
  </si>
  <si>
    <t>353921104945308</t>
  </si>
  <si>
    <t>350522072314353</t>
  </si>
  <si>
    <t>Apple / iPhone 12 Pro Max / A2342 / 256GB / Graphite / ATT / LOCKED / TPS A+</t>
  </si>
  <si>
    <t>Apple / iPhone 12 Pro Max / A2342 / 256GB / Graphite / Other / LOCKED / TPS A+</t>
  </si>
  <si>
    <t>Apple / iPhone 13 Pro Max / A2484 / 256GB / Gold / Other / LOCKED / TPS A+</t>
  </si>
  <si>
    <t>Apple / iPhone 13 Pro Max / A2484 / 256GB / Sierra Blue / ATT / LOCKED / TPS B+</t>
  </si>
  <si>
    <t>Apple / iPhone 13 / A2482 / 128GB / Blue / Other / LOCKED / TPS B+</t>
  </si>
  <si>
    <t>Apple / iPhone 13 Pro Max / A2484 / 128GB / Sierra Blue / Other / LOCKED / TPS B+</t>
  </si>
  <si>
    <t>Apple / iPhone 13 Pro Max / A2484 / 256GB / Alpine Green / Other / LOCKED / TPS B+</t>
  </si>
  <si>
    <t>Apple / iPhone 11 Pro Max / A2161 / 256GB / Grey / Verizon / UNLOCKED / TPS C+</t>
  </si>
  <si>
    <t>Apple / iPhone 11 / A2111 / 128GB / Black / T-Mobile / LOCKED / TPS C+</t>
  </si>
  <si>
    <t>Apple / iPhone 12 Pro / A2341 / 256GB / Silver / Verizon / UNLOCKED / TPS C+</t>
  </si>
  <si>
    <t>Apple / iPhone 13 Pro Max / A2484 / 256GB / Gold / ATT / LOCKED / TPS C+</t>
  </si>
  <si>
    <t>Apple / iPhone 13 Pro Max / A2641 / 256GB / Gold / Other / LOCKED / TPS C+</t>
  </si>
  <si>
    <t>Apple / iPhone 11 Pro Max / A2161 / 256GB / Silver / Unlocked / UNLOCKED / TPS C+</t>
  </si>
  <si>
    <t>Apple / iPhone 11 Pro Max / A2218 / 256GB / Grey / Unlocked / UNLOCKED / TPS C+</t>
  </si>
  <si>
    <t>Apple / iPhone 12 Pro / A2341 / 256GB / Silver / Unlocked / UNLOCKED / TPS C+</t>
  </si>
  <si>
    <t>Apple / iPhone 13 Pro Max / A2484 / 256GB / Gold / ATT / LOCKED / TPS B+</t>
  </si>
  <si>
    <t>Apple / iPhone 13 / A2482 / 128GB / Midnight / Other / LOCKED / TPS B+</t>
  </si>
  <si>
    <t>Apple / iPhone 13 / A2482 / 128GB / Green / Other / LOCKED / TPS B+</t>
  </si>
  <si>
    <t>Apple / iPhone 11 Pro Max / A2161 / 512GB / Green / T-Mobile / LOCKED / TPS C+</t>
  </si>
  <si>
    <t xml:space="preserve">iPhone 13 Pro Max 256GB </t>
  </si>
  <si>
    <t xml:space="preserve">iPhone 13 Pro Max 128GB </t>
  </si>
  <si>
    <t>Invoice 1</t>
  </si>
  <si>
    <t>Invoice 2</t>
  </si>
  <si>
    <t>PI0006</t>
  </si>
  <si>
    <t>IP 12 Pro 256GB</t>
  </si>
  <si>
    <t>Encell</t>
  </si>
  <si>
    <t>Cash From Saad</t>
  </si>
  <si>
    <t>Bill No PI0006</t>
  </si>
  <si>
    <t xml:space="preserve">Payment </t>
  </si>
  <si>
    <t>Faisal Bhai Dubai</t>
  </si>
  <si>
    <t xml:space="preserve">Canada Shipment Charges Paid by A/R </t>
  </si>
  <si>
    <t>PKR</t>
  </si>
  <si>
    <t xml:space="preserve">Online Fazal-e-Rabbi A/C </t>
  </si>
  <si>
    <t>Starlink</t>
  </si>
  <si>
    <t>V2</t>
  </si>
  <si>
    <t>Starlink V2</t>
  </si>
  <si>
    <t>Starlink V3</t>
  </si>
  <si>
    <t>Purchasing</t>
  </si>
  <si>
    <t>Sales</t>
  </si>
  <si>
    <t>Profit</t>
  </si>
  <si>
    <t>A/R 50%</t>
  </si>
  <si>
    <t>Waheed Bhai 50%</t>
  </si>
  <si>
    <t>Online A/R Meezan A/C (418217)</t>
  </si>
  <si>
    <t>PI0007</t>
  </si>
  <si>
    <t>Iphone 15  128GB</t>
  </si>
  <si>
    <t>Iphone 15 Pro 128GB</t>
  </si>
  <si>
    <t>Iphone 15 Plus 128GB</t>
  </si>
  <si>
    <t>Iphone 13 128GB</t>
  </si>
  <si>
    <t>Iphone 15 ProMax 256GB</t>
  </si>
  <si>
    <t>SHOAIB</t>
  </si>
  <si>
    <t>Bill No PI0007</t>
  </si>
  <si>
    <t xml:space="preserve">MUGHAL ELECTRONICS </t>
  </si>
  <si>
    <t xml:space="preserve">SALES INVOICE </t>
  </si>
  <si>
    <t>IC ZDA 15 128 GREEN INSIDE BLUE [1] 500</t>
  </si>
  <si>
    <t xml:space="preserve">INSIDE IMEI </t>
  </si>
  <si>
    <t>IC 15 128 PINK [1] 500</t>
  </si>
  <si>
    <t>IC ZDA 15 PRO 128 BLACK [1] 900</t>
  </si>
  <si>
    <t>IC ZDA 15 PLUS 128 BLUE GREEN INSIDE [1] 500</t>
  </si>
  <si>
    <t>IC KIT 13 128 RED [300]</t>
  </si>
  <si>
    <t>UN ZDA ACT KIT 15 PLUS 128 GREEN [1] 2200</t>
  </si>
  <si>
    <t>CA KIT 15 PRO MAX 256 NAT [1] 3450</t>
  </si>
  <si>
    <t>IP 15  128GB</t>
  </si>
  <si>
    <t>IP 15Pro 128Gb</t>
  </si>
  <si>
    <t>IP 15plus 128GB</t>
  </si>
  <si>
    <t>IP 15ProMax 256</t>
  </si>
  <si>
    <t>IP 15 Pro 128GB</t>
  </si>
  <si>
    <t>Meezan Bank Karachi</t>
  </si>
  <si>
    <t>Dubai Bank A/C</t>
  </si>
  <si>
    <t>US Wire Charges $40</t>
  </si>
  <si>
    <t>Local US Shipping Charge$42.64</t>
  </si>
  <si>
    <t>Air Freight Charges $100.48</t>
  </si>
  <si>
    <t>Dubai (Import + Delivery)  $ 62.51</t>
  </si>
  <si>
    <t>Commission Charges $ 295.14</t>
  </si>
  <si>
    <t>Cash Handling Charges $ 22.95</t>
  </si>
  <si>
    <t>Total $563.72 @3.674  =2,071.10Aed 
Add 52Phone  @39.82Aed</t>
  </si>
  <si>
    <t>iPhone 11 Pro Max 256GB</t>
  </si>
  <si>
    <t>iPhone 13 128GB</t>
  </si>
  <si>
    <t>iPhone 12 Pro 256GB</t>
  </si>
  <si>
    <t>iPhone 12 Pro Max 256GB</t>
  </si>
  <si>
    <t>iPhone 11 128GB</t>
  </si>
  <si>
    <t>SI0014</t>
  </si>
  <si>
    <t>Iphone 13ProMax 256Gb</t>
  </si>
  <si>
    <t>Iphone 12ProMax 256Gb</t>
  </si>
  <si>
    <t>SI0015</t>
  </si>
  <si>
    <t>Iphone 13ProMax 128Gb</t>
  </si>
  <si>
    <t>Bill No SI0014</t>
  </si>
  <si>
    <t>Bill No SI0015</t>
  </si>
  <si>
    <t>SI0016</t>
  </si>
  <si>
    <t>Jawed</t>
  </si>
  <si>
    <t>JAWED</t>
  </si>
  <si>
    <t>Bill No SI0016</t>
  </si>
  <si>
    <t>Cash By saad</t>
  </si>
  <si>
    <t>Bill No SI0017  (V3 Invoice  14/05/2024)</t>
  </si>
  <si>
    <t>SR0018</t>
  </si>
  <si>
    <t>Bill No SR0018</t>
  </si>
  <si>
    <t>Online Mudassir Meezan A/C (261121)</t>
  </si>
  <si>
    <t>Online Mudassir Meezan A/C  (261121) 
(From EuroNext Shop )</t>
  </si>
  <si>
    <t>PI0008</t>
  </si>
  <si>
    <t xml:space="preserve">MUDASSIR </t>
  </si>
  <si>
    <t>Apple Watch Ultra 2</t>
  </si>
  <si>
    <t>Watch Ultra 2</t>
  </si>
  <si>
    <t>370000 PKR</t>
  </si>
  <si>
    <t>Bill PI0008  (2 Watch Ultra.2)</t>
  </si>
  <si>
    <t>Unlocking Mar-2024</t>
  </si>
  <si>
    <t>Cash Payment From Encell Shop</t>
  </si>
  <si>
    <t xml:space="preserve">Hamali Charges </t>
  </si>
  <si>
    <t>Balance Clear A/R  21/05/2024</t>
  </si>
  <si>
    <t>Online Mudassir Meezan A/C (329746)</t>
  </si>
  <si>
    <t>Online Mudassir Meezan A/C (428570)</t>
  </si>
  <si>
    <t>Send To australia By A/R  (AUD  8782.5  @2.28)</t>
  </si>
  <si>
    <t xml:space="preserve">359823653721359  Claro.Locked  $34.56 </t>
  </si>
  <si>
    <t xml:space="preserve">358649259401190  Claro.Locked  $41.04 </t>
  </si>
  <si>
    <t>Pending Item &amp; Work</t>
  </si>
  <si>
    <t>Send To australia By A/R  (AUD  23152.5  @2.505)</t>
  </si>
  <si>
    <t>Paid to Razi (Cargo Charges)</t>
  </si>
  <si>
    <t>Cargo Charges Paid by Razi (Payment From Encell Shop)</t>
  </si>
  <si>
    <t>SR0019</t>
  </si>
  <si>
    <t>Bill No SR0019</t>
  </si>
  <si>
    <t>Returned</t>
  </si>
  <si>
    <t>SI0020</t>
  </si>
  <si>
    <t>Bill No SI0020</t>
  </si>
  <si>
    <t>Import Charges V3  35pcs</t>
  </si>
  <si>
    <t>V3 Import Charges 35pcs</t>
  </si>
  <si>
    <t>35 pcs Purchased  @474.58</t>
  </si>
  <si>
    <t xml:space="preserve">TOTAL </t>
  </si>
  <si>
    <t>SI0021</t>
  </si>
  <si>
    <t>EuroNext</t>
  </si>
  <si>
    <t>Iphone 12Pro Max 256GB FU</t>
  </si>
  <si>
    <t>Iphone X 256Gb  (PTA)</t>
  </si>
  <si>
    <t>FaceID</t>
  </si>
  <si>
    <t>IP X</t>
  </si>
  <si>
    <t>12ProMax</t>
  </si>
  <si>
    <t>Bill SI021  (IP X 256Gb  6pcs)</t>
  </si>
  <si>
    <t>Bill SI021  (IP 12ProMax 256Gb)</t>
  </si>
  <si>
    <t>Cash Received From Wajahat
(V3 import Charges + hamali charges)</t>
  </si>
  <si>
    <t>Adjustment Waheed Bhai Old Balance Paid by A/R</t>
  </si>
  <si>
    <t>V3 New</t>
  </si>
  <si>
    <t>PI0009</t>
  </si>
  <si>
    <t>MUDASSIR AR</t>
  </si>
  <si>
    <t>IPHONE 15 PRO MAX 256GB</t>
  </si>
  <si>
    <t>SI0022</t>
  </si>
  <si>
    <t>Bill No SI0022</t>
  </si>
  <si>
    <t>Cash Received By A/R</t>
  </si>
  <si>
    <t xml:space="preserve">AMGT Office </t>
  </si>
  <si>
    <t>SI0023</t>
  </si>
  <si>
    <t>AMGT Office</t>
  </si>
  <si>
    <t>Old Pcs V3</t>
  </si>
  <si>
    <t>Bill No SI0023 (V3 15pcs)</t>
  </si>
  <si>
    <t>Sell Encell Shop 2pcs</t>
  </si>
  <si>
    <t>Sell Encell Shop 18pcs</t>
  </si>
  <si>
    <t>Sell AMGT Office 15pcs</t>
  </si>
  <si>
    <t>????</t>
  </si>
  <si>
    <t>SI0024</t>
  </si>
  <si>
    <t>IP 15ProMax 256GB</t>
  </si>
  <si>
    <t>SI0025</t>
  </si>
  <si>
    <t xml:space="preserve">IP 13 ProMax </t>
  </si>
  <si>
    <t>Ip 13 ProMax (copy lcd)</t>
  </si>
  <si>
    <t>IP 15 Plus</t>
  </si>
  <si>
    <t>Bill SI0024</t>
  </si>
  <si>
    <r>
      <rPr>
        <b/>
        <sz val="13"/>
        <color theme="1"/>
        <rFont val="Calibri"/>
        <family val="2"/>
      </rPr>
      <t>Carry</t>
    </r>
    <r>
      <rPr>
        <sz val="13"/>
        <color theme="1"/>
        <rFont val="Calibri"/>
        <family val="2"/>
      </rPr>
      <t xml:space="preserve"> (IP 13ProMax)</t>
    </r>
  </si>
  <si>
    <t>Returned &amp; sell</t>
  </si>
  <si>
    <t>PI0010</t>
  </si>
  <si>
    <t>Bill PI0010  (1 Watch Ultra.2)</t>
  </si>
  <si>
    <t>Online Mudassir Meezan A/C  (328117) 
(From EuroNext Shop )</t>
  </si>
  <si>
    <t>Online Mudassir Meezan A/C  (157152) 
(From EuroNext Shop )</t>
  </si>
  <si>
    <t>Online Mudassir Meezan A/C (328117)</t>
  </si>
  <si>
    <t>Online Mudassir Meezan A/C (157152)</t>
  </si>
  <si>
    <t>IPHONE 13ProMax</t>
  </si>
  <si>
    <t>Match</t>
  </si>
  <si>
    <t>Purchase By Ali Karachi</t>
  </si>
  <si>
    <t>Sell To encell</t>
  </si>
  <si>
    <t>Returned From Encell</t>
  </si>
  <si>
    <t>Sell To Euronext</t>
  </si>
  <si>
    <t>Current Inventory</t>
  </si>
  <si>
    <t>SI0026</t>
  </si>
  <si>
    <t xml:space="preserve">IP 15 </t>
  </si>
  <si>
    <t>IP 15Plus</t>
  </si>
  <si>
    <t>Bill No SI0026</t>
  </si>
  <si>
    <t>Sell 01/06</t>
  </si>
  <si>
    <t>SI0027</t>
  </si>
  <si>
    <t>SHOAIB BHAI</t>
  </si>
  <si>
    <t>Apple Watch ultra 2</t>
  </si>
  <si>
    <t>Bill No SI0027</t>
  </si>
  <si>
    <t>SI0028</t>
  </si>
  <si>
    <t xml:space="preserve">IP 13 Pro Max </t>
  </si>
  <si>
    <t>180000 PKR</t>
  </si>
  <si>
    <t>Bill No SI0028</t>
  </si>
  <si>
    <t>Cash By AR</t>
  </si>
  <si>
    <t>???</t>
  </si>
  <si>
    <t>Received By A/R</t>
  </si>
  <si>
    <t>ABDUL MAJID BHAI</t>
  </si>
  <si>
    <t>Payment As Loan</t>
  </si>
  <si>
    <t>Payment AMGT (Ahsan Karachi)</t>
  </si>
  <si>
    <t>Online Mudassir Meezan A/C (474870)
From Raaz</t>
  </si>
  <si>
    <t>Raaz</t>
  </si>
  <si>
    <t>Extra Payment From Raaz 
Online Into Mudassir A/C</t>
  </si>
  <si>
    <t>Cash Received From Wajahat
(Encell Shop Rent)</t>
  </si>
  <si>
    <t>PI0011</t>
  </si>
  <si>
    <t>Paid To Rabi</t>
  </si>
  <si>
    <t>Fahib Salary M/O May-2024 (15000 PKR)</t>
  </si>
  <si>
    <t>PI0012</t>
  </si>
  <si>
    <t>Apple / iPhone 11 Pro / A2160 / 256GB / Gold / Verizon / UNLOCKED / TPS C+</t>
  </si>
  <si>
    <t>Apple / iPhone 11 Pro / A2160 / 512GB / Gold / Verizon / UNLOCKED / TPS C+</t>
  </si>
  <si>
    <t>Apple / iPhone 13 Pro Max / A2484 / 256GB / Graphite / ATT / LOCKED / TPS C+</t>
  </si>
  <si>
    <t>353232102515253</t>
  </si>
  <si>
    <t>353248105513475</t>
  </si>
  <si>
    <t>353236103122555</t>
  </si>
  <si>
    <t>352852111541080</t>
  </si>
  <si>
    <t>353895109719159</t>
  </si>
  <si>
    <t>353898108385550</t>
  </si>
  <si>
    <t>359272531296616</t>
  </si>
  <si>
    <t>352862110068381</t>
  </si>
  <si>
    <t>353911108155343</t>
  </si>
  <si>
    <t>353915108783228</t>
  </si>
  <si>
    <t>353926102230439</t>
  </si>
  <si>
    <t>353926105563877</t>
  </si>
  <si>
    <t>AED</t>
  </si>
  <si>
    <t>Apple / iPhone 13 Pro Max / A2484 / 256GB / Graphite / T-Mobile / LOCKED / TPS A+</t>
  </si>
  <si>
    <t>Apple / iPhone 13 Pro Max / A2484 / 256GB / Silver / Other / LOCKED / TPS A+</t>
  </si>
  <si>
    <t>Apple / iPhone 13 Pro Max / A2484 / 512GB / Sierra Blue / T-Mobile / LOCKED / TPS B+</t>
  </si>
  <si>
    <t>Apple / iPhone 13 Pro Max / A2484 / 256GB / Silver / ATT / LOCKED / TPS B+</t>
  </si>
  <si>
    <t>Apple / iPhone 13 Pro Max / A2484 / 256GB / Graphite / Other / LOCKED / TPS B+</t>
  </si>
  <si>
    <t>Apple / iPhone 13 Pro Max / A2484 / 256GB / Gold / Other / LOCKED / TPS B+</t>
  </si>
  <si>
    <t>Apple / iPhone 13 Pro Max / A2484 / 256GB / Silver / Other / LOCKED / TPS B+</t>
  </si>
  <si>
    <t>Apple / iPhone 11 / A2111 / 128GB / Red / Other / LOCKED / TPS C+</t>
  </si>
  <si>
    <t>Apple / iPhone 11 Pro / A2160 / 256GB / Silver / Verizon / UNLOCKED / TPS C+</t>
  </si>
  <si>
    <t>Apple / iPhone 11 Pro / A2160 / 256GB / Green / Verizon / UNLOCKED / TPS C+</t>
  </si>
  <si>
    <t>Apple / iPhone 11 Pro Max / A2161 / 256GB / Gold / Verizon / UNLOCKED / TPS C+</t>
  </si>
  <si>
    <t>Apple / iPhone 11 Pro / A2160 / 256GB / Green / ATT / LOCKED / TPS C+</t>
  </si>
  <si>
    <t>Apple / iPhone 11 / A2111 / 128GB / Purple / Sprint / LOCKED / TPS C+</t>
  </si>
  <si>
    <t>Apple / iPhone 11 Pro / A2160 / 256GB / Green / Unlocked / UNLOCKED / TPS C+</t>
  </si>
  <si>
    <t>Apple / iPhone 11 Pro Max / A2161 / 256GB / Gold / Unlocked / UNLOCKED / TPS C+</t>
  </si>
  <si>
    <t>Apple / iPhone 11 Pro Max / A2161 / 512GB / Silver / Unlocked / UNLOCKED / TPS C+</t>
  </si>
  <si>
    <t>Apple / iPhone 11 Pro Max / A2220 / 256GB / Grey / Unlocked / UNLOCKED / TPS C+</t>
  </si>
  <si>
    <t>358074294645513</t>
  </si>
  <si>
    <t>350019045832868</t>
  </si>
  <si>
    <t>355387491207694</t>
  </si>
  <si>
    <t>357680883150300</t>
  </si>
  <si>
    <t>358800359651651</t>
  </si>
  <si>
    <t>352114956483989</t>
  </si>
  <si>
    <t>353282624489438</t>
  </si>
  <si>
    <t>352996435050789</t>
  </si>
  <si>
    <t>352908116115401</t>
  </si>
  <si>
    <t>353233101822609</t>
  </si>
  <si>
    <t>353242100609586</t>
  </si>
  <si>
    <t>353250101825820</t>
  </si>
  <si>
    <t>352852113165888</t>
  </si>
  <si>
    <t>353898101964781</t>
  </si>
  <si>
    <t>353898102615028</t>
  </si>
  <si>
    <t>353902102360591</t>
  </si>
  <si>
    <t>352850111608016</t>
  </si>
  <si>
    <t>353239101007273</t>
  </si>
  <si>
    <t>352896115548153</t>
  </si>
  <si>
    <t>353244104413833</t>
  </si>
  <si>
    <t>352848112357500</t>
  </si>
  <si>
    <t>352849114480753</t>
  </si>
  <si>
    <t>352851114719123</t>
  </si>
  <si>
    <t>352853115395465</t>
  </si>
  <si>
    <t>353887105132016</t>
  </si>
  <si>
    <t>353888102032639</t>
  </si>
  <si>
    <t>353891107970845</t>
  </si>
  <si>
    <t>353895107090264</t>
  </si>
  <si>
    <t>353899100525532</t>
  </si>
  <si>
    <t>353901108622558</t>
  </si>
  <si>
    <t>353895103666257</t>
  </si>
  <si>
    <t>353951100826012</t>
  </si>
  <si>
    <t>Bill No PI0012</t>
  </si>
  <si>
    <t>IP 11Pro 512Gb</t>
  </si>
  <si>
    <t>Paid By A/R For New Shipment</t>
  </si>
  <si>
    <t>RAZI</t>
  </si>
  <si>
    <t>PI0013</t>
  </si>
  <si>
    <t>IPHONE 14 128Gb JV</t>
  </si>
  <si>
    <t>Bill No PI0013</t>
  </si>
  <si>
    <t>IP 14 128Gb</t>
  </si>
  <si>
    <t>SI0029</t>
  </si>
  <si>
    <t>Paid by A/R</t>
  </si>
  <si>
    <t>IP 15 Pro Max 256 GB</t>
  </si>
  <si>
    <t>Razi Sell</t>
  </si>
  <si>
    <t>Online A/R Meezan A/C (380040)  23/May/2024</t>
  </si>
  <si>
    <t>Online A/R Meezan A/C (380040)  26/May/2024</t>
  </si>
  <si>
    <t xml:space="preserve">Cash Paid A/R Father </t>
  </si>
  <si>
    <t>Online Qaiser  Faysal Bank A/C (374591)  01/06/2024</t>
  </si>
  <si>
    <t>Mehmood (Unlocking)</t>
  </si>
  <si>
    <t>Payment From Euronext Online Qaiser faysal Bank
A/C (374591)  10 Phones Unlocking</t>
  </si>
  <si>
    <t xml:space="preserve">Investment 27000 Dollar  2.44 Dirham Rate </t>
  </si>
  <si>
    <t xml:space="preserve">Jawed bhai Investment </t>
  </si>
  <si>
    <t>SI0030</t>
  </si>
  <si>
    <t>Bill No SI0030</t>
  </si>
  <si>
    <t>SI0031</t>
  </si>
  <si>
    <t>Bill No SI0031</t>
  </si>
  <si>
    <r>
      <t>Australia Purchasing  V3</t>
    </r>
    <r>
      <rPr>
        <b/>
        <sz val="13"/>
        <color theme="1"/>
        <rFont val="Calibri"/>
        <family val="2"/>
      </rPr>
      <t xml:space="preserve">   </t>
    </r>
    <r>
      <rPr>
        <b/>
        <u/>
        <sz val="13"/>
        <color theme="1"/>
        <rFont val="Calibri"/>
        <family val="2"/>
      </rPr>
      <t>35Pcs</t>
    </r>
  </si>
  <si>
    <r>
      <t>Australia Purchasing  V3</t>
    </r>
    <r>
      <rPr>
        <b/>
        <sz val="13"/>
        <color theme="1"/>
        <rFont val="Calibri"/>
        <family val="2"/>
      </rPr>
      <t xml:space="preserve">   </t>
    </r>
    <r>
      <rPr>
        <b/>
        <u/>
        <sz val="13"/>
        <color theme="1"/>
        <rFont val="Calibri"/>
        <family val="2"/>
      </rPr>
      <t>60Pcs</t>
    </r>
  </si>
  <si>
    <t>V3 Clearing Charges 60pcs (Paid by A/R)</t>
  </si>
  <si>
    <t>Hamali Charges Paid by Encell Shop</t>
  </si>
  <si>
    <t>Other Expense Paid By Waheed Bhai</t>
  </si>
  <si>
    <r>
      <t>Sales V3</t>
    </r>
    <r>
      <rPr>
        <b/>
        <sz val="13"/>
        <color theme="1"/>
        <rFont val="Calibri"/>
        <family val="2"/>
      </rPr>
      <t xml:space="preserve">  </t>
    </r>
    <r>
      <rPr>
        <b/>
        <u/>
        <sz val="13"/>
        <color theme="1"/>
        <rFont val="Calibri"/>
        <family val="2"/>
      </rPr>
      <t>60 Pcs</t>
    </r>
  </si>
  <si>
    <t>Sell Encell Shop 20pcs</t>
  </si>
  <si>
    <t>Sell Encell Shop 30pcs</t>
  </si>
  <si>
    <t>Starlink V3  35Pcs</t>
  </si>
  <si>
    <t>Net Profit</t>
  </si>
  <si>
    <t>Online A/R A/C (Withdraw By Waheed Bhai)</t>
  </si>
  <si>
    <t>Starlink V3  60Pcs</t>
  </si>
  <si>
    <t>Less Jawed Bhai Profit 
15 pcs $150</t>
  </si>
  <si>
    <t>GST Charges $</t>
  </si>
  <si>
    <t xml:space="preserve">Shipping Charges  </t>
  </si>
  <si>
    <r>
      <t>Sales V3</t>
    </r>
    <r>
      <rPr>
        <b/>
        <sz val="13"/>
        <color theme="1"/>
        <rFont val="Calibri"/>
        <family val="2"/>
      </rPr>
      <t xml:space="preserve">   </t>
    </r>
    <r>
      <rPr>
        <b/>
        <u/>
        <sz val="13"/>
        <color theme="1"/>
        <rFont val="Calibri"/>
        <family val="2"/>
      </rPr>
      <t>35Pcs</t>
    </r>
  </si>
  <si>
    <t>Clearing Charges V3  60pcs</t>
  </si>
  <si>
    <t>Abdul Rehman Bhai Cash</t>
  </si>
  <si>
    <t>Waheed Bhai Cash</t>
  </si>
  <si>
    <t>Other Expense Paid By Waheed Bhai $360</t>
  </si>
  <si>
    <t>Online A/R Dubai A/C (Withdraw By Waheed Bhai)</t>
  </si>
  <si>
    <t>V3 35pcs Profit</t>
  </si>
  <si>
    <t xml:space="preserve">Shipping Invoice </t>
  </si>
  <si>
    <t>V3 Starlink</t>
  </si>
  <si>
    <t>SI0032</t>
  </si>
  <si>
    <t xml:space="preserve">Iphone 14 JV </t>
  </si>
  <si>
    <t>Bill SI0032</t>
  </si>
  <si>
    <t>Bill PI0011  (2x IP 15PM &amp; Apple Watch)</t>
  </si>
  <si>
    <t>Iphone 15 ProMax 256GB Natural</t>
  </si>
  <si>
    <t>Paid To Ashfaq Sahab Card Purchasing</t>
  </si>
  <si>
    <t>60 pcs Purchased  @474.58</t>
  </si>
  <si>
    <t>Sell</t>
  </si>
  <si>
    <t>Purchased 40pcs @474.58   (GST 1890)</t>
  </si>
  <si>
    <t>Purchased 5pcs @481.81   (GST 193)</t>
  </si>
  <si>
    <t>Expense $40 Petrol Charges</t>
  </si>
  <si>
    <t>Online A/R Meezan A/C (723897)</t>
  </si>
  <si>
    <t>Online A/R Meezan A/C (543849)</t>
  </si>
  <si>
    <t>Online A/R Meezan A/C (783921)</t>
  </si>
  <si>
    <t>Online Mudassir Meezan A/C  (217237)</t>
  </si>
  <si>
    <t>Online Mudassir Meezan A/C  (313456)</t>
  </si>
  <si>
    <t>PI0014</t>
  </si>
  <si>
    <t xml:space="preserve">USMAN </t>
  </si>
  <si>
    <t>Paid to Mudassir Bhai</t>
  </si>
  <si>
    <t>Mudassir Bhai AMGT Balance (4740 Aed @77)</t>
  </si>
  <si>
    <t>PI0015</t>
  </si>
  <si>
    <t>Cash Paid To Mudassir bhai</t>
  </si>
  <si>
    <t>SI0033</t>
  </si>
  <si>
    <t>AMGT</t>
  </si>
  <si>
    <t xml:space="preserve">V3 Starlink </t>
  </si>
  <si>
    <t>Shipment Clearing Charges</t>
  </si>
  <si>
    <t>unlocking Charges</t>
  </si>
  <si>
    <t>Paid to Waseem Amgt</t>
  </si>
  <si>
    <t>305 Yen Paid by A/R</t>
  </si>
  <si>
    <t>Sell AMGT Office 2pcs</t>
  </si>
  <si>
    <t>Expense $50 Toll Charges</t>
  </si>
  <si>
    <r>
      <t>Australia Purchasing  V3</t>
    </r>
    <r>
      <rPr>
        <b/>
        <sz val="13"/>
        <color theme="1"/>
        <rFont val="Calibri"/>
        <family val="2"/>
      </rPr>
      <t xml:space="preserve">  47Pcs  </t>
    </r>
    <r>
      <rPr>
        <b/>
        <u/>
        <sz val="13"/>
        <color theme="1"/>
        <rFont val="Calibri"/>
        <family val="2"/>
      </rPr>
      <t>06/06/2024</t>
    </r>
  </si>
  <si>
    <r>
      <t>Sales V3</t>
    </r>
    <r>
      <rPr>
        <b/>
        <sz val="13"/>
        <color theme="1"/>
        <rFont val="Calibri"/>
        <family val="2"/>
      </rPr>
      <t xml:space="preserve">  </t>
    </r>
    <r>
      <rPr>
        <b/>
        <u/>
        <sz val="13"/>
        <color theme="1"/>
        <rFont val="Calibri"/>
        <family val="2"/>
      </rPr>
      <t>47 Pcs</t>
    </r>
  </si>
  <si>
    <t>Sell AMGT 2pcs</t>
  </si>
  <si>
    <t>Starlink V3  47Pcs</t>
  </si>
  <si>
    <t>V3 60pcs Profit</t>
  </si>
  <si>
    <t>V3 47pcs Profit</t>
  </si>
  <si>
    <t xml:space="preserve">Clearing Charges Paid by A/R </t>
  </si>
  <si>
    <t>Hamali Charges Paid by A/R</t>
  </si>
  <si>
    <t>Sell Encell Shop 35pcs</t>
  </si>
  <si>
    <t>SI0034</t>
  </si>
  <si>
    <t>Bill No SI0034</t>
  </si>
  <si>
    <t>Starlink v3 47pcs Clearing charges</t>
  </si>
  <si>
    <t>hamali charges</t>
  </si>
  <si>
    <t>Bill No SI0034 (V3 2pcs)</t>
  </si>
  <si>
    <t>SI0035</t>
  </si>
  <si>
    <t>Iphone 11Pro 256Gb</t>
  </si>
  <si>
    <t>Bill No SI0035</t>
  </si>
  <si>
    <t>V2 1st invoice GST</t>
  </si>
  <si>
    <t>V2 2nd invoice GST</t>
  </si>
  <si>
    <t>Shipping Invoice GST</t>
  </si>
  <si>
    <t>v3 106 pcs GST</t>
  </si>
  <si>
    <t>v2 Shipping Invoice GST</t>
  </si>
  <si>
    <t>106pcs Shipping Invoice GST</t>
  </si>
  <si>
    <t>SI0036</t>
  </si>
  <si>
    <t>IP 15ProMax Black 256GB</t>
  </si>
  <si>
    <t>IP 15ProMax Blue 256GB</t>
  </si>
  <si>
    <t>IP 14 Purple 128GB</t>
  </si>
  <si>
    <t>USMAN Bhai</t>
  </si>
  <si>
    <t>PI0016</t>
  </si>
  <si>
    <t>S#</t>
  </si>
  <si>
    <t>MODEL</t>
  </si>
  <si>
    <t>GB</t>
  </si>
  <si>
    <t>COLOR</t>
  </si>
  <si>
    <t>IMEI/SN   BO</t>
  </si>
  <si>
    <t>X/HSO</t>
  </si>
  <si>
    <t>STATUS</t>
  </si>
  <si>
    <t>PRICE</t>
  </si>
  <si>
    <t>BLACK</t>
  </si>
  <si>
    <t>BOX</t>
  </si>
  <si>
    <t>NON-ACTIVE</t>
  </si>
  <si>
    <t>LOCK</t>
  </si>
  <si>
    <t>BLUE</t>
  </si>
  <si>
    <t>MIDNIGHT</t>
  </si>
  <si>
    <t>PURPLE</t>
  </si>
  <si>
    <t>14 Plus</t>
  </si>
  <si>
    <t>UNLOCK</t>
  </si>
  <si>
    <t>15 Plus</t>
  </si>
  <si>
    <t>15 Pro</t>
  </si>
  <si>
    <t>NATURAL</t>
  </si>
  <si>
    <t>15 Pro Max</t>
  </si>
  <si>
    <t>ACTIVE</t>
  </si>
  <si>
    <t>WHITE</t>
  </si>
  <si>
    <t>1TB</t>
  </si>
  <si>
    <t>Payment in AR Meezan A/C</t>
  </si>
  <si>
    <t>Iphone 14 Plus unlocking Charges  #356752987328123</t>
  </si>
  <si>
    <t>HSO</t>
  </si>
  <si>
    <t>13 Pro Max</t>
  </si>
  <si>
    <t>GREEN</t>
  </si>
  <si>
    <t>STARLIGHT</t>
  </si>
  <si>
    <t>Watch Ultra</t>
  </si>
  <si>
    <t>Pur.</t>
  </si>
  <si>
    <t>??</t>
  </si>
  <si>
    <t>Sell To</t>
  </si>
  <si>
    <t>Price</t>
  </si>
  <si>
    <t>IP 15 proMax blue</t>
  </si>
  <si>
    <t>IP 15 ProMax White</t>
  </si>
  <si>
    <t>IP 15 ProMax Natural</t>
  </si>
  <si>
    <t>Sell To razi</t>
  </si>
  <si>
    <t>2430 AED</t>
  </si>
  <si>
    <t>Name</t>
  </si>
  <si>
    <t>Sell To Shoaib Bhai</t>
  </si>
  <si>
    <t>2475 Aed</t>
  </si>
  <si>
    <t>Galaxy S22 Ultra</t>
  </si>
  <si>
    <t>A BOX</t>
  </si>
  <si>
    <t>Pixel 8</t>
  </si>
  <si>
    <t>G-Play</t>
  </si>
  <si>
    <t>--</t>
  </si>
  <si>
    <t>SILVER</t>
  </si>
  <si>
    <t>Galaxy A03s</t>
  </si>
  <si>
    <t>Galaxy A11</t>
  </si>
  <si>
    <t>Galaxy A12</t>
  </si>
  <si>
    <t>Galaxy A13</t>
  </si>
  <si>
    <t>Galaxy A14</t>
  </si>
  <si>
    <t>Galaxy A20</t>
  </si>
  <si>
    <t>Galaxy A21`</t>
  </si>
  <si>
    <t>Galaxy A25</t>
  </si>
  <si>
    <t>Galaxy A32</t>
  </si>
  <si>
    <t>Galaxy Note 9</t>
  </si>
  <si>
    <t>Galaxy S20FE</t>
  </si>
  <si>
    <t>Galaxy S8</t>
  </si>
  <si>
    <t>Aed Price</t>
  </si>
  <si>
    <t>Unlocking Charges</t>
  </si>
  <si>
    <t>RABI</t>
  </si>
  <si>
    <t>SI0037</t>
  </si>
  <si>
    <t>Bill No SI0036</t>
  </si>
  <si>
    <t>USMAN (LOCK PHONES)</t>
  </si>
  <si>
    <t>Samsung</t>
  </si>
  <si>
    <t>Google</t>
  </si>
  <si>
    <t>iPhone</t>
  </si>
  <si>
    <t>Motorola</t>
  </si>
  <si>
    <t>MAKE</t>
  </si>
  <si>
    <t>ok</t>
  </si>
  <si>
    <t>Purple</t>
  </si>
  <si>
    <t>G6Play</t>
  </si>
  <si>
    <t>Gpower</t>
  </si>
  <si>
    <t>Gstylus</t>
  </si>
  <si>
    <t>Sell TO</t>
  </si>
  <si>
    <t>Rabi</t>
  </si>
  <si>
    <t xml:space="preserve">IP 15 Pro Max Natural </t>
  </si>
  <si>
    <t>Bill No SI0037</t>
  </si>
  <si>
    <t>SI0038</t>
  </si>
  <si>
    <t>IP 15 Pro Max Blue</t>
  </si>
  <si>
    <t>Bill No SI0038</t>
  </si>
  <si>
    <t>Cash Payment From Saad</t>
  </si>
  <si>
    <t>PI0017</t>
  </si>
  <si>
    <t>Watch Ultra (10/06/2024)</t>
  </si>
  <si>
    <t>Watch Ultra (11/06/2024)</t>
  </si>
  <si>
    <t>Watch Ultra (12/06/2024)</t>
  </si>
  <si>
    <t>Cash Deposite Mudassir Bhai Meezan A/C</t>
  </si>
  <si>
    <t>Recvd</t>
  </si>
  <si>
    <t>Pending</t>
  </si>
  <si>
    <t>SI0039</t>
  </si>
  <si>
    <t>Bill No SI0039  (Starlink V3)</t>
  </si>
  <si>
    <t>Online A/R Meezan A/C (462165)</t>
  </si>
  <si>
    <t>Online Mudassir Meezan A/C  (299845)</t>
  </si>
  <si>
    <r>
      <t xml:space="preserve">Bill SI0025  </t>
    </r>
    <r>
      <rPr>
        <b/>
        <sz val="11"/>
        <color rgb="FFFF0000"/>
        <rFont val="Calibri"/>
        <family val="2"/>
        <scheme val="minor"/>
      </rPr>
      <t>(13ProMax Pending Copy LCD)</t>
    </r>
  </si>
  <si>
    <t>Paid to Waseem Bhai Amgt By Saad</t>
  </si>
  <si>
    <t>Paid to Razi By A/R</t>
  </si>
  <si>
    <t>Bill No SI0029 (IP 15ProMax)</t>
  </si>
  <si>
    <t>USA</t>
  </si>
  <si>
    <t>itemdescription</t>
  </si>
  <si>
    <t>model</t>
  </si>
  <si>
    <t>serialnumber</t>
  </si>
  <si>
    <t>Unit_Selling_Price</t>
  </si>
  <si>
    <t>353210480465135</t>
  </si>
  <si>
    <t>352996439195390</t>
  </si>
  <si>
    <t>352206202468937</t>
  </si>
  <si>
    <t>355387490063866</t>
  </si>
  <si>
    <t>Apple / iPhone 13 / A2482 / 128GB / Midnight / ATT / LOCKED / TPS B+</t>
  </si>
  <si>
    <t>iPhone 13</t>
  </si>
  <si>
    <t>358424173344284</t>
  </si>
  <si>
    <t>Apple / iPhone 13 Pro Max / A2484 / 128GB / Gold / Other / LOCKED / TPS B+</t>
  </si>
  <si>
    <t>350879906673374</t>
  </si>
  <si>
    <t>358677231286348</t>
  </si>
  <si>
    <t>355387492376829</t>
  </si>
  <si>
    <t>358677238142254</t>
  </si>
  <si>
    <t>Apple / iPhone 13 Pro Max / A2484 / 512GB / Graphite / Other / LOCKED / TPS B+</t>
  </si>
  <si>
    <t>352114957605218</t>
  </si>
  <si>
    <t>Apple / iPhone 13 Pro Max / A2484 / 128GB / Gold / ATT / LOCKED / TPS A+</t>
  </si>
  <si>
    <t>350750729028247</t>
  </si>
  <si>
    <t>Apple / iPhone 13 Pro Max / A2484 / 128GB / Sierra Blue / T-Mobile / LOCKED / TPS B+</t>
  </si>
  <si>
    <t>352114951211716</t>
  </si>
  <si>
    <t>Apple / iPhone 13 Pro Max / A2484 / 256GB / Graphite / T-Mobile / LOCKED / TPS B+</t>
  </si>
  <si>
    <t>356955702312393</t>
  </si>
  <si>
    <t>357680883094920</t>
  </si>
  <si>
    <t>Apple / iPhone 13 Pro Max / A2484 / 128GB / Graphite / ATT / LOCKED / TPS B+</t>
  </si>
  <si>
    <t>358074299753817</t>
  </si>
  <si>
    <t>Apple / iPhone 13 Pro Max / A2484 / 128GB / Silver / ATT / LOCKED / TPS B+</t>
  </si>
  <si>
    <t>350566104566654</t>
  </si>
  <si>
    <t>356985729015232</t>
  </si>
  <si>
    <t>353935593810666</t>
  </si>
  <si>
    <t>350980293504386</t>
  </si>
  <si>
    <t>354455407259389</t>
  </si>
  <si>
    <t>356815602205677</t>
  </si>
  <si>
    <t>358800350563095</t>
  </si>
  <si>
    <t>Apple / iPhone 13 / A2482 / 128GB / Green / T-Mobile / LOCKED / TPS B+</t>
  </si>
  <si>
    <t>353207337752921</t>
  </si>
  <si>
    <t>352839112489120</t>
  </si>
  <si>
    <t>352852110053525</t>
  </si>
  <si>
    <t>352853113940551</t>
  </si>
  <si>
    <t>353894103170212</t>
  </si>
  <si>
    <t>353894103412655</t>
  </si>
  <si>
    <t>353897106903257</t>
  </si>
  <si>
    <t>353900108808761</t>
  </si>
  <si>
    <t>353902105323133</t>
  </si>
  <si>
    <t>353902109568212</t>
  </si>
  <si>
    <t>353906109702127</t>
  </si>
  <si>
    <t>352838110469092</t>
  </si>
  <si>
    <t>352845113806584</t>
  </si>
  <si>
    <t>352845114775556</t>
  </si>
  <si>
    <t>352846111167011</t>
  </si>
  <si>
    <t>353887101726662</t>
  </si>
  <si>
    <t>353893103795234</t>
  </si>
  <si>
    <t>353897106535455</t>
  </si>
  <si>
    <t>353901102490358</t>
  </si>
  <si>
    <t>353904108703048</t>
  </si>
  <si>
    <t>353905102904912</t>
  </si>
  <si>
    <t>Apple / iPhone 11 Pro Max / A2218 / 256GB / Silver / Unlocked / UNLOCKED / TPS C+</t>
  </si>
  <si>
    <t>353919101051948</t>
  </si>
  <si>
    <t>iPhone 13 Pro Max256GB.Gold</t>
  </si>
  <si>
    <t>iPhone 13 Pro Max.256GB.Sierra Blue</t>
  </si>
  <si>
    <t>iPhone 13 Pro Max.256GB.Sierra Blue.</t>
  </si>
  <si>
    <t>iPhone 13 128GB  Midnight LOCKED</t>
  </si>
  <si>
    <t xml:space="preserve">iPhone 13 Pro Max 128GB Gold LOCKED </t>
  </si>
  <si>
    <t xml:space="preserve">iPhone 13 Pro Max 128GB / Gold LOCKED </t>
  </si>
  <si>
    <t xml:space="preserve">iPhone 13 Pro Max 256GB / Sierra Blue LOCKED </t>
  </si>
  <si>
    <t xml:space="preserve">iPhone 13 Pro Max / 512GB / Graphite LOCKED </t>
  </si>
  <si>
    <t xml:space="preserve">iPhone 13 Pro Max 128GB / Sierra Blue LOCKED </t>
  </si>
  <si>
    <t xml:space="preserve">iPhone 13 Pro Max 256GB / Graphite LOCKED </t>
  </si>
  <si>
    <t xml:space="preserve">iPhone 13 Pro Max 128GB / Graphite LOCKED </t>
  </si>
  <si>
    <t xml:space="preserve">iPhone 13 Pro Max 128GB / Silver LOCKED </t>
  </si>
  <si>
    <t xml:space="preserve">iPhone 13 128GB / Midnight LOCKED / </t>
  </si>
  <si>
    <t xml:space="preserve"> iPhone 13 / 128GB / Midnight LOCKED </t>
  </si>
  <si>
    <t xml:space="preserve">iPhone 13 Pro Max 256GB Gold / LOCKED </t>
  </si>
  <si>
    <t xml:space="preserve">iPhone 13 128GB / Green LOCKED </t>
  </si>
  <si>
    <t xml:space="preserve">iPhone 11 Pro Max 256GB / Silver UNLOCKED </t>
  </si>
  <si>
    <t xml:space="preserve">iPhone 11 Pro Max 256GB / Silver / Unlocked </t>
  </si>
  <si>
    <t xml:space="preserve">iPhone 11 Pro Max 256GB / Gold / Unlocked </t>
  </si>
  <si>
    <t>Purchasing Ali karachi</t>
  </si>
  <si>
    <t>Sell to AMGT 6pcs</t>
  </si>
  <si>
    <t>Sell To AMGT 7pcs</t>
  </si>
  <si>
    <t>Sell Encell Shop 5pcs</t>
  </si>
  <si>
    <t>SI0040</t>
  </si>
  <si>
    <t>SI0041</t>
  </si>
  <si>
    <t>Bill No SI0041 (V3 13pcs)</t>
  </si>
  <si>
    <t>Cash Payment From Office (zulqarnain payment)</t>
  </si>
  <si>
    <t>Payment From Saad</t>
  </si>
  <si>
    <t>Bill No SI0040 (Starlink V3)</t>
  </si>
  <si>
    <t>SI0042</t>
  </si>
  <si>
    <t xml:space="preserve">IP 12 </t>
  </si>
  <si>
    <t>IP 13 Pro</t>
  </si>
  <si>
    <t>IP 11 Pro</t>
  </si>
  <si>
    <t>IP 12 ProMax</t>
  </si>
  <si>
    <t>IP 14 ProMax</t>
  </si>
  <si>
    <t>Umer Gujranwala</t>
  </si>
  <si>
    <t>UMER GUJRANWALA</t>
  </si>
  <si>
    <t>Bill No SI0042</t>
  </si>
  <si>
    <t>Airpods Purchase And Sell to usama Saleem</t>
  </si>
  <si>
    <t>Cash Received by AR</t>
  </si>
  <si>
    <t>PI0018</t>
  </si>
  <si>
    <t>Bill No PI0018</t>
  </si>
  <si>
    <t>PI0019</t>
  </si>
  <si>
    <t xml:space="preserve">Watch Ultra 2 </t>
  </si>
  <si>
    <t>Bill PI0019  (4 watches)</t>
  </si>
  <si>
    <t>Sell AMGT Office 6pcs</t>
  </si>
  <si>
    <t>Sell Encell Shop 35pcs &amp; 2pcs</t>
  </si>
  <si>
    <t>Bill PI0009  (1x IP 15ProMax 256GB Blue)</t>
  </si>
  <si>
    <t>Bill PI0015 (3 x IP15  &amp; 2xWatch)</t>
  </si>
  <si>
    <t>Bill PI0017 (3x watch)</t>
  </si>
  <si>
    <t xml:space="preserve">Add 15/06/2024 </t>
  </si>
  <si>
    <t>SI0043</t>
  </si>
  <si>
    <t>IP 13 Pro Max</t>
  </si>
  <si>
    <t>Received By Saad Encell</t>
  </si>
  <si>
    <t>SI0044</t>
  </si>
  <si>
    <t>Bill No SI0044</t>
  </si>
  <si>
    <t>RABI &amp; RAZI</t>
  </si>
  <si>
    <t>SI0045</t>
  </si>
  <si>
    <t>IP 15Pro Max 256 Black</t>
  </si>
  <si>
    <t>Bill No SI0045</t>
  </si>
  <si>
    <t>Payment From Saad (Suadi Riyal For AR)</t>
  </si>
  <si>
    <t>35pcs V3 Starlink GST</t>
  </si>
  <si>
    <t>35pcs Shipping Charges GST</t>
  </si>
  <si>
    <t>60pcs V3 Starlink GST</t>
  </si>
  <si>
    <t>40pcs V3 Starlink GST</t>
  </si>
  <si>
    <t>05pcs V3 Starlink GST</t>
  </si>
  <si>
    <t>02pcs V3 Starlink GST</t>
  </si>
  <si>
    <t>47pcs Shipping Charges GST</t>
  </si>
  <si>
    <t>60pcs Shipping Charges GST</t>
  </si>
  <si>
    <t>-</t>
  </si>
  <si>
    <t>35 pcs GST Charges</t>
  </si>
  <si>
    <t>Shipping Charges   GST</t>
  </si>
  <si>
    <t>Hamali Charges Paid by AR</t>
  </si>
  <si>
    <t>V3 35pcs  Hamali Charges</t>
  </si>
  <si>
    <t>Sell AMGT Office 7pcs</t>
  </si>
  <si>
    <t>PI0020</t>
  </si>
  <si>
    <t>Bill PI0020  (1 watches)</t>
  </si>
  <si>
    <t>IP 14 128GB Lock</t>
  </si>
  <si>
    <t>V3 35pcs Other Expense</t>
  </si>
  <si>
    <t>Other Expense Paid by Waheed Bhai</t>
  </si>
  <si>
    <t xml:space="preserve"> </t>
  </si>
  <si>
    <t>V3 47pcs $40 petrol Charges</t>
  </si>
  <si>
    <t>V3 47pcs $50 Toll Charges</t>
  </si>
  <si>
    <r>
      <t>Less Jawed Bhai Profit 
35pcs</t>
    </r>
    <r>
      <rPr>
        <sz val="11"/>
        <color theme="1"/>
        <rFont val="Calibri"/>
        <family val="2"/>
        <scheme val="minor"/>
      </rPr>
      <t xml:space="preserve">   $350</t>
    </r>
  </si>
  <si>
    <t>ARY Laguna A/C (From Noman Bhai A/R)  200000PKR</t>
  </si>
  <si>
    <t>ARY Laguna A/C (From Noman Bhai A/R)  62,222PKR</t>
  </si>
  <si>
    <t>Total Business GST Half Payment</t>
  </si>
  <si>
    <t>Online Mudassir Meezan A/C (688127)</t>
  </si>
  <si>
    <t>Online Mudassir Meezan A/C (547071)</t>
  </si>
  <si>
    <t>Online Mudassir Meezan A/C  (688127)</t>
  </si>
  <si>
    <t>Online Mudassir Meezan A/C  (547071)</t>
  </si>
  <si>
    <t>Online Mudassir Meezan A/C (214570)</t>
  </si>
  <si>
    <t>Online Mudassir Meezan A/C (531642)</t>
  </si>
  <si>
    <t>Rate Difference Iphone 11 Or 11ProMax</t>
  </si>
  <si>
    <t>Unlocking May-2024</t>
  </si>
  <si>
    <t>Shipping And Custome Charges</t>
  </si>
  <si>
    <t>Invoice ???</t>
  </si>
  <si>
    <t>Cash ???</t>
  </si>
  <si>
    <t>SI0046</t>
  </si>
  <si>
    <t>IP 15 128GB Lock</t>
  </si>
  <si>
    <t>SI0047</t>
  </si>
  <si>
    <t>IP 15 Pro 128GB Natural</t>
  </si>
  <si>
    <t>IP 15 Pro 512GB Natural</t>
  </si>
  <si>
    <t>IP 15 Pro 256GB Black</t>
  </si>
  <si>
    <t>IP 15 Pro 128GB Black</t>
  </si>
  <si>
    <t>Bill No SI0047</t>
  </si>
  <si>
    <t>Bill No SI0046</t>
  </si>
  <si>
    <t>Cash Payment To Saad</t>
  </si>
  <si>
    <t>From Razi</t>
  </si>
  <si>
    <t>Profit &amp; Loss</t>
  </si>
  <si>
    <t>Sell Price</t>
  </si>
  <si>
    <t>Purchasing Price</t>
  </si>
  <si>
    <t>Online Mudassir Meezan A/C  (214570)</t>
  </si>
  <si>
    <t>Online Mudassir Meezan A/C  (531642)</t>
  </si>
  <si>
    <t>Online Mudassir Meezan A/C  (667244)</t>
  </si>
  <si>
    <t>Lock Phones</t>
  </si>
  <si>
    <t>Payment From Saad  (online A/R A/C 76000 PKR)</t>
  </si>
  <si>
    <t>Received Encell Shop
24/06/2024</t>
  </si>
  <si>
    <t>Payment To Waheed Bhai (6000 $) From AR dubai A/C</t>
  </si>
  <si>
    <t>Missing By mistake Send To usman</t>
  </si>
  <si>
    <t>Cash (Encell Shop Riyal payment)</t>
  </si>
  <si>
    <t>Cash (Encell Shop)</t>
  </si>
  <si>
    <r>
      <t>Australia Purchasing  V3</t>
    </r>
    <r>
      <rPr>
        <b/>
        <sz val="13"/>
        <color theme="1"/>
        <rFont val="Calibri"/>
        <family val="2"/>
      </rPr>
      <t xml:space="preserve">  94Pcs  </t>
    </r>
    <r>
      <rPr>
        <b/>
        <u/>
        <sz val="13"/>
        <color theme="1"/>
        <rFont val="Calibri"/>
        <family val="2"/>
      </rPr>
      <t>25/06/2024</t>
    </r>
  </si>
  <si>
    <t>Other Expense Paid by Waheed Bhai
ticket/car/petrol/toll/bus)</t>
  </si>
  <si>
    <t>Refundable Charges 94Units  @597-522.04 =74.96</t>
  </si>
  <si>
    <t>Shipping Charges paid By Waheed Bhai</t>
  </si>
  <si>
    <r>
      <t>Sales V3</t>
    </r>
    <r>
      <rPr>
        <b/>
        <sz val="13"/>
        <color theme="1"/>
        <rFont val="Calibri"/>
        <family val="2"/>
      </rPr>
      <t xml:space="preserve">  </t>
    </r>
    <r>
      <rPr>
        <b/>
        <u/>
        <sz val="13"/>
        <color theme="1"/>
        <rFont val="Calibri"/>
        <family val="2"/>
      </rPr>
      <t>94 Pcs</t>
    </r>
  </si>
  <si>
    <t xml:space="preserve">Ref #1007 </t>
  </si>
  <si>
    <t>Refundable Charges 12.5Units  @597-522.04 =74.96</t>
  </si>
  <si>
    <t xml:space="preserve">81.5pcs Refundable Charges </t>
  </si>
  <si>
    <t>SI0048</t>
  </si>
  <si>
    <t>IP 13 ProMax 512 Gb</t>
  </si>
  <si>
    <t>IP 13 ProMax 256 Gb</t>
  </si>
  <si>
    <t>IP 13 ProMax 128 Gb</t>
  </si>
  <si>
    <t xml:space="preserve">IP 15Plus </t>
  </si>
  <si>
    <t>EuroNExt</t>
  </si>
  <si>
    <t>Bill SI0048</t>
  </si>
  <si>
    <t>SI0049</t>
  </si>
  <si>
    <t>SI0050</t>
  </si>
  <si>
    <t>IP 15ProMax 256GB Nonactive</t>
  </si>
  <si>
    <t>IP 15ProMax 256GB active</t>
  </si>
  <si>
    <t>Bill No SI0050</t>
  </si>
  <si>
    <t xml:space="preserve">Hamali Charges Paid </t>
  </si>
  <si>
    <t>Payment From Saad (V3 Payment)</t>
  </si>
  <si>
    <t>Payment From Saad (paid to Tabish)</t>
  </si>
  <si>
    <t xml:space="preserve">Deposite Ashfaq Sahab Card </t>
  </si>
  <si>
    <t>Bill No SI0049 (V3 Bill)</t>
  </si>
  <si>
    <t>PI0021</t>
  </si>
  <si>
    <t>Online Mudassir Meezan A/C  (415255) (mistakenly payment Returned AR A/C)</t>
  </si>
  <si>
    <t>Bill PI0021  (2 watches)</t>
  </si>
  <si>
    <t>Online Mudassir Meezan A/C  (277635)</t>
  </si>
  <si>
    <t>Online A/R Meezan A/C (506959)</t>
  </si>
  <si>
    <t>Online A/R Meezan A/C (998295)</t>
  </si>
  <si>
    <t>Online A/R Meezan A/C (491790)</t>
  </si>
  <si>
    <t>Online A/R Meezan A/C (552954)</t>
  </si>
  <si>
    <t>Online Mudassir Meezan A/C (415255)</t>
  </si>
  <si>
    <t>Received Encell Shop
27/06/2024</t>
  </si>
  <si>
    <t>Surcharge Include</t>
  </si>
  <si>
    <t>26pcs Sell To Encell Shop @1580</t>
  </si>
  <si>
    <t>Starlink V3  94Pcs</t>
  </si>
  <si>
    <t>SI0051</t>
  </si>
  <si>
    <t>Bill No SI0051 (V3 Bill)</t>
  </si>
  <si>
    <t>Cargo Charges Paid</t>
  </si>
  <si>
    <t>20pcs Sell To Encell Shop @1575</t>
  </si>
  <si>
    <t>Cargo Charges Paid by A/R</t>
  </si>
  <si>
    <t>SI0052</t>
  </si>
  <si>
    <t>Sell To encell Shop</t>
  </si>
  <si>
    <t>2720 AED</t>
  </si>
  <si>
    <t>Bill No SI0052</t>
  </si>
  <si>
    <t xml:space="preserve">Payment From Saad </t>
  </si>
  <si>
    <t>SI0053</t>
  </si>
  <si>
    <t>IP 15 ProMax 256Gb lock Active</t>
  </si>
  <si>
    <t>IP 15 ProMax 256Gb lock Non.A</t>
  </si>
  <si>
    <t>Bill No SI0053</t>
  </si>
  <si>
    <t>Invoice???</t>
  </si>
  <si>
    <t xml:space="preserve">V3 Hamali Charges </t>
  </si>
  <si>
    <t>V3 Clearing Charges</t>
  </si>
  <si>
    <t>V3 Hamali Charges Paid by A/R (ali karachi Ledger)</t>
  </si>
  <si>
    <t>V3 Clearing Charges Paid by A/R (Ali karachi Ledger)</t>
  </si>
  <si>
    <t>Online ARY Laguna (Paid by A/R) 30,000/76</t>
  </si>
  <si>
    <t>Online ARY Laguna (Paid by A/R) 97,774/76</t>
  </si>
  <si>
    <t>Online ARY Laguna (Paid by A/R) 164,448/76</t>
  </si>
  <si>
    <t>94pcs other Expense $750 @2.44</t>
  </si>
  <si>
    <t>94pcs Shipping Charges paid By Waheed Bhai $3687.51</t>
  </si>
  <si>
    <t>Online Transaction By Waheed Bhai (AR Dubai A/C)</t>
  </si>
  <si>
    <t>SI0054</t>
  </si>
  <si>
    <t>A/R Cash Sale</t>
  </si>
  <si>
    <t xml:space="preserve">IP 15 Pink 128GB </t>
  </si>
  <si>
    <t xml:space="preserve">Cash By A/R </t>
  </si>
  <si>
    <t>SI0055</t>
  </si>
  <si>
    <t>Umair</t>
  </si>
  <si>
    <t>Sell to umair</t>
  </si>
  <si>
    <t>2475 AED</t>
  </si>
  <si>
    <t>Bill No SI0055</t>
  </si>
  <si>
    <t>Local US Shipping Charge$58.16</t>
  </si>
  <si>
    <t>Air Freight Charges $78.63</t>
  </si>
  <si>
    <t>Dubai (Import + Delivery)  $13.65</t>
  </si>
  <si>
    <t>Commission Charges $235.46</t>
  </si>
  <si>
    <t>Cash Handling Charges $18.30</t>
  </si>
  <si>
    <t>Total $444.2 @3.674  =1,631.99Aed 
Add 44Phone  @37.09Aed</t>
  </si>
  <si>
    <t>other charges
 Add</t>
  </si>
  <si>
    <t>US Wire Charges $80</t>
  </si>
  <si>
    <t>Local US Shipping Charge$52.55</t>
  </si>
  <si>
    <t>Air Freight Charges $63.02</t>
  </si>
  <si>
    <t>Dubai (Import + Delivery)  $32.07</t>
  </si>
  <si>
    <t>Commission Charges $291.76</t>
  </si>
  <si>
    <t>Cash Handling Charges $22.66</t>
  </si>
  <si>
    <t>Total $542.06 @3.674  =1,991.528Aed 
Add 44Phone  @45.26Aed</t>
  </si>
  <si>
    <t>add charges</t>
  </si>
  <si>
    <t>Apple / iPhone 13 Pro Max / A2484 / 128GB / Sierra Blue / Other / LOCKED / TPS A+</t>
  </si>
  <si>
    <t>Apple / iPhone 13 Pro Max / A2484 / 256GB / Sierra Blue / Other / LOCKED / TPS A+</t>
  </si>
  <si>
    <t>Apple / iPhone 13 Pro Max / A2484 / 256GB / Sierra Blue / T-Mobile / LOCKED / TPS C+</t>
  </si>
  <si>
    <t>Apple / iPhone 13 Pro Max / A2484 / 128GB / Sierra Blue / ATT / LOCKED / TPS C+</t>
  </si>
  <si>
    <t>Apple / iPhone 11 Pro Max / A2218 / 512GB / Silver / Unlocked / UNLOCKED / TPS C+</t>
  </si>
  <si>
    <t>350879907807583</t>
  </si>
  <si>
    <t>353210483495543</t>
  </si>
  <si>
    <t>355380250770101</t>
  </si>
  <si>
    <t>356985723265502</t>
  </si>
  <si>
    <t>352865677419269</t>
  </si>
  <si>
    <t>352941882148033</t>
  </si>
  <si>
    <t>353941306390970</t>
  </si>
  <si>
    <t>355130340129960</t>
  </si>
  <si>
    <t>355402930902282</t>
  </si>
  <si>
    <t>356122179107455</t>
  </si>
  <si>
    <t>357573495222304</t>
  </si>
  <si>
    <t>359888172123262</t>
  </si>
  <si>
    <t>358074291879354</t>
  </si>
  <si>
    <t>356370164358381</t>
  </si>
  <si>
    <t>356985720766734</t>
  </si>
  <si>
    <t>352569484236078</t>
  </si>
  <si>
    <t>352857112709313</t>
  </si>
  <si>
    <t>353889109578715</t>
  </si>
  <si>
    <t>353902105267751</t>
  </si>
  <si>
    <t>352114955598795</t>
  </si>
  <si>
    <t>354941733545955</t>
  </si>
  <si>
    <t>359272539675126</t>
  </si>
  <si>
    <t>352847111148597</t>
  </si>
  <si>
    <t>353890105674136</t>
  </si>
  <si>
    <t>353894108445973</t>
  </si>
  <si>
    <t>353919103112409</t>
  </si>
  <si>
    <t>353910101180159</t>
  </si>
  <si>
    <t>353919100367360</t>
  </si>
  <si>
    <t>Unit</t>
  </si>
  <si>
    <t>SI0056</t>
  </si>
  <si>
    <t>Hamza Karachi</t>
  </si>
  <si>
    <t>IP 13 ProMax 256GB</t>
  </si>
  <si>
    <t xml:space="preserve">IP 13 ProMax 256 Gb </t>
  </si>
  <si>
    <t>94pcs Total GST @$48</t>
  </si>
  <si>
    <t>Ashfaq Shab Card  57.5 Units @474</t>
  </si>
  <si>
    <t>Ashfaq Shab Card  24 Units @474</t>
  </si>
  <si>
    <t>Waheed Bhai Card 12.5 Units @474</t>
  </si>
  <si>
    <t>81.5pcs GST Charges</t>
  </si>
  <si>
    <t>SI0058</t>
  </si>
  <si>
    <t>SI0057</t>
  </si>
  <si>
    <t>IP 13 ProMax 512GB</t>
  </si>
  <si>
    <t>Starlink (V3)</t>
  </si>
  <si>
    <t>Bill No SI0058  (V3)</t>
  </si>
  <si>
    <t>Bill No SI0057 (13ProMax)</t>
  </si>
  <si>
    <t>Payment From Saad  (V3)</t>
  </si>
  <si>
    <t>Cargo Charges Paid (V3)</t>
  </si>
  <si>
    <t>Hamali Charges (V3)</t>
  </si>
  <si>
    <t>V3 Hamali Charges Paid by A/R (Encell Shop)</t>
  </si>
  <si>
    <t>V3 Clearing Charges Paid by A/R (Encell Shop)</t>
  </si>
  <si>
    <t>Ref #1007  Starlink V3 94Pcs Profit</t>
  </si>
  <si>
    <r>
      <t xml:space="preserve">V3 35pcs Profit  $10  Each  </t>
    </r>
    <r>
      <rPr>
        <b/>
        <sz val="11"/>
        <color theme="1"/>
        <rFont val="Calibri"/>
        <family val="2"/>
      </rPr>
      <t>Total $350</t>
    </r>
    <r>
      <rPr>
        <sz val="11"/>
        <color theme="1"/>
        <rFont val="Calibri"/>
        <family val="2"/>
      </rPr>
      <t xml:space="preserve"> 19 May To 8June</t>
    </r>
  </si>
  <si>
    <r>
      <t xml:space="preserve">V3 15pcs Profit  $10  Each  </t>
    </r>
    <r>
      <rPr>
        <b/>
        <sz val="11"/>
        <color theme="1"/>
        <rFont val="Calibri"/>
        <family val="2"/>
      </rPr>
      <t>Total $150</t>
    </r>
    <r>
      <rPr>
        <sz val="11"/>
        <color theme="1"/>
        <rFont val="Calibri"/>
        <family val="2"/>
      </rPr>
      <t xml:space="preserve"> 19 May To 8June</t>
    </r>
  </si>
  <si>
    <t>Less Jawed Bhai Profit 
2nd Profit $500</t>
  </si>
  <si>
    <t>Jawed Bhai 2nd Profit 9.June To 29.June  $500</t>
  </si>
  <si>
    <t>Online A/R Meezan A/C (Nadeem Ghani A/C waheed Bhai Payment 250,000/76)</t>
  </si>
  <si>
    <t>Online Nadeem Ghani A/C (AR meezan A/C 250,000/76)</t>
  </si>
  <si>
    <t>Returned To Usman</t>
  </si>
  <si>
    <t>Purchased Returned Invoice</t>
  </si>
  <si>
    <t>IPHONE 14 Plus Unlock 128GB</t>
  </si>
  <si>
    <t>IPHONE 15ProMax Unlock 256GB</t>
  </si>
  <si>
    <t>IPHONE 15ProMax Lock 512GB</t>
  </si>
  <si>
    <t>IPHONE 15ProMax Lock 1.TB</t>
  </si>
  <si>
    <t>PR0022</t>
  </si>
  <si>
    <t>5pcs Returned Invoice PR0022</t>
  </si>
  <si>
    <t>SI0059</t>
  </si>
  <si>
    <t>IP 15 ProMax 256Gb White</t>
  </si>
  <si>
    <t>Ref #1008</t>
  </si>
  <si>
    <r>
      <t>Australia Purchasing  V3</t>
    </r>
    <r>
      <rPr>
        <b/>
        <sz val="13"/>
        <color theme="1"/>
        <rFont val="Calibri"/>
        <family val="2"/>
      </rPr>
      <t xml:space="preserve">  59Pcs  </t>
    </r>
    <r>
      <rPr>
        <b/>
        <u/>
        <sz val="13"/>
        <color theme="1"/>
        <rFont val="Calibri"/>
        <family val="2"/>
      </rPr>
      <t>30/06/2024</t>
    </r>
  </si>
  <si>
    <t>Petrol Expense (Ab + WB Card)</t>
  </si>
  <si>
    <t>4pcs Harvey Norman $500</t>
  </si>
  <si>
    <t>3 JB hi fi  $500</t>
  </si>
  <si>
    <t>2 JB Hi fi $500  (WB Card)</t>
  </si>
  <si>
    <t xml:space="preserve">3 JB Hi fi $522  </t>
  </si>
  <si>
    <r>
      <t xml:space="preserve">1 JB Hi fi $522  </t>
    </r>
    <r>
      <rPr>
        <b/>
        <u/>
        <sz val="11"/>
        <color rgb="FFFF0000"/>
        <rFont val="Calibri"/>
        <family val="2"/>
      </rPr>
      <t>(Pending )</t>
    </r>
  </si>
  <si>
    <t>Refundable Amount 46 Pcs  @75</t>
  </si>
  <si>
    <t>46 Bunnings $522</t>
  </si>
  <si>
    <t>Refundable Amount Adjust</t>
  </si>
  <si>
    <t>46pcs Refundable Charges $75</t>
  </si>
  <si>
    <t>Shipping Charges Paid (AR Card)</t>
  </si>
  <si>
    <r>
      <t>Sales V3</t>
    </r>
    <r>
      <rPr>
        <b/>
        <sz val="13"/>
        <color theme="1"/>
        <rFont val="Calibri"/>
        <family val="2"/>
      </rPr>
      <t xml:space="preserve">  59</t>
    </r>
    <r>
      <rPr>
        <b/>
        <u/>
        <sz val="13"/>
        <color theme="1"/>
        <rFont val="Calibri"/>
        <family val="2"/>
      </rPr>
      <t xml:space="preserve"> Pcs</t>
    </r>
  </si>
  <si>
    <t>Ref #1008  (2JB Hi fi $500 Each)</t>
  </si>
  <si>
    <t>Apple</t>
  </si>
  <si>
    <t>Watch ultra</t>
  </si>
  <si>
    <t>Discount $10</t>
  </si>
  <si>
    <t>Discount $30</t>
  </si>
  <si>
    <t>New Purchased</t>
  </si>
  <si>
    <t>AR Sell</t>
  </si>
  <si>
    <t xml:space="preserve">Ultra 2 </t>
  </si>
  <si>
    <t>Updated 02/07/2024</t>
  </si>
  <si>
    <t>2 iphone 15 kit discount $10</t>
  </si>
  <si>
    <t>1 iphone 15pm kit discount $30</t>
  </si>
  <si>
    <t>Watch ultra Purchased</t>
  </si>
  <si>
    <t>Watch Ultra 2 358161187420516</t>
  </si>
  <si>
    <t>PI0023</t>
  </si>
  <si>
    <t>Bill PI0023  (1 watches)</t>
  </si>
  <si>
    <t>Online A/R Meezan A/C (424249)</t>
  </si>
  <si>
    <t>Online A/R Meezan A/C (557029)</t>
  </si>
  <si>
    <t>Online A/R Meezan A/C (869824)</t>
  </si>
  <si>
    <t>Online A/R Meezan A/C (849201)</t>
  </si>
  <si>
    <t>Online A/R Meezan A/C (330564)</t>
  </si>
  <si>
    <t>Online A/R Meezan A/C (778359)</t>
  </si>
  <si>
    <t>Online A/R Meezan A/C (819788)</t>
  </si>
  <si>
    <t>Taha Bhai Payable  24,079 PKR</t>
  </si>
  <si>
    <t>Online A/R Meezan A/C (Agha M.Aftab A/C waheed Bhai Payment 40000/76)</t>
  </si>
  <si>
    <t>Online Agha M.Aftab A/C (AR meezan A/C 40,000/76)</t>
  </si>
  <si>
    <t>Ref #1009</t>
  </si>
  <si>
    <t>48pcs Sell To Encell Shop @1530</t>
  </si>
  <si>
    <t>24pcs Sell To Encell Shop @1530</t>
  </si>
  <si>
    <t>SI0060</t>
  </si>
  <si>
    <t>Mudassir Pcs</t>
  </si>
  <si>
    <t>2500 AED</t>
  </si>
  <si>
    <t xml:space="preserve">Bill No SI0060  </t>
  </si>
  <si>
    <t>Online Usama.Bin.Anees A/C (AR meezan A/C 60,000/76)</t>
  </si>
  <si>
    <t>Online A/R Meezan A/C (Usama Bin Anees A/C waheed Bhai Payment 60000/76)</t>
  </si>
  <si>
    <t>28pcs  @$359  (1960 WB  +  8092 AB)</t>
  </si>
  <si>
    <t>Petrol Exp (WB Card)</t>
  </si>
  <si>
    <t>Ref #1009  (28pcs Purchasing   $1960 WB Card)</t>
  </si>
  <si>
    <t>Ref #1009  (28pcs Purchasing  Petrol Exp  $80 WB Card)</t>
  </si>
  <si>
    <t>Local US Shipping Charge$22.96</t>
  </si>
  <si>
    <t>Air Freight Charges $49.83</t>
  </si>
  <si>
    <t>Dubai (Import + Delivery)  $13.03</t>
  </si>
  <si>
    <t>Commission Charges $179.38</t>
  </si>
  <si>
    <t>Cash Handling Charges $13.91</t>
  </si>
  <si>
    <t>Total $319.11 @3.674  =-1,172.41Aed 
Add 28Phone  @41.87Aed</t>
  </si>
  <si>
    <t xml:space="preserve">Returned </t>
  </si>
  <si>
    <t>Galaxy S22 Ultra 256 BLACK</t>
  </si>
  <si>
    <t>Pixel 8 128 BLACK</t>
  </si>
  <si>
    <t>15 256 BLACK</t>
  </si>
  <si>
    <t>Ref #1010</t>
  </si>
  <si>
    <r>
      <t>Australia Purchasing  V3</t>
    </r>
    <r>
      <rPr>
        <b/>
        <sz val="13"/>
        <color theme="1"/>
        <rFont val="Calibri"/>
        <family val="2"/>
      </rPr>
      <t xml:space="preserve">  92Pcs  </t>
    </r>
    <r>
      <rPr>
        <b/>
        <u/>
        <sz val="13"/>
        <color theme="1"/>
        <rFont val="Calibri"/>
        <family val="2"/>
      </rPr>
      <t>04/07/2024</t>
    </r>
  </si>
  <si>
    <t>SI0061</t>
  </si>
  <si>
    <t>Bill No SI0061</t>
  </si>
  <si>
    <t>SI0062</t>
  </si>
  <si>
    <t>SI0063</t>
  </si>
  <si>
    <t>IPHONE 15 Kit Active</t>
  </si>
  <si>
    <t>Bill No SI0062</t>
  </si>
  <si>
    <t>Bill No SI0063</t>
  </si>
  <si>
    <t>Cash From Wajahat</t>
  </si>
  <si>
    <t>Send To Australia</t>
  </si>
  <si>
    <t xml:space="preserve">Send by Sasco </t>
  </si>
  <si>
    <r>
      <t>Sales V3</t>
    </r>
    <r>
      <rPr>
        <b/>
        <sz val="13"/>
        <color theme="1"/>
        <rFont val="Calibri"/>
        <family val="2"/>
      </rPr>
      <t xml:space="preserve">  92</t>
    </r>
    <r>
      <rPr>
        <b/>
        <u/>
        <sz val="13"/>
        <color theme="1"/>
        <rFont val="Calibri"/>
        <family val="2"/>
      </rPr>
      <t xml:space="preserve"> Pcs</t>
    </r>
  </si>
  <si>
    <t>Uber (Waheed Bhai Card)</t>
  </si>
  <si>
    <t>Ticket Charges (Ashfaq Sahab Card )</t>
  </si>
  <si>
    <t>Food Exp (Waheed Bhai Card)</t>
  </si>
  <si>
    <t>Shipping Charges + Surcharge (Ashfaq Sahab Card)</t>
  </si>
  <si>
    <t>Paid to Waheed Bhai (AR Card Charged)</t>
  </si>
  <si>
    <t>From AR Card Payment</t>
  </si>
  <si>
    <t>Payment To Waheed Bhai (Online Amina Hameed Abbasi A/C)</t>
  </si>
  <si>
    <t>Cash by A/R</t>
  </si>
  <si>
    <t>SI0064</t>
  </si>
  <si>
    <t>IP 15 Pro 256GB Natural</t>
  </si>
  <si>
    <t>IP 15 Pro 256GB White</t>
  </si>
  <si>
    <t xml:space="preserve">IP 13ProMax 256GB </t>
  </si>
  <si>
    <t>IP 12Pro</t>
  </si>
  <si>
    <t>Bill No SI0064</t>
  </si>
  <si>
    <t>SI0065</t>
  </si>
  <si>
    <t>Bill No SI0065 (V3)</t>
  </si>
  <si>
    <t>Cash From Saad (V3)</t>
  </si>
  <si>
    <t>freeZone charges Paid by A/R (From Encell Shop)</t>
  </si>
  <si>
    <t>Returned  08/07/2024
AR msg</t>
  </si>
  <si>
    <t xml:space="preserve">Returned  </t>
  </si>
  <si>
    <t>5pcs Sell To Encell Shop @1470</t>
  </si>
  <si>
    <t>Encell Shop Rent Paid by A/R</t>
  </si>
  <si>
    <t>SI0066</t>
  </si>
  <si>
    <t>IP 13 ProMax 128GB</t>
  </si>
  <si>
    <t>Bill No SI0066</t>
  </si>
  <si>
    <t>SI0067</t>
  </si>
  <si>
    <t>Expense</t>
  </si>
  <si>
    <t>Irfan Credit</t>
  </si>
  <si>
    <t>10pcs Sell To Encell Shop @1425</t>
  </si>
  <si>
    <t>20pcs Sell To Encell Shop @1370</t>
  </si>
  <si>
    <t>37pcs Sell To Encell Shop @1390</t>
  </si>
  <si>
    <t xml:space="preserve">67pcs Encell Shop Sell Expense </t>
  </si>
  <si>
    <t>From Encell Shop (V3)</t>
  </si>
  <si>
    <t>V3 Expense</t>
  </si>
  <si>
    <t>Paid by Saad</t>
  </si>
  <si>
    <t>Payment From Razi</t>
  </si>
  <si>
    <t>Payment From Umar</t>
  </si>
  <si>
    <t>Deposite AR Card</t>
  </si>
  <si>
    <t>Cash Paid to Faisal Bhai</t>
  </si>
  <si>
    <t>Cash Payment By A/R</t>
  </si>
  <si>
    <t>Paid to Sasco (Payment Transfer Charges V3)</t>
  </si>
  <si>
    <t>Paid to Sasco (Payment Transfer Charges)</t>
  </si>
  <si>
    <t>Paid to Faisal Bhai (by A/R)</t>
  </si>
  <si>
    <t>12.5 units  GST Charges</t>
  </si>
  <si>
    <t>Waheed Bhai Card 12.5 Units @474.46 with GST</t>
  </si>
  <si>
    <t>GST amount GST Ledger  (12.5 units Waheed Bhai / 81.5 Units Business)</t>
  </si>
  <si>
    <t>Refundable Charges Adjustment (12.5 units Waheed Bhai / 81.5 Units Business)</t>
  </si>
  <si>
    <t>Ref #1008  (Petrol Expense $165  WB+AB Card)</t>
  </si>
  <si>
    <t>GST??</t>
  </si>
  <si>
    <t>Van Hire Charges (Waheed Bhai Card)</t>
  </si>
  <si>
    <t>Petrol Exp (Waheed Bhai Card)</t>
  </si>
  <si>
    <t>Ref #1010 ($89 Uber Charges Waheed Bhai Card)</t>
  </si>
  <si>
    <t>Ref #1010 ($86 Food Exp Waheed Bhai Card)</t>
  </si>
  <si>
    <t>Ref #1010 ($209 Van Hire Charges Waheed Bhai Card)</t>
  </si>
  <si>
    <t>Ref#1010 ($76 Petrol Exp Waheed Bhai Card)</t>
  </si>
  <si>
    <t>Send To Australia by Sasco (Add Waheed Bhai Ledger)</t>
  </si>
  <si>
    <t>Payment From Dubai by AR (Sasco Global)</t>
  </si>
  <si>
    <t>FreeZone Charges From Encell Shop by A/R</t>
  </si>
  <si>
    <t>92 pcs Purchased $359 (32078 Ashfaq Sahab Card / $290+$710 Waheed Bhai Card)</t>
  </si>
  <si>
    <t>Ref#1010 ($290+ $710 Purchasing Waheed Bhai Card)</t>
  </si>
  <si>
    <t>Payment From A/R (Online Meezan A/C) 200,000 PKR</t>
  </si>
  <si>
    <r>
      <t>Australia Purchasing  V3</t>
    </r>
    <r>
      <rPr>
        <b/>
        <sz val="13"/>
        <color theme="1"/>
        <rFont val="Calibri"/>
        <family val="2"/>
      </rPr>
      <t xml:space="preserve">  42Pcs  </t>
    </r>
    <r>
      <rPr>
        <b/>
        <u/>
        <sz val="13"/>
        <color theme="1"/>
        <rFont val="Calibri"/>
        <family val="2"/>
      </rPr>
      <t>30/06/2024</t>
    </r>
  </si>
  <si>
    <t>11pcs Purchased (AB Card)  @831.21 Aed</t>
  </si>
  <si>
    <t>Ref #1011</t>
  </si>
  <si>
    <r>
      <t>Australia Purchasing  V3</t>
    </r>
    <r>
      <rPr>
        <b/>
        <sz val="13"/>
        <color theme="1"/>
        <rFont val="Calibri"/>
        <family val="2"/>
      </rPr>
      <t xml:space="preserve">  54Pcs  </t>
    </r>
    <r>
      <rPr>
        <b/>
        <u/>
        <sz val="13"/>
        <color theme="1"/>
        <rFont val="Calibri"/>
        <family val="2"/>
      </rPr>
      <t>15/07/2024</t>
    </r>
  </si>
  <si>
    <r>
      <t>Sales V3</t>
    </r>
    <r>
      <rPr>
        <b/>
        <sz val="13"/>
        <color theme="1"/>
        <rFont val="Calibri"/>
        <family val="2"/>
      </rPr>
      <t xml:space="preserve">  54</t>
    </r>
    <r>
      <rPr>
        <b/>
        <u/>
        <sz val="13"/>
        <color theme="1"/>
        <rFont val="Calibri"/>
        <family val="2"/>
      </rPr>
      <t xml:space="preserve"> Pcs</t>
    </r>
  </si>
  <si>
    <t>7 units Purchase (AR Card)</t>
  </si>
  <si>
    <t>47 units Purchase (WB Card)</t>
  </si>
  <si>
    <t>Commission+ Petrol Exp (WB Card)</t>
  </si>
  <si>
    <t>Storage Exp (WB Card)</t>
  </si>
  <si>
    <t>Iphone 14 128GB Blue  Locked</t>
  </si>
  <si>
    <t>Iphone 14 128GB Black  Locked</t>
  </si>
  <si>
    <t>Iphone 15 ProMax 256Gb Black Locked</t>
  </si>
  <si>
    <t>Iphone 15 Pro 256Gb White Locked</t>
  </si>
  <si>
    <t>Iphone 15 Pro 512Gb Blue Locked</t>
  </si>
  <si>
    <t>Iphone 15 Pro 512Gb Natural Locked</t>
  </si>
  <si>
    <t>Iphone 14 128Gb Purple Locked</t>
  </si>
  <si>
    <t>Iphone 15 ProMax 256Gb Blue Locked</t>
  </si>
  <si>
    <t>Iphone 13 128GB Black Locked</t>
  </si>
  <si>
    <t>Iphone 15 ProMax 256Gb Natural Locked</t>
  </si>
  <si>
    <t xml:space="preserve">Total </t>
  </si>
  <si>
    <t>Hamali Charges Paid from encell shop</t>
  </si>
  <si>
    <t>Bill No SI0067 (V3)</t>
  </si>
  <si>
    <t>Repair Charges</t>
  </si>
  <si>
    <t>Starlink Cargo Charges</t>
  </si>
  <si>
    <t>SI0068</t>
  </si>
  <si>
    <t>Bill No SI0068</t>
  </si>
  <si>
    <t>Add</t>
  </si>
  <si>
    <t>AR</t>
  </si>
  <si>
    <t>Faisal Bhai</t>
  </si>
  <si>
    <t>encell</t>
  </si>
  <si>
    <t>Starlink Cargo Charges From Encell Shop</t>
  </si>
  <si>
    <t>13 pro Max Camera repairing</t>
  </si>
  <si>
    <t>AR hamali Charges</t>
  </si>
  <si>
    <t>starlink hamali charges</t>
  </si>
  <si>
    <t>starlink cargo charges</t>
  </si>
  <si>
    <t>GATEZONE</t>
  </si>
  <si>
    <t>PI0024</t>
  </si>
  <si>
    <t>Bill No PI0024</t>
  </si>
  <si>
    <t>IP 13 128GB Lock</t>
  </si>
  <si>
    <t>IP 13 128Gb Lock</t>
  </si>
  <si>
    <t>IP 15Pro 256GB Lock</t>
  </si>
  <si>
    <t>IP 15Pro 512GB Lock</t>
  </si>
  <si>
    <t>IP 15ProMax 256Gb Lock</t>
  </si>
  <si>
    <t>Gatezone Pur</t>
  </si>
  <si>
    <t>Iphone 15 ProMax 256GB lock</t>
  </si>
  <si>
    <t>Iphone 13 ProMax 128GB</t>
  </si>
  <si>
    <t>Purchased 2pcs @474.58   (GST 94.50)  (wire Payment AR)</t>
  </si>
  <si>
    <r>
      <t>Sales V3</t>
    </r>
    <r>
      <rPr>
        <b/>
        <sz val="13"/>
        <color theme="1"/>
        <rFont val="Calibri"/>
        <family val="2"/>
      </rPr>
      <t xml:space="preserve">  42</t>
    </r>
    <r>
      <rPr>
        <b/>
        <u/>
        <sz val="13"/>
        <color theme="1"/>
        <rFont val="Calibri"/>
        <family val="2"/>
      </rPr>
      <t xml:space="preserve"> Pcs</t>
    </r>
  </si>
  <si>
    <t>SI0069</t>
  </si>
  <si>
    <t>Bill No SI0069  (Starlink V3)</t>
  </si>
  <si>
    <t>Cash From Wajahat (Paid to Faisal Bhai)</t>
  </si>
  <si>
    <t>Cash From Wajahat (V3 Cargo Charges)</t>
  </si>
  <si>
    <t>Cash From Wajahat (V3 Hamali Charges)</t>
  </si>
  <si>
    <t>Cash From Wajahat (Paid to A/R)</t>
  </si>
  <si>
    <t>Deposit A/R Card</t>
  </si>
  <si>
    <t>Deposit Ashfaq Sahab  Card</t>
  </si>
  <si>
    <t>Sell to Encell Shop 42pcs  @1220</t>
  </si>
  <si>
    <t>Sell to Encell Shop  1pcs  @1220</t>
  </si>
  <si>
    <t>Sell to Encell Shop  30pcs  @1240</t>
  </si>
  <si>
    <t>Sell to Encell Shop  22pcs  @1230</t>
  </si>
  <si>
    <t>31pcs Sell To Encell Shop @1500</t>
  </si>
  <si>
    <t xml:space="preserve">1unit Purchased But not Received </t>
  </si>
  <si>
    <t>3pcs Sell To Encell Shop @1425  (1/2)</t>
  </si>
  <si>
    <t>20pcs Sell To Encell Shop @1425  (2/2)</t>
  </si>
  <si>
    <t>Encell Shop Paid by Saad</t>
  </si>
  <si>
    <t>Paid to Faisal bhai</t>
  </si>
  <si>
    <t>Payment to Waheed bhai (Online meezan A/C) 200,000 PKR</t>
  </si>
  <si>
    <t xml:space="preserve">3pcs  @$359  (ARB Card)  </t>
  </si>
  <si>
    <t>Total 42 pcs Shipping Charges (WB)</t>
  </si>
  <si>
    <t>Online A/R Meezan A/C (866036)</t>
  </si>
  <si>
    <t>Online A/R Meezan A/C (878115)</t>
  </si>
  <si>
    <t>Online A/R Meezan A/C (238673)</t>
  </si>
  <si>
    <t>Online A/R Meezan A/C (351177)</t>
  </si>
  <si>
    <t>Online A/R Meezan A/C (245610)</t>
  </si>
  <si>
    <t>Online A/R Meezan A/C (629545)</t>
  </si>
  <si>
    <t>Online A/R Meezan A/C (322814)</t>
  </si>
  <si>
    <t>Fahib Salary</t>
  </si>
  <si>
    <t>PI0025</t>
  </si>
  <si>
    <t>Watch Ultra 2 358161188279309</t>
  </si>
  <si>
    <t>Received Encell Shop
11/07/2024</t>
  </si>
  <si>
    <t>175000 PKR</t>
  </si>
  <si>
    <t>SI0070</t>
  </si>
  <si>
    <t>SI0071</t>
  </si>
  <si>
    <t xml:space="preserve">Sell Returned  </t>
  </si>
  <si>
    <t>Bill No SI0070 (watches)</t>
  </si>
  <si>
    <t>Bill No SI0071 (Sell Returned)</t>
  </si>
  <si>
    <t>Jawed Bhai 3rd Profit 30.June To 20July  $500</t>
  </si>
  <si>
    <t>Cash paid to Gatezone (12pcs Purchased)</t>
  </si>
  <si>
    <t>Cash From Encell Shop (Handover To Faisal Bhai )</t>
  </si>
  <si>
    <t>Cash By Saad</t>
  </si>
  <si>
    <t xml:space="preserve">AR Card Deposit </t>
  </si>
  <si>
    <r>
      <t>EuroNext</t>
    </r>
    <r>
      <rPr>
        <b/>
        <sz val="11"/>
        <color theme="2" tint="-0.749992370372631"/>
        <rFont val="Calibri"/>
        <family val="2"/>
        <scheme val="minor"/>
      </rPr>
      <t xml:space="preserve"> </t>
    </r>
  </si>
  <si>
    <t>SI0072</t>
  </si>
  <si>
    <t>IP Xs.Max 256GB</t>
  </si>
  <si>
    <t>IP X 256GB</t>
  </si>
  <si>
    <t>s</t>
  </si>
  <si>
    <t>Online Mudassir Meezan A/C  (322380)</t>
  </si>
  <si>
    <t>Received Encell Shop
22/07/2024</t>
  </si>
  <si>
    <t>Online Mudassir Meezan A/C  (773923)</t>
  </si>
  <si>
    <t>IP 14Plus 128GB Lock</t>
  </si>
  <si>
    <t>Usman Stock</t>
  </si>
  <si>
    <t>IP 15 Pro 1TB Black</t>
  </si>
  <si>
    <t>PI0026</t>
  </si>
  <si>
    <t>IP 15Pro 256GB</t>
  </si>
  <si>
    <t>IP 15Pro 512GB</t>
  </si>
  <si>
    <t>Irfan Customer (Discount By AR)</t>
  </si>
  <si>
    <t>Paid to Faisal Bhai by Wajahat</t>
  </si>
  <si>
    <t>adjustment</t>
  </si>
  <si>
    <t>Faheem</t>
  </si>
  <si>
    <t>SI0073</t>
  </si>
  <si>
    <t>Starlink Hamali Charges</t>
  </si>
  <si>
    <t>PI0027</t>
  </si>
  <si>
    <t xml:space="preserve">IP 14 128GB Box </t>
  </si>
  <si>
    <t>Cash Paid by AR</t>
  </si>
  <si>
    <t>Bill No PI0027</t>
  </si>
  <si>
    <t>Cash Paid by Faisal Bhai</t>
  </si>
  <si>
    <t>SI0074</t>
  </si>
  <si>
    <t>IP 14 128GB Box</t>
  </si>
  <si>
    <t>Bill No SI0073 (V3)</t>
  </si>
  <si>
    <t>Bill No SI0074 (IP 14)</t>
  </si>
  <si>
    <t>SI0075</t>
  </si>
  <si>
    <t>Bill No SI0075 (IP 14 5pcs)</t>
  </si>
  <si>
    <t>Ip 14 Purchasing Payment Balance</t>
  </si>
  <si>
    <t>Bill PI0026  (3x 15Pro)</t>
  </si>
  <si>
    <t>Bill PI0021  (2 watches  Not Received Returned )</t>
  </si>
  <si>
    <t>IP 15 ProMax 256GB Natural</t>
  </si>
  <si>
    <t>Not Received Returned</t>
  </si>
  <si>
    <t>PI0028</t>
  </si>
  <si>
    <t>Bill PI0028  (2x 15ProMax)</t>
  </si>
  <si>
    <t>Online Mudassir Meezan A/C  (789378)</t>
  </si>
  <si>
    <t>IP 15Pro 1TB Lock</t>
  </si>
  <si>
    <t>Purchased Returned  Invoice</t>
  </si>
  <si>
    <t xml:space="preserve">Usman </t>
  </si>
  <si>
    <t>Gplay 32GB</t>
  </si>
  <si>
    <t>Gplay 64GB</t>
  </si>
  <si>
    <t>PR0029</t>
  </si>
  <si>
    <t>24pcs Returned PR0029</t>
  </si>
  <si>
    <t>SI0076</t>
  </si>
  <si>
    <t>IP 15ProMax 256GB Box</t>
  </si>
  <si>
    <t>IP 14 128Gb Box lock</t>
  </si>
  <si>
    <t>IP 15ProMax 256GB kit</t>
  </si>
  <si>
    <t xml:space="preserve">Bill No SI0076 </t>
  </si>
  <si>
    <t>Returned From Faisal bhai</t>
  </si>
  <si>
    <t>Returned To wajahat</t>
  </si>
  <si>
    <t>Cash In Hand</t>
  </si>
  <si>
    <t>Cash At meezan Bank</t>
  </si>
  <si>
    <t>Cash at ENBD Card</t>
  </si>
  <si>
    <t>Cash at Dubai Islamic Bank</t>
  </si>
  <si>
    <t>Stock Value</t>
  </si>
  <si>
    <t>Online A/R Meezan A/C (242415)</t>
  </si>
  <si>
    <t>Online A/R Meezan A/C (669168)</t>
  </si>
  <si>
    <t>Online A/R Meezan A/C (757352)</t>
  </si>
  <si>
    <t>SI0077</t>
  </si>
  <si>
    <t>Bill No SI0077 (Starlink V3)</t>
  </si>
  <si>
    <t xml:space="preserve">Paid to Wajahat </t>
  </si>
  <si>
    <t>Online Mudassir Meezan A/C  (672419)</t>
  </si>
  <si>
    <t>Cash from Wajahat (starlink Cargo Charges)</t>
  </si>
  <si>
    <t>Payment By Wajahat</t>
  </si>
  <si>
    <t>SI0078</t>
  </si>
  <si>
    <t>IP 13 128GB Black Non.active</t>
  </si>
  <si>
    <t>Bill No SI0078 (IP 13 128GB)</t>
  </si>
  <si>
    <t>Cash Payment By Wajahat (AR Cash)</t>
  </si>
  <si>
    <t>Debit</t>
  </si>
  <si>
    <t>Credit</t>
  </si>
  <si>
    <t>Opening Balance</t>
  </si>
  <si>
    <t>Discount By A/R</t>
  </si>
  <si>
    <t>AR Dubai Islamic Bank A/C</t>
  </si>
  <si>
    <t>AR ENBD Bank A/C</t>
  </si>
  <si>
    <t>AR Meezan A/C</t>
  </si>
  <si>
    <t>Officeworks 0614 Mandurawa:au357.00,aud008561 13-07-2024</t>
  </si>
  <si>
    <t>Sdm Ref.-e800114**8516;baniyas Branch Atm-3</t>
  </si>
  <si>
    <t>Cash Deposit</t>
  </si>
  <si>
    <t>Hungry Jacks South Wentwor:au23.20,aud099527 06-07-2024</t>
  </si>
  <si>
    <t>Jb Hi Fi Rockingham</t>
  </si>
  <si>
    <t>Jb Hi Fi Mandurah Home</t>
  </si>
  <si>
    <t>Mcdonalds Forrestdale</t>
  </si>
  <si>
    <t>Bunnings 751000</t>
  </si>
  <si>
    <t>Bunnings 350000</t>
  </si>
  <si>
    <t>Bunnings 316000</t>
  </si>
  <si>
    <t>Bunnings 729000</t>
  </si>
  <si>
    <t>Bunnings 303000</t>
  </si>
  <si>
    <t>Bunnings 591000</t>
  </si>
  <si>
    <t>Bunnings 458000</t>
  </si>
  <si>
    <t>Bunnings 483000</t>
  </si>
  <si>
    <t>Bunnings 317000</t>
  </si>
  <si>
    <t>Bunnings 462000</t>
  </si>
  <si>
    <t>Bunnings 453000</t>
  </si>
  <si>
    <t>Bunnings 2174 Ellenbro</t>
  </si>
  <si>
    <t>IP 15ProMax 3unit Adjustment by A/R 
(11,593 Aed  @77.5)</t>
  </si>
  <si>
    <t>SI0079</t>
  </si>
  <si>
    <t>Bill No SI0079 (Starlink v3)</t>
  </si>
  <si>
    <t>Cash Payment By Wajahat</t>
  </si>
  <si>
    <t xml:space="preserve">Deposit By A/R </t>
  </si>
  <si>
    <t>AR Credit Card DIB</t>
  </si>
  <si>
    <t>Harvey Norman</t>
  </si>
  <si>
    <t>JB Hi Fi Midland</t>
  </si>
  <si>
    <t>3 phones Charges USA to Dubai</t>
  </si>
  <si>
    <t>Returned 29/07/2024</t>
  </si>
  <si>
    <t xml:space="preserve">From Mudassir Bhai Online AR A/C  </t>
  </si>
  <si>
    <t>PI0030</t>
  </si>
  <si>
    <t>Bill  PR0030  (3 watches Returned )</t>
  </si>
  <si>
    <t>PI0031</t>
  </si>
  <si>
    <t>Bill  PR0031  (2 watches Purchased)</t>
  </si>
  <si>
    <t>IP 15 ProMax 256GB Blue</t>
  </si>
  <si>
    <t>IP 15 ProMax 256GB Black</t>
  </si>
  <si>
    <t>PI0032</t>
  </si>
  <si>
    <t>Mudassir Pur</t>
  </si>
  <si>
    <t>Bill  PR0032  (3 15ProMax 256Gb)</t>
  </si>
  <si>
    <t>Online Mudassir A/C  (943904)</t>
  </si>
  <si>
    <t>Room Rent Advance</t>
  </si>
  <si>
    <t>AR Personal Shop Cash</t>
  </si>
  <si>
    <t>Receivable PKR</t>
  </si>
  <si>
    <t>Receivable Aed</t>
  </si>
  <si>
    <t>Payable PKR</t>
  </si>
  <si>
    <t>Payable AED</t>
  </si>
  <si>
    <t>PI0033</t>
  </si>
  <si>
    <t>Cash Purchase</t>
  </si>
  <si>
    <t>IP 15ProMax 512GB JV</t>
  </si>
  <si>
    <t>IP 15Promax 512Gb JV</t>
  </si>
  <si>
    <t>SI0080</t>
  </si>
  <si>
    <t>Cash Sell (Faisal Bhai)</t>
  </si>
  <si>
    <t>IP 15Pro 512Gb</t>
  </si>
  <si>
    <t>USA Office</t>
  </si>
  <si>
    <t>Mudassir Bhai Stock USA Office ???</t>
  </si>
  <si>
    <t>SI0081</t>
  </si>
  <si>
    <t>Bill No SI0081 (Starlink v3)</t>
  </si>
  <si>
    <t>Bill No SI0081 (3.IP 15PM  &amp; 2.IP 12PM)</t>
  </si>
  <si>
    <t>Discount (IP 11 ProMax Lcd Problem)</t>
  </si>
  <si>
    <t>SI0082</t>
  </si>
  <si>
    <t>IP 15ProMax 512Gb</t>
  </si>
  <si>
    <t xml:space="preserve">Adjustment By A/R </t>
  </si>
  <si>
    <t>Adjustment By A/R</t>
  </si>
  <si>
    <t>AR Credit Card Exp</t>
  </si>
  <si>
    <t>AR Credit Card expense</t>
  </si>
  <si>
    <t>Online A/R Meezan A/C (96616)</t>
  </si>
  <si>
    <t>Online A/R Meezan A/C (992595)</t>
  </si>
  <si>
    <t>Online A/R Meezan A/C (926552)</t>
  </si>
  <si>
    <t>Online A/R Meezan A/C (646530)</t>
  </si>
  <si>
    <t>Adjustment Euronext Bill (11593)</t>
  </si>
  <si>
    <t>Online AR Meezan A/C</t>
  </si>
  <si>
    <t>Cash Withdraw (Fahib Salary)</t>
  </si>
  <si>
    <t>Month of Aug-2024</t>
  </si>
  <si>
    <t>Paid to Maaz (petrol Exp)</t>
  </si>
  <si>
    <t>Online Nadeem Ghani A/C (behalf of Waheed Bhai)</t>
  </si>
  <si>
    <t>Online Syed Zohaib Hussain (Behalf of Waheed Bhai)</t>
  </si>
  <si>
    <t>Online ARY Laguna A/C (Behalf of Waheed Bhai)</t>
  </si>
  <si>
    <t>IP 15Pro 128GB White</t>
  </si>
  <si>
    <t>cancelled</t>
  </si>
  <si>
    <t>PI0034</t>
  </si>
  <si>
    <t>Watch Ultra Returned</t>
  </si>
  <si>
    <t>IP 15 Pro 128GB White</t>
  </si>
  <si>
    <t>Flat 307 Rent paid by Faisal Bhai</t>
  </si>
  <si>
    <t>Online Aeroglobe A/C</t>
  </si>
  <si>
    <t>Bank Charges</t>
  </si>
  <si>
    <t>ATM Withdraw PNSC Branch  (Withdraw For Dollar Purchased)</t>
  </si>
  <si>
    <t>Cash Withdraw (by Fahib Handover to Maaz) (Withdraw For Dollar Purchased)</t>
  </si>
  <si>
    <t>Online Transfer Sania Abdul Rehman  (AR Expense)</t>
  </si>
  <si>
    <t>DVAGO POS Purchased (AR Expense)</t>
  </si>
  <si>
    <t>Zellbury POS (AR Expense)</t>
  </si>
  <si>
    <t>Kababjees (AR Expense)</t>
  </si>
  <si>
    <t>United King (AR Expense)</t>
  </si>
  <si>
    <t>ATM Withdraw Askari (AR Expense)</t>
  </si>
  <si>
    <t>Uphone Super Card (AR Expense)</t>
  </si>
  <si>
    <t>Transfer Muhammad ilyas  (AR Expense)</t>
  </si>
  <si>
    <t>Transfer Nasir Mahmood  (AR Expense)</t>
  </si>
  <si>
    <t>A/R Dubai Expense Ledger</t>
  </si>
  <si>
    <t>Total Expense</t>
  </si>
  <si>
    <t>Bill PI0025  (1 watch)</t>
  </si>
  <si>
    <t>Adjustment Karachi Ledger (by A/R   @78)</t>
  </si>
  <si>
    <t>Faisal Bhai Dubai Ledger Adjustment (13290 Aed @78)</t>
  </si>
  <si>
    <t>Mudassir Bhai</t>
  </si>
  <si>
    <t>Starlink Cargo Charges 102 Units</t>
  </si>
  <si>
    <t>hamali Charges</t>
  </si>
  <si>
    <t>Bill SI0072</t>
  </si>
  <si>
    <t>Carry Charges Abdul Rehman Bhai (IP 13 &amp; IP 15ProMax)</t>
  </si>
  <si>
    <t>Paid to Razi Canada Purchasing</t>
  </si>
  <si>
    <t>Canada Purchasing</t>
  </si>
  <si>
    <t>PI0035</t>
  </si>
  <si>
    <t>USD Per Unit</t>
  </si>
  <si>
    <t>Total USD</t>
  </si>
  <si>
    <t>Samsung Galaxy S24 Ultra (SM-S928W) (Overseas) (New, 512 GB) 1 Black , 1 Yellow</t>
  </si>
  <si>
    <t>Samsung Galaxy S24 Ultra (SM-S928W) (Overseas) (New, 256GB ) 5 Black , 1 Yellow</t>
  </si>
  <si>
    <t>Samsung Galaxy S24+ (SM-S926W) (Overseas) (New, 256GB, Amber Yellow)</t>
  </si>
  <si>
    <t>Per Unit Aed</t>
  </si>
  <si>
    <t>Total AED</t>
  </si>
  <si>
    <t>Samsung Galaxy S24 (SM-S921W) (Overseas) (New, 128GB, Cobalt Violet)</t>
  </si>
  <si>
    <t>Samsung Galaxy Z Fold5 (SM-F946W) (Overseas) (New,256GB, Icy Blue)</t>
  </si>
  <si>
    <t>Samsung Galaxy Z Flip5 (SM-F731W) (Overseas) (New, 256GB, Graphite)</t>
  </si>
  <si>
    <t>Samsung Galaxy S23 (SM-S911W) (Overseas) (New, 128GB ) 1 Black , 1 Green</t>
  </si>
  <si>
    <t>Samsung Galaxy S24 (SM-S921W) (Overseas) (New, 256GB, Marbel Gray)</t>
  </si>
  <si>
    <t>Samsung Galaxy S24+ (SM-S926W) (Overseas) (New, 256GB ) 1 Marble Gray , 3 Black</t>
  </si>
  <si>
    <t>Samsung Galaxy S23 FE (SM-S711W) (Overseas) (New, 128GB) Graphite</t>
  </si>
  <si>
    <t>Apple iPhone 15 Pro Max (Overseas) (New 256GB) 1 Black , 4 Natural</t>
  </si>
  <si>
    <t>Apple iPhone 15 Pro Max (Overseas) (Open Box, 256GB ) 2 Natural</t>
  </si>
  <si>
    <t>Apple iPhone 15 Pro (Overseas) (Open Box, 128GB, Blue Titanium)</t>
  </si>
  <si>
    <t>TOTAL</t>
  </si>
  <si>
    <t>CANADA PURCHASING</t>
  </si>
  <si>
    <t>Samsung Galaxy S24 Ultra (New, 512 GB) 1 Black , 1 Yellow</t>
  </si>
  <si>
    <t>Samsung Galaxy S24 Ultra (New, 256GB ) 5 Black , 1 Yellow</t>
  </si>
  <si>
    <t>Samsung Galaxy S24+(New, 256GB, Yellow)</t>
  </si>
  <si>
    <t>Samsung Galaxy S24(New, 128GB,Violet)</t>
  </si>
  <si>
    <t>Samsung Galaxy Z Fold5 (New,256GB, Blue)</t>
  </si>
  <si>
    <t>Samsung Galaxy Z Flip5(New, 256GB, Graphite)</t>
  </si>
  <si>
    <t>Samsung Galaxy S23(New, 128GB ) 1 Black , 1 Green</t>
  </si>
  <si>
    <t>Samsung Galaxy S24(New, 256GB, Gray)</t>
  </si>
  <si>
    <t>Samsung Galaxy S24+(New,256GB) 1 Gray , 3 Black</t>
  </si>
  <si>
    <t>Samsung Galaxy S23 FE(New, 128GB) Graphite</t>
  </si>
  <si>
    <t>Apple iPhone 15ProMax(New 256GB) 1 Black , 4 Natural</t>
  </si>
  <si>
    <t>Apple iPhone 15ProMax(Open Box, 256GB ) 2 Natural</t>
  </si>
  <si>
    <t>Apple iPhone 15Pro(Open Box, 128GB, Blue Titanium)</t>
  </si>
  <si>
    <t>PI0035 28Units</t>
  </si>
  <si>
    <t>Received Encell Shop
13/08/2024</t>
  </si>
  <si>
    <t>SI0083</t>
  </si>
  <si>
    <t>Bill No SI0083 (V3 )</t>
  </si>
  <si>
    <t>Bill No SI0082 (2.IP 15PM )</t>
  </si>
  <si>
    <t>Cash By Wajahat</t>
  </si>
  <si>
    <t>Payment From Encell Shop</t>
  </si>
  <si>
    <t xml:space="preserve">Wire Charges </t>
  </si>
  <si>
    <t>Cash Handling Charges</t>
  </si>
  <si>
    <t>other Expense</t>
  </si>
  <si>
    <t>SI0084</t>
  </si>
  <si>
    <t>Bill No SI0084 (IP 12Pro)</t>
  </si>
  <si>
    <t>Online From Danish (636197)</t>
  </si>
  <si>
    <t>15 PM 256GB natural</t>
  </si>
  <si>
    <t>15 PM 256GB Black</t>
  </si>
  <si>
    <t>15 Pro Blue</t>
  </si>
  <si>
    <t>Zfold 5</t>
  </si>
  <si>
    <t>Z Flip 5</t>
  </si>
  <si>
    <t>s23</t>
  </si>
  <si>
    <t>S23FE</t>
  </si>
  <si>
    <t>s24</t>
  </si>
  <si>
    <t>s24+</t>
  </si>
  <si>
    <t>s24Ultra</t>
  </si>
  <si>
    <t>Taxi Charges</t>
  </si>
  <si>
    <t>S24 Ultra 512GB</t>
  </si>
  <si>
    <t>S24 Ultra 256GB</t>
  </si>
  <si>
    <t>S24Plus 256GB</t>
  </si>
  <si>
    <t>S24 128GB</t>
  </si>
  <si>
    <t>Z Fold.5 256GB</t>
  </si>
  <si>
    <t>S23 128GB</t>
  </si>
  <si>
    <t>S24 256GB</t>
  </si>
  <si>
    <t xml:space="preserve">IP 15Pro 256GB </t>
  </si>
  <si>
    <t xml:space="preserve">IP 15Pro 512GB </t>
  </si>
  <si>
    <t xml:space="preserve">IP 15Pro 1TB </t>
  </si>
  <si>
    <t xml:space="preserve">IP 15Pro 128GB </t>
  </si>
  <si>
    <t xml:space="preserve">IP 14Plus 128GB </t>
  </si>
  <si>
    <t>Canada.Pur</t>
  </si>
  <si>
    <t>Cash Withdraw</t>
  </si>
  <si>
    <t>ATM Charges</t>
  </si>
  <si>
    <t>Account Deposite</t>
  </si>
  <si>
    <t>Ezi. Storage King</t>
  </si>
  <si>
    <t>Bunnings</t>
  </si>
  <si>
    <t>KWSB Bill Paid</t>
  </si>
  <si>
    <t>FBR Tax</t>
  </si>
  <si>
    <t>Apple.Com Bill</t>
  </si>
  <si>
    <t>From Zainab Pasha</t>
  </si>
  <si>
    <t>Bait.ul.ilim Fee</t>
  </si>
  <si>
    <t>KE Bill Paid</t>
  </si>
  <si>
    <t>Online Trasnfer Sania Abdul Rehman A/C</t>
  </si>
  <si>
    <t>Online From Danish (934258)</t>
  </si>
  <si>
    <t>POS Purchase</t>
  </si>
  <si>
    <t xml:space="preserve">POS Purchase </t>
  </si>
  <si>
    <t>Salary</t>
  </si>
  <si>
    <t>Service Charges</t>
  </si>
  <si>
    <t>Outgoing Domestic Fund Transfer</t>
  </si>
  <si>
    <t>DU Payment</t>
  </si>
  <si>
    <t>POS Purchase  EMIRATES</t>
  </si>
  <si>
    <t>POS Purchase (royal paris hotel)</t>
  </si>
  <si>
    <t>POS Purchase (Al khayam Supermarket)</t>
  </si>
  <si>
    <t>POS Purchase (Day to Day)</t>
  </si>
  <si>
    <t xml:space="preserve">POS Purchase albaik </t>
  </si>
  <si>
    <t>POS Purchase (Carrefour al ghurair)</t>
  </si>
  <si>
    <t>POS Purchase (Shein.Com)</t>
  </si>
  <si>
    <t>POS Purchase (Talabat Dubai)</t>
  </si>
  <si>
    <t>POS Purchase (Taxi Service )</t>
  </si>
  <si>
    <t>Online Mudassir A/C  (915597)  (From Faisal Bhai)</t>
  </si>
  <si>
    <t>Online Mudassir A/C  (915597)`</t>
  </si>
  <si>
    <t>SI0085</t>
  </si>
  <si>
    <t>SI0086</t>
  </si>
  <si>
    <t>IP 15ProMax 512GB Lock</t>
  </si>
  <si>
    <t>IP 15ProMax 256GB Lock</t>
  </si>
  <si>
    <t>Bill No SI0085 (IP 12Pro)</t>
  </si>
  <si>
    <t>Bill No SI0086 (IP 12Pro)</t>
  </si>
  <si>
    <t>Send to Australia by A/R</t>
  </si>
  <si>
    <t>FBR Tax (A/R Exp  meezan)</t>
  </si>
  <si>
    <t>Apple.Com Bill  (A/R Exp  meezan)</t>
  </si>
  <si>
    <t>Bait.ul.ilim Fee  (A/R Exp  meezan)</t>
  </si>
  <si>
    <t>KE Bill Paid   (A/R Exp  meezan)</t>
  </si>
  <si>
    <t>KE Bill Paid  (A/R Exp  meezan)</t>
  </si>
  <si>
    <t>Online Trasnfer Sania Abdul Rehman A/C  (A/R Exp  meezan)</t>
  </si>
  <si>
    <t>POS Purchase  (AR DIB Online)</t>
  </si>
  <si>
    <t>Service Charges (AR DIB Online)</t>
  </si>
  <si>
    <t>Outgoing Domestic Fund Transfer (AR DIB Online)</t>
  </si>
  <si>
    <t>Bank Charges (AR DIB Online)</t>
  </si>
  <si>
    <t>DU Payment (AR DIB Online)</t>
  </si>
  <si>
    <t>POS Purchase  EMIRATES (AR DIB Online)</t>
  </si>
  <si>
    <t>POS Purchase (AR DIB Online)</t>
  </si>
  <si>
    <t>POS Purchase (royal paris hotel)  (AR DIB Online)</t>
  </si>
  <si>
    <t>POS Purchase (Al khayam Supermarket) (AR DIB Online)</t>
  </si>
  <si>
    <t>POS Purchase (royal paris hotel) (AR DIB Online)</t>
  </si>
  <si>
    <t>POS Purchase (Day to Day) (AR DIB Online)</t>
  </si>
  <si>
    <t>POS Purchase albaik  (AR DIB Online)</t>
  </si>
  <si>
    <t>POS Purchase (Day to Day)(AR DIB Online)</t>
  </si>
  <si>
    <t>POS Purchase (Carrefour al ghurair)  (AR DIB Online)</t>
  </si>
  <si>
    <t>POS Purchase (Shein.Com) (AR DIB Online)</t>
  </si>
  <si>
    <t>POS Purchase (Talabat Dubai) (AR DIB Online)</t>
  </si>
  <si>
    <t>POS Purchase (Taxi Service ) (AR DIB Online)</t>
  </si>
  <si>
    <t>Visa Card Payment (transfer AR Credit Card)</t>
  </si>
  <si>
    <t>Visa Card Payment (transfer AR Credit Card From DIB A/C)</t>
  </si>
  <si>
    <t>Paid to Waheed Bhai (Deposit Syed Zohaib A/C)</t>
  </si>
  <si>
    <t>Paid to Waheed Bhai (Deposit Mariam Mujtaba A/C)</t>
  </si>
  <si>
    <t>Paid to Waheed Bhai (Online Mohsin Jamil A/C)</t>
  </si>
  <si>
    <t>Online Mudassir A/C  (915597)  (From AR Meezan)</t>
  </si>
  <si>
    <t>Online To Mudassir bhai</t>
  </si>
  <si>
    <t>SI0087</t>
  </si>
  <si>
    <t>Samsung S23</t>
  </si>
  <si>
    <t>Samsung Flip 5</t>
  </si>
  <si>
    <t>SI0088</t>
  </si>
  <si>
    <t xml:space="preserve">Faisal Bhai </t>
  </si>
  <si>
    <t>SI0089</t>
  </si>
  <si>
    <t>Bill No SI0087</t>
  </si>
  <si>
    <t>Bill No SI0089 (S24Plus)</t>
  </si>
  <si>
    <t>Samsung S24 Plus</t>
  </si>
  <si>
    <t>Bill No SI0088 (Starlink V3)</t>
  </si>
  <si>
    <t>Payments Send By Sasco</t>
  </si>
  <si>
    <t>SI0090</t>
  </si>
  <si>
    <t>Bill No SI0090</t>
  </si>
  <si>
    <t>Charges Returned</t>
  </si>
  <si>
    <t>Payment Send To  waheed bhai  $9744.30</t>
  </si>
  <si>
    <t>112 Aed Received In dubai</t>
  </si>
  <si>
    <t>Received by Wajahat</t>
  </si>
  <si>
    <t xml:space="preserve">AMGT </t>
  </si>
  <si>
    <t>Meezan Bank</t>
  </si>
  <si>
    <t>Dubai islamic Bank</t>
  </si>
  <si>
    <t>ENBD A/C</t>
  </si>
  <si>
    <t>Dubai Party Balances</t>
  </si>
  <si>
    <t>Karachi Party Balances</t>
  </si>
  <si>
    <t>Online Mudassir A/C  (414164)  (From AR Meezan)</t>
  </si>
  <si>
    <t>PI0036</t>
  </si>
  <si>
    <t>IMEI</t>
  </si>
  <si>
    <t>Total $</t>
  </si>
  <si>
    <t>Rate $</t>
  </si>
  <si>
    <t>IP 15 Pro 128GB Natural  (FU Non.active)</t>
  </si>
  <si>
    <t>IP 15ProMax 256GB Natural  (FU Non.active)</t>
  </si>
  <si>
    <t>IP 15ProMax 256GB Black   (FU Non.active)</t>
  </si>
  <si>
    <t>IP 15ProMax 512GB Black  (FU Non.active)</t>
  </si>
  <si>
    <t>IP 15ProMax 256GB Natural  (FU Active)</t>
  </si>
  <si>
    <t>IP 15ProMax 256GB Black  (FU Active)</t>
  </si>
  <si>
    <t xml:space="preserve">Samsung Z Flip 6   256GB </t>
  </si>
  <si>
    <t>Samsung S24 Ultra 256GB</t>
  </si>
  <si>
    <t>Ticket change Charges</t>
  </si>
  <si>
    <t>Total Aed</t>
  </si>
  <si>
    <t>PI0036  13Units</t>
  </si>
  <si>
    <t>IP 15Pro 128GB FU</t>
  </si>
  <si>
    <t>IP 15ProMax 256Gb FU</t>
  </si>
  <si>
    <t>IP 15ProMax 512Gb FU</t>
  </si>
  <si>
    <t>Z Flip 6 256GB</t>
  </si>
  <si>
    <t>Z Flip 6 256Gb</t>
  </si>
  <si>
    <t>Payment from Sultan 11480 CAD</t>
  </si>
  <si>
    <t>Sultan Bhai</t>
  </si>
  <si>
    <t>Canada Payment 11480 x2.67</t>
  </si>
  <si>
    <t>Waheed Bhai</t>
  </si>
  <si>
    <t>AR Staff</t>
  </si>
  <si>
    <t>From Khareedo Mobile AR Personal</t>
  </si>
  <si>
    <t>Paid to Faisal Bhai A/R Personal</t>
  </si>
  <si>
    <t>paid to Faisal Bhai</t>
  </si>
  <si>
    <t>AR Personal</t>
  </si>
  <si>
    <t>Online Mudassir A/C  (567145)  (From AR Meezan)</t>
  </si>
  <si>
    <t>Canadian Dollar 400</t>
  </si>
  <si>
    <t>Abdul Majid Bhai 3100 CAD</t>
  </si>
  <si>
    <t>Abdul Majid Bhai 2200 CAD</t>
  </si>
  <si>
    <t>Canadian Dollar $3100</t>
  </si>
  <si>
    <t>Net</t>
  </si>
  <si>
    <t xml:space="preserve">Danish Payment </t>
  </si>
  <si>
    <t>Online A/R A/C</t>
  </si>
  <si>
    <t>SI0091</t>
  </si>
  <si>
    <t>5pcs Carry Charges</t>
  </si>
  <si>
    <t>Bill SI0091</t>
  </si>
  <si>
    <r>
      <t xml:space="preserve">IP 15Pro 256GB Black  </t>
    </r>
    <r>
      <rPr>
        <u/>
        <sz val="13"/>
        <color theme="1"/>
        <rFont val="Calibri"/>
        <family val="2"/>
      </rPr>
      <t>@2250</t>
    </r>
  </si>
  <si>
    <r>
      <t xml:space="preserve">IP 15Pro 512GB Blue </t>
    </r>
    <r>
      <rPr>
        <u/>
        <sz val="13"/>
        <color theme="1"/>
        <rFont val="Calibri"/>
        <family val="2"/>
      </rPr>
      <t>@2350</t>
    </r>
  </si>
  <si>
    <r>
      <t xml:space="preserve">IP 15Pro 1TB Black </t>
    </r>
    <r>
      <rPr>
        <u/>
        <sz val="13"/>
        <color theme="1"/>
        <rFont val="Calibri"/>
        <family val="2"/>
      </rPr>
      <t>@2350</t>
    </r>
  </si>
  <si>
    <r>
      <t xml:space="preserve">IP 13ProMax 256GB </t>
    </r>
    <r>
      <rPr>
        <u/>
        <sz val="13"/>
        <color theme="1"/>
        <rFont val="Calibri"/>
        <family val="2"/>
      </rPr>
      <t>@1600</t>
    </r>
  </si>
  <si>
    <t>SI0092</t>
  </si>
  <si>
    <t>Samsung S24Ultra 256GB</t>
  </si>
  <si>
    <t>Samsung S24Ultra 512GB</t>
  </si>
  <si>
    <t>Samsung Z Fold 5</t>
  </si>
  <si>
    <t>Bill No SI0092</t>
  </si>
  <si>
    <t xml:space="preserve">AR Wireless Canada </t>
  </si>
  <si>
    <t xml:space="preserve">AR WIRELESS CANADA </t>
  </si>
  <si>
    <t>SI0093</t>
  </si>
  <si>
    <t>FAHEEM</t>
  </si>
  <si>
    <t>IP 15ProMax 256Gb Black</t>
  </si>
  <si>
    <t>IP 15ProMax 256Gb Natural</t>
  </si>
  <si>
    <t>Bill No SI0093</t>
  </si>
  <si>
    <t>Shop Rent Payment By Wajahat</t>
  </si>
  <si>
    <t>Payment By AR</t>
  </si>
  <si>
    <t>Deposite By A/R</t>
  </si>
  <si>
    <t>Payment Deposit By A/R (379982)</t>
  </si>
  <si>
    <t>Payment Deposit By A/R (379989)</t>
  </si>
  <si>
    <t>Payment Deposit By A/R (379998)</t>
  </si>
  <si>
    <t>Payment Deposit By A/R (380019)</t>
  </si>
  <si>
    <t>Payment Deposit By A/R (380028)</t>
  </si>
  <si>
    <t>Payment Deposit By A/R (380035)</t>
  </si>
  <si>
    <t>IP 15ProMax 256Gb Natural Active</t>
  </si>
  <si>
    <t>SI0094</t>
  </si>
  <si>
    <t>IP 15 128GB Blue</t>
  </si>
  <si>
    <t>Bill No SI0094</t>
  </si>
  <si>
    <t>SI0095</t>
  </si>
  <si>
    <t>Cash Sell</t>
  </si>
  <si>
    <r>
      <t>IP 15</t>
    </r>
    <r>
      <rPr>
        <sz val="11"/>
        <color theme="1"/>
        <rFont val="Calibri"/>
        <family val="2"/>
        <charset val="1"/>
        <scheme val="minor"/>
      </rPr>
      <t xml:space="preserve"> 128GB Blue</t>
    </r>
  </si>
  <si>
    <t>Model Update</t>
  </si>
  <si>
    <t>Bill  PR0034  (2 15Pro) (1 15) (Watch Returned)</t>
  </si>
  <si>
    <t xml:space="preserve">IP 15 128GB </t>
  </si>
  <si>
    <t>SI0096</t>
  </si>
  <si>
    <t>SI0097</t>
  </si>
  <si>
    <t>ABBAS IRANI</t>
  </si>
  <si>
    <t>Bill No SI0097</t>
  </si>
  <si>
    <t>SI0098</t>
  </si>
  <si>
    <t>Samsung Flip6</t>
  </si>
  <si>
    <t>Bill No SI0098</t>
  </si>
  <si>
    <t>Sumali</t>
  </si>
  <si>
    <t>SI0099</t>
  </si>
  <si>
    <t>SI0100</t>
  </si>
  <si>
    <t>Purchased Returned</t>
  </si>
  <si>
    <t>PI0037</t>
  </si>
  <si>
    <t>Salary Deposit (Adjust A/R Cash)</t>
  </si>
  <si>
    <t>POS Purchased Flydubai</t>
  </si>
  <si>
    <t>Chq Book Charges</t>
  </si>
  <si>
    <t>FED Charges</t>
  </si>
  <si>
    <t>Transfer to Muhammad Umair A/C</t>
  </si>
  <si>
    <t>ATM Withdraw</t>
  </si>
  <si>
    <t>AR Personal (Rehmat-e-Shereen)</t>
  </si>
  <si>
    <t>Trasnfer To rabi</t>
  </si>
  <si>
    <t>Ufone Super Card</t>
  </si>
  <si>
    <t>Purchase Returned  14Pcs</t>
  </si>
  <si>
    <t>AMGT 2units Pending Invoice</t>
  </si>
  <si>
    <t>meezan Entries Pending</t>
  </si>
  <si>
    <t>Returned Invoice
msg confirmation by 
AR 08/09/2024</t>
  </si>
  <si>
    <t>Samsung A23 FE</t>
  </si>
  <si>
    <t>$8820</t>
  </si>
  <si>
    <t>SI0101</t>
  </si>
  <si>
    <t>Starlink Mini</t>
  </si>
  <si>
    <t>Payement by Saad</t>
  </si>
  <si>
    <t>iphone 12pro 1</t>
  </si>
  <si>
    <t>SI0102</t>
  </si>
  <si>
    <t>3unit Carry Charges</t>
  </si>
  <si>
    <t>Bill SI0102</t>
  </si>
  <si>
    <t>SI0103</t>
  </si>
  <si>
    <t>Encell Shop</t>
  </si>
  <si>
    <t>Bill No SI0103</t>
  </si>
  <si>
    <t>Cash paid by wajahat</t>
  </si>
  <si>
    <t>Transfer ENBD A/C</t>
  </si>
  <si>
    <t>Payment From DIB A/C</t>
  </si>
  <si>
    <t>POS Royal Paris Hotel</t>
  </si>
  <si>
    <t>POS (Albaik Dubai)</t>
  </si>
  <si>
    <t>POS (Dubai Taxi)</t>
  </si>
  <si>
    <t>POS (Sulaiya Supermarket)</t>
  </si>
  <si>
    <t>POS (Carrefour Al.ghurair Dubai)</t>
  </si>
  <si>
    <t>POS (Day to Day)</t>
  </si>
  <si>
    <t>Fund Transfer Charges</t>
  </si>
  <si>
    <t>Harvey Norman  716 AUD</t>
  </si>
  <si>
    <t>Harvey Norman  2864AUD</t>
  </si>
  <si>
    <t>JB HiFi Online  718 AUD</t>
  </si>
  <si>
    <t>Harvey Norman  358AUD</t>
  </si>
  <si>
    <t>Delta Air  (2109.08 AUD)</t>
  </si>
  <si>
    <t>Apex VillaWood 39.70 AUD</t>
  </si>
  <si>
    <t>JB HiFI  (359 AUD)</t>
  </si>
  <si>
    <t>JB HiFI  (718 AUD)</t>
  </si>
  <si>
    <t>JB HiFI  (900 AUD)</t>
  </si>
  <si>
    <t>JB HiFI  (1436 AUD)</t>
  </si>
  <si>
    <t>Harvey Norman (1074 AUD)</t>
  </si>
  <si>
    <t>Harvey Norman (1432 AUD)</t>
  </si>
  <si>
    <t>Table Rock Complex</t>
  </si>
  <si>
    <t>Intl DCC Fee</t>
  </si>
  <si>
    <t>Tim Hortons  (11.93 CAD)</t>
  </si>
  <si>
    <t>Petro Canada (40 CAD)</t>
  </si>
  <si>
    <t>Petro Canada (20 CAD)</t>
  </si>
  <si>
    <t>Best Buy (18.07 CAD)</t>
  </si>
  <si>
    <t>Wal-Mart SuperCenter (18.93 CAD)</t>
  </si>
  <si>
    <t>Wal-Mart SuperCenter (23.23 CAD)</t>
  </si>
  <si>
    <t>Wal-Mart SuperCenter (12.35 CAD)</t>
  </si>
  <si>
    <t>Tim Hortons  (6.53 CAD)</t>
  </si>
  <si>
    <t>Bunnings (16000 AUD)</t>
  </si>
  <si>
    <t>Bunnings (4000 AUD)</t>
  </si>
  <si>
    <t>Onroute cambrige (100.84 CAD)</t>
  </si>
  <si>
    <t>Wal-Mart SuperCenter (51.43 CAD)</t>
  </si>
  <si>
    <t>JFK Jamba Juice (9.57 USD)</t>
  </si>
  <si>
    <t xml:space="preserve">Emirates </t>
  </si>
  <si>
    <t>TST Jamba Juice (12.40 AUD)</t>
  </si>
  <si>
    <t>Evolve (11.99 USD)</t>
  </si>
  <si>
    <t xml:space="preserve">Dubai Electricity </t>
  </si>
  <si>
    <t xml:space="preserve">Al Madina </t>
  </si>
  <si>
    <t>Air Can (827.70 CAD)</t>
  </si>
  <si>
    <t>Lax CNBC (8.58 USD)</t>
  </si>
  <si>
    <t>IAH CS CIBO (6.89 USD)</t>
  </si>
  <si>
    <t>SI0107</t>
  </si>
  <si>
    <t>IP 16ProMax 256 GB</t>
  </si>
  <si>
    <t>IP 16ProMax 512 GB</t>
  </si>
  <si>
    <t>IP 16ProMax 1 TB</t>
  </si>
  <si>
    <t>IP 16Pro 256 GB</t>
  </si>
  <si>
    <t xml:space="preserve">Online Ticket Payment To zulqarnain </t>
  </si>
  <si>
    <t>Month of Sep-2024</t>
  </si>
  <si>
    <t>Ali Karachi Receivable Adjust Paid to AMGT</t>
  </si>
  <si>
    <t>From DIB A/C</t>
  </si>
  <si>
    <t>Trasnfer Credit Card A/C</t>
  </si>
  <si>
    <t>Purchase OfficeWorks</t>
  </si>
  <si>
    <t>Purchase Bunnings</t>
  </si>
  <si>
    <t>Purchase JB HiFi</t>
  </si>
  <si>
    <t>Purchase Harvey</t>
  </si>
  <si>
    <t>SI0104</t>
  </si>
  <si>
    <t>Cash Sell Rabi</t>
  </si>
  <si>
    <t>Starlink V4</t>
  </si>
  <si>
    <t>SI0105</t>
  </si>
  <si>
    <t>SI0106</t>
  </si>
  <si>
    <t>Cash Sell By Faisal Bhai</t>
  </si>
  <si>
    <t>From Danish</t>
  </si>
  <si>
    <t>WB</t>
  </si>
  <si>
    <t>ATM Withdraw  PNSC</t>
  </si>
  <si>
    <t>Rehmat-e-Shereen</t>
  </si>
  <si>
    <t>Majestic</t>
  </si>
  <si>
    <t>Muhammad ilyas</t>
  </si>
  <si>
    <t>FBR Charges</t>
  </si>
  <si>
    <t>Trasnfer Sania.Abdul Rehman A/C</t>
  </si>
  <si>
    <t>Transfer Nasir Mahmood  A/C</t>
  </si>
  <si>
    <t>Transfer Abu Bakar A/C</t>
  </si>
  <si>
    <t>Transfer New Mobile Clinic</t>
  </si>
  <si>
    <t>Waheed Bhai Payment Deposit</t>
  </si>
  <si>
    <t>ARY Laguna</t>
  </si>
  <si>
    <t>From Qari Abdullah (Iphone 11 Payment)</t>
  </si>
  <si>
    <t>SI0108</t>
  </si>
  <si>
    <t>Cash Deposit (7000 Aed From Dubai)</t>
  </si>
  <si>
    <t>POS (Castle hill)</t>
  </si>
  <si>
    <t>POS (Coles RYDE)</t>
  </si>
  <si>
    <t>POS Islamic Centre Mayfield</t>
  </si>
  <si>
    <t>Salary From AMGT</t>
  </si>
  <si>
    <t>DU Payment   (AR DIB Online)</t>
  </si>
  <si>
    <t>Chq Book Charges (AR DIB Online)</t>
  </si>
  <si>
    <t>POS Purchased Flydubai  (AR DIB Online)</t>
  </si>
  <si>
    <t>POS Royal Paris Hotel  (AR DIB Online)</t>
  </si>
  <si>
    <t>POS (Albaik Dubai)  (AR DIB Online)</t>
  </si>
  <si>
    <t>POS (Dubai Taxi)  (AR DIB Online)</t>
  </si>
  <si>
    <t>POS (Sulaiya Supermarket)  (AR DIB Online)</t>
  </si>
  <si>
    <t>POS (Carrefour Al.ghurair Dubai)  (AR DIB Online)</t>
  </si>
  <si>
    <t>DU Payment  (AR DIB Online)</t>
  </si>
  <si>
    <t>POS (Day to Day)  (AR DIB Online)</t>
  </si>
  <si>
    <t>POS (Castle hill) (AR DIB Online)</t>
  </si>
  <si>
    <t>POS (Coles RYDE)  (AR DIB Online)</t>
  </si>
  <si>
    <t>POS Islamic Centre Mayfield  (AR DIB Online)</t>
  </si>
  <si>
    <t>Cash By Rabi</t>
  </si>
  <si>
    <t>Cash by Faisal Bhai</t>
  </si>
  <si>
    <t>Payment to Faisal Bhai</t>
  </si>
  <si>
    <t>IP 15ProMax Natural 256GB</t>
  </si>
  <si>
    <t>PI0038</t>
  </si>
  <si>
    <t>IP 15ProMax Natural 256Gb</t>
  </si>
  <si>
    <t xml:space="preserve">Online Mudassir A/C  (113379)  </t>
  </si>
  <si>
    <t xml:space="preserve">Canada Phone Purchasing &amp; Sell Pending </t>
  </si>
  <si>
    <t>Qari Abdullah</t>
  </si>
  <si>
    <t>Taha Payment Balance 5387 PKR</t>
  </si>
  <si>
    <t>Iphone 11 Sell</t>
  </si>
  <si>
    <t>Online AR A/C</t>
  </si>
  <si>
    <t>7000 Ahsan CBA Aed Balance PKR Paid</t>
  </si>
  <si>
    <t xml:space="preserve">Qari Abdullah 10,000 Balance </t>
  </si>
  <si>
    <t>Mudassir Bhai 3 unit Purchased (Imei Pending)</t>
  </si>
  <si>
    <t>1900 dollar Handover to Waheed Bhai
Ar Received 500 Exp   1400 Pending</t>
  </si>
  <si>
    <t>Apple Watch Ultra 2 49mm</t>
  </si>
  <si>
    <t>MD Pur</t>
  </si>
  <si>
    <t>Bill PI0038  (4x 15ProMax)</t>
  </si>
  <si>
    <t>Adjust other watch
04/10/2024</t>
  </si>
  <si>
    <t>Replacement</t>
  </si>
  <si>
    <t>290000 Receivable</t>
  </si>
  <si>
    <t>IP 16Plus  128GB</t>
  </si>
  <si>
    <t>IP 16 Plus 128GB</t>
  </si>
  <si>
    <t>IP 16Plus 128GB</t>
  </si>
  <si>
    <t>Salman (Al-Badar School)</t>
  </si>
  <si>
    <t>Payment From AMGT (7 x lego Education )</t>
  </si>
  <si>
    <t>Salman (Al-Badar)</t>
  </si>
  <si>
    <t>PI0039</t>
  </si>
  <si>
    <t>IP 16ProMax 256GB  13754.7 CAD</t>
  </si>
  <si>
    <t>Shipping Charges</t>
  </si>
  <si>
    <t>Clearing Charges</t>
  </si>
  <si>
    <t>SI0109</t>
  </si>
  <si>
    <t>SI0110</t>
  </si>
  <si>
    <t>PI0040</t>
  </si>
  <si>
    <t>Cash Purchased</t>
  </si>
  <si>
    <t>PI0041</t>
  </si>
  <si>
    <t>PI0042</t>
  </si>
  <si>
    <t>Bill PI0042  (3x 16Plus)</t>
  </si>
  <si>
    <t>Canceled</t>
  </si>
  <si>
    <t>1st State</t>
  </si>
  <si>
    <t>2nd State</t>
  </si>
  <si>
    <t>3rd State</t>
  </si>
  <si>
    <t xml:space="preserve"> DUBAI TAXI, AE</t>
  </si>
  <si>
    <t>HARVEY NORMAN AV/IT(AUD 4800.00 )</t>
  </si>
  <si>
    <t>HARVEY NORMAN AV/IT(AUD 1200.00 )</t>
  </si>
  <si>
    <t>HARVEY NORMAN AV/IT(AUD 1598.00 )</t>
  </si>
  <si>
    <t>HARVEY NORMAN AV/IT(AUD 3850.00 )</t>
  </si>
  <si>
    <t>HARVEY NORMAN AV/IT(AUD 6064.00 ),</t>
  </si>
  <si>
    <t>HARVEY NORMAN AV/IT(AUD 2235.00 )</t>
  </si>
  <si>
    <t>HARVEY NORMAN AT DOM(AUD 745.00 )</t>
  </si>
  <si>
    <t>HARVEY NORMAN AV/IT(AUD 1560.00 )</t>
  </si>
  <si>
    <t>OFFICEWORKS 0272(AUD 297.00 )</t>
  </si>
  <si>
    <t>JB HI FI ROSELANDS(AUD 690.00 )</t>
  </si>
  <si>
    <t>JB HI FI ROSELANDS(AUD 8588.00 )</t>
  </si>
  <si>
    <t>JB HI FI ROSELANDS(AUD 9988.00 ),</t>
  </si>
  <si>
    <t>BCF AUSTRALIA(AUD 1782.00 )</t>
  </si>
  <si>
    <t>BCF AUSTRALIA(AUD 2970.00 )</t>
  </si>
  <si>
    <t>Harvey Norman Online(AUD 298.00 ),</t>
  </si>
  <si>
    <t>OFFICEWORKS(AUD 297.00 )</t>
  </si>
  <si>
    <t>Harvey Norman Online(AUD 298.00 )</t>
  </si>
  <si>
    <t>BUNNINGS GROUP LTD(AUD 307.00 )</t>
  </si>
  <si>
    <t>HARVEY NORMAN AV/IT(AUD 298.00 )</t>
  </si>
  <si>
    <t>BUNNINGS GROUP LTD(AUD 297.00 )</t>
  </si>
  <si>
    <t>OFFICEWORKS(AUD 302.95 )</t>
  </si>
  <si>
    <t>AR Exp</t>
  </si>
  <si>
    <t>Starlink Mini Purchase</t>
  </si>
  <si>
    <t>Pur. #1021</t>
  </si>
  <si>
    <t>Pur. #1023</t>
  </si>
  <si>
    <t>Pur. #1024</t>
  </si>
  <si>
    <t>Baitul.ilm.trust</t>
  </si>
  <si>
    <t>Transfer to muhammad Abu Bakar A/C</t>
  </si>
  <si>
    <t>Transfer to Muhammad ilyas A/C</t>
  </si>
  <si>
    <t>Jazz Load</t>
  </si>
  <si>
    <t>Transfer to Muhammad Idrees</t>
  </si>
  <si>
    <t>Refund Kababjees</t>
  </si>
  <si>
    <t>Transfer To Nasir Mehmood</t>
  </si>
  <si>
    <t xml:space="preserve">Shaheen Service </t>
  </si>
  <si>
    <t>Hafiz Sweets</t>
  </si>
  <si>
    <t>From Ali Raza</t>
  </si>
  <si>
    <t>Transfer to Usama</t>
  </si>
  <si>
    <t>Received Jazz Cash</t>
  </si>
  <si>
    <t>AR Visa</t>
  </si>
  <si>
    <t>WB 77.5</t>
  </si>
  <si>
    <t>WB Ticket</t>
  </si>
  <si>
    <t>SI0111</t>
  </si>
  <si>
    <t>Cash Sell by A/R</t>
  </si>
  <si>
    <t>IP 16ProMax 256</t>
  </si>
  <si>
    <t>SI0112</t>
  </si>
  <si>
    <t>Cash Sell by Faisal Bhai</t>
  </si>
  <si>
    <t>Australia Stock</t>
  </si>
  <si>
    <t>IP 16ProMax 256GB</t>
  </si>
  <si>
    <t>IP 16ProMax 1TB</t>
  </si>
  <si>
    <t>Printer</t>
  </si>
  <si>
    <t>Charge 5</t>
  </si>
  <si>
    <t>JBL</t>
  </si>
  <si>
    <t>Essential Flip</t>
  </si>
  <si>
    <t>SI0113</t>
  </si>
  <si>
    <t>Sell to AMGT</t>
  </si>
  <si>
    <t>World Mart</t>
  </si>
  <si>
    <t>SI0114</t>
  </si>
  <si>
    <t>Sell to World Mart</t>
  </si>
  <si>
    <t>DJI Mavic Drone</t>
  </si>
  <si>
    <t>Bill No SI0114 (DJI Mavic)</t>
  </si>
  <si>
    <t>SI0115</t>
  </si>
  <si>
    <t>Stock</t>
  </si>
  <si>
    <t>Payment</t>
  </si>
  <si>
    <t>Receivable</t>
  </si>
  <si>
    <t>Payables</t>
  </si>
  <si>
    <t>Cash at Meezan A/C</t>
  </si>
  <si>
    <t>Cash at ENBD A/C</t>
  </si>
  <si>
    <t>Cash at DIB A/C</t>
  </si>
  <si>
    <t>Cash in karachi Office</t>
  </si>
  <si>
    <t>in USA</t>
  </si>
  <si>
    <t>4unit 15Promax 256GB @188,000</t>
  </si>
  <si>
    <t>1unit Watch Ultra  @175,000</t>
  </si>
  <si>
    <t>3Units IP 16Plus  @160000</t>
  </si>
  <si>
    <t>In Dubai</t>
  </si>
  <si>
    <t>IP 15ProMax 512</t>
  </si>
  <si>
    <t>IP 15Pro 128GB</t>
  </si>
  <si>
    <t>IP 14Plus 128GB</t>
  </si>
  <si>
    <t xml:space="preserve">IP 13ProMax 256Gb  </t>
  </si>
  <si>
    <t>IP 11ProMax 512GB</t>
  </si>
  <si>
    <t>IP 11ProMax 64GB</t>
  </si>
  <si>
    <t>IP 11 Pro 256Gb</t>
  </si>
  <si>
    <t>IP 11 128GB</t>
  </si>
  <si>
    <t>7Plus</t>
  </si>
  <si>
    <t>Flip 5</t>
  </si>
  <si>
    <t>Pixel 7</t>
  </si>
  <si>
    <t>Old 3Units 15ProMax</t>
  </si>
  <si>
    <t>From Danish Iqbal (Carry Payment)</t>
  </si>
  <si>
    <t>Danish</t>
  </si>
  <si>
    <t>Saad &amp; Wajahat</t>
  </si>
  <si>
    <t>Machine Payment</t>
  </si>
  <si>
    <t>Mudassir bhai</t>
  </si>
  <si>
    <t>Abdul Majid Bhai</t>
  </si>
  <si>
    <t>umer Gujranwala</t>
  </si>
  <si>
    <t>Salman (Al-badar)</t>
  </si>
  <si>
    <t>CLOSING STOCK</t>
  </si>
  <si>
    <t>PI0043</t>
  </si>
  <si>
    <t>BAB AL SHER MEDICAL</t>
  </si>
  <si>
    <t>Bab Al Sher Medical</t>
  </si>
  <si>
    <t>Bill No PI0043</t>
  </si>
  <si>
    <t>Payment BY faisal Bhai</t>
  </si>
  <si>
    <t>SI0116</t>
  </si>
  <si>
    <t>Bill No SI0116 (6 x16ProMax)</t>
  </si>
  <si>
    <t>SI0117</t>
  </si>
  <si>
    <t>Commission Less</t>
  </si>
  <si>
    <t>Old Date 12/10/2024</t>
  </si>
  <si>
    <t>Cash By Faisal bhai</t>
  </si>
  <si>
    <t>Dubai Office</t>
  </si>
  <si>
    <t xml:space="preserve">18/10/2024 Received </t>
  </si>
  <si>
    <t>SI0118</t>
  </si>
  <si>
    <t>Cash Sell By A/R</t>
  </si>
  <si>
    <t>From WB</t>
  </si>
  <si>
    <t>SI0119</t>
  </si>
  <si>
    <t>Cash Sell By Faisal bhai</t>
  </si>
  <si>
    <t>SI0120</t>
  </si>
  <si>
    <t>ABBAS</t>
  </si>
  <si>
    <t>Bill No SI0120</t>
  </si>
  <si>
    <t>Cash By Faisal Bhai</t>
  </si>
  <si>
    <t>SI0121</t>
  </si>
  <si>
    <t>SI0122</t>
  </si>
  <si>
    <t>IP 16  128GB</t>
  </si>
  <si>
    <t>IP 16Plus  512GB</t>
  </si>
  <si>
    <t>PI0044</t>
  </si>
  <si>
    <t>IP 16Plus 512GB</t>
  </si>
  <si>
    <t>Bill PI0044  (1x 16Plus &amp; 1x16)</t>
  </si>
  <si>
    <t>Online Mudassir A/C From Faisal Bhai</t>
  </si>
  <si>
    <t>PI0045</t>
  </si>
  <si>
    <t>Local Purchased Faisal Bhai</t>
  </si>
  <si>
    <t>Local Purchased Faisal bhai</t>
  </si>
  <si>
    <t>Bill No PI0045</t>
  </si>
  <si>
    <t>Payment By faisal Bhai</t>
  </si>
  <si>
    <t>SI0123</t>
  </si>
  <si>
    <t>SI0124</t>
  </si>
  <si>
    <t>SI0125</t>
  </si>
  <si>
    <t>Hezar Mohammad</t>
  </si>
  <si>
    <t>Bill No SI0125</t>
  </si>
  <si>
    <t>PS5</t>
  </si>
  <si>
    <t>Bill No PI0039</t>
  </si>
  <si>
    <t>Abdul Majid IP 16</t>
  </si>
  <si>
    <t>Abdul Majid Use Stock</t>
  </si>
  <si>
    <t>IP 13 ProMax 128Gb</t>
  </si>
  <si>
    <t>IP 13 Pro 256GB</t>
  </si>
  <si>
    <t>IP 13 Pro 128GB</t>
  </si>
  <si>
    <t>IP 13ProMax 512GB</t>
  </si>
  <si>
    <t>IP 13ProMax 128GB</t>
  </si>
  <si>
    <t>IP 13Pro 128GB</t>
  </si>
  <si>
    <t>IP 13Pro 256GB</t>
  </si>
  <si>
    <t>entry done</t>
  </si>
  <si>
    <t>Cash by Saqib</t>
  </si>
  <si>
    <t>Paid to Basit 16920 RMB @40.40</t>
  </si>
  <si>
    <t>SI0126</t>
  </si>
  <si>
    <t>JBL Charge 5</t>
  </si>
  <si>
    <t>JBL Essential 2</t>
  </si>
  <si>
    <t>v4</t>
  </si>
  <si>
    <t xml:space="preserve">Mini </t>
  </si>
  <si>
    <t>Pur</t>
  </si>
  <si>
    <t>sell</t>
  </si>
  <si>
    <t>shipment</t>
  </si>
  <si>
    <t>match</t>
  </si>
  <si>
    <t>entry done in System by 
@77.5</t>
  </si>
  <si>
    <t>entry done in System by A/R
@77.5 (old payment Done)</t>
  </si>
  <si>
    <t>IP 16 Pro Max 512GB Natural</t>
  </si>
  <si>
    <t>IP 15Pro Max 256 GB natural</t>
  </si>
  <si>
    <t>IP 16 Pro Max 512GB Desert</t>
  </si>
  <si>
    <t>PI0046</t>
  </si>
  <si>
    <t>IP 16 ProMax 512GB Natural</t>
  </si>
  <si>
    <t>IP 16 ProMax 512GB Desert</t>
  </si>
  <si>
    <t>Bill PI0045  (1x 16PM)</t>
  </si>
  <si>
    <t>Bill PI0045  (1x15PM)</t>
  </si>
  <si>
    <t>Online Payment</t>
  </si>
  <si>
    <t>Bill PI0045  (1x16PM)</t>
  </si>
  <si>
    <t>Transfer Into Software</t>
  </si>
  <si>
    <t>IP 16 Pro Max 256GB Natural</t>
  </si>
  <si>
    <t>PI0047</t>
  </si>
  <si>
    <t>Bill PI0047  (3x16PM)</t>
  </si>
  <si>
    <t>Online Mudassir A/C   (From AR Meezan)</t>
  </si>
  <si>
    <t>SI0127</t>
  </si>
  <si>
    <t>Sell By A/R</t>
  </si>
  <si>
    <t>IP 16 ProMax</t>
  </si>
  <si>
    <t>Bill No PI0039   13754.7 CAD</t>
  </si>
  <si>
    <t>(13ProMax Pending Copy LCD)</t>
  </si>
  <si>
    <r>
      <t>XsMax Pending</t>
    </r>
    <r>
      <rPr>
        <b/>
        <sz val="11"/>
        <color theme="1"/>
        <rFont val="Calibri"/>
        <family val="2"/>
      </rPr>
      <t xml:space="preserve"> 353121100802401</t>
    </r>
  </si>
  <si>
    <t>Cash Paid to Mohsin</t>
  </si>
  <si>
    <t>PI0048</t>
  </si>
  <si>
    <t>Bill PI0048  (3x16PM)</t>
  </si>
  <si>
    <t xml:space="preserve">04/11/2024 Received </t>
  </si>
  <si>
    <t xml:space="preserve">entry done in System by A/R
@77.5 </t>
  </si>
  <si>
    <t>Daniyal Loan</t>
  </si>
  <si>
    <t>Cash Paid to Daniyal For Machine Purchasing</t>
  </si>
  <si>
    <t>Daniyal</t>
  </si>
  <si>
    <t>…</t>
  </si>
  <si>
    <t xml:space="preserve">Payment By AR </t>
  </si>
  <si>
    <t>IP 16ProMax 512Gb</t>
  </si>
  <si>
    <t>IP 16ProMax 256Gb</t>
  </si>
  <si>
    <t>Daniyal Karachi</t>
  </si>
  <si>
    <t>POS (chemist warehouse hornsby)</t>
  </si>
  <si>
    <t>POS (Emirates)</t>
  </si>
  <si>
    <t>POS (islamic malay australia)</t>
  </si>
  <si>
    <t>Money TransferredTo TALAT RAHIM</t>
  </si>
  <si>
    <t>Bill Paid KE</t>
  </si>
  <si>
    <t>UNITED KING POS</t>
  </si>
  <si>
    <t>ATM Cash  Withdrawal-PNSC</t>
  </si>
  <si>
    <t>Transfer to Syed hasan hayder</t>
  </si>
  <si>
    <t>Transfer to Sania Abdul Rehman A/C</t>
  </si>
  <si>
    <t>Transfer to Zeshan Aslam</t>
  </si>
  <si>
    <t>Transfer To Basit Aziz</t>
  </si>
  <si>
    <t>Transfer To Muhammad Noman</t>
  </si>
  <si>
    <t>Transfer To Imran</t>
  </si>
  <si>
    <t xml:space="preserve">From Khareedo Mobile </t>
  </si>
  <si>
    <t>From AbuBakar A/C</t>
  </si>
  <si>
    <t>Money Received XXX6462</t>
  </si>
  <si>
    <t>From Muhammad Bilal</t>
  </si>
  <si>
    <t>From Abdul Sami</t>
  </si>
  <si>
    <t>Imtiaz Store</t>
  </si>
  <si>
    <t>From Osama Sohail</t>
  </si>
  <si>
    <t>Transfer to Mudassir</t>
  </si>
  <si>
    <t>Transfer to Faisal Bhai A/C</t>
  </si>
  <si>
    <t xml:space="preserve">Payment to Mudassir </t>
  </si>
  <si>
    <t xml:space="preserve">Transfer to Sabiha </t>
  </si>
  <si>
    <t>Transfer to Amina Hameed A/C</t>
  </si>
  <si>
    <t>Transfer to Saleem Rajput A/C</t>
  </si>
  <si>
    <t>Transfer to M.Sohail A/C</t>
  </si>
  <si>
    <t>Dow University</t>
  </si>
  <si>
    <t>United king</t>
  </si>
  <si>
    <t>ATM Withdraw Gulshan.e.iqbal</t>
  </si>
  <si>
    <t>From AbuBakar A/C  (IP 16 3 units)</t>
  </si>
  <si>
    <t>POS PURCHASE</t>
  </si>
  <si>
    <t>DU PAYMENT - MBA : 971523718190</t>
  </si>
  <si>
    <t>POS PURCHASE - RTA DUBAI AIRPORT FR DUBAI</t>
  </si>
  <si>
    <t>POS PURCHASE - Al Khayam Supermarket Dubai</t>
  </si>
  <si>
    <t>POS PURCHASE - CHOITRAM DUBAI TOWER DUBAI</t>
  </si>
  <si>
    <t>POS PURCHASE - AL USTAD SPECIAL KABAB Dubai</t>
  </si>
  <si>
    <t>POS PURCHASE - ARIANA AFGHAN RESTAURA Dubai</t>
  </si>
  <si>
    <t>POS PURCHASE - AL MADINA DUBAI</t>
  </si>
  <si>
    <t>POS PURCHASE - DAY TO DAY HYPERMKT BR DUBAI</t>
  </si>
  <si>
    <t>POS PURCHASE - ALBAIK DUBAI</t>
  </si>
  <si>
    <t>POS PURCHASE - DAY TO DAY UNION BR 042343444</t>
  </si>
  <si>
    <t>POS PURCHASE - DUBAI TAXI DUBAI</t>
  </si>
  <si>
    <t>POS PURCHASE - KUWAIT FOOD CO AMERICANA DUBAI</t>
  </si>
  <si>
    <t>POS PURCHASE - ENOC SITE 4041ABU HAIL DUBAI</t>
  </si>
  <si>
    <t>POS PURCHASE - Sulaiya Supermarket Dubai</t>
  </si>
  <si>
    <t>POS PURCHASE - EMIRATES 1762380102187 E COMMERCE</t>
  </si>
  <si>
    <t>POS PURCHASE - CARREFOUR AL GHURAIR DUBAI</t>
  </si>
  <si>
    <t>POS PURCHASE - SHIRAZ NIGHTS RESTAURA DUBAI</t>
  </si>
  <si>
    <t>POS PURCHASE - AL MADINA MARKET LLC DUBAI</t>
  </si>
  <si>
    <t>VISA CARD PAYMENT</t>
  </si>
  <si>
    <t>POS PURCHASE - ROYAL PARIS HOTEL DUBAI</t>
  </si>
  <si>
    <t>POS PURCHASE - EMIRATES 1762380421013 E COMMERCE</t>
  </si>
  <si>
    <t>INHOUSE CHEQUE - DEBIT - CHEQUE 100026</t>
  </si>
  <si>
    <t>POS PURCHASE - EXPRESS FOOD COMPANY A JEDDAH</t>
  </si>
  <si>
    <t>POS PURCHASE - UNITED PHARMACIES 112 MAKKAH</t>
  </si>
  <si>
    <t>POS PURCHASE - ABRAJ HYPER MARKET MAKKAH</t>
  </si>
  <si>
    <t>POS PURCHASE - ALTAZAJ MAKKAH</t>
  </si>
  <si>
    <t>POS PURCHASE - nasmat almathaq est MAKKAH</t>
  </si>
  <si>
    <t>POS PURCHASE - GIFTS LAND CENTRE LLC Dubai</t>
  </si>
  <si>
    <t>POS PURCHASE - AL ZAHRA WALANDALEEB REST DUBAI</t>
  </si>
  <si>
    <t>POS PURCHASE - P J P INVESTMENTS DUBAI</t>
  </si>
  <si>
    <t>POS PURCHASE - RTA DUBAI METRO TVM UN DUBAI</t>
  </si>
  <si>
    <t>POS PURCHASE - DUBAI DUTY FREE DUBAI</t>
  </si>
  <si>
    <t>POS PURCHASE - NESTO HYPERMARKET BR SHARJAH</t>
  </si>
  <si>
    <t>POS PURCHASE - DELI MEAL CAFE BR DUBAI</t>
  </si>
  <si>
    <t>Flat Rent Chq</t>
  </si>
  <si>
    <t>Onepass MemberShip</t>
  </si>
  <si>
    <t xml:space="preserve">20/11/2024 Received </t>
  </si>
  <si>
    <t xml:space="preserve">SAAD &amp; Wajahat </t>
  </si>
  <si>
    <t>SR0128</t>
  </si>
  <si>
    <t>S24Ultra 256GB Lock</t>
  </si>
  <si>
    <t xml:space="preserve">13Promax Discount </t>
  </si>
  <si>
    <t>Samsung S24 Ultra</t>
  </si>
  <si>
    <t xml:space="preserve">03/12/2024 Received </t>
  </si>
  <si>
    <t xml:space="preserve">Karachi Office </t>
  </si>
  <si>
    <t>CHEMIST WAREHOUSE(AUD 246.86 ), AU</t>
  </si>
  <si>
    <t>SMARTE CARTE AUSTRALIA(AUD 5.00 ), AU</t>
  </si>
  <si>
    <t>FLYDUBAI, AE</t>
  </si>
  <si>
    <t>MAJESTIC(PKR 2.00 ), PK</t>
  </si>
  <si>
    <t>REHMAT E SHEREEN(PKR 2770.00 ), PK</t>
  </si>
  <si>
    <t>Summer FX cashback</t>
  </si>
  <si>
    <t>AL GHAZAL TRANSPORT, AE</t>
  </si>
  <si>
    <t>AL MADINA, AE</t>
  </si>
  <si>
    <t>DUBAI ELECTRICITY, AE</t>
  </si>
  <si>
    <t>PAYMENT RECEIVED</t>
  </si>
  <si>
    <t>Samsung s23 Fe</t>
  </si>
  <si>
    <t xml:space="preserve">Old balance   3unit  Missing </t>
  </si>
  <si>
    <t>Trasnfer to AbuBakar A/C</t>
  </si>
  <si>
    <t>Received From Imran A/C</t>
  </si>
  <si>
    <t>Received From Saqib A/C</t>
  </si>
  <si>
    <t>Received From AbuBakar A/C</t>
  </si>
  <si>
    <t>Received From ArijKhan A/C</t>
  </si>
  <si>
    <t>Received From Tanver A/C</t>
  </si>
  <si>
    <t>Trasnfer to SaniaAbdulrehman A/C</t>
  </si>
  <si>
    <t>Trasnfer to AzkaWaseem A/C</t>
  </si>
  <si>
    <t>Chq Deposit</t>
  </si>
  <si>
    <t>Received From AmrahPasha A/C</t>
  </si>
  <si>
    <t>Received From M.Ahsan A/C</t>
  </si>
  <si>
    <t>Trasnfer to Riazuddin A/C</t>
  </si>
  <si>
    <t>Trasnfer to NasirMehmood A/C</t>
  </si>
  <si>
    <t>Received From Muhammad Ahsan A/C</t>
  </si>
  <si>
    <t xml:space="preserve">Cash withdraw </t>
  </si>
  <si>
    <t>GRACE FABRICS</t>
  </si>
  <si>
    <t>HUSH PUPPIES</t>
  </si>
  <si>
    <t>STADIUM SERVICE STAT</t>
  </si>
  <si>
    <t>ATM Withdraw  Landhi</t>
  </si>
  <si>
    <t>Trasnfer to  MUHAMMAD SOHAIL A/C</t>
  </si>
  <si>
    <t>Telenor Load</t>
  </si>
  <si>
    <t>Bill Paid BAITUL ILM TRUST</t>
  </si>
  <si>
    <t>BOMBAY CHOC N NUTS</t>
  </si>
  <si>
    <t>KABABJEES FRIED CHIC POS Purchase</t>
  </si>
  <si>
    <t>BURGER O CLOCK POS Purchase</t>
  </si>
  <si>
    <t>Onederland POS Purchase</t>
  </si>
  <si>
    <t>Received from FAISAL MEHMOOD PASHA</t>
  </si>
  <si>
    <t>REHMAT E SHEREEN POS Purchase</t>
  </si>
  <si>
    <t>Money Transferred To NASIR MAHMOOD A/C</t>
  </si>
  <si>
    <t>MADINA AUTOS SHELL POS Purchase</t>
  </si>
  <si>
    <t>HAFIZ SWEETS POS Purchase</t>
  </si>
  <si>
    <t>Money Transferred to USAMA</t>
  </si>
  <si>
    <t>Money Transferred To SANIA ABDUL REHMAN (ASAAN AC)</t>
  </si>
  <si>
    <t>MAJESTIC POS Purchase</t>
  </si>
  <si>
    <t>Money Transferred To MUHAMMAD ILYAS</t>
  </si>
  <si>
    <t>Money Received from AMRAH PASHA A/C</t>
  </si>
  <si>
    <t>Cash Withdraw (Paid to Arshad 5800 Aed)</t>
  </si>
  <si>
    <t>ATM Cash Withdrawal SHARFABAD</t>
  </si>
  <si>
    <t>From Saqib</t>
  </si>
  <si>
    <t>WB Payment</t>
  </si>
  <si>
    <t>FahibWithdraw</t>
  </si>
  <si>
    <t xml:space="preserve">From Mudasir </t>
  </si>
  <si>
    <t>Active Returned 02/01/2025</t>
  </si>
  <si>
    <t>Transfer Mudassir A/C</t>
  </si>
  <si>
    <t>Received Mudassir A/C</t>
  </si>
  <si>
    <t>Transfer to AbuBakar A/C</t>
  </si>
  <si>
    <t>Trasnfer to Muhammad ilyas A/C</t>
  </si>
  <si>
    <t xml:space="preserve">Paid to Razi Ahmed </t>
  </si>
  <si>
    <t>AirBlue Online</t>
  </si>
  <si>
    <t>Money Transferred To Muhammad Sohail</t>
  </si>
  <si>
    <t>Jazz Prepaid</t>
  </si>
  <si>
    <t>ATM Withdraw Baitulmukarram</t>
  </si>
  <si>
    <t>From Razi Ahmed Sheikh</t>
  </si>
  <si>
    <t xml:space="preserve">ATM Withdraw PNSC Branch </t>
  </si>
  <si>
    <t>Money Transferred To ASIM YAQOOB A/C</t>
  </si>
  <si>
    <t>Money Transferred To Mariyem A/C</t>
  </si>
  <si>
    <t>POS PURCHASE - R AND B DUBAI</t>
  </si>
  <si>
    <t>POS PURCHASE - DU Apple Pay DUBAI</t>
  </si>
  <si>
    <t>POS PURCHASE - DUBAI ELECTRICITY DUBAI</t>
  </si>
  <si>
    <t>POS PURCHASE - GALADARI MOTOR DRIVING DUBAI</t>
  </si>
  <si>
    <t>POS PURCHASE - DESERT DAY TRAVEL AND TOU Dubai</t>
  </si>
  <si>
    <t>POS PURCHASE - ALI ABDULLA GROCERY DUBAI</t>
  </si>
  <si>
    <t>POS PURCHASE - New hanif afghan restaura Dubai</t>
  </si>
  <si>
    <t>POS PURCHASE - ROAD TRANSPORT AUTHORIT DUBAI</t>
  </si>
  <si>
    <t>SALARY - WPS SALARY</t>
  </si>
  <si>
    <t>POS PURCHASE - GLOBAL VILLAGE PARTNERS DUBAI</t>
  </si>
  <si>
    <t>POS PURCHASE - NWZ WEST ZONE SUPERMARKET DUBAI</t>
  </si>
  <si>
    <t>POS PURCHASE - GLOBAL VILLAGE ENTRY T DUBAI</t>
  </si>
  <si>
    <t>POS PURCHASE - ANDAAZ APNA APNA RESTAURA DUBAI</t>
  </si>
  <si>
    <t>DU PAYMENT - MBA : 971555032152</t>
  </si>
  <si>
    <t>POS PURCHASE - CARS TAXI SERVICES CO LLC DUBAI</t>
  </si>
  <si>
    <t>POS PURCHASE - Mian jee catering service Dubai</t>
  </si>
  <si>
    <t>POS PURCHASE - JB HI FI HILL ST AUCKLAND</t>
  </si>
  <si>
    <t>POS PURCHASE - BUTTKARAHI RESTAURANT CO Dubai</t>
  </si>
  <si>
    <t>POS PURCHASE - ARABIA TAXI DUBAI</t>
  </si>
  <si>
    <t>POS PURCHASE - 1121 NOOR AL SHEFAA PH DUBAI</t>
  </si>
  <si>
    <t>POS PURCHASE - AMAN LUXURY CARS LLC DUBAI</t>
  </si>
  <si>
    <t>POS PURCHASE - HARVEY NORMAN DOMAYN NORTH RYDE</t>
  </si>
  <si>
    <t>POS PURCHASE - AZHAR HYPER MARKET DUBAI</t>
  </si>
  <si>
    <t>POS PURCHASE - EMIRATES 1762381518792 E COMMERCE</t>
  </si>
  <si>
    <t>POS PURCHASE - KARACHI DARBAR RESTAUR Dubai</t>
  </si>
  <si>
    <t>POS PURCHASE - EMIRATES 1762381787268 E COMMERCE</t>
  </si>
  <si>
    <t>POS PURCHASE - NAYAAB HYDERABAD REST DUBAI</t>
  </si>
  <si>
    <t>POS PURCHASE - JACKSON TRADING CO DUBAI</t>
  </si>
  <si>
    <t>POS PURCHASE - EMIRATES 1762381900075 E COMMERCE</t>
  </si>
  <si>
    <t>POS PURCHASE - TALAL SUPERMARKET LLC DUBAI</t>
  </si>
  <si>
    <t>POS PURCHASE - FLYDUBAI https wwwfl</t>
  </si>
  <si>
    <t>POS PURCHASE - HARVEY NORMAN BOTAN MANUKAU</t>
  </si>
  <si>
    <t>POS PURCHASE - NATIONAL TAXI DUBAI</t>
  </si>
  <si>
    <t>POS PURCHASE - P J P INVESTMENTS GROUP L DUBAI</t>
  </si>
  <si>
    <t>POS PURCHASE - BRANDS FOR LESS DUBAI</t>
  </si>
  <si>
    <t>VISA CARD PAYMEN</t>
  </si>
  <si>
    <t>POS PURCHASE - PIZZA LEGEND RESTAURANT Dubai</t>
  </si>
  <si>
    <t>POS PURCHASE - EMIRATES 1762382558350 E COMMERCE</t>
  </si>
  <si>
    <t>POS PURCHASE - GALADARI MOTOR DRIVING DUBA</t>
  </si>
  <si>
    <t>POS PURCHASE - RTA BANIYAS SQUARE DUBA</t>
  </si>
  <si>
    <t>POS PURCHASE - UNDER ARMOUR DUBAI</t>
  </si>
  <si>
    <t>POS PURCHASE - RTA MAX DUBA</t>
  </si>
  <si>
    <t>CREDIT CARD PAYMENT - 2107394 2816-20250102</t>
  </si>
  <si>
    <t>POS PURCHASE - NOON FOOD FOOD DELIVERY DUBAI</t>
  </si>
  <si>
    <t>POS PURCHASE - HAAGEN DAZS JBR DUBAI</t>
  </si>
  <si>
    <t>POS PURCHASE - FRESH BASKET SUPERMARK DUBAI</t>
  </si>
  <si>
    <t>INHOUSE CHEQUE - DEBIT - CHEQUE 100030</t>
  </si>
  <si>
    <t>Payment From Muzammil HT (233400PKR)</t>
  </si>
  <si>
    <t>PowerPlay</t>
  </si>
  <si>
    <t>Essential Flip 2</t>
  </si>
  <si>
    <t>Waleed AR</t>
  </si>
  <si>
    <r>
      <t xml:space="preserve">Online AR Meezan A/C </t>
    </r>
    <r>
      <rPr>
        <b/>
        <u/>
        <sz val="11"/>
        <color rgb="FFFF0000"/>
        <rFont val="Calibri"/>
        <family val="2"/>
        <scheme val="minor"/>
      </rPr>
      <t>(As Loan)</t>
    </r>
  </si>
  <si>
    <t xml:space="preserve">Waleed </t>
  </si>
  <si>
    <t>CHG:PKR23757.61 FBRTax:PKR29697. 02-STAN (731707)</t>
  </si>
  <si>
    <t>EMIRATES Online Purchase-STAN</t>
  </si>
  <si>
    <t>Money Received from JUGNU GSM</t>
  </si>
  <si>
    <t>Fund transfer from ALI MOBILES</t>
  </si>
  <si>
    <t>Fund transfer from MUHAMMAD MUBASHIR</t>
  </si>
  <si>
    <t>Money Transferred To SANIA ABDUL REHMAN</t>
  </si>
  <si>
    <t>Remittance from Muhammad Talha</t>
  </si>
  <si>
    <t>Received from SHAHZAD A/C</t>
  </si>
  <si>
    <t>Transferred To MUHAMMAD ILYAS (ASAAN AC)</t>
  </si>
  <si>
    <r>
      <t xml:space="preserve">Fund transfer to Iesha Toheed </t>
    </r>
    <r>
      <rPr>
        <b/>
        <u/>
        <sz val="11"/>
        <color rgb="FFFF0000"/>
        <rFont val="Calibri"/>
        <family val="2"/>
        <scheme val="minor"/>
      </rPr>
      <t>(Waleed Loan)</t>
    </r>
  </si>
  <si>
    <t>Bill Paid KWSB 69068403200071</t>
  </si>
  <si>
    <t>Transferred To MUHAMMAD ABU BAKAR A/C</t>
  </si>
  <si>
    <t>ATM Cash Withdrawal SHAMSI SOCIETY</t>
  </si>
  <si>
    <t>Transferred to MUHAMMAD AMMAR KHAN</t>
  </si>
  <si>
    <t>Transferred To SANIA ABDUL REHMAN</t>
  </si>
  <si>
    <r>
      <t xml:space="preserve">Received from DANISH IQBAL </t>
    </r>
    <r>
      <rPr>
        <b/>
        <sz val="11"/>
        <color theme="1"/>
        <rFont val="Calibri"/>
        <family val="2"/>
        <scheme val="minor"/>
      </rPr>
      <t>(Carry Payment)</t>
    </r>
  </si>
  <si>
    <t>Received from MUHAMMAD HASAN RAZA A/C</t>
  </si>
  <si>
    <t>Bill Paid KE 0400005525697</t>
  </si>
  <si>
    <t>Bill Paid KE 0400005525770</t>
  </si>
  <si>
    <t>CHG:PKR736.45 FBRTax:PKR920.56-STAN (021046)</t>
  </si>
  <si>
    <t>AGODA.COM BLUE OCEAN Online Purchase</t>
  </si>
  <si>
    <t>CHG:PKR749.64 FBRTax:PKR937.05-STAN (040141)</t>
  </si>
  <si>
    <t>AGODA.COM BLUE OCEAN Online Purchase STAN (040141)</t>
  </si>
  <si>
    <t>Money Received from MUHAMMAD ASIF A/C</t>
  </si>
  <si>
    <t>Money Received from ABDUL SAMI A/C</t>
  </si>
  <si>
    <t>Fund transfer from ARBAZ TELECOM</t>
  </si>
  <si>
    <t>Money Transferred to SAJID IQBAL</t>
  </si>
  <si>
    <t>Received from MUHAMMAD TANVEER A/C</t>
  </si>
  <si>
    <t>Mobile Payment</t>
  </si>
  <si>
    <t>IP 16ProMax 256GB Desert Titanium</t>
  </si>
  <si>
    <t>Samsung SM-S921W  128GB</t>
  </si>
  <si>
    <t>IP 16 Pro 128GB Black Titanium</t>
  </si>
  <si>
    <t>IP 16 128GB  Ultramarine</t>
  </si>
  <si>
    <t>Samsung SM-A546W  128GB</t>
  </si>
  <si>
    <t>Samsung SM-F741W  256GB</t>
  </si>
  <si>
    <t>IP 16 128GB  Black</t>
  </si>
  <si>
    <t>IP 16Pro 256GB Desert Titanium</t>
  </si>
  <si>
    <t>IP 16Pro 256GB Black Titanium</t>
  </si>
  <si>
    <t>600 Aed Charges Freezone (Payment From Shahnawaz)</t>
  </si>
  <si>
    <t>Received from ABDUL SAMI A/C</t>
  </si>
  <si>
    <t>ATM Cash Withdrawal KALAKOT SWAT</t>
  </si>
  <si>
    <t>BANK CHARGES</t>
  </si>
  <si>
    <t>CHG:PKR32.09 FBRTax:PKR40.12</t>
  </si>
  <si>
    <t>APPLE.COM/BILL Online Purchase</t>
  </si>
  <si>
    <t>ZEN LUXUS KALAM POS Purchase</t>
  </si>
  <si>
    <t>Money Received from UMAIR FAROOQ</t>
  </si>
  <si>
    <t>Money Transferred to WAJID ALI</t>
  </si>
  <si>
    <t>Raast P2P Fund transfer to SHAHBAZ AHMED</t>
  </si>
  <si>
    <t>Money Received from ABUBAKAR</t>
  </si>
  <si>
    <t>Charges Taxes Plus FED</t>
  </si>
  <si>
    <t>Money Transferred to HAMZA SHAKOOR</t>
  </si>
  <si>
    <t>Money Transferred to UMAR ALI</t>
  </si>
  <si>
    <t>ATM Cash Withdrawal MINGORA BR SAWAT STAN</t>
  </si>
  <si>
    <t>Money Transferred to AMINA HAMEED ABBASI</t>
  </si>
  <si>
    <t>Money Received from DANISH IQBAL A/C 0153</t>
  </si>
  <si>
    <t>Raast P2P Fund transfer from RAO COMMUNICATIO N</t>
  </si>
  <si>
    <t>SHELL POS Purchase -</t>
  </si>
  <si>
    <t>SHELL ASKARI SERVICE POS Purchase</t>
  </si>
  <si>
    <t>Money Transferred To MUHAMMAD ATIF ABBASI A/C</t>
  </si>
  <si>
    <t>Money Transferred To YAYAH ENTERPRISES A/C</t>
  </si>
  <si>
    <t>ATM Cash Withdrawal GULSHANEIQBAL BLK2-KHI STAN</t>
  </si>
  <si>
    <t>Money Transferred to MUHAMMAD RAFAQAT</t>
  </si>
  <si>
    <t>ATM Cash Withdrawal RASHID MINHAS ROAD KARACHI</t>
  </si>
  <si>
    <t>IMTIAZ STORES POS Purchase</t>
  </si>
  <si>
    <t>Bill Paid UFONE SUPER CARD</t>
  </si>
  <si>
    <t>Money Transferred To SAQIB ALI KHAN</t>
  </si>
  <si>
    <t>0114-AGODA COM BLUE OCEAN INTERNET</t>
  </si>
  <si>
    <t>ATM Cash Withdrawal LUCKY ONE MALL KARACHI</t>
  </si>
  <si>
    <t>ATM Cash Withdrawal-PNSC BR-KARACHI</t>
  </si>
  <si>
    <t>Bill Paid SSGC 2082770773 FROM</t>
  </si>
  <si>
    <t>Bill Paid SSGC 8139661168 FROM</t>
  </si>
  <si>
    <t>MEEZAN BANK 10-JAN TO 20-JAN, 2025</t>
  </si>
  <si>
    <t>DR</t>
  </si>
  <si>
    <t>CR</t>
  </si>
  <si>
    <t>NET TOTAL EXP</t>
  </si>
  <si>
    <t>Trasnfer Ashfaq Amir Mughal A/C</t>
  </si>
  <si>
    <t>Payment From MUHAMMAD MOEED FAROOQUI</t>
  </si>
  <si>
    <t>DINERS POS Purchase</t>
  </si>
  <si>
    <t>SAPPHIRE POS Purchase</t>
  </si>
  <si>
    <t>EDENROBE POS Purchase</t>
  </si>
  <si>
    <t>Payment From MUHAMMAD REHAN MUNIS KHAN</t>
  </si>
  <si>
    <t>Money Transferred To MUHAMMAD ABU BAKAR</t>
  </si>
  <si>
    <t>Payment from MUHAMMAD REHAN MUNIS KHAN</t>
  </si>
  <si>
    <t>ATM Cash Withdrawal-PNSC</t>
  </si>
  <si>
    <t>Payment from MUHAMMAD ZUBAIR SHEIKH</t>
  </si>
  <si>
    <t>Payment from MUHAMMAD YOUSUF</t>
  </si>
  <si>
    <t>Received from DANISH IQBAL</t>
  </si>
  <si>
    <t xml:space="preserve">Waheed Bhai </t>
  </si>
  <si>
    <t>ABS Parcel Payment</t>
  </si>
  <si>
    <t>Saqib Salary Exp</t>
  </si>
  <si>
    <t xml:space="preserve">Balance </t>
  </si>
  <si>
    <t>Old Phone</t>
  </si>
  <si>
    <t>PKR Received</t>
  </si>
  <si>
    <t>Mudassir MZN Deposit</t>
  </si>
  <si>
    <t>Trip 2025</t>
  </si>
  <si>
    <t>Refund</t>
  </si>
  <si>
    <t>?</t>
  </si>
  <si>
    <t>SI0128</t>
  </si>
  <si>
    <t>IRFAN</t>
  </si>
  <si>
    <t xml:space="preserve">IP 11 Pro 256GB </t>
  </si>
  <si>
    <t>Paid to Zulqarnain (ticket exp)</t>
  </si>
  <si>
    <t>Loan By AR</t>
  </si>
  <si>
    <t>IP 16Plus Active Returned 359410898436785  (add Dubai Ledger)</t>
  </si>
  <si>
    <t>16Plus Carry Charges (Add Dubai Ledger)</t>
  </si>
  <si>
    <t>Money Transferred To MUHAMMAD ABU BAKAR (ASAAN AC) A/C</t>
  </si>
  <si>
    <t>Money Transferred To SANIA ABDUL REHMAN (ASAAN AC) A/C</t>
  </si>
  <si>
    <t>Tue Jan 28</t>
  </si>
  <si>
    <t>Money Received from DANISH IQBAL A/C</t>
  </si>
  <si>
    <t>Raast P2P Fund transfer from MUHAMMAD MUBASHIR RAXXXXXXXXXX XXXXXXXX0150 XYZ86fbd6d9ea7e4</t>
  </si>
  <si>
    <t>Wed Jan 29</t>
  </si>
  <si>
    <t>Raast P2P Fund transfer from MUHAMMAD MUBASHIR RAXXXXXXXXXX XXXXXXXX0150 XYZc7aa4efd5cd242</t>
  </si>
  <si>
    <t>Money Received from MUHAMMAD HASAN RAZA A/C</t>
  </si>
  <si>
    <t>Sat Feb 01</t>
  </si>
  <si>
    <t>Mon Feb 03</t>
  </si>
  <si>
    <t>Thu Feb 06</t>
  </si>
  <si>
    <t>Money Transferred To FAISAL MEHMOOD PASHA A/C</t>
  </si>
  <si>
    <t>Money Received from KHAREEDOMOBI LE A/C</t>
  </si>
  <si>
    <t>Money Transferred To MUHAMMAD ILYAS (ASAAN AC) A/C</t>
  </si>
  <si>
    <t>Fri Feb 07</t>
  </si>
  <si>
    <t>ATM Cash Withdrawal STADIUM ROAD</t>
  </si>
  <si>
    <t>ATM Cash Withdrawal-PNSC BR-KARACHI STAN (736335)</t>
  </si>
  <si>
    <t>ATM Cash Withdrawal-PNSC BR-KARACHI STAN (737965)</t>
  </si>
  <si>
    <t>ATM Cash Withdrawal-PNSC BR-KARACHI STAN (739533)</t>
  </si>
  <si>
    <t>ATM Cash Withdrawal-PNSC BR-KARACHI STAN (741231)</t>
  </si>
  <si>
    <t>ATM Cash Withdrawal-PNSC BR-KARACHI STAN (742960)</t>
  </si>
  <si>
    <t>Money Transferred To AEROGLOBE (PVT.) LIMITED A/C</t>
  </si>
  <si>
    <t>Mon Feb 10</t>
  </si>
  <si>
    <t>Money Transferred To RAZI AHMED SHAIKH A/C</t>
  </si>
  <si>
    <t>Tue Feb 11</t>
  </si>
  <si>
    <t>Thu Feb 13</t>
  </si>
  <si>
    <t>CHG:PKR32.24 FBRTax:PKR40.29- STAN (854952)</t>
  </si>
  <si>
    <t>APPLE.COM/BILL Online Purchase- STAN (854952)</t>
  </si>
  <si>
    <t>Fri Feb 14</t>
  </si>
  <si>
    <t>0211-EMIRATES</t>
  </si>
  <si>
    <t>Wed Feb 19</t>
  </si>
  <si>
    <t>Bill Paid KWSB</t>
  </si>
  <si>
    <t>Bill Paid JAZZ PREPAID</t>
  </si>
  <si>
    <t>Thu Feb 20</t>
  </si>
  <si>
    <t>Raast P2P Fund transfer from MUHAMMAD SUMAIR RAXXXXXXXXXX XXXXXXXX0184 MBMB20030206320</t>
  </si>
  <si>
    <t>Raast P2P Fund transfer from KASHIF ALI RAXXXXXXXXXX XXXXXXXX1090 UBL2002250831106</t>
  </si>
  <si>
    <t>Fri Feb 21</t>
  </si>
  <si>
    <t>HANGRY HABIBI POS Purchase - STAN (440363)</t>
  </si>
  <si>
    <t>ATM Cash Withdrawal- RASHID MINHAS ROAD-KHI STAN (097146)</t>
  </si>
  <si>
    <t>Sat Feb 22</t>
  </si>
  <si>
    <t>Money Received from ZAINAB PASHA-XXXX8303 STAN(403874)</t>
  </si>
  <si>
    <t>Mon Feb 24</t>
  </si>
  <si>
    <t>ZELLBURY POS Purchase - STAN (002852)</t>
  </si>
  <si>
    <t>ATM Cash Withdrawal-ABDUL HAROON RD BR- KHI STAN (735107)</t>
  </si>
  <si>
    <t>Tue Feb 25</t>
  </si>
  <si>
    <t>Money Transferred To MUHAMMAD ABU BAKAR A/C</t>
  </si>
  <si>
    <t>Thu Feb 27</t>
  </si>
  <si>
    <t>Bill Paid SSGC</t>
  </si>
  <si>
    <t>Fri Feb 28</t>
  </si>
  <si>
    <t>ATM Cash Withdrawal SAIMA MALL KARACHI- STAN (988072)</t>
  </si>
  <si>
    <t>ZELLBURY POS Purchase - STAN (254034)</t>
  </si>
  <si>
    <t>ANGEETHI POS Purchase - STAN (316241)</t>
  </si>
  <si>
    <t>Sat Mar 01</t>
  </si>
  <si>
    <t>ATM Cash Withdrawal-BABER MARKET LANDI- KHI STAN (861152)</t>
  </si>
  <si>
    <t>KABABJEES BAKERS POS Purchase - STAN (917274)</t>
  </si>
  <si>
    <t>Mon Mar 03</t>
  </si>
  <si>
    <t>Charges Taxes Plus FED - STAN(329175)</t>
  </si>
  <si>
    <t>Money Transferred to ABDUL REHMAN- XXXX1803 STAN(329175)</t>
  </si>
  <si>
    <t>ATM Cash Withdrawal-PNSC BR-KARACHI STAN (883256)</t>
  </si>
  <si>
    <t>Tue Mar 04</t>
  </si>
  <si>
    <t>Wed Mar 05</t>
  </si>
  <si>
    <t>Fri Mar 07</t>
  </si>
  <si>
    <t>Charges Taxes Plus FED - STAN(404979)</t>
  </si>
  <si>
    <t>Money Transferred to ZAFI TRAVELS TOURS (PVT) LTD- XXXX1127 STAN(404979)</t>
  </si>
  <si>
    <t>Mon Mar 10</t>
  </si>
  <si>
    <t>Tue Mar 11</t>
  </si>
  <si>
    <t>Bill Paid UFONE SUPER CARD MAX</t>
  </si>
  <si>
    <t>Thu Mar 13</t>
  </si>
  <si>
    <t>Money Transferred To SAQIB ALI KHAN (ASAAN AC) A/C</t>
  </si>
  <si>
    <t>CHG:PKR32.15 FBRTax:PKR40.18- STAN (426227)</t>
  </si>
  <si>
    <t>APPLE.COM/BILL POS Purchase - STAN (426227) RATE USD to PKR</t>
  </si>
  <si>
    <t>Raast P2P Fund transfer to AMINA HAMEED ABBASI PKXXXXXXXXXX XXXXXXXX6175 AMEZNPKKA0153</t>
  </si>
  <si>
    <t>Sat Mar 15</t>
  </si>
  <si>
    <t>Mon Mar 17</t>
  </si>
  <si>
    <t>BANK CHARGES - STAN(325124)</t>
  </si>
  <si>
    <t>CHG:PKR26.10 FBRTax:PKR32.63- STAN (871604)</t>
  </si>
  <si>
    <t>APPLE.COM/BILL Online Purchase- STAN (871604)</t>
  </si>
  <si>
    <t>ATM Cash Withdrawal- RASHID MINHAS ROAD-KHI STAN (147173)</t>
  </si>
  <si>
    <t>ATM Cash Withdrawal- RASHID MINHAS ROAD-KHI STAN (149119)</t>
  </si>
  <si>
    <t>Tue Mar 18</t>
  </si>
  <si>
    <t>Money Transferred To UZMA A/C</t>
  </si>
  <si>
    <t>Wed Mar 19</t>
  </si>
  <si>
    <t>Chase Up Gulistan e J POS Purchase - STAN (093944)</t>
  </si>
  <si>
    <t>NENDO CLOTHING STORE POS Purchase - STAN (305905)</t>
  </si>
  <si>
    <t>Thu Mar 20</t>
  </si>
  <si>
    <t>ATM Cash Withdrawal RASHID MINHAS ROAD KARACHI- STAN (522931)</t>
  </si>
  <si>
    <t>Money Received from SHAHZAD A/C</t>
  </si>
  <si>
    <t>Money Transferred To FAST TRAVEL SERVICES A/C</t>
  </si>
  <si>
    <t>Sat Mar 22</t>
  </si>
  <si>
    <t>Money Received from MUHAMMAD YOUSUF QURESHI A/C</t>
  </si>
  <si>
    <t>ATM Cash Withdrawal SHOP NO.</t>
  </si>
  <si>
    <t>Mon Mar 24</t>
  </si>
  <si>
    <t>Charges Taxes Plus FED - STAN(173119)</t>
  </si>
  <si>
    <t>Money Transferred to TAMJEED WASIF-XXXX6598 STAN(173119)</t>
  </si>
  <si>
    <t>Online Cash Deposit Cr</t>
  </si>
  <si>
    <t>ATM Cash Withdrawal RASHID MINHAS ROAD KARACHI- STAN (196885)</t>
  </si>
  <si>
    <t>Tue Mar 25</t>
  </si>
  <si>
    <t>Money Received from XXXX9086 - STAN(322347)</t>
  </si>
  <si>
    <t>Wed Mar 26</t>
  </si>
  <si>
    <t>Money Received from ABUBAKAR SIDDIQUE A/C</t>
  </si>
  <si>
    <t>Thu Mar 27</t>
  </si>
  <si>
    <t>ATM Cash Withdrawal DOLMEN MALL TARIQ ROAD KARACHI-STAN (420697)</t>
  </si>
  <si>
    <t>Fri Mar 28</t>
  </si>
  <si>
    <t>KIFAYAH PHARMACY AND POS Purchase - STAN (896217)</t>
  </si>
  <si>
    <t>Charges Taxes Plus FED - STAN(649567)</t>
  </si>
  <si>
    <t>Money Transferred to THE HEALTH CARE SHOP- XXXX1001 STAN(649567)</t>
  </si>
  <si>
    <t>ATM Cash Withdrawal- RASHID MINHAS ROAD-KHI STAN (407636)</t>
  </si>
  <si>
    <t>ATM Cash Withdrawal- RASHID MINHAS ROAD-KHI STAN (407868)</t>
  </si>
  <si>
    <t>ATM Cash Withdrawal- RASHID MINHAS ROAD-KHI STAN (408122)</t>
  </si>
  <si>
    <t>THE DINERS SHOP POS Purchase - STAN (425014)</t>
  </si>
  <si>
    <t>MTJ POS Purchase - STAN (448763)</t>
  </si>
  <si>
    <t>IDEAS POS Purchase - STAN (460819)</t>
  </si>
  <si>
    <t>ATM Cash Withdrawal Shd-e- Millat Rd-STAN (651254)</t>
  </si>
  <si>
    <t>Money Received from SHAHRUKH A/C</t>
  </si>
  <si>
    <t>Sat Mar 29</t>
  </si>
  <si>
    <t>IMTIAZ STORES POS Purchase - STAN (999863)</t>
  </si>
  <si>
    <t>IMTIAZ STORES POS Purchase - STAN (054836)</t>
  </si>
  <si>
    <t>ATM Cash Withdrawal-PNSC BR-KARACHI STAN (963444)</t>
  </si>
  <si>
    <t>ATM Cash Withdrawal-PNSC BR-KARACHI STAN (965655)</t>
  </si>
  <si>
    <t>Charges Taxes Plus FED - STAN(302273)</t>
  </si>
  <si>
    <t>Money Transferred to RAEESA- XXXX5906 STAN(302273)</t>
  </si>
  <si>
    <t>Mon Mar 31</t>
  </si>
  <si>
    <t>SHELL ASKARI SERVICE POS Purchase - STAN (731214)</t>
  </si>
  <si>
    <t>ATM Cash Withdrawal RASHID MINHAS ROAD KARACHI- STAN (832933)</t>
  </si>
  <si>
    <t>Thu Apr 03</t>
  </si>
  <si>
    <t>Money Received from MUDDASSIR ASSOCIATES A/C</t>
  </si>
  <si>
    <t>Fri Apr 04</t>
  </si>
  <si>
    <t>Money Received from BILAL.COM A/C</t>
  </si>
  <si>
    <t>Money Received from BEYOND ENTERPRISES A/C</t>
  </si>
  <si>
    <t>Charges Taxes Plus FED - STAN (684885)</t>
  </si>
  <si>
    <t>Bill Paid MASTERCARD WORLD DEBIT CARD ANNUAL STAN (684885)</t>
  </si>
  <si>
    <t>Sat Apr 05</t>
  </si>
  <si>
    <t>Internal Transfer</t>
  </si>
  <si>
    <t>Money Transferred To AL-BARKAT SYSTEMS A/C</t>
  </si>
  <si>
    <t>Mon Apr 07</t>
  </si>
  <si>
    <t>Charges Taxes Plus FED - STAN(868719)</t>
  </si>
  <si>
    <t>Money Transferred to ZAFI TRAVELS TOURS (PVT) LTD- XXXX1127 STAN(868719)</t>
  </si>
  <si>
    <t>Tue Apr 08</t>
  </si>
  <si>
    <t>Money Received from MUHAMMAD WASEEM A/C</t>
  </si>
  <si>
    <t>Wed Apr 09</t>
  </si>
  <si>
    <t>Charges Taxes Plus FED - STAN(970771)</t>
  </si>
  <si>
    <t>Money Transferred to ZAFI TRAVELS TOURS (PVT) LTD- XXXX1127 STAN(970771)</t>
  </si>
  <si>
    <t>Thu Apr 10</t>
  </si>
  <si>
    <t>KABABJEES FRIED CHICK - POS Transaction STAN (683368)</t>
  </si>
  <si>
    <t>REHMAT-E- SHEREEN - POS Transaction STAN (812929)</t>
  </si>
  <si>
    <t>Fri Apr 11</t>
  </si>
  <si>
    <t>Sat Apr 12</t>
  </si>
  <si>
    <t>Raast P2P Fund transfer from MOBILE TONE RAXXXXXXXXXX XXXXXXXX6380 XYZ272a5a3f1df742</t>
  </si>
  <si>
    <t>Mon Apr 14</t>
  </si>
  <si>
    <t>Charges Taxes Plus FED - STAN(430311)</t>
  </si>
  <si>
    <t>Money Transferred to RAEESA- XXXX5906 STAN(430311)</t>
  </si>
  <si>
    <t>CHG:PKR32.20 FBRTax:PKR40.25- STAN (638862)</t>
  </si>
  <si>
    <t>APPLE.COM/BILL INTL. MASTER POS Purchase - STAN (638862) RATE USD to PKR</t>
  </si>
  <si>
    <t>CHG:PKR60.44 FBRTax:PKR75.56- STAN (083020)</t>
  </si>
  <si>
    <t>APPLE.COM/BILL INTL. MASTER POS Purchase - STAN (083020) RATE USD to PKR</t>
  </si>
  <si>
    <t>Wed Apr 16</t>
  </si>
  <si>
    <t>Fri Apr 18</t>
  </si>
  <si>
    <t>ATM Cash Withdrawal- ASKARI IV BRANCH STAN (904637)</t>
  </si>
  <si>
    <t>ATM Cash Withdrawal- ASKARI IV BRANCH STAN (905957)</t>
  </si>
  <si>
    <t>Sat Apr 19</t>
  </si>
  <si>
    <t>Mon Apr 21</t>
  </si>
  <si>
    <t>KABABJEES PIZZA LANDI - POS Transaction STAN (965950)</t>
  </si>
  <si>
    <t>KABABJEES - POS Transaction STAN (852817)</t>
  </si>
  <si>
    <t>KABABJEES EXPRESS - POS Transaction STAN (399866)</t>
  </si>
  <si>
    <t>Raast P2P Fund transfer from ZAMIR AHMAD KHAN &amp; MRS. RANA RAXXXXXXXXXX XXXXXXXX1338 MUCBPKKKRTG2</t>
  </si>
  <si>
    <t>Raast P2P Fund transfer from HASSAAN AHMAD KHAN / ZAMIR AHMAD KH RAXXXXXXXXXX XXXXXXXX0725 MUCBPKKKRTG2</t>
  </si>
  <si>
    <t>ATM Cash Withdrawal-PNSC BR-KARACHI STAN (986679)</t>
  </si>
  <si>
    <t>Wed Apr 23</t>
  </si>
  <si>
    <t>Raast P2P Fund transfer to MUHAMMAD BILAL SHEIKH PKXXXXXXXXXX XXXXXXXX7895 AMEZNPKKA0153</t>
  </si>
  <si>
    <t>Charges Taxes Plus FED - STAN(417381)</t>
  </si>
  <si>
    <t>Money Transferred to AMINA HAMEED ABBASI- XXXX0378 STAN(417381)</t>
  </si>
  <si>
    <t>Thu Apr 24</t>
  </si>
  <si>
    <t>Money Transferred To HP WORLD A/C</t>
  </si>
  <si>
    <t>Fri Apr 25</t>
  </si>
  <si>
    <t>ATM Cash Withdrawal-PNSC BR-KARACHI STAN (502047)</t>
  </si>
  <si>
    <t>Sat Apr 26</t>
  </si>
  <si>
    <t>Money Transferred To MUHAMMAD UMAIR A/C</t>
  </si>
  <si>
    <t>Raast P2P Fund transfer to ESCROW ARY LAGUNA KARACHI PVT LTD PKXXXXXXXXXX XXXXXXXX9914 AMEZNPKKA0153</t>
  </si>
  <si>
    <t>ATM Cash Withdrawal- GULSHAN IQBAL BLK5 KHI STAN (481749)</t>
  </si>
  <si>
    <t>Mon Apr 28</t>
  </si>
  <si>
    <t>IMTIAZ STORES - POS Transaction STAN (539518)</t>
  </si>
  <si>
    <t>IMTIAZ STORE - POS Transaction STAN (893685)</t>
  </si>
  <si>
    <t>REHMAT E SHEREEN - POS Transaction STAN (314308)</t>
  </si>
  <si>
    <t>Money Received from HADIA (ASAAN AC) A/C</t>
  </si>
  <si>
    <t>Tue Apr 29</t>
  </si>
  <si>
    <t>Fri May 02</t>
  </si>
  <si>
    <t>Money Received from MUHAMMAD ASAD-XXXX1990 STAN(766408)</t>
  </si>
  <si>
    <t>Mon May 05</t>
  </si>
  <si>
    <t>Money Received from AMSHIPPERS A/C</t>
  </si>
  <si>
    <t>Onederland - POS Transaction STAN (022619)</t>
  </si>
  <si>
    <t>UNITED KING - POS Transaction STAN (359458)</t>
  </si>
  <si>
    <t>Tue May 06</t>
  </si>
  <si>
    <t>REHMAT E SHEREEN - POS Transaction STAN (469967)</t>
  </si>
  <si>
    <t>Thu May 08</t>
  </si>
  <si>
    <t>Sat May 10</t>
  </si>
  <si>
    <t>Wed May 14</t>
  </si>
  <si>
    <t>Thu May 15</t>
  </si>
  <si>
    <t>Fri May 16</t>
  </si>
  <si>
    <t>Sat May 17</t>
  </si>
  <si>
    <t>Mon May 19</t>
  </si>
  <si>
    <t>Money Transferred To IIR AND SONS A/C</t>
  </si>
  <si>
    <t>Outward Clearing Cheque</t>
  </si>
  <si>
    <t>Wed May 21</t>
  </si>
  <si>
    <t>Money Transferred To UNIVERSAL EXPRESS KARACHI PVT LTD. A/C</t>
  </si>
  <si>
    <t>Money Transferred To MIAZ CORPORATIONS A/C</t>
  </si>
  <si>
    <t>Raast P2P Fund transfer from IESHA TOHEED RAXXXXXXXXXX XXXXXXXX5120 JSBL052125201247</t>
  </si>
  <si>
    <t>Fri May 23</t>
  </si>
  <si>
    <t>Sat May 24</t>
  </si>
  <si>
    <t>1-Link ATM Cash Withdrawa SHAH FAISAL MALIR KARACHI-STAN (189331)</t>
  </si>
  <si>
    <t>Money Transferred To MUHAMMAD NOMAN A/C</t>
  </si>
  <si>
    <t>PSO STADIUM SERVICE S - POS Transaction STAN (964656)</t>
  </si>
  <si>
    <t>Mon May 26</t>
  </si>
  <si>
    <t>ATM Cash Withdrawal-PNSC BR-KARACHI STAN (232164)</t>
  </si>
  <si>
    <t>Money Received from MUHAMMAD NOMAN A/C</t>
  </si>
  <si>
    <t>Thu May 29</t>
  </si>
  <si>
    <t>IMTIAZ STORES - POS Transaction STAN (225356)</t>
  </si>
  <si>
    <t>IMTIAZ STORES - POS Transaction STAN (134927)</t>
  </si>
  <si>
    <t>ATM Cash Withdrawal-MALIR CITY STAN (919366)</t>
  </si>
  <si>
    <t>UNITED KING - POS Transaction STAN (747439)</t>
  </si>
  <si>
    <t>Fri May 30</t>
  </si>
  <si>
    <t>1-Link ATM Cash Withdrawa RASHID MINHAS BR KHI KARACHI-STAN (789522)</t>
  </si>
  <si>
    <t>MAJESTIC - POS Transaction STAN (594633)</t>
  </si>
  <si>
    <t>Sat May 31</t>
  </si>
  <si>
    <t>Money Transferred To IKRAM NAWAZ A/C</t>
  </si>
  <si>
    <t>Mon Jun 02</t>
  </si>
  <si>
    <t>Tue Jun 03</t>
  </si>
  <si>
    <t>Thu Jun 12</t>
  </si>
  <si>
    <t>Money Received from SOHAIB ANIS A/C</t>
  </si>
  <si>
    <t>Fri Jun 13</t>
  </si>
  <si>
    <t>ATM Cash Withdrawal-PNSC BR-KARACHI STAN (398689)</t>
  </si>
  <si>
    <t>Raast P2P Fund transfer from IESHA TOHEED RAXXXXXXXXXX XXXXXXXX1310 BAHLPKKA120625</t>
  </si>
  <si>
    <t>CHG:PKR3.99 FBRTax:PKR4.98- STAN (802045)</t>
  </si>
  <si>
    <t>APPLE.COM/BILL INTL. MASTER POS Purchase - STAN (802045) RATE USD to PKR</t>
  </si>
  <si>
    <t>UNITED KING FOODS PVT - POS Transaction STAN (388429)</t>
  </si>
  <si>
    <t>Sat Jun 14</t>
  </si>
  <si>
    <t>ATM Cash Withdrawal- ALAMGIR RD BR KHI STAN (474080)</t>
  </si>
  <si>
    <t>Danial ZFF Cargo Payment from AR Meezan to MIAZ COR.</t>
  </si>
  <si>
    <t>May 21, 2025</t>
  </si>
  <si>
    <t xml:space="preserve"> to Danial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</si>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</sst>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_-* #,##0_-;\-* #,##0_-;_-* &quot;-&quot;??_-;_-@_-"/>
    <numFmt numFmtId="165" formatCode="_-[$PKR]\ * #,##0.00_-;\-[$PKR]\ * #,##0.00_-;_-[$PKR]\ * &quot;-&quot;??_-;_-@_-"/>
    <numFmt numFmtId="166" formatCode="_-[$AED-4C09]* #,##0.00_-;\-[$AED-4C09]* #,##0.00_-;_-[$AED-4C09]* &quot;-&quot;??_-;_-@_-"/>
    <numFmt numFmtId="167" formatCode="\$#,##0.00"/>
    <numFmt numFmtId="168" formatCode="_-[$$-409]* #,##0.00_ ;_-[$$-409]* \-#,##0.00\ ;_-[$$-409]* &quot;-&quot;??_ ;_-@_ "/>
    <numFmt numFmtId="169" formatCode="&quot;$&quot;#,##0_);[Red]\(&quot;$&quot;#,##0\)"/>
    <numFmt numFmtId="170" formatCode="0.0"/>
    <numFmt numFmtId="171" formatCode="[$-14C09]dd/mm/yyyy;@"/>
  </numFmts>
  <fonts count="7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i/>
      <u/>
      <sz val="13"/>
      <color theme="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3"/>
      <color theme="1"/>
      <name val="Calibri"/>
      <family val="2"/>
    </font>
    <font>
      <sz val="12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9.5"/>
      <name val="Times New Roman"/>
      <family val="1"/>
    </font>
    <font>
      <sz val="8"/>
      <name val="Arial MT"/>
    </font>
    <font>
      <sz val="9.5"/>
      <color rgb="FF000000"/>
      <name val="Arial"/>
      <family val="2"/>
    </font>
    <font>
      <b/>
      <u/>
      <sz val="15"/>
      <color rgb="FF00B050"/>
      <name val="Calibri"/>
      <family val="2"/>
    </font>
    <font>
      <b/>
      <u/>
      <sz val="13"/>
      <color rgb="FFFF0000"/>
      <name val="Calibri"/>
      <family val="2"/>
    </font>
    <font>
      <b/>
      <u/>
      <sz val="13"/>
      <color theme="1"/>
      <name val="Calibri"/>
      <family val="2"/>
    </font>
    <font>
      <b/>
      <u/>
      <sz val="13"/>
      <color rgb="FF00B050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3"/>
      <color theme="1"/>
      <name val="Calibri"/>
      <family val="2"/>
      <scheme val="minor"/>
    </font>
    <font>
      <b/>
      <u/>
      <sz val="13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u val="singleAccounting"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</font>
    <font>
      <b/>
      <i/>
      <u/>
      <sz val="10"/>
      <color theme="1"/>
      <name val="Arial"/>
      <family val="2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4"/>
      <color rgb="FFFF0000"/>
      <name val="Calibri"/>
      <family val="2"/>
    </font>
    <font>
      <b/>
      <i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b/>
      <sz val="9"/>
      <color rgb="FF000000"/>
      <name val="Verdana"/>
      <family val="2"/>
    </font>
    <font>
      <sz val="6.5"/>
      <color rgb="FF000000"/>
      <name val="Verdana"/>
      <family val="2"/>
    </font>
    <font>
      <sz val="10"/>
      <color rgb="FF000000"/>
      <name val="Times New Roman"/>
      <family val="1"/>
    </font>
    <font>
      <b/>
      <sz val="6.5"/>
      <color rgb="FF000000"/>
      <name val="Verdana"/>
      <family val="2"/>
    </font>
    <font>
      <b/>
      <sz val="11"/>
      <color rgb="FFFF0000"/>
      <name val="Calibri"/>
      <family val="2"/>
      <scheme val="minor"/>
    </font>
    <font>
      <b/>
      <sz val="18"/>
      <name val="Calibri"/>
      <family val="2"/>
    </font>
    <font>
      <b/>
      <sz val="18"/>
      <name val="Calibri"/>
      <family val="2"/>
    </font>
    <font>
      <b/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2" tint="-0.749992370372631"/>
      <name val="Calibri"/>
      <family val="2"/>
      <scheme val="minor"/>
    </font>
    <font>
      <b/>
      <u/>
      <sz val="11"/>
      <color rgb="FFFF0000"/>
      <name val="Calibri"/>
      <family val="2"/>
    </font>
    <font>
      <b/>
      <i/>
      <u/>
      <sz val="11"/>
      <color theme="1"/>
      <name val="Calibri"/>
      <family val="2"/>
    </font>
    <font>
      <b/>
      <u val="singleAccounting"/>
      <sz val="11"/>
      <color rgb="FFFF0000"/>
      <name val="Calibri"/>
      <family val="2"/>
      <scheme val="minor"/>
    </font>
    <font>
      <u/>
      <sz val="13"/>
      <color theme="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5"/>
      <color theme="1"/>
      <name val="Calibri"/>
      <family val="2"/>
      <charset val="1"/>
      <scheme val="minor"/>
    </font>
    <font>
      <b/>
      <u/>
      <sz val="16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charset val="1"/>
      <scheme val="minor"/>
    </font>
    <font>
      <sz val="11"/>
      <color rgb="FFFF0000"/>
      <name val="Arial"/>
      <family val="2"/>
    </font>
    <font>
      <b/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AC6B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indexed="4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7979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44" fontId="2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7" xfId="0" applyFont="1" applyBorder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14" fontId="11" fillId="0" borderId="7" xfId="0" applyNumberFormat="1" applyFont="1" applyBorder="1" applyAlignment="1">
      <alignment horizontal="right" wrapText="1"/>
    </xf>
    <xf numFmtId="0" fontId="11" fillId="0" borderId="7" xfId="0" applyFont="1" applyBorder="1" applyAlignment="1">
      <alignment wrapText="1"/>
    </xf>
    <xf numFmtId="4" fontId="11" fillId="0" borderId="7" xfId="0" applyNumberFormat="1" applyFont="1" applyBorder="1" applyAlignment="1">
      <alignment horizontal="right" wrapText="1"/>
    </xf>
    <xf numFmtId="43" fontId="0" fillId="0" borderId="7" xfId="1" applyFont="1" applyBorder="1"/>
    <xf numFmtId="0" fontId="4" fillId="0" borderId="0" xfId="0" applyFont="1" applyAlignment="1">
      <alignment horizontal="center"/>
    </xf>
    <xf numFmtId="0" fontId="15" fillId="0" borderId="8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7" xfId="0" applyFont="1" applyBorder="1" applyAlignment="1">
      <alignment horizontal="right" wrapText="1"/>
    </xf>
    <xf numFmtId="0" fontId="16" fillId="0" borderId="7" xfId="0" applyFont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0" xfId="0" applyFont="1"/>
    <xf numFmtId="14" fontId="17" fillId="0" borderId="7" xfId="0" applyNumberFormat="1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wrapText="1"/>
    </xf>
    <xf numFmtId="4" fontId="18" fillId="0" borderId="7" xfId="0" applyNumberFormat="1" applyFont="1" applyBorder="1" applyAlignment="1">
      <alignment horizontal="right" wrapText="1"/>
    </xf>
    <xf numFmtId="14" fontId="18" fillId="0" borderId="7" xfId="0" applyNumberFormat="1" applyFont="1" applyBorder="1" applyAlignment="1">
      <alignment horizontal="right" wrapText="1"/>
    </xf>
    <xf numFmtId="0" fontId="18" fillId="0" borderId="7" xfId="0" applyFont="1" applyBorder="1" applyAlignment="1">
      <alignment wrapText="1"/>
    </xf>
    <xf numFmtId="4" fontId="18" fillId="0" borderId="7" xfId="0" applyNumberFormat="1" applyFont="1" applyBorder="1" applyAlignment="1">
      <alignment horizontal="right" vertical="top" wrapText="1"/>
    </xf>
    <xf numFmtId="0" fontId="12" fillId="0" borderId="7" xfId="0" applyFont="1" applyBorder="1" applyAlignment="1">
      <alignment vertical="top" wrapText="1"/>
    </xf>
    <xf numFmtId="14" fontId="17" fillId="0" borderId="7" xfId="0" applyNumberFormat="1" applyFont="1" applyBorder="1" applyAlignment="1">
      <alignment horizontal="right" wrapText="1"/>
    </xf>
    <xf numFmtId="0" fontId="17" fillId="0" borderId="7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top" wrapText="1" indent="4"/>
    </xf>
    <xf numFmtId="0" fontId="19" fillId="0" borderId="14" xfId="0" applyFont="1" applyBorder="1" applyAlignment="1">
      <alignment horizontal="right" vertical="top" wrapText="1" indent="4"/>
    </xf>
    <xf numFmtId="0" fontId="19" fillId="0" borderId="0" xfId="0" applyFont="1" applyAlignment="1">
      <alignment horizontal="right" vertical="top" indent="4"/>
    </xf>
    <xf numFmtId="0" fontId="0" fillId="0" borderId="1" xfId="0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1" fillId="0" borderId="15" xfId="0" applyFont="1" applyBorder="1" applyAlignment="1">
      <alignment wrapText="1"/>
    </xf>
    <xf numFmtId="0" fontId="22" fillId="0" borderId="1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4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0" fontId="11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center" wrapText="1"/>
    </xf>
    <xf numFmtId="0" fontId="24" fillId="0" borderId="17" xfId="0" applyFont="1" applyBorder="1" applyAlignment="1">
      <alignment horizontal="right" wrapText="1"/>
    </xf>
    <xf numFmtId="0" fontId="18" fillId="0" borderId="17" xfId="0" applyFont="1" applyBorder="1" applyAlignment="1">
      <alignment horizontal="right"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14" fontId="18" fillId="0" borderId="17" xfId="0" applyNumberFormat="1" applyFont="1" applyBorder="1" applyAlignment="1">
      <alignment horizontal="right" wrapText="1"/>
    </xf>
    <xf numFmtId="4" fontId="24" fillId="0" borderId="17" xfId="0" applyNumberFormat="1" applyFont="1" applyBorder="1" applyAlignment="1">
      <alignment horizontal="right" wrapText="1"/>
    </xf>
    <xf numFmtId="0" fontId="25" fillId="0" borderId="15" xfId="0" applyFont="1" applyBorder="1" applyAlignment="1">
      <alignment wrapText="1"/>
    </xf>
    <xf numFmtId="0" fontId="26" fillId="6" borderId="8" xfId="0" applyFont="1" applyFill="1" applyBorder="1" applyAlignment="1">
      <alignment wrapText="1"/>
    </xf>
    <xf numFmtId="0" fontId="26" fillId="6" borderId="21" xfId="0" applyFont="1" applyFill="1" applyBorder="1" applyAlignment="1">
      <alignment wrapText="1"/>
    </xf>
    <xf numFmtId="4" fontId="27" fillId="7" borderId="19" xfId="0" applyNumberFormat="1" applyFont="1" applyFill="1" applyBorder="1" applyAlignment="1">
      <alignment horizontal="right" wrapText="1"/>
    </xf>
    <xf numFmtId="0" fontId="26" fillId="6" borderId="9" xfId="0" applyFont="1" applyFill="1" applyBorder="1" applyAlignment="1">
      <alignment wrapText="1"/>
    </xf>
    <xf numFmtId="0" fontId="26" fillId="6" borderId="17" xfId="0" applyFont="1" applyFill="1" applyBorder="1" applyAlignment="1">
      <alignment wrapText="1"/>
    </xf>
    <xf numFmtId="0" fontId="27" fillId="7" borderId="22" xfId="0" applyFont="1" applyFill="1" applyBorder="1" applyAlignment="1">
      <alignment horizontal="right" wrapText="1"/>
    </xf>
    <xf numFmtId="0" fontId="28" fillId="0" borderId="15" xfId="0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4" fontId="0" fillId="0" borderId="7" xfId="0" applyNumberFormat="1" applyBorder="1"/>
    <xf numFmtId="0" fontId="24" fillId="0" borderId="15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3" fontId="0" fillId="0" borderId="7" xfId="0" applyNumberFormat="1" applyBorder="1"/>
    <xf numFmtId="0" fontId="31" fillId="0" borderId="1" xfId="0" applyFont="1" applyBorder="1" applyAlignment="1">
      <alignment horizontal="center"/>
    </xf>
    <xf numFmtId="164" fontId="0" fillId="0" borderId="0" xfId="1" applyNumberFormat="1" applyFont="1"/>
    <xf numFmtId="0" fontId="3" fillId="8" borderId="7" xfId="0" applyFont="1" applyFill="1" applyBorder="1" applyAlignment="1">
      <alignment horizontal="center" vertical="center"/>
    </xf>
    <xf numFmtId="164" fontId="3" fillId="8" borderId="7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/>
    <xf numFmtId="0" fontId="34" fillId="9" borderId="7" xfId="0" applyFont="1" applyFill="1" applyBorder="1"/>
    <xf numFmtId="0" fontId="0" fillId="9" borderId="7" xfId="0" applyFill="1" applyBorder="1"/>
    <xf numFmtId="0" fontId="3" fillId="0" borderId="7" xfId="0" applyFont="1" applyBorder="1" applyAlignment="1">
      <alignment horizontal="center" vertical="center"/>
    </xf>
    <xf numFmtId="164" fontId="35" fillId="0" borderId="7" xfId="1" applyNumberFormat="1" applyFont="1" applyBorder="1"/>
    <xf numFmtId="0" fontId="36" fillId="7" borderId="19" xfId="2" applyFill="1" applyBorder="1" applyAlignment="1" applyProtection="1">
      <alignment wrapText="1"/>
    </xf>
    <xf numFmtId="0" fontId="36" fillId="7" borderId="22" xfId="2" applyFill="1" applyBorder="1" applyAlignment="1" applyProtection="1">
      <alignment wrapText="1"/>
    </xf>
    <xf numFmtId="0" fontId="33" fillId="0" borderId="23" xfId="0" applyFont="1" applyBorder="1"/>
    <xf numFmtId="164" fontId="9" fillId="0" borderId="7" xfId="1" applyNumberFormat="1" applyFont="1" applyBorder="1" applyAlignment="1"/>
    <xf numFmtId="164" fontId="27" fillId="7" borderId="19" xfId="1" applyNumberFormat="1" applyFont="1" applyFill="1" applyBorder="1" applyAlignment="1">
      <alignment horizontal="right" wrapText="1"/>
    </xf>
    <xf numFmtId="164" fontId="27" fillId="7" borderId="19" xfId="1" applyNumberFormat="1" applyFont="1" applyFill="1" applyBorder="1" applyAlignment="1">
      <alignment wrapText="1"/>
    </xf>
    <xf numFmtId="0" fontId="3" fillId="0" borderId="7" xfId="0" applyFont="1" applyBorder="1"/>
    <xf numFmtId="0" fontId="3" fillId="0" borderId="0" xfId="0" applyFont="1"/>
    <xf numFmtId="14" fontId="0" fillId="0" borderId="13" xfId="0" applyNumberFormat="1" applyBorder="1"/>
    <xf numFmtId="1" fontId="0" fillId="0" borderId="0" xfId="0" applyNumberForma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29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wrapText="1"/>
    </xf>
    <xf numFmtId="43" fontId="29" fillId="0" borderId="7" xfId="1" applyFont="1" applyBorder="1" applyAlignment="1">
      <alignment horizontal="center" wrapText="1"/>
    </xf>
    <xf numFmtId="14" fontId="18" fillId="0" borderId="7" xfId="0" applyNumberFormat="1" applyFont="1" applyBorder="1" applyAlignment="1">
      <alignment vertical="center" wrapText="1"/>
    </xf>
    <xf numFmtId="0" fontId="18" fillId="0" borderId="7" xfId="0" applyFont="1" applyBorder="1" applyAlignment="1">
      <alignment horizontal="right" wrapText="1"/>
    </xf>
    <xf numFmtId="0" fontId="17" fillId="0" borderId="7" xfId="0" applyFont="1" applyBorder="1" applyAlignment="1">
      <alignment horizontal="center" vertical="center" wrapText="1"/>
    </xf>
    <xf numFmtId="43" fontId="0" fillId="0" borderId="7" xfId="1" applyFont="1" applyBorder="1" applyAlignment="1">
      <alignment horizontal="right"/>
    </xf>
    <xf numFmtId="43" fontId="18" fillId="0" borderId="7" xfId="1" applyFont="1" applyBorder="1" applyAlignment="1">
      <alignment horizontal="center" wrapText="1"/>
    </xf>
    <xf numFmtId="43" fontId="11" fillId="0" borderId="15" xfId="1" applyFont="1" applyBorder="1" applyAlignment="1">
      <alignment horizontal="center" wrapText="1"/>
    </xf>
    <xf numFmtId="43" fontId="11" fillId="0" borderId="7" xfId="1" applyFont="1" applyBorder="1" applyAlignment="1">
      <alignment horizontal="center" wrapText="1"/>
    </xf>
    <xf numFmtId="0" fontId="29" fillId="0" borderId="24" xfId="0" applyFont="1" applyBorder="1" applyAlignment="1">
      <alignment horizontal="center" wrapText="1"/>
    </xf>
    <xf numFmtId="0" fontId="29" fillId="0" borderId="25" xfId="0" applyFont="1" applyBorder="1" applyAlignment="1">
      <alignment horizontal="center" wrapText="1"/>
    </xf>
    <xf numFmtId="43" fontId="29" fillId="0" borderId="25" xfId="1" applyFont="1" applyBorder="1" applyAlignment="1">
      <alignment horizontal="center" wrapText="1"/>
    </xf>
    <xf numFmtId="43" fontId="38" fillId="0" borderId="7" xfId="1" applyFont="1" applyBorder="1" applyAlignment="1">
      <alignment horizontal="center" wrapText="1"/>
    </xf>
    <xf numFmtId="0" fontId="37" fillId="0" borderId="0" xfId="0" applyFont="1"/>
    <xf numFmtId="3" fontId="18" fillId="0" borderId="7" xfId="0" applyNumberFormat="1" applyFont="1" applyBorder="1" applyAlignment="1">
      <alignment horizontal="right" wrapText="1"/>
    </xf>
    <xf numFmtId="14" fontId="11" fillId="0" borderId="7" xfId="0" applyNumberFormat="1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2" borderId="7" xfId="0" applyFont="1" applyFill="1" applyBorder="1" applyAlignment="1">
      <alignment horizontal="center"/>
    </xf>
    <xf numFmtId="0" fontId="27" fillId="0" borderId="7" xfId="0" applyFont="1" applyBorder="1" applyAlignment="1">
      <alignment horizontal="center" wrapText="1"/>
    </xf>
    <xf numFmtId="0" fontId="40" fillId="0" borderId="7" xfId="0" applyFont="1" applyBorder="1" applyAlignment="1">
      <alignment horizontal="center"/>
    </xf>
    <xf numFmtId="0" fontId="40" fillId="0" borderId="7" xfId="0" applyFont="1" applyBorder="1"/>
    <xf numFmtId="0" fontId="41" fillId="0" borderId="7" xfId="0" applyFont="1" applyBorder="1"/>
    <xf numFmtId="0" fontId="40" fillId="4" borderId="7" xfId="0" applyFont="1" applyFill="1" applyBorder="1" applyAlignment="1">
      <alignment horizontal="center"/>
    </xf>
    <xf numFmtId="0" fontId="42" fillId="4" borderId="7" xfId="0" applyFont="1" applyFill="1" applyBorder="1"/>
    <xf numFmtId="0" fontId="43" fillId="4" borderId="7" xfId="0" applyFont="1" applyFill="1" applyBorder="1" applyAlignment="1">
      <alignment horizontal="center"/>
    </xf>
    <xf numFmtId="14" fontId="11" fillId="0" borderId="17" xfId="0" applyNumberFormat="1" applyFont="1" applyBorder="1" applyAlignment="1">
      <alignment wrapText="1"/>
    </xf>
    <xf numFmtId="0" fontId="44" fillId="0" borderId="7" xfId="0" applyFont="1" applyBorder="1" applyAlignment="1">
      <alignment horizontal="center" wrapText="1"/>
    </xf>
    <xf numFmtId="0" fontId="37" fillId="0" borderId="26" xfId="0" applyFont="1" applyBorder="1"/>
    <xf numFmtId="0" fontId="37" fillId="0" borderId="5" xfId="0" applyFont="1" applyBorder="1"/>
    <xf numFmtId="0" fontId="37" fillId="0" borderId="28" xfId="0" applyFont="1" applyBorder="1"/>
    <xf numFmtId="0" fontId="0" fillId="0" borderId="29" xfId="0" applyBorder="1"/>
    <xf numFmtId="165" fontId="0" fillId="0" borderId="27" xfId="3" applyNumberFormat="1" applyFont="1" applyBorder="1"/>
    <xf numFmtId="165" fontId="0" fillId="0" borderId="6" xfId="3" applyNumberFormat="1" applyFont="1" applyBorder="1"/>
    <xf numFmtId="166" fontId="0" fillId="0" borderId="6" xfId="0" applyNumberFormat="1" applyBorder="1"/>
    <xf numFmtId="166" fontId="0" fillId="0" borderId="29" xfId="0" applyNumberFormat="1" applyBorder="1"/>
    <xf numFmtId="0" fontId="0" fillId="0" borderId="7" xfId="0" applyBorder="1" applyAlignment="1">
      <alignment horizontal="left" vertical="center" wrapText="1"/>
    </xf>
    <xf numFmtId="4" fontId="18" fillId="0" borderId="7" xfId="0" applyNumberFormat="1" applyFont="1" applyBorder="1" applyAlignment="1">
      <alignment horizontal="right" vertical="center" wrapText="1"/>
    </xf>
    <xf numFmtId="3" fontId="0" fillId="0" borderId="7" xfId="0" applyNumberFormat="1" applyBorder="1" applyAlignment="1">
      <alignment horizontal="right" vertical="center"/>
    </xf>
    <xf numFmtId="14" fontId="0" fillId="0" borderId="7" xfId="0" applyNumberFormat="1" applyBorder="1" applyAlignment="1">
      <alignment horizontal="right" vertical="center"/>
    </xf>
    <xf numFmtId="4" fontId="0" fillId="0" borderId="0" xfId="0" applyNumberFormat="1"/>
    <xf numFmtId="164" fontId="9" fillId="0" borderId="0" xfId="1" applyNumberFormat="1" applyFont="1" applyBorder="1" applyAlignment="1"/>
    <xf numFmtId="0" fontId="24" fillId="0" borderId="0" xfId="0" applyFont="1" applyAlignment="1">
      <alignment horizontal="center" wrapText="1"/>
    </xf>
    <xf numFmtId="0" fontId="11" fillId="0" borderId="0" xfId="0" applyFont="1" applyAlignment="1">
      <alignment vertical="top" wrapText="1"/>
    </xf>
    <xf numFmtId="4" fontId="24" fillId="0" borderId="0" xfId="0" applyNumberFormat="1" applyFont="1" applyAlignment="1">
      <alignment horizontal="right" wrapText="1"/>
    </xf>
    <xf numFmtId="43" fontId="0" fillId="0" borderId="0" xfId="0" applyNumberFormat="1"/>
    <xf numFmtId="0" fontId="18" fillId="0" borderId="0" xfId="0" applyFont="1" applyAlignment="1">
      <alignment horizontal="center" wrapText="1"/>
    </xf>
    <xf numFmtId="0" fontId="16" fillId="2" borderId="0" xfId="0" applyFont="1" applyFill="1" applyAlignment="1">
      <alignment horizontal="center" vertical="center" wrapText="1"/>
    </xf>
    <xf numFmtId="43" fontId="0" fillId="0" borderId="31" xfId="0" applyNumberFormat="1" applyBorder="1"/>
    <xf numFmtId="43" fontId="37" fillId="0" borderId="32" xfId="0" applyNumberFormat="1" applyFont="1" applyBorder="1"/>
    <xf numFmtId="2" fontId="0" fillId="0" borderId="7" xfId="0" applyNumberFormat="1" applyBorder="1"/>
    <xf numFmtId="14" fontId="46" fillId="0" borderId="7" xfId="0" applyNumberFormat="1" applyFont="1" applyBorder="1" applyAlignment="1">
      <alignment vertical="center" wrapText="1"/>
    </xf>
    <xf numFmtId="0" fontId="46" fillId="0" borderId="7" xfId="0" applyFont="1" applyBorder="1"/>
    <xf numFmtId="0" fontId="46" fillId="0" borderId="7" xfId="0" applyFont="1" applyBorder="1" applyAlignment="1">
      <alignment wrapText="1"/>
    </xf>
    <xf numFmtId="14" fontId="46" fillId="0" borderId="7" xfId="0" applyNumberFormat="1" applyFont="1" applyBorder="1" applyAlignment="1">
      <alignment wrapText="1"/>
    </xf>
    <xf numFmtId="3" fontId="0" fillId="0" borderId="0" xfId="0" applyNumberFormat="1"/>
    <xf numFmtId="0" fontId="6" fillId="0" borderId="0" xfId="0" applyFont="1"/>
    <xf numFmtId="0" fontId="6" fillId="0" borderId="7" xfId="0" applyFont="1" applyBorder="1" applyAlignment="1">
      <alignment horizontal="center" vertical="center"/>
    </xf>
    <xf numFmtId="43" fontId="0" fillId="0" borderId="7" xfId="1" applyFont="1" applyFill="1" applyBorder="1" applyAlignment="1">
      <alignment horizontal="right"/>
    </xf>
    <xf numFmtId="43" fontId="0" fillId="0" borderId="7" xfId="1" applyFont="1" applyFill="1" applyBorder="1"/>
    <xf numFmtId="43" fontId="18" fillId="0" borderId="7" xfId="1" applyFont="1" applyFill="1" applyBorder="1" applyAlignment="1">
      <alignment horizontal="center" wrapText="1"/>
    </xf>
    <xf numFmtId="4" fontId="37" fillId="0" borderId="7" xfId="0" applyNumberFormat="1" applyFont="1" applyBorder="1"/>
    <xf numFmtId="0" fontId="40" fillId="0" borderId="7" xfId="0" applyFont="1" applyBorder="1" applyAlignment="1">
      <alignment horizontal="center" vertical="center"/>
    </xf>
    <xf numFmtId="4" fontId="40" fillId="0" borderId="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1" fontId="8" fillId="0" borderId="1" xfId="0" applyNumberFormat="1" applyFont="1" applyBorder="1" applyAlignment="1">
      <alignment horizontal="center"/>
    </xf>
    <xf numFmtId="2" fontId="18" fillId="0" borderId="7" xfId="0" applyNumberFormat="1" applyFont="1" applyBorder="1" applyAlignment="1">
      <alignment horizontal="right" wrapText="1"/>
    </xf>
    <xf numFmtId="0" fontId="46" fillId="0" borderId="7" xfId="0" applyFont="1" applyBorder="1" applyAlignment="1">
      <alignment horizontal="right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0" fillId="13" borderId="0" xfId="0" applyFill="1" applyAlignment="1">
      <alignment horizontal="center" vertical="center"/>
    </xf>
    <xf numFmtId="3" fontId="0" fillId="0" borderId="11" xfId="0" applyNumberFormat="1" applyBorder="1"/>
    <xf numFmtId="0" fontId="0" fillId="0" borderId="26" xfId="0" applyBorder="1"/>
    <xf numFmtId="0" fontId="0" fillId="0" borderId="27" xfId="0" applyBorder="1"/>
    <xf numFmtId="165" fontId="0" fillId="0" borderId="6" xfId="0" applyNumberFormat="1" applyBorder="1"/>
    <xf numFmtId="44" fontId="0" fillId="0" borderId="29" xfId="3" applyFont="1" applyBorder="1"/>
    <xf numFmtId="43" fontId="9" fillId="0" borderId="7" xfId="1" applyFont="1" applyBorder="1" applyAlignment="1">
      <alignment horizontal="center" vertical="center"/>
    </xf>
    <xf numFmtId="14" fontId="11" fillId="0" borderId="1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right" vertical="center" wrapText="1"/>
    </xf>
    <xf numFmtId="4" fontId="15" fillId="0" borderId="17" xfId="0" applyNumberFormat="1" applyFont="1" applyBorder="1" applyAlignment="1">
      <alignment horizontal="right" vertical="center" wrapText="1"/>
    </xf>
    <xf numFmtId="0" fontId="11" fillId="0" borderId="17" xfId="0" applyFont="1" applyBorder="1" applyAlignment="1">
      <alignment horizontal="left" vertical="center" wrapText="1"/>
    </xf>
    <xf numFmtId="43" fontId="18" fillId="0" borderId="7" xfId="1" applyFont="1" applyBorder="1" applyAlignment="1">
      <alignment horizontal="right" wrapText="1"/>
    </xf>
    <xf numFmtId="43" fontId="35" fillId="0" borderId="7" xfId="1" applyFont="1" applyFill="1" applyBorder="1" applyAlignment="1">
      <alignment horizontal="right"/>
    </xf>
    <xf numFmtId="0" fontId="0" fillId="0" borderId="7" xfId="0" applyBorder="1" applyAlignment="1">
      <alignment vertical="center" wrapText="1"/>
    </xf>
    <xf numFmtId="1" fontId="37" fillId="0" borderId="0" xfId="0" applyNumberFormat="1" applyFont="1"/>
    <xf numFmtId="1" fontId="0" fillId="0" borderId="0" xfId="0" applyNumberFormat="1" applyAlignment="1">
      <alignment horizontal="center"/>
    </xf>
    <xf numFmtId="1" fontId="37" fillId="0" borderId="0" xfId="0" applyNumberFormat="1" applyFont="1" applyAlignment="1">
      <alignment horizontal="center"/>
    </xf>
    <xf numFmtId="3" fontId="11" fillId="0" borderId="17" xfId="0" applyNumberFormat="1" applyFont="1" applyBorder="1" applyAlignment="1">
      <alignment wrapText="1"/>
    </xf>
    <xf numFmtId="0" fontId="0" fillId="4" borderId="0" xfId="0" applyFill="1" applyAlignment="1">
      <alignment horizontal="center"/>
    </xf>
    <xf numFmtId="0" fontId="47" fillId="0" borderId="7" xfId="0" applyFont="1" applyBorder="1"/>
    <xf numFmtId="0" fontId="0" fillId="14" borderId="0" xfId="0" applyFill="1"/>
    <xf numFmtId="3" fontId="18" fillId="0" borderId="7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14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0" xfId="0" applyFont="1"/>
    <xf numFmtId="0" fontId="49" fillId="0" borderId="31" xfId="0" applyFont="1" applyBorder="1" applyAlignment="1">
      <alignment horizontal="center" vertical="center"/>
    </xf>
    <xf numFmtId="0" fontId="49" fillId="0" borderId="31" xfId="0" applyFont="1" applyBorder="1"/>
    <xf numFmtId="14" fontId="0" fillId="0" borderId="7" xfId="0" applyNumberFormat="1" applyBorder="1" applyAlignment="1">
      <alignment horizontal="center"/>
    </xf>
    <xf numFmtId="0" fontId="15" fillId="0" borderId="0" xfId="0" applyFont="1"/>
    <xf numFmtId="4" fontId="27" fillId="7" borderId="22" xfId="0" applyNumberFormat="1" applyFont="1" applyFill="1" applyBorder="1" applyAlignment="1">
      <alignment horizontal="right" wrapText="1"/>
    </xf>
    <xf numFmtId="43" fontId="11" fillId="0" borderId="7" xfId="1" applyFont="1" applyFill="1" applyBorder="1" applyAlignment="1">
      <alignment horizontal="center" wrapText="1"/>
    </xf>
    <xf numFmtId="167" fontId="0" fillId="0" borderId="0" xfId="0" applyNumberFormat="1"/>
    <xf numFmtId="0" fontId="5" fillId="0" borderId="33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11" fillId="0" borderId="16" xfId="0" applyFont="1" applyBorder="1" applyAlignment="1">
      <alignment wrapText="1"/>
    </xf>
    <xf numFmtId="0" fontId="11" fillId="0" borderId="34" xfId="0" applyFont="1" applyBorder="1" applyAlignment="1">
      <alignment horizontal="center" wrapText="1"/>
    </xf>
    <xf numFmtId="3" fontId="11" fillId="0" borderId="8" xfId="0" applyNumberFormat="1" applyFont="1" applyBorder="1" applyAlignment="1">
      <alignment horizontal="center" wrapText="1"/>
    </xf>
    <xf numFmtId="4" fontId="0" fillId="9" borderId="7" xfId="0" applyNumberFormat="1" applyFill="1" applyBorder="1"/>
    <xf numFmtId="4" fontId="37" fillId="0" borderId="0" xfId="0" applyNumberFormat="1" applyFont="1"/>
    <xf numFmtId="0" fontId="50" fillId="0" borderId="0" xfId="0" applyFont="1" applyAlignment="1">
      <alignment wrapText="1"/>
    </xf>
    <xf numFmtId="0" fontId="0" fillId="9" borderId="0" xfId="0" applyFill="1"/>
    <xf numFmtId="4" fontId="37" fillId="9" borderId="0" xfId="0" applyNumberFormat="1" applyFont="1" applyFill="1"/>
    <xf numFmtId="0" fontId="18" fillId="9" borderId="7" xfId="0" applyFont="1" applyFill="1" applyBorder="1" applyAlignment="1">
      <alignment wrapText="1"/>
    </xf>
    <xf numFmtId="0" fontId="30" fillId="0" borderId="7" xfId="0" applyFont="1" applyBorder="1" applyAlignment="1">
      <alignment wrapText="1"/>
    </xf>
    <xf numFmtId="0" fontId="0" fillId="15" borderId="0" xfId="0" applyFill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8" fillId="0" borderId="1" xfId="0" applyFont="1" applyBorder="1" applyAlignment="1">
      <alignment horizontal="right" wrapText="1"/>
    </xf>
    <xf numFmtId="14" fontId="18" fillId="0" borderId="1" xfId="0" applyNumberFormat="1" applyFont="1" applyBorder="1" applyAlignment="1">
      <alignment horizontal="right" wrapText="1"/>
    </xf>
    <xf numFmtId="4" fontId="15" fillId="0" borderId="1" xfId="0" applyNumberFormat="1" applyFont="1" applyBorder="1" applyAlignment="1">
      <alignment horizontal="right" wrapText="1"/>
    </xf>
    <xf numFmtId="3" fontId="11" fillId="0" borderId="1" xfId="0" applyNumberFormat="1" applyFont="1" applyBorder="1" applyAlignment="1">
      <alignment wrapText="1"/>
    </xf>
    <xf numFmtId="14" fontId="11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wrapText="1"/>
    </xf>
    <xf numFmtId="4" fontId="24" fillId="0" borderId="1" xfId="0" applyNumberFormat="1" applyFont="1" applyBorder="1" applyAlignment="1">
      <alignment horizontal="right" wrapText="1"/>
    </xf>
    <xf numFmtId="4" fontId="17" fillId="0" borderId="7" xfId="0" applyNumberFormat="1" applyFont="1" applyBorder="1" applyAlignment="1">
      <alignment horizontal="right" wrapText="1"/>
    </xf>
    <xf numFmtId="14" fontId="0" fillId="0" borderId="1" xfId="0" applyNumberFormat="1" applyBorder="1"/>
    <xf numFmtId="168" fontId="0" fillId="0" borderId="1" xfId="3" applyNumberFormat="1" applyFont="1" applyBorder="1"/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7" fontId="0" fillId="14" borderId="0" xfId="0" applyNumberFormat="1" applyFill="1"/>
    <xf numFmtId="0" fontId="5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" fontId="52" fillId="0" borderId="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51" fillId="16" borderId="18" xfId="0" applyFont="1" applyFill="1" applyBorder="1" applyAlignment="1">
      <alignment horizontal="center" vertical="center" wrapText="1"/>
    </xf>
    <xf numFmtId="0" fontId="51" fillId="16" borderId="37" xfId="0" applyFont="1" applyFill="1" applyBorder="1" applyAlignment="1">
      <alignment horizontal="center" vertical="center" wrapText="1"/>
    </xf>
    <xf numFmtId="0" fontId="52" fillId="0" borderId="12" xfId="0" applyFont="1" applyBorder="1" applyAlignment="1">
      <alignment vertical="center" wrapText="1"/>
    </xf>
    <xf numFmtId="0" fontId="52" fillId="0" borderId="7" xfId="0" applyFont="1" applyBorder="1" applyAlignment="1">
      <alignment vertical="center" wrapText="1"/>
    </xf>
    <xf numFmtId="0" fontId="52" fillId="0" borderId="7" xfId="0" applyFont="1" applyBorder="1" applyAlignment="1">
      <alignment horizontal="center" vertical="center"/>
    </xf>
    <xf numFmtId="1" fontId="52" fillId="0" borderId="7" xfId="0" applyNumberFormat="1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 wrapText="1"/>
    </xf>
    <xf numFmtId="169" fontId="54" fillId="0" borderId="7" xfId="0" applyNumberFormat="1" applyFont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38" xfId="0" applyFont="1" applyFill="1" applyBorder="1" applyAlignment="1">
      <alignment horizontal="center" vertical="center" wrapText="1"/>
    </xf>
    <xf numFmtId="169" fontId="52" fillId="0" borderId="10" xfId="0" applyNumberFormat="1" applyFont="1" applyBorder="1" applyAlignment="1">
      <alignment horizontal="center" vertical="center" wrapText="1"/>
    </xf>
    <xf numFmtId="169" fontId="52" fillId="0" borderId="10" xfId="0" applyNumberFormat="1" applyFont="1" applyBorder="1" applyAlignment="1">
      <alignment horizontal="center" vertical="center"/>
    </xf>
    <xf numFmtId="0" fontId="51" fillId="16" borderId="7" xfId="0" applyFont="1" applyFill="1" applyBorder="1" applyAlignment="1">
      <alignment horizontal="center" vertical="center" wrapText="1"/>
    </xf>
    <xf numFmtId="44" fontId="0" fillId="0" borderId="7" xfId="0" applyNumberFormat="1" applyBorder="1" applyAlignment="1">
      <alignment horizontal="center"/>
    </xf>
    <xf numFmtId="44" fontId="3" fillId="0" borderId="36" xfId="0" applyNumberFormat="1" applyFont="1" applyBorder="1" applyAlignment="1">
      <alignment horizontal="center"/>
    </xf>
    <xf numFmtId="0" fontId="52" fillId="0" borderId="12" xfId="0" applyFont="1" applyBorder="1" applyAlignment="1">
      <alignment vertical="center"/>
    </xf>
    <xf numFmtId="0" fontId="52" fillId="0" borderId="7" xfId="0" applyFont="1" applyBorder="1" applyAlignment="1">
      <alignment vertical="center"/>
    </xf>
    <xf numFmtId="0" fontId="0" fillId="0" borderId="39" xfId="0" applyBorder="1"/>
    <xf numFmtId="0" fontId="3" fillId="0" borderId="36" xfId="0" applyFont="1" applyBorder="1"/>
    <xf numFmtId="2" fontId="11" fillId="0" borderId="7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9" fontId="52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169" fontId="52" fillId="0" borderId="7" xfId="0" applyNumberFormat="1" applyFont="1" applyBorder="1" applyAlignment="1">
      <alignment horizontal="center" vertical="center"/>
    </xf>
    <xf numFmtId="0" fontId="51" fillId="16" borderId="0" xfId="0" applyFont="1" applyFill="1" applyAlignment="1">
      <alignment horizontal="center" vertical="center" wrapText="1"/>
    </xf>
    <xf numFmtId="14" fontId="0" fillId="14" borderId="0" xfId="0" applyNumberFormat="1" applyFill="1"/>
    <xf numFmtId="14" fontId="0" fillId="9" borderId="0" xfId="0" applyNumberFormat="1" applyFill="1"/>
    <xf numFmtId="1" fontId="0" fillId="9" borderId="0" xfId="0" applyNumberFormat="1" applyFill="1"/>
    <xf numFmtId="0" fontId="8" fillId="0" borderId="7" xfId="0" applyFont="1" applyBorder="1"/>
    <xf numFmtId="0" fontId="56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167" fontId="0" fillId="18" borderId="0" xfId="0" applyNumberFormat="1" applyFill="1" applyAlignment="1">
      <alignment horizontal="center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167" fontId="0" fillId="18" borderId="0" xfId="0" applyNumberFormat="1" applyFill="1" applyAlignment="1">
      <alignment horizontal="center"/>
    </xf>
    <xf numFmtId="0" fontId="3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" fontId="0" fillId="0" borderId="7" xfId="0" applyNumberFormat="1" applyBorder="1" applyAlignment="1">
      <alignment vertical="center"/>
    </xf>
    <xf numFmtId="0" fontId="58" fillId="0" borderId="0" xfId="0" applyFont="1"/>
    <xf numFmtId="0" fontId="11" fillId="0" borderId="25" xfId="0" applyFont="1" applyBorder="1" applyAlignment="1">
      <alignment wrapText="1"/>
    </xf>
    <xf numFmtId="0" fontId="11" fillId="0" borderId="7" xfId="0" applyFont="1" applyBorder="1" applyAlignment="1">
      <alignment vertical="top" wrapText="1"/>
    </xf>
    <xf numFmtId="43" fontId="15" fillId="0" borderId="7" xfId="1" applyFont="1" applyBorder="1" applyAlignment="1">
      <alignment horizontal="right" wrapText="1"/>
    </xf>
    <xf numFmtId="0" fontId="18" fillId="0" borderId="25" xfId="0" applyFont="1" applyBorder="1" applyAlignment="1">
      <alignment horizontal="right" wrapText="1"/>
    </xf>
    <xf numFmtId="4" fontId="15" fillId="0" borderId="7" xfId="0" applyNumberFormat="1" applyFont="1" applyBorder="1" applyAlignment="1">
      <alignment horizontal="right" wrapText="1"/>
    </xf>
    <xf numFmtId="4" fontId="24" fillId="0" borderId="7" xfId="0" applyNumberFormat="1" applyFont="1" applyBorder="1" applyAlignment="1">
      <alignment horizontal="right" wrapText="1"/>
    </xf>
    <xf numFmtId="43" fontId="0" fillId="0" borderId="7" xfId="1" applyFont="1" applyFill="1" applyBorder="1" applyAlignment="1">
      <alignment horizontal="center"/>
    </xf>
    <xf numFmtId="4" fontId="18" fillId="0" borderId="7" xfId="0" applyNumberFormat="1" applyFont="1" applyBorder="1" applyAlignment="1">
      <alignment horizontal="center" wrapText="1"/>
    </xf>
    <xf numFmtId="14" fontId="46" fillId="2" borderId="7" xfId="0" applyNumberFormat="1" applyFont="1" applyFill="1" applyBorder="1" applyAlignment="1">
      <alignment vertical="center" wrapText="1"/>
    </xf>
    <xf numFmtId="0" fontId="3" fillId="2" borderId="7" xfId="0" applyFont="1" applyFill="1" applyBorder="1"/>
    <xf numFmtId="0" fontId="0" fillId="2" borderId="7" xfId="0" applyFill="1" applyBorder="1"/>
    <xf numFmtId="4" fontId="0" fillId="2" borderId="7" xfId="0" applyNumberFormat="1" applyFill="1" applyBorder="1"/>
    <xf numFmtId="14" fontId="0" fillId="2" borderId="7" xfId="0" applyNumberFormat="1" applyFill="1" applyBorder="1"/>
    <xf numFmtId="0" fontId="5" fillId="2" borderId="7" xfId="0" applyFont="1" applyFill="1" applyBorder="1"/>
    <xf numFmtId="43" fontId="5" fillId="2" borderId="7" xfId="0" applyNumberFormat="1" applyFont="1" applyFill="1" applyBorder="1" applyAlignment="1">
      <alignment horizontal="right"/>
    </xf>
    <xf numFmtId="4" fontId="59" fillId="2" borderId="7" xfId="0" applyNumberFormat="1" applyFont="1" applyFill="1" applyBorder="1" applyAlignment="1">
      <alignment horizontal="right" wrapText="1"/>
    </xf>
    <xf numFmtId="14" fontId="18" fillId="2" borderId="7" xfId="0" applyNumberFormat="1" applyFont="1" applyFill="1" applyBorder="1" applyAlignment="1">
      <alignment vertical="center" wrapText="1"/>
    </xf>
    <xf numFmtId="43" fontId="38" fillId="2" borderId="7" xfId="0" applyNumberFormat="1" applyFont="1" applyFill="1" applyBorder="1" applyAlignment="1">
      <alignment horizontal="right" wrapText="1"/>
    </xf>
    <xf numFmtId="2" fontId="17" fillId="2" borderId="7" xfId="0" applyNumberFormat="1" applyFont="1" applyFill="1" applyBorder="1" applyAlignment="1">
      <alignment horizontal="right" wrapText="1"/>
    </xf>
    <xf numFmtId="2" fontId="0" fillId="2" borderId="7" xfId="0" applyNumberFormat="1" applyFill="1" applyBorder="1"/>
    <xf numFmtId="0" fontId="60" fillId="13" borderId="7" xfId="0" applyFont="1" applyFill="1" applyBorder="1" applyAlignment="1">
      <alignment wrapText="1"/>
    </xf>
    <xf numFmtId="2" fontId="60" fillId="13" borderId="7" xfId="0" applyNumberFormat="1" applyFont="1" applyFill="1" applyBorder="1" applyAlignment="1">
      <alignment horizontal="right" wrapText="1"/>
    </xf>
    <xf numFmtId="0" fontId="30" fillId="12" borderId="7" xfId="0" applyFont="1" applyFill="1" applyBorder="1" applyAlignment="1">
      <alignment wrapText="1"/>
    </xf>
    <xf numFmtId="4" fontId="30" fillId="12" borderId="7" xfId="0" applyNumberFormat="1" applyFont="1" applyFill="1" applyBorder="1" applyAlignment="1">
      <alignment horizontal="right" vertical="top" wrapText="1"/>
    </xf>
    <xf numFmtId="4" fontId="46" fillId="19" borderId="7" xfId="0" applyNumberFormat="1" applyFont="1" applyFill="1" applyBorder="1"/>
    <xf numFmtId="0" fontId="0" fillId="19" borderId="0" xfId="0" applyFill="1"/>
    <xf numFmtId="4" fontId="0" fillId="19" borderId="7" xfId="0" applyNumberFormat="1" applyFill="1" applyBorder="1"/>
    <xf numFmtId="0" fontId="5" fillId="0" borderId="12" xfId="0" applyFont="1" applyBorder="1"/>
    <xf numFmtId="44" fontId="0" fillId="0" borderId="0" xfId="0" applyNumberFormat="1"/>
    <xf numFmtId="1" fontId="0" fillId="0" borderId="40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18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14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14" fontId="0" fillId="20" borderId="0" xfId="0" applyNumberFormat="1" applyFill="1"/>
    <xf numFmtId="0" fontId="0" fillId="20" borderId="0" xfId="0" applyFill="1"/>
    <xf numFmtId="1" fontId="0" fillId="20" borderId="0" xfId="0" applyNumberFormat="1" applyFill="1"/>
    <xf numFmtId="43" fontId="18" fillId="9" borderId="7" xfId="1" applyFont="1" applyFill="1" applyBorder="1" applyAlignment="1">
      <alignment horizontal="right" wrapText="1"/>
    </xf>
    <xf numFmtId="43" fontId="18" fillId="9" borderId="7" xfId="1" applyFont="1" applyFill="1" applyBorder="1" applyAlignment="1">
      <alignment horizontal="center" wrapText="1"/>
    </xf>
    <xf numFmtId="43" fontId="0" fillId="9" borderId="7" xfId="1" applyFont="1" applyFill="1" applyBorder="1" applyAlignment="1">
      <alignment horizontal="right"/>
    </xf>
    <xf numFmtId="0" fontId="18" fillId="12" borderId="7" xfId="0" applyFont="1" applyFill="1" applyBorder="1" applyAlignment="1">
      <alignment wrapText="1"/>
    </xf>
    <xf numFmtId="0" fontId="0" fillId="14" borderId="7" xfId="0" applyFill="1" applyBorder="1"/>
    <xf numFmtId="0" fontId="0" fillId="21" borderId="0" xfId="0" applyFill="1"/>
    <xf numFmtId="0" fontId="57" fillId="17" borderId="0" xfId="0" applyFont="1" applyFill="1"/>
    <xf numFmtId="167" fontId="0" fillId="21" borderId="0" xfId="0" applyNumberFormat="1" applyFill="1"/>
    <xf numFmtId="2" fontId="0" fillId="0" borderId="0" xfId="0" applyNumberFormat="1"/>
    <xf numFmtId="2" fontId="8" fillId="0" borderId="1" xfId="0" applyNumberFormat="1" applyFont="1" applyBorder="1" applyAlignment="1">
      <alignment horizontal="center"/>
    </xf>
    <xf numFmtId="0" fontId="18" fillId="0" borderId="36" xfId="0" applyFont="1" applyBorder="1" applyAlignment="1">
      <alignment wrapText="1"/>
    </xf>
    <xf numFmtId="14" fontId="0" fillId="22" borderId="7" xfId="0" applyNumberFormat="1" applyFill="1" applyBorder="1"/>
    <xf numFmtId="0" fontId="18" fillId="22" borderId="7" xfId="0" applyFont="1" applyFill="1" applyBorder="1" applyAlignment="1">
      <alignment wrapText="1"/>
    </xf>
    <xf numFmtId="2" fontId="18" fillId="22" borderId="7" xfId="0" applyNumberFormat="1" applyFont="1" applyFill="1" applyBorder="1" applyAlignment="1">
      <alignment horizontal="right" wrapText="1"/>
    </xf>
    <xf numFmtId="4" fontId="18" fillId="22" borderId="7" xfId="0" applyNumberFormat="1" applyFont="1" applyFill="1" applyBorder="1" applyAlignment="1">
      <alignment horizontal="right" wrapText="1"/>
    </xf>
    <xf numFmtId="0" fontId="0" fillId="22" borderId="0" xfId="0" applyFill="1"/>
    <xf numFmtId="0" fontId="52" fillId="14" borderId="7" xfId="0" applyFont="1" applyFill="1" applyBorder="1" applyAlignment="1">
      <alignment horizontal="center" vertical="center" wrapText="1"/>
    </xf>
    <xf numFmtId="1" fontId="52" fillId="14" borderId="7" xfId="0" applyNumberFormat="1" applyFont="1" applyFill="1" applyBorder="1" applyAlignment="1">
      <alignment horizontal="center" vertical="center" wrapText="1"/>
    </xf>
    <xf numFmtId="169" fontId="52" fillId="14" borderId="7" xfId="0" applyNumberFormat="1" applyFont="1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169" fontId="52" fillId="14" borderId="10" xfId="0" applyNumberFormat="1" applyFont="1" applyFill="1" applyBorder="1" applyAlignment="1">
      <alignment horizontal="center" vertical="center" wrapText="1"/>
    </xf>
    <xf numFmtId="43" fontId="0" fillId="14" borderId="7" xfId="1" applyFont="1" applyFill="1" applyBorder="1"/>
    <xf numFmtId="44" fontId="0" fillId="14" borderId="7" xfId="0" applyNumberFormat="1" applyFill="1" applyBorder="1" applyAlignment="1">
      <alignment horizontal="center"/>
    </xf>
    <xf numFmtId="44" fontId="0" fillId="14" borderId="0" xfId="0" applyNumberFormat="1" applyFill="1"/>
    <xf numFmtId="43" fontId="0" fillId="0" borderId="0" xfId="1" applyFont="1" applyBorder="1"/>
    <xf numFmtId="0" fontId="0" fillId="0" borderId="33" xfId="0" applyBorder="1"/>
    <xf numFmtId="0" fontId="0" fillId="0" borderId="42" xfId="0" applyBorder="1"/>
    <xf numFmtId="164" fontId="8" fillId="0" borderId="1" xfId="1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60" fillId="0" borderId="7" xfId="0" applyFont="1" applyBorder="1" applyAlignment="1">
      <alignment wrapText="1"/>
    </xf>
    <xf numFmtId="2" fontId="60" fillId="0" borderId="7" xfId="0" applyNumberFormat="1" applyFont="1" applyBorder="1" applyAlignment="1">
      <alignment horizontal="right" wrapText="1"/>
    </xf>
    <xf numFmtId="3" fontId="11" fillId="0" borderId="7" xfId="0" applyNumberFormat="1" applyFont="1" applyBorder="1" applyAlignment="1">
      <alignment wrapText="1"/>
    </xf>
    <xf numFmtId="43" fontId="18" fillId="0" borderId="7" xfId="1" applyFont="1" applyFill="1" applyBorder="1" applyAlignment="1">
      <alignment horizontal="right" wrapText="1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2" fontId="0" fillId="0" borderId="7" xfId="1" applyNumberFormat="1" applyFont="1" applyFill="1" applyBorder="1" applyAlignment="1">
      <alignment horizontal="right"/>
    </xf>
    <xf numFmtId="2" fontId="18" fillId="0" borderId="7" xfId="1" applyNumberFormat="1" applyFont="1" applyBorder="1" applyAlignment="1">
      <alignment horizontal="right" wrapText="1"/>
    </xf>
    <xf numFmtId="0" fontId="0" fillId="14" borderId="0" xfId="0" applyFill="1" applyAlignment="1">
      <alignment horizontal="center"/>
    </xf>
    <xf numFmtId="1" fontId="0" fillId="14" borderId="0" xfId="0" applyNumberFormat="1" applyFill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4" fillId="9" borderId="0" xfId="0" applyFont="1" applyFill="1" applyAlignment="1">
      <alignment horizontal="center" vertical="center"/>
    </xf>
    <xf numFmtId="14" fontId="0" fillId="9" borderId="0" xfId="0" applyNumberFormat="1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5" fillId="9" borderId="8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1" fillId="0" borderId="36" xfId="0" applyFont="1" applyBorder="1" applyAlignment="1">
      <alignment wrapText="1"/>
    </xf>
    <xf numFmtId="1" fontId="0" fillId="14" borderId="0" xfId="0" applyNumberFormat="1" applyFill="1"/>
    <xf numFmtId="0" fontId="0" fillId="14" borderId="7" xfId="0" applyFill="1" applyBorder="1" applyAlignment="1">
      <alignment vertical="center"/>
    </xf>
    <xf numFmtId="3" fontId="0" fillId="14" borderId="7" xfId="0" applyNumberFormat="1" applyFill="1" applyBorder="1" applyAlignment="1">
      <alignment vertical="center"/>
    </xf>
    <xf numFmtId="44" fontId="11" fillId="0" borderId="8" xfId="0" applyNumberFormat="1" applyFont="1" applyBorder="1" applyAlignment="1">
      <alignment horizontal="center" wrapText="1"/>
    </xf>
    <xf numFmtId="0" fontId="37" fillId="0" borderId="7" xfId="0" applyFont="1" applyBorder="1"/>
    <xf numFmtId="2" fontId="41" fillId="0" borderId="7" xfId="0" applyNumberFormat="1" applyFont="1" applyBorder="1"/>
    <xf numFmtId="0" fontId="15" fillId="0" borderId="0" xfId="0" applyFont="1" applyAlignment="1">
      <alignment horizontal="center" wrapText="1"/>
    </xf>
    <xf numFmtId="0" fontId="18" fillId="0" borderId="7" xfId="0" applyFont="1" applyBorder="1"/>
    <xf numFmtId="14" fontId="18" fillId="0" borderId="7" xfId="0" applyNumberFormat="1" applyFont="1" applyBorder="1" applyAlignment="1">
      <alignment wrapText="1"/>
    </xf>
    <xf numFmtId="0" fontId="18" fillId="0" borderId="7" xfId="0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left" vertical="top"/>
    </xf>
    <xf numFmtId="0" fontId="18" fillId="0" borderId="7" xfId="0" applyFont="1" applyBorder="1" applyAlignment="1">
      <alignment vertical="center" wrapText="1"/>
    </xf>
    <xf numFmtId="2" fontId="46" fillId="0" borderId="7" xfId="1" applyNumberFormat="1" applyFont="1" applyFill="1" applyBorder="1" applyAlignment="1">
      <alignment horizontal="right" wrapText="1"/>
    </xf>
    <xf numFmtId="2" fontId="0" fillId="0" borderId="7" xfId="0" applyNumberFormat="1" applyBorder="1" applyAlignment="1">
      <alignment horizontal="left" vertical="top"/>
    </xf>
    <xf numFmtId="0" fontId="0" fillId="14" borderId="0" xfId="0" applyFill="1" applyAlignment="1">
      <alignment wrapText="1"/>
    </xf>
    <xf numFmtId="1" fontId="0" fillId="14" borderId="40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4" fontId="0" fillId="23" borderId="0" xfId="0" applyNumberFormat="1" applyFill="1"/>
    <xf numFmtId="0" fontId="0" fillId="23" borderId="0" xfId="0" applyFill="1"/>
    <xf numFmtId="1" fontId="0" fillId="23" borderId="0" xfId="0" applyNumberFormat="1" applyFill="1"/>
    <xf numFmtId="3" fontId="0" fillId="23" borderId="0" xfId="0" applyNumberFormat="1" applyFill="1"/>
    <xf numFmtId="14" fontId="46" fillId="0" borderId="7" xfId="0" applyNumberFormat="1" applyFont="1" applyBorder="1"/>
    <xf numFmtId="0" fontId="11" fillId="0" borderId="24" xfId="0" applyFont="1" applyBorder="1" applyAlignment="1">
      <alignment wrapText="1"/>
    </xf>
    <xf numFmtId="0" fontId="12" fillId="13" borderId="25" xfId="0" applyFont="1" applyFill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3" fontId="46" fillId="0" borderId="7" xfId="0" applyNumberFormat="1" applyFont="1" applyBorder="1" applyAlignment="1">
      <alignment wrapText="1"/>
    </xf>
    <xf numFmtId="0" fontId="28" fillId="0" borderId="22" xfId="0" applyFont="1" applyBorder="1" applyAlignment="1">
      <alignment wrapText="1"/>
    </xf>
    <xf numFmtId="0" fontId="11" fillId="0" borderId="22" xfId="0" applyFont="1" applyBorder="1" applyAlignment="1">
      <alignment horizontal="center" wrapText="1"/>
    </xf>
    <xf numFmtId="0" fontId="18" fillId="13" borderId="7" xfId="0" applyFont="1" applyFill="1" applyBorder="1" applyAlignment="1">
      <alignment horizontal="center" wrapText="1"/>
    </xf>
    <xf numFmtId="0" fontId="39" fillId="0" borderId="7" xfId="0" applyFont="1" applyBorder="1" applyAlignment="1">
      <alignment horizontal="center" wrapText="1"/>
    </xf>
    <xf numFmtId="3" fontId="63" fillId="0" borderId="7" xfId="0" applyNumberFormat="1" applyFont="1" applyBorder="1" applyAlignment="1">
      <alignment horizontal="center" wrapText="1"/>
    </xf>
    <xf numFmtId="3" fontId="63" fillId="0" borderId="7" xfId="0" applyNumberFormat="1" applyFont="1" applyBorder="1" applyAlignment="1">
      <alignment horizontal="right" wrapText="1"/>
    </xf>
    <xf numFmtId="4" fontId="17" fillId="0" borderId="7" xfId="0" applyNumberFormat="1" applyFont="1" applyBorder="1" applyAlignment="1">
      <alignment horizontal="right" vertical="top" wrapText="1"/>
    </xf>
    <xf numFmtId="3" fontId="46" fillId="0" borderId="7" xfId="0" applyNumberFormat="1" applyFont="1" applyBorder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left"/>
    </xf>
    <xf numFmtId="170" fontId="0" fillId="0" borderId="0" xfId="0" applyNumberFormat="1"/>
    <xf numFmtId="170" fontId="0" fillId="0" borderId="0" xfId="0" applyNumberFormat="1" applyAlignment="1">
      <alignment horizontal="center"/>
    </xf>
    <xf numFmtId="170" fontId="11" fillId="0" borderId="7" xfId="0" applyNumberFormat="1" applyFont="1" applyBorder="1" applyAlignment="1">
      <alignment horizontal="center" wrapText="1"/>
    </xf>
    <xf numFmtId="3" fontId="63" fillId="0" borderId="0" xfId="0" applyNumberFormat="1" applyFont="1" applyAlignment="1">
      <alignment horizontal="right" wrapText="1"/>
    </xf>
    <xf numFmtId="1" fontId="41" fillId="0" borderId="7" xfId="0" applyNumberFormat="1" applyFont="1" applyBorder="1"/>
    <xf numFmtId="3" fontId="18" fillId="0" borderId="7" xfId="0" applyNumberFormat="1" applyFont="1" applyBorder="1" applyAlignment="1">
      <alignment wrapText="1"/>
    </xf>
    <xf numFmtId="4" fontId="18" fillId="0" borderId="7" xfId="0" applyNumberFormat="1" applyFont="1" applyBorder="1"/>
    <xf numFmtId="14" fontId="18" fillId="0" borderId="7" xfId="0" applyNumberFormat="1" applyFont="1" applyBorder="1"/>
    <xf numFmtId="14" fontId="18" fillId="0" borderId="7" xfId="0" applyNumberFormat="1" applyFont="1" applyBorder="1" applyAlignment="1">
      <alignment horizontal="center" vertical="center" wrapText="1"/>
    </xf>
    <xf numFmtId="1" fontId="18" fillId="0" borderId="7" xfId="1" applyNumberFormat="1" applyFont="1" applyBorder="1" applyAlignment="1">
      <alignment horizontal="center" wrapText="1"/>
    </xf>
    <xf numFmtId="1" fontId="18" fillId="0" borderId="7" xfId="0" applyNumberFormat="1" applyFont="1" applyBorder="1" applyAlignment="1">
      <alignment horizontal="center" wrapText="1"/>
    </xf>
    <xf numFmtId="1" fontId="18" fillId="0" borderId="7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8" borderId="7" xfId="0" applyFill="1" applyBorder="1"/>
    <xf numFmtId="0" fontId="0" fillId="18" borderId="7" xfId="0" applyFill="1" applyBorder="1" applyAlignment="1">
      <alignment horizontal="center"/>
    </xf>
    <xf numFmtId="43" fontId="0" fillId="18" borderId="7" xfId="1" applyFont="1" applyFill="1" applyBorder="1"/>
    <xf numFmtId="0" fontId="0" fillId="0" borderId="13" xfId="0" applyBorder="1" applyAlignment="1">
      <alignment horizontal="center"/>
    </xf>
    <xf numFmtId="43" fontId="0" fillId="0" borderId="13" xfId="1" applyFont="1" applyBorder="1"/>
    <xf numFmtId="0" fontId="0" fillId="18" borderId="43" xfId="0" applyFill="1" applyBorder="1"/>
    <xf numFmtId="2" fontId="0" fillId="18" borderId="44" xfId="0" applyNumberFormat="1" applyFill="1" applyBorder="1" applyAlignment="1">
      <alignment horizontal="center"/>
    </xf>
    <xf numFmtId="0" fontId="0" fillId="18" borderId="44" xfId="0" applyFill="1" applyBorder="1"/>
    <xf numFmtId="43" fontId="0" fillId="18" borderId="45" xfId="1" applyFont="1" applyFill="1" applyBorder="1"/>
    <xf numFmtId="0" fontId="0" fillId="18" borderId="12" xfId="0" applyFill="1" applyBorder="1"/>
    <xf numFmtId="0" fontId="0" fillId="18" borderId="12" xfId="0" applyFill="1" applyBorder="1" applyAlignment="1">
      <alignment horizontal="center"/>
    </xf>
    <xf numFmtId="43" fontId="0" fillId="18" borderId="12" xfId="1" applyFont="1" applyFill="1" applyBorder="1"/>
    <xf numFmtId="43" fontId="0" fillId="0" borderId="12" xfId="1" applyFont="1" applyBorder="1"/>
    <xf numFmtId="0" fontId="4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43" fontId="64" fillId="0" borderId="7" xfId="1" applyFont="1" applyBorder="1" applyAlignment="1">
      <alignment horizontal="center"/>
    </xf>
    <xf numFmtId="0" fontId="53" fillId="0" borderId="7" xfId="0" applyFont="1" applyBorder="1"/>
    <xf numFmtId="14" fontId="53" fillId="0" borderId="7" xfId="0" applyNumberFormat="1" applyFont="1" applyBorder="1" applyAlignment="1">
      <alignment horizontal="center" vertical="center"/>
    </xf>
    <xf numFmtId="0" fontId="66" fillId="0" borderId="7" xfId="0" applyFont="1" applyBorder="1" applyAlignment="1">
      <alignment wrapText="1"/>
    </xf>
    <xf numFmtId="0" fontId="67" fillId="0" borderId="7" xfId="0" applyFont="1" applyBorder="1" applyAlignment="1">
      <alignment horizontal="left" vertical="top"/>
    </xf>
    <xf numFmtId="4" fontId="66" fillId="0" borderId="7" xfId="0" applyNumberFormat="1" applyFont="1" applyBorder="1" applyAlignment="1">
      <alignment horizontal="right" wrapText="1"/>
    </xf>
    <xf numFmtId="3" fontId="68" fillId="0" borderId="7" xfId="0" applyNumberFormat="1" applyFont="1" applyBorder="1"/>
    <xf numFmtId="0" fontId="5" fillId="14" borderId="0" xfId="0" applyFont="1" applyFill="1" applyAlignment="1">
      <alignment horizontal="center"/>
    </xf>
    <xf numFmtId="0" fontId="14" fillId="14" borderId="0" xfId="0" applyFont="1" applyFill="1" applyAlignment="1">
      <alignment horizontal="center" vertical="center"/>
    </xf>
    <xf numFmtId="14" fontId="0" fillId="14" borderId="0" xfId="0" applyNumberFormat="1" applyFill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5" fillId="14" borderId="8" xfId="0" applyFont="1" applyFill="1" applyBorder="1" applyAlignment="1">
      <alignment horizontal="center" wrapText="1"/>
    </xf>
    <xf numFmtId="0" fontId="8" fillId="14" borderId="1" xfId="0" applyFont="1" applyFill="1" applyBorder="1" applyAlignment="1">
      <alignment horizontal="center"/>
    </xf>
    <xf numFmtId="2" fontId="0" fillId="14" borderId="0" xfId="0" applyNumberFormat="1" applyFill="1"/>
    <xf numFmtId="14" fontId="0" fillId="9" borderId="7" xfId="0" applyNumberFormat="1" applyFill="1" applyBorder="1"/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right"/>
    </xf>
    <xf numFmtId="0" fontId="40" fillId="0" borderId="11" xfId="0" applyFont="1" applyBorder="1" applyAlignment="1">
      <alignment horizontal="center"/>
    </xf>
    <xf numFmtId="4" fontId="66" fillId="0" borderId="7" xfId="0" applyNumberFormat="1" applyFont="1" applyBorder="1" applyAlignment="1">
      <alignment horizontal="center" wrapText="1"/>
    </xf>
    <xf numFmtId="0" fontId="68" fillId="0" borderId="7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69" fillId="0" borderId="0" xfId="0" applyFont="1"/>
    <xf numFmtId="0" fontId="5" fillId="14" borderId="0" xfId="0" applyFont="1" applyFill="1"/>
    <xf numFmtId="0" fontId="0" fillId="14" borderId="5" xfId="0" applyFill="1" applyBorder="1"/>
    <xf numFmtId="0" fontId="0" fillId="14" borderId="6" xfId="0" applyFill="1" applyBorder="1"/>
    <xf numFmtId="0" fontId="0" fillId="14" borderId="7" xfId="0" applyFill="1" applyBorder="1" applyAlignment="1">
      <alignment horizontal="center"/>
    </xf>
    <xf numFmtId="0" fontId="68" fillId="14" borderId="7" xfId="0" applyFont="1" applyFill="1" applyBorder="1" applyAlignment="1">
      <alignment horizontal="center"/>
    </xf>
    <xf numFmtId="0" fontId="11" fillId="14" borderId="7" xfId="0" applyFont="1" applyFill="1" applyBorder="1" applyAlignment="1">
      <alignment horizontal="center" wrapText="1"/>
    </xf>
    <xf numFmtId="0" fontId="0" fillId="14" borderId="39" xfId="0" applyFill="1" applyBorder="1"/>
    <xf numFmtId="0" fontId="0" fillId="14" borderId="39" xfId="0" applyFill="1" applyBorder="1" applyAlignment="1">
      <alignment horizontal="center"/>
    </xf>
    <xf numFmtId="0" fontId="0" fillId="14" borderId="1" xfId="0" applyFill="1" applyBorder="1"/>
    <xf numFmtId="0" fontId="55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46" xfId="0" applyNumberForma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70" fontId="0" fillId="14" borderId="7" xfId="0" applyNumberFormat="1" applyFill="1" applyBorder="1" applyAlignment="1">
      <alignment horizontal="center"/>
    </xf>
    <xf numFmtId="170" fontId="11" fillId="0" borderId="17" xfId="0" applyNumberFormat="1" applyFont="1" applyBorder="1" applyAlignment="1">
      <alignment wrapText="1"/>
    </xf>
    <xf numFmtId="0" fontId="70" fillId="0" borderId="0" xfId="0" applyFont="1"/>
    <xf numFmtId="0" fontId="0" fillId="9" borderId="7" xfId="0" applyFill="1" applyBorder="1" applyAlignment="1">
      <alignment wrapText="1"/>
    </xf>
    <xf numFmtId="14" fontId="0" fillId="18" borderId="7" xfId="0" applyNumberFormat="1" applyFill="1" applyBorder="1"/>
    <xf numFmtId="14" fontId="37" fillId="0" borderId="0" xfId="0" applyNumberFormat="1" applyFont="1"/>
    <xf numFmtId="1" fontId="0" fillId="0" borderId="7" xfId="0" applyNumberFormat="1" applyBorder="1"/>
    <xf numFmtId="0" fontId="3" fillId="18" borderId="7" xfId="0" applyFont="1" applyFill="1" applyBorder="1" applyAlignment="1">
      <alignment horizontal="center"/>
    </xf>
    <xf numFmtId="1" fontId="3" fillId="18" borderId="7" xfId="0" applyNumberFormat="1" applyFont="1" applyFill="1" applyBorder="1" applyAlignment="1">
      <alignment horizontal="center"/>
    </xf>
    <xf numFmtId="1" fontId="0" fillId="18" borderId="7" xfId="0" applyNumberFormat="1" applyFill="1" applyBorder="1"/>
    <xf numFmtId="14" fontId="18" fillId="0" borderId="0" xfId="0" applyNumberFormat="1" applyFont="1"/>
    <xf numFmtId="0" fontId="18" fillId="0" borderId="0" xfId="0" applyFont="1"/>
    <xf numFmtId="1" fontId="18" fillId="0" borderId="0" xfId="0" applyNumberFormat="1" applyFont="1" applyAlignment="1">
      <alignment horizontal="center"/>
    </xf>
    <xf numFmtId="4" fontId="18" fillId="0" borderId="0" xfId="0" applyNumberFormat="1" applyFont="1"/>
    <xf numFmtId="0" fontId="3" fillId="24" borderId="1" xfId="0" applyFont="1" applyFill="1" applyBorder="1" applyAlignment="1">
      <alignment horizontal="center"/>
    </xf>
    <xf numFmtId="14" fontId="59" fillId="24" borderId="1" xfId="0" applyNumberFormat="1" applyFont="1" applyFill="1" applyBorder="1" applyAlignment="1">
      <alignment horizontal="center"/>
    </xf>
    <xf numFmtId="0" fontId="59" fillId="24" borderId="1" xfId="0" applyFont="1" applyFill="1" applyBorder="1" applyAlignment="1">
      <alignment horizontal="center"/>
    </xf>
    <xf numFmtId="1" fontId="59" fillId="24" borderId="1" xfId="0" applyNumberFormat="1" applyFont="1" applyFill="1" applyBorder="1" applyAlignment="1">
      <alignment horizontal="center"/>
    </xf>
    <xf numFmtId="0" fontId="42" fillId="4" borderId="1" xfId="0" applyFont="1" applyFill="1" applyBorder="1" applyAlignment="1">
      <alignment horizontal="center"/>
    </xf>
    <xf numFmtId="14" fontId="0" fillId="10" borderId="1" xfId="0" applyNumberFormat="1" applyFill="1" applyBorder="1"/>
    <xf numFmtId="0" fontId="0" fillId="10" borderId="1" xfId="0" applyFill="1" applyBorder="1"/>
    <xf numFmtId="0" fontId="72" fillId="0" borderId="0" xfId="0" applyFont="1" applyAlignment="1">
      <alignment horizontal="center"/>
    </xf>
    <xf numFmtId="1" fontId="73" fillId="0" borderId="0" xfId="0" applyNumberFormat="1" applyFont="1"/>
    <xf numFmtId="0" fontId="73" fillId="0" borderId="0" xfId="0" applyFont="1"/>
    <xf numFmtId="2" fontId="69" fillId="0" borderId="0" xfId="0" applyNumberFormat="1" applyFont="1"/>
    <xf numFmtId="1" fontId="69" fillId="0" borderId="0" xfId="0" applyNumberFormat="1" applyFont="1"/>
    <xf numFmtId="0" fontId="74" fillId="0" borderId="7" xfId="0" applyFont="1" applyBorder="1" applyAlignment="1">
      <alignment horizontal="center"/>
    </xf>
    <xf numFmtId="0" fontId="75" fillId="0" borderId="7" xfId="0" applyFont="1" applyBorder="1" applyAlignment="1">
      <alignment horizontal="center" wrapText="1"/>
    </xf>
    <xf numFmtId="0" fontId="74" fillId="0" borderId="7" xfId="0" applyFont="1" applyBorder="1" applyAlignment="1">
      <alignment horizontal="center" vertical="center"/>
    </xf>
    <xf numFmtId="1" fontId="76" fillId="0" borderId="7" xfId="0" applyNumberFormat="1" applyFont="1" applyBorder="1"/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vertical="top" wrapText="1"/>
    </xf>
    <xf numFmtId="4" fontId="17" fillId="0" borderId="0" xfId="0" applyNumberFormat="1" applyFont="1" applyAlignment="1">
      <alignment horizontal="right" wrapText="1"/>
    </xf>
    <xf numFmtId="14" fontId="37" fillId="0" borderId="7" xfId="0" applyNumberFormat="1" applyFont="1" applyBorder="1" applyAlignment="1">
      <alignment vertical="center"/>
    </xf>
    <xf numFmtId="0" fontId="37" fillId="0" borderId="7" xfId="0" applyFont="1" applyBorder="1" applyAlignment="1">
      <alignment vertical="center"/>
    </xf>
    <xf numFmtId="0" fontId="37" fillId="0" borderId="7" xfId="0" applyFont="1" applyBorder="1" applyAlignment="1">
      <alignment wrapText="1"/>
    </xf>
    <xf numFmtId="0" fontId="37" fillId="2" borderId="7" xfId="0" applyFont="1" applyFill="1" applyBorder="1"/>
    <xf numFmtId="4" fontId="18" fillId="9" borderId="0" xfId="0" applyNumberFormat="1" applyFont="1" applyFill="1"/>
    <xf numFmtId="4" fontId="27" fillId="7" borderId="47" xfId="0" applyNumberFormat="1" applyFont="1" applyFill="1" applyBorder="1" applyAlignment="1">
      <alignment horizontal="right" wrapText="1"/>
    </xf>
    <xf numFmtId="171" fontId="0" fillId="0" borderId="7" xfId="0" applyNumberFormat="1" applyBorder="1"/>
    <xf numFmtId="171" fontId="0" fillId="25" borderId="7" xfId="0" applyNumberFormat="1" applyFill="1" applyBorder="1"/>
    <xf numFmtId="0" fontId="0" fillId="25" borderId="7" xfId="0" applyFill="1" applyBorder="1"/>
    <xf numFmtId="171" fontId="0" fillId="26" borderId="7" xfId="0" applyNumberFormat="1" applyFill="1" applyBorder="1"/>
    <xf numFmtId="0" fontId="0" fillId="26" borderId="7" xfId="0" applyFill="1" applyBorder="1"/>
    <xf numFmtId="4" fontId="0" fillId="26" borderId="7" xfId="0" applyNumberFormat="1" applyFill="1" applyBorder="1"/>
    <xf numFmtId="0" fontId="23" fillId="5" borderId="18" xfId="0" applyFont="1" applyFill="1" applyBorder="1" applyAlignment="1">
      <alignment horizontal="center" wrapText="1"/>
    </xf>
    <xf numFmtId="0" fontId="23" fillId="5" borderId="16" xfId="0" applyFont="1" applyFill="1" applyBorder="1" applyAlignment="1">
      <alignment horizontal="center" wrapText="1"/>
    </xf>
    <xf numFmtId="0" fontId="23" fillId="5" borderId="35" xfId="0" applyFont="1" applyFill="1" applyBorder="1" applyAlignment="1">
      <alignment horizontal="center" wrapText="1"/>
    </xf>
    <xf numFmtId="0" fontId="45" fillId="11" borderId="0" xfId="0" applyFont="1" applyFill="1" applyAlignment="1">
      <alignment horizontal="center"/>
    </xf>
    <xf numFmtId="0" fontId="23" fillId="5" borderId="18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2" fillId="14" borderId="2" xfId="0" applyFont="1" applyFill="1" applyBorder="1" applyAlignment="1">
      <alignment horizontal="center"/>
    </xf>
    <xf numFmtId="0" fontId="32" fillId="14" borderId="4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32" fillId="9" borderId="2" xfId="0" applyFont="1" applyFill="1" applyBorder="1" applyAlignment="1">
      <alignment horizontal="center"/>
    </xf>
    <xf numFmtId="0" fontId="32" fillId="9" borderId="4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71" fillId="24" borderId="33" xfId="0" applyFont="1" applyFill="1" applyBorder="1" applyAlignment="1">
      <alignment horizontal="center" vertical="center"/>
    </xf>
    <xf numFmtId="0" fontId="71" fillId="24" borderId="3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" fontId="52" fillId="0" borderId="7" xfId="0" applyNumberFormat="1" applyFont="1" applyBorder="1" applyAlignment="1">
      <alignment horizontal="center" vertical="center"/>
    </xf>
    <xf numFmtId="0" fontId="40" fillId="0" borderId="33" xfId="0" applyFont="1" applyBorder="1" applyAlignment="1">
      <alignment horizontal="center"/>
    </xf>
    <xf numFmtId="0" fontId="40" fillId="0" borderId="39" xfId="0" applyFont="1" applyBorder="1" applyAlignment="1">
      <alignment horizontal="center"/>
    </xf>
    <xf numFmtId="0" fontId="17" fillId="0" borderId="7" xfId="0" applyFont="1" applyBorder="1" applyAlignment="1">
      <alignment horizontal="center" wrapText="1"/>
    </xf>
    <xf numFmtId="0" fontId="17" fillId="0" borderId="18" xfId="0" applyFon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</cellXfs>
  <cellStyles count="4">
    <cellStyle name="Comma" xfId="1" builtinId="3"/>
    <cellStyle name="Currency" xfId="3" builtinId="4"/>
    <cellStyle name="Hyperlink" xfId="2" builtinId="8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2:H35"/>
  <sheetViews>
    <sheetView topLeftCell="A16" workbookViewId="0">
      <selection activeCell="D26" sqref="D26"/>
    </sheetView>
  </sheetViews>
  <sheetFormatPr defaultRowHeight="14.4"/>
  <cols>
    <col min="3" max="3" width="23.33203125" customWidth="1"/>
    <col min="4" max="4" width="20.21875" customWidth="1"/>
    <col min="7" max="7" width="10.44140625" bestFit="1" customWidth="1"/>
    <col min="8" max="8" width="51.21875" bestFit="1" customWidth="1"/>
  </cols>
  <sheetData>
    <row r="2" spans="3:8">
      <c r="H2" t="s">
        <v>648</v>
      </c>
    </row>
    <row r="3" spans="3:8" ht="15" thickBot="1"/>
    <row r="4" spans="3:8">
      <c r="C4" s="167" t="s">
        <v>478</v>
      </c>
      <c r="D4" s="171" t="e">
        <f>#REF!</f>
        <v>#REF!</v>
      </c>
    </row>
    <row r="5" spans="3:8">
      <c r="C5" s="168" t="s">
        <v>479</v>
      </c>
      <c r="D5" s="172" t="e">
        <f>#REF!</f>
        <v>#REF!</v>
      </c>
    </row>
    <row r="6" spans="3:8" ht="29.4" thickBot="1">
      <c r="C6" s="169"/>
      <c r="D6" s="170"/>
      <c r="H6" s="354" t="s">
        <v>2149</v>
      </c>
    </row>
    <row r="7" spans="3:8">
      <c r="C7" s="168" t="s">
        <v>480</v>
      </c>
      <c r="D7" s="173" t="e">
        <f>#REF!</f>
        <v>#REF!</v>
      </c>
      <c r="H7" t="s">
        <v>1386</v>
      </c>
    </row>
    <row r="8" spans="3:8" ht="15" thickBot="1">
      <c r="C8" s="169" t="s">
        <v>481</v>
      </c>
      <c r="D8" s="174" t="e">
        <f>#REF!</f>
        <v>#REF!</v>
      </c>
    </row>
    <row r="9" spans="3:8">
      <c r="C9" s="213"/>
      <c r="D9" s="214"/>
    </row>
    <row r="10" spans="3:8">
      <c r="C10" s="168" t="s">
        <v>602</v>
      </c>
      <c r="D10" s="215">
        <v>0</v>
      </c>
      <c r="G10" s="21">
        <v>45567</v>
      </c>
      <c r="H10" t="s">
        <v>2141</v>
      </c>
    </row>
    <row r="11" spans="3:8" ht="15" thickBot="1">
      <c r="C11" s="169" t="s">
        <v>603</v>
      </c>
      <c r="D11" s="216" t="e">
        <f>#REF!</f>
        <v>#REF!</v>
      </c>
      <c r="H11" t="s">
        <v>2021</v>
      </c>
    </row>
    <row r="12" spans="3:8">
      <c r="H12" s="490" t="s">
        <v>2022</v>
      </c>
    </row>
    <row r="13" spans="3:8">
      <c r="H13" t="s">
        <v>2143</v>
      </c>
    </row>
    <row r="14" spans="3:8">
      <c r="H14" t="s">
        <v>2146</v>
      </c>
    </row>
    <row r="15" spans="3:8">
      <c r="H15" t="s">
        <v>2147</v>
      </c>
    </row>
    <row r="16" spans="3:8">
      <c r="C16" s="151"/>
    </row>
    <row r="17" spans="2:8">
      <c r="H17" t="s">
        <v>2148</v>
      </c>
    </row>
    <row r="18" spans="2:8">
      <c r="H18" t="s">
        <v>1709</v>
      </c>
    </row>
    <row r="19" spans="2:8" ht="17.399999999999999">
      <c r="C19" s="33" t="s">
        <v>285</v>
      </c>
      <c r="D19" s="33" t="s">
        <v>238</v>
      </c>
    </row>
    <row r="20" spans="2:8" ht="15" thickBot="1"/>
    <row r="21" spans="2:8" ht="16.2" thickBot="1">
      <c r="C21" s="101" t="s">
        <v>246</v>
      </c>
      <c r="D21" s="102" t="s">
        <v>247</v>
      </c>
    </row>
    <row r="22" spans="2:8" ht="16.2" thickBot="1">
      <c r="B22" t="s">
        <v>982</v>
      </c>
      <c r="C22" s="122" t="s">
        <v>123</v>
      </c>
      <c r="D22" s="103">
        <f>'Customer Ledger'!F511</f>
        <v>116642</v>
      </c>
    </row>
    <row r="23" spans="2:8" ht="16.2" thickBot="1">
      <c r="B23" t="s">
        <v>982</v>
      </c>
      <c r="C23" s="122" t="s">
        <v>248</v>
      </c>
      <c r="D23" s="103">
        <f>'Customer Ledger'!F721</f>
        <v>-901922.5</v>
      </c>
    </row>
    <row r="24" spans="2:8" ht="16.2" thickBot="1">
      <c r="B24" t="s">
        <v>982</v>
      </c>
      <c r="C24" s="123" t="s">
        <v>269</v>
      </c>
      <c r="D24" s="106">
        <f>'Customer Ledger'!F762</f>
        <v>560000</v>
      </c>
    </row>
    <row r="25" spans="2:8" ht="16.2" thickBot="1">
      <c r="C25" s="123" t="s">
        <v>730</v>
      </c>
      <c r="D25" s="242">
        <f>'Customer Ledger'!F569</f>
        <v>-2500</v>
      </c>
    </row>
    <row r="26" spans="2:8" ht="16.2" thickBot="1">
      <c r="B26" t="s">
        <v>982</v>
      </c>
      <c r="C26" s="123" t="s">
        <v>2366</v>
      </c>
      <c r="D26" s="242">
        <f>'Customer Ledger'!F554</f>
        <v>336350</v>
      </c>
    </row>
    <row r="27" spans="2:8" ht="16.2" thickBot="1">
      <c r="C27" s="123" t="s">
        <v>2667</v>
      </c>
      <c r="D27" s="242">
        <f>'Customer Ledger'!F398</f>
        <v>45000</v>
      </c>
    </row>
    <row r="28" spans="2:8" ht="16.2" thickBot="1">
      <c r="C28" s="123" t="s">
        <v>2568</v>
      </c>
      <c r="D28" s="242">
        <f>'Customer Ledger'!F529</f>
        <v>100000</v>
      </c>
    </row>
    <row r="29" spans="2:8" ht="16.2" thickBot="1">
      <c r="C29" s="123" t="s">
        <v>805</v>
      </c>
      <c r="D29" s="577">
        <f>'Customer Ledger'!F386</f>
        <v>100000</v>
      </c>
    </row>
    <row r="30" spans="2:8" ht="16.2" thickBot="1">
      <c r="C30" s="104" t="s">
        <v>246</v>
      </c>
      <c r="D30" s="105" t="s">
        <v>249</v>
      </c>
    </row>
    <row r="31" spans="2:8" ht="16.2" thickBot="1">
      <c r="C31" s="122" t="s">
        <v>290</v>
      </c>
      <c r="D31" s="126">
        <f>'Customer Ledger'!F362</f>
        <v>4350</v>
      </c>
    </row>
    <row r="32" spans="2:8" ht="16.2" thickBot="1">
      <c r="C32" s="122" t="s">
        <v>19</v>
      </c>
      <c r="D32" s="126">
        <f>'Vendor Ledger'!F27</f>
        <v>-5416.23</v>
      </c>
    </row>
    <row r="33" spans="3:5" ht="16.2" thickBot="1">
      <c r="C33" s="122" t="s">
        <v>726</v>
      </c>
      <c r="D33" s="127">
        <f>'Customer Ledger'!F302</f>
        <v>-32370</v>
      </c>
    </row>
    <row r="34" spans="3:5" ht="16.2" thickBot="1">
      <c r="C34" s="122" t="str">
        <f>'Customer Ledger'!C210</f>
        <v>Umer Gujranwala</v>
      </c>
      <c r="D34" s="127">
        <f>'Customer Ledger'!F219</f>
        <v>100</v>
      </c>
    </row>
    <row r="35" spans="3:5" ht="16.2" thickBot="1">
      <c r="C35" s="122" t="s">
        <v>2161</v>
      </c>
      <c r="D35" s="127">
        <f>'Customer Ledger'!F372</f>
        <v>11314.38</v>
      </c>
      <c r="E35" s="514" t="s">
        <v>2025</v>
      </c>
    </row>
  </sheetData>
  <hyperlinks>
    <hyperlink ref="C22" location="'Customer Ledger'!C38" display="Mudassir A/R" xr:uid="{00000000-0004-0000-0000-000000000000}"/>
    <hyperlink ref="C23" location="'Customer Ledger'!C51" display="Faisal Bhai (EURONEXT)" xr:uid="{00000000-0004-0000-0000-000001000000}"/>
    <hyperlink ref="C24" location="'Customer Ledger'!B127" display="Danish Bhai Ledger" xr:uid="{00000000-0004-0000-0000-000002000000}"/>
    <hyperlink ref="C32" location="'Vendor Ledger'!C3" display="'Vendor Ledger'!C3" xr:uid="{00000000-0004-0000-0000-000003000000}"/>
    <hyperlink ref="C31" location="'Customer Ledger'!C29" display="Machine Cargo Payment " xr:uid="{00000000-0004-0000-0000-000004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3:I832"/>
  <sheetViews>
    <sheetView topLeftCell="A25" zoomScale="85" zoomScaleNormal="85" workbookViewId="0">
      <selection activeCell="H555" sqref="H555"/>
    </sheetView>
  </sheetViews>
  <sheetFormatPr defaultRowHeight="14.4"/>
  <cols>
    <col min="2" max="2" width="12.44140625" bestFit="1" customWidth="1"/>
    <col min="3" max="3" width="49.109375" customWidth="1"/>
    <col min="4" max="5" width="13.44140625" bestFit="1" customWidth="1"/>
    <col min="6" max="6" width="16.6640625" bestFit="1" customWidth="1"/>
    <col min="7" max="7" width="20.21875" bestFit="1" customWidth="1"/>
    <col min="8" max="8" width="18.88671875" style="321" bestFit="1" customWidth="1"/>
  </cols>
  <sheetData>
    <row r="3" spans="1:6">
      <c r="A3" s="590" t="s">
        <v>21</v>
      </c>
      <c r="B3" s="590"/>
      <c r="C3" s="34" t="s">
        <v>90</v>
      </c>
    </row>
    <row r="4" spans="1:6" ht="15" thickBot="1"/>
    <row r="5" spans="1:6" ht="18.600000000000001" thickBot="1">
      <c r="B5" s="12" t="s">
        <v>13</v>
      </c>
      <c r="C5" s="15" t="s">
        <v>14</v>
      </c>
      <c r="D5" s="13" t="s">
        <v>15</v>
      </c>
      <c r="E5" s="15" t="s">
        <v>16</v>
      </c>
      <c r="F5" s="14" t="s">
        <v>17</v>
      </c>
    </row>
    <row r="7" spans="1:6">
      <c r="B7" s="40">
        <v>45405</v>
      </c>
      <c r="C7" s="17" t="s">
        <v>115</v>
      </c>
      <c r="D7" s="17">
        <f>Sell.Invoice!F23</f>
        <v>11550</v>
      </c>
      <c r="E7" s="17"/>
      <c r="F7" s="17">
        <f>F6+D7-E7</f>
        <v>11550</v>
      </c>
    </row>
    <row r="8" spans="1:6">
      <c r="B8" s="40">
        <v>45405</v>
      </c>
      <c r="C8" s="17" t="s">
        <v>116</v>
      </c>
      <c r="D8" s="17">
        <f>Sell.Invoice!F43</f>
        <v>9100</v>
      </c>
      <c r="E8" s="17"/>
      <c r="F8" s="17">
        <f t="shared" ref="F8:F75" si="0">F7+D8-E8</f>
        <v>20650</v>
      </c>
    </row>
    <row r="9" spans="1:6">
      <c r="B9" s="40">
        <v>45405</v>
      </c>
      <c r="C9" s="17" t="s">
        <v>117</v>
      </c>
      <c r="D9" s="17">
        <f>Sell.Invoice!F63</f>
        <v>25500</v>
      </c>
      <c r="E9" s="17"/>
      <c r="F9" s="17">
        <f t="shared" si="0"/>
        <v>46150</v>
      </c>
    </row>
    <row r="10" spans="1:6">
      <c r="B10" s="40">
        <v>45405</v>
      </c>
      <c r="C10" s="17" t="s">
        <v>118</v>
      </c>
      <c r="D10" s="17">
        <f>Sell.Invoice!F90</f>
        <v>15850</v>
      </c>
      <c r="E10" s="17"/>
      <c r="F10" s="17">
        <f t="shared" si="0"/>
        <v>62000</v>
      </c>
    </row>
    <row r="11" spans="1:6">
      <c r="B11" s="40">
        <v>45405</v>
      </c>
      <c r="C11" s="43" t="s">
        <v>119</v>
      </c>
      <c r="D11" s="43">
        <v>11500</v>
      </c>
      <c r="E11" s="43"/>
      <c r="F11" s="17">
        <f t="shared" si="0"/>
        <v>73500</v>
      </c>
    </row>
    <row r="12" spans="1:6" ht="17.399999999999999">
      <c r="B12" s="40">
        <v>45405</v>
      </c>
      <c r="C12" s="57" t="s">
        <v>120</v>
      </c>
      <c r="D12" s="41"/>
      <c r="E12" s="56">
        <v>19700</v>
      </c>
      <c r="F12" s="41">
        <f t="shared" si="0"/>
        <v>53800</v>
      </c>
    </row>
    <row r="13" spans="1:6" ht="17.399999999999999">
      <c r="B13" s="40">
        <v>45406</v>
      </c>
      <c r="C13" s="57" t="s">
        <v>120</v>
      </c>
      <c r="D13" s="41"/>
      <c r="E13" s="56">
        <v>10000</v>
      </c>
      <c r="F13" s="41">
        <f t="shared" si="0"/>
        <v>43800</v>
      </c>
    </row>
    <row r="14" spans="1:6" ht="17.399999999999999">
      <c r="B14" s="40">
        <v>45407</v>
      </c>
      <c r="C14" s="57" t="s">
        <v>120</v>
      </c>
      <c r="D14" s="41"/>
      <c r="E14" s="56">
        <v>30000</v>
      </c>
      <c r="F14" s="41">
        <f t="shared" si="0"/>
        <v>13800</v>
      </c>
    </row>
    <row r="15" spans="1:6" ht="15.6">
      <c r="B15" s="40">
        <v>45408</v>
      </c>
      <c r="C15" s="57" t="s">
        <v>120</v>
      </c>
      <c r="D15" s="17"/>
      <c r="E15" s="17">
        <v>50</v>
      </c>
      <c r="F15" s="41">
        <f t="shared" si="0"/>
        <v>13750</v>
      </c>
    </row>
    <row r="16" spans="1:6">
      <c r="B16" s="40">
        <v>45409</v>
      </c>
      <c r="C16" s="17" t="s">
        <v>188</v>
      </c>
      <c r="D16" s="17"/>
      <c r="E16" s="17">
        <v>800</v>
      </c>
      <c r="F16" s="41">
        <f t="shared" si="0"/>
        <v>12950</v>
      </c>
    </row>
    <row r="17" spans="2:6">
      <c r="B17" s="40">
        <v>45415</v>
      </c>
      <c r="C17" s="43" t="s">
        <v>267</v>
      </c>
      <c r="D17" s="17">
        <v>111200</v>
      </c>
      <c r="E17" s="17"/>
      <c r="F17" s="41">
        <f t="shared" si="0"/>
        <v>124150</v>
      </c>
    </row>
    <row r="18" spans="2:6" ht="15.6">
      <c r="B18" s="40">
        <v>45418</v>
      </c>
      <c r="C18" s="57" t="s">
        <v>288</v>
      </c>
      <c r="D18" s="17"/>
      <c r="E18" s="112">
        <v>40000</v>
      </c>
      <c r="F18" s="41">
        <f t="shared" si="0"/>
        <v>84150</v>
      </c>
    </row>
    <row r="19" spans="2:6">
      <c r="B19" s="40">
        <v>45418</v>
      </c>
      <c r="C19" s="17" t="s">
        <v>286</v>
      </c>
      <c r="D19" s="17"/>
      <c r="E19" s="17">
        <v>1560</v>
      </c>
      <c r="F19" s="41">
        <f t="shared" si="0"/>
        <v>82590</v>
      </c>
    </row>
    <row r="20" spans="2:6">
      <c r="B20" s="40">
        <v>45418</v>
      </c>
      <c r="C20" s="17" t="s">
        <v>287</v>
      </c>
      <c r="D20" s="17"/>
      <c r="E20" s="17">
        <v>760</v>
      </c>
      <c r="F20" s="41">
        <f t="shared" si="0"/>
        <v>81830</v>
      </c>
    </row>
    <row r="21" spans="2:6" ht="31.2">
      <c r="B21" s="178">
        <v>45418</v>
      </c>
      <c r="C21" s="57" t="s">
        <v>289</v>
      </c>
      <c r="D21" s="17"/>
      <c r="E21" s="209">
        <v>4170</v>
      </c>
      <c r="F21" s="521">
        <f t="shared" si="0"/>
        <v>77660</v>
      </c>
    </row>
    <row r="22" spans="2:6">
      <c r="B22" s="40">
        <v>45418</v>
      </c>
      <c r="C22" s="43" t="s">
        <v>303</v>
      </c>
      <c r="D22" s="17"/>
      <c r="E22" s="17">
        <v>6390</v>
      </c>
      <c r="F22" s="41">
        <f t="shared" si="0"/>
        <v>71270</v>
      </c>
    </row>
    <row r="23" spans="2:6">
      <c r="B23" s="40">
        <v>45418</v>
      </c>
      <c r="C23" s="43" t="s">
        <v>304</v>
      </c>
      <c r="D23" s="17">
        <v>2100</v>
      </c>
      <c r="E23" s="17"/>
      <c r="F23" s="41">
        <f t="shared" si="0"/>
        <v>73370</v>
      </c>
    </row>
    <row r="24" spans="2:6" ht="15.6">
      <c r="B24" s="40">
        <v>45419</v>
      </c>
      <c r="C24" s="57" t="s">
        <v>288</v>
      </c>
      <c r="D24" s="17"/>
      <c r="E24" s="17">
        <v>1000</v>
      </c>
      <c r="F24" s="41">
        <f t="shared" si="0"/>
        <v>72370</v>
      </c>
    </row>
    <row r="25" spans="2:6">
      <c r="B25" s="40">
        <v>45419</v>
      </c>
      <c r="C25" s="43" t="s">
        <v>455</v>
      </c>
      <c r="D25" s="17">
        <v>35800</v>
      </c>
      <c r="E25" s="17"/>
      <c r="F25" s="41">
        <f t="shared" si="0"/>
        <v>108170</v>
      </c>
    </row>
    <row r="26" spans="2:6">
      <c r="B26" s="40">
        <v>45420</v>
      </c>
      <c r="C26" s="43" t="s">
        <v>465</v>
      </c>
      <c r="D26" s="17">
        <v>18000</v>
      </c>
      <c r="E26" s="17"/>
      <c r="F26" s="41">
        <f t="shared" si="0"/>
        <v>126170</v>
      </c>
    </row>
    <row r="27" spans="2:6" ht="15.6">
      <c r="B27" s="40">
        <v>45420</v>
      </c>
      <c r="C27" s="57" t="s">
        <v>120</v>
      </c>
      <c r="D27" s="17"/>
      <c r="E27" s="17">
        <v>53800</v>
      </c>
      <c r="F27" s="41">
        <f t="shared" si="0"/>
        <v>72370</v>
      </c>
    </row>
    <row r="28" spans="2:6" ht="15.6">
      <c r="B28" s="40">
        <v>45420</v>
      </c>
      <c r="C28" s="57" t="s">
        <v>120</v>
      </c>
      <c r="D28" s="17"/>
      <c r="E28" s="17">
        <v>10000</v>
      </c>
      <c r="F28" s="41">
        <f t="shared" si="0"/>
        <v>62370</v>
      </c>
    </row>
    <row r="29" spans="2:6">
      <c r="B29" s="40">
        <v>45423</v>
      </c>
      <c r="C29" s="43" t="s">
        <v>477</v>
      </c>
      <c r="D29" s="17">
        <v>36720</v>
      </c>
      <c r="E29" s="17"/>
      <c r="F29" s="41">
        <f t="shared" si="0"/>
        <v>99090</v>
      </c>
    </row>
    <row r="30" spans="2:6">
      <c r="B30" s="40">
        <v>45426</v>
      </c>
      <c r="C30" s="43" t="s">
        <v>562</v>
      </c>
      <c r="D30" s="17"/>
      <c r="E30" s="17">
        <v>50000</v>
      </c>
      <c r="F30" s="41">
        <f t="shared" si="0"/>
        <v>49090</v>
      </c>
    </row>
    <row r="31" spans="2:6">
      <c r="B31" s="40">
        <v>45426</v>
      </c>
      <c r="C31" s="43" t="s">
        <v>562</v>
      </c>
      <c r="D31" s="17"/>
      <c r="E31" s="17">
        <v>1300</v>
      </c>
      <c r="F31" s="41">
        <f t="shared" si="0"/>
        <v>47790</v>
      </c>
    </row>
    <row r="32" spans="2:6">
      <c r="B32" s="40">
        <v>45429</v>
      </c>
      <c r="C32" s="43" t="s">
        <v>621</v>
      </c>
      <c r="D32" s="17">
        <v>5670</v>
      </c>
      <c r="E32" s="17"/>
      <c r="F32" s="41">
        <f t="shared" si="0"/>
        <v>53460</v>
      </c>
    </row>
    <row r="33" spans="2:6">
      <c r="B33" s="40">
        <v>45430</v>
      </c>
      <c r="C33" s="43" t="s">
        <v>622</v>
      </c>
      <c r="D33" s="17">
        <v>16300</v>
      </c>
      <c r="E33" s="17"/>
      <c r="F33" s="41">
        <f t="shared" si="0"/>
        <v>69760</v>
      </c>
    </row>
    <row r="34" spans="2:6">
      <c r="B34" s="40">
        <v>45430</v>
      </c>
      <c r="C34" s="43" t="s">
        <v>628</v>
      </c>
      <c r="D34" s="17">
        <v>54000</v>
      </c>
      <c r="E34" s="17"/>
      <c r="F34" s="41">
        <f t="shared" si="0"/>
        <v>123760</v>
      </c>
    </row>
    <row r="35" spans="2:6" ht="15.6">
      <c r="B35" s="40">
        <v>45432</v>
      </c>
      <c r="C35" s="57" t="s">
        <v>288</v>
      </c>
      <c r="D35" s="17"/>
      <c r="E35" s="17">
        <v>54000</v>
      </c>
      <c r="F35" s="41">
        <f t="shared" si="0"/>
        <v>69760</v>
      </c>
    </row>
    <row r="36" spans="2:6">
      <c r="B36" s="40">
        <v>45432</v>
      </c>
      <c r="C36" s="43" t="s">
        <v>630</v>
      </c>
      <c r="D36" s="17"/>
      <c r="E36" s="17">
        <v>1650</v>
      </c>
      <c r="F36" s="41">
        <f t="shared" si="0"/>
        <v>68110</v>
      </c>
    </row>
    <row r="37" spans="2:6" ht="15.6">
      <c r="B37" s="40">
        <v>45432</v>
      </c>
      <c r="C37" s="57" t="s">
        <v>288</v>
      </c>
      <c r="D37" s="17"/>
      <c r="E37" s="17">
        <v>30000</v>
      </c>
      <c r="F37" s="41">
        <f t="shared" si="0"/>
        <v>38110</v>
      </c>
    </row>
    <row r="38" spans="2:6" ht="15.6">
      <c r="B38" s="40">
        <v>45435</v>
      </c>
      <c r="C38" s="57" t="s">
        <v>650</v>
      </c>
      <c r="D38" s="17"/>
      <c r="E38" s="17">
        <v>180</v>
      </c>
      <c r="F38" s="41">
        <f t="shared" si="0"/>
        <v>37930</v>
      </c>
    </row>
    <row r="39" spans="2:6">
      <c r="B39" s="40">
        <v>45436</v>
      </c>
      <c r="C39" s="43" t="s">
        <v>653</v>
      </c>
      <c r="D39" s="17"/>
      <c r="E39" s="17">
        <v>2100</v>
      </c>
      <c r="F39" s="41">
        <f t="shared" si="0"/>
        <v>35830</v>
      </c>
    </row>
    <row r="40" spans="2:6">
      <c r="B40" s="40">
        <v>45437</v>
      </c>
      <c r="C40" s="43" t="s">
        <v>656</v>
      </c>
      <c r="D40" s="17">
        <v>22700</v>
      </c>
      <c r="E40" s="17"/>
      <c r="F40" s="41">
        <f t="shared" si="0"/>
        <v>58530</v>
      </c>
    </row>
    <row r="41" spans="2:6" ht="31.2">
      <c r="B41" s="40">
        <v>45440</v>
      </c>
      <c r="C41" s="57" t="s">
        <v>670</v>
      </c>
      <c r="D41" s="17"/>
      <c r="E41" s="17">
        <v>1260</v>
      </c>
      <c r="F41" s="41">
        <f t="shared" si="0"/>
        <v>57270</v>
      </c>
    </row>
    <row r="42" spans="2:6">
      <c r="B42" s="40">
        <v>45441</v>
      </c>
      <c r="C42" s="43" t="s">
        <v>677</v>
      </c>
      <c r="D42" s="17">
        <v>34960</v>
      </c>
      <c r="E42" s="17"/>
      <c r="F42" s="41">
        <f t="shared" si="0"/>
        <v>92230</v>
      </c>
    </row>
    <row r="43" spans="2:6">
      <c r="B43" s="40">
        <v>45441</v>
      </c>
      <c r="C43" s="43" t="s">
        <v>678</v>
      </c>
      <c r="D43" s="17"/>
      <c r="E43" s="17">
        <v>34960</v>
      </c>
      <c r="F43" s="41">
        <f t="shared" si="0"/>
        <v>57270</v>
      </c>
    </row>
    <row r="44" spans="2:6" ht="15.6">
      <c r="B44" s="40">
        <v>45442</v>
      </c>
      <c r="C44" s="57" t="s">
        <v>288</v>
      </c>
      <c r="D44" s="17"/>
      <c r="E44" s="17">
        <v>35000</v>
      </c>
      <c r="F44" s="41">
        <f t="shared" si="0"/>
        <v>22270</v>
      </c>
    </row>
    <row r="45" spans="2:6">
      <c r="B45" s="40">
        <v>45444</v>
      </c>
      <c r="C45" s="43" t="s">
        <v>713</v>
      </c>
      <c r="D45" s="17">
        <v>1200</v>
      </c>
      <c r="E45" s="17"/>
      <c r="F45" s="41">
        <f t="shared" si="0"/>
        <v>23470</v>
      </c>
    </row>
    <row r="46" spans="2:6" ht="31.2">
      <c r="B46" s="40">
        <v>45444</v>
      </c>
      <c r="C46" s="57" t="s">
        <v>732</v>
      </c>
      <c r="D46" s="17"/>
      <c r="E46" s="17">
        <v>1333</v>
      </c>
      <c r="F46" s="41">
        <f t="shared" si="0"/>
        <v>22137</v>
      </c>
    </row>
    <row r="47" spans="2:6" ht="15.6">
      <c r="B47" s="40">
        <v>45448</v>
      </c>
      <c r="C47" s="57" t="s">
        <v>288</v>
      </c>
      <c r="D47" s="17"/>
      <c r="E47" s="17">
        <v>10000</v>
      </c>
      <c r="F47" s="41">
        <f t="shared" si="0"/>
        <v>12137</v>
      </c>
    </row>
    <row r="48" spans="2:6">
      <c r="B48" s="40">
        <v>45448</v>
      </c>
      <c r="C48" s="43" t="s">
        <v>823</v>
      </c>
      <c r="D48" s="17">
        <v>33600</v>
      </c>
      <c r="E48" s="17"/>
      <c r="F48" s="41">
        <f t="shared" si="0"/>
        <v>45737</v>
      </c>
    </row>
    <row r="49" spans="2:6" ht="15.6">
      <c r="B49" s="40">
        <v>45448</v>
      </c>
      <c r="C49" s="57" t="s">
        <v>288</v>
      </c>
      <c r="D49" s="17"/>
      <c r="E49" s="17">
        <v>33600</v>
      </c>
      <c r="F49" s="41">
        <f t="shared" si="0"/>
        <v>12137</v>
      </c>
    </row>
    <row r="50" spans="2:6">
      <c r="B50" s="40">
        <v>45449</v>
      </c>
      <c r="C50" s="43" t="s">
        <v>825</v>
      </c>
      <c r="D50" s="17">
        <v>50400</v>
      </c>
      <c r="E50" s="17"/>
      <c r="F50" s="41">
        <f t="shared" si="0"/>
        <v>62537</v>
      </c>
    </row>
    <row r="51" spans="2:6" ht="15.6">
      <c r="B51" s="40">
        <v>45449</v>
      </c>
      <c r="C51" s="57" t="s">
        <v>288</v>
      </c>
      <c r="D51" s="17"/>
      <c r="E51" s="17">
        <v>50400</v>
      </c>
      <c r="F51" s="41">
        <f t="shared" si="0"/>
        <v>12137</v>
      </c>
    </row>
    <row r="52" spans="2:6" ht="15.6">
      <c r="B52" s="40">
        <v>45453</v>
      </c>
      <c r="C52" s="57" t="s">
        <v>288</v>
      </c>
      <c r="D52" s="17"/>
      <c r="E52" s="17">
        <v>6030</v>
      </c>
      <c r="F52" s="41">
        <f t="shared" si="0"/>
        <v>6107</v>
      </c>
    </row>
    <row r="53" spans="2:6">
      <c r="B53" s="40">
        <v>45453</v>
      </c>
      <c r="C53" s="43" t="s">
        <v>891</v>
      </c>
      <c r="D53" s="17">
        <v>58800</v>
      </c>
      <c r="E53" s="17"/>
      <c r="F53" s="41">
        <f t="shared" si="0"/>
        <v>64907</v>
      </c>
    </row>
    <row r="54" spans="2:6">
      <c r="B54" s="40">
        <v>45453</v>
      </c>
      <c r="C54" s="66" t="s">
        <v>892</v>
      </c>
      <c r="D54" s="17"/>
      <c r="E54" s="243">
        <v>1465</v>
      </c>
      <c r="F54" s="41">
        <f>F53+D54-E54</f>
        <v>63442</v>
      </c>
    </row>
    <row r="55" spans="2:6">
      <c r="B55" s="40">
        <v>45453</v>
      </c>
      <c r="C55" s="66" t="s">
        <v>893</v>
      </c>
      <c r="D55" s="17"/>
      <c r="E55" s="243">
        <v>35</v>
      </c>
      <c r="F55" s="41">
        <f t="shared" si="0"/>
        <v>63407</v>
      </c>
    </row>
    <row r="56" spans="2:6">
      <c r="B56" s="40">
        <v>45453</v>
      </c>
      <c r="C56" s="43" t="s">
        <v>897</v>
      </c>
      <c r="D56" s="112">
        <v>21320</v>
      </c>
      <c r="E56" s="17"/>
      <c r="F56" s="41">
        <f t="shared" si="0"/>
        <v>84727</v>
      </c>
    </row>
    <row r="57" spans="2:6">
      <c r="B57" s="40">
        <v>45454</v>
      </c>
      <c r="C57" s="43" t="s">
        <v>990</v>
      </c>
      <c r="D57" s="112">
        <v>19110</v>
      </c>
      <c r="E57" s="17"/>
      <c r="F57" s="41">
        <f t="shared" si="0"/>
        <v>103837</v>
      </c>
    </row>
    <row r="58" spans="2:6">
      <c r="B58" s="40">
        <v>45455</v>
      </c>
      <c r="C58" s="43" t="s">
        <v>1003</v>
      </c>
      <c r="D58" s="112">
        <v>3340</v>
      </c>
      <c r="E58" s="17"/>
      <c r="F58" s="41">
        <f t="shared" si="0"/>
        <v>107177</v>
      </c>
    </row>
    <row r="59" spans="2:6">
      <c r="B59" s="40">
        <v>45455</v>
      </c>
      <c r="C59" s="43" t="s">
        <v>1007</v>
      </c>
      <c r="D59" s="112"/>
      <c r="E59" s="17">
        <v>60640</v>
      </c>
      <c r="F59" s="41">
        <f>F58+D59-E59</f>
        <v>46537</v>
      </c>
    </row>
    <row r="60" spans="2:6">
      <c r="B60" s="40">
        <v>45456</v>
      </c>
      <c r="C60" s="43" t="s">
        <v>1098</v>
      </c>
      <c r="D60" s="112">
        <v>8350</v>
      </c>
      <c r="E60" s="17"/>
      <c r="F60" s="41">
        <f t="shared" si="0"/>
        <v>54887</v>
      </c>
    </row>
    <row r="61" spans="2:6">
      <c r="B61" s="40">
        <v>45456</v>
      </c>
      <c r="C61" s="43" t="s">
        <v>1097</v>
      </c>
      <c r="D61" s="112"/>
      <c r="E61" s="17">
        <v>25980</v>
      </c>
      <c r="F61" s="41">
        <f t="shared" si="0"/>
        <v>28907</v>
      </c>
    </row>
    <row r="62" spans="2:6">
      <c r="B62" s="40">
        <v>45463</v>
      </c>
      <c r="C62" s="43" t="s">
        <v>1125</v>
      </c>
      <c r="D62" s="112">
        <v>4800</v>
      </c>
      <c r="E62" s="17"/>
      <c r="F62" s="41">
        <f t="shared" si="0"/>
        <v>33707</v>
      </c>
    </row>
    <row r="63" spans="2:6">
      <c r="B63" s="40">
        <v>45463</v>
      </c>
      <c r="C63" s="43" t="s">
        <v>1130</v>
      </c>
      <c r="D63" s="112"/>
      <c r="E63" s="17">
        <v>10622</v>
      </c>
      <c r="F63" s="41">
        <f t="shared" si="0"/>
        <v>23085</v>
      </c>
    </row>
    <row r="64" spans="2:6">
      <c r="B64" s="40">
        <v>45463</v>
      </c>
      <c r="C64" s="43" t="s">
        <v>1007</v>
      </c>
      <c r="D64" s="112"/>
      <c r="E64" s="17">
        <v>8350</v>
      </c>
      <c r="F64" s="41">
        <f t="shared" si="0"/>
        <v>14735</v>
      </c>
    </row>
    <row r="65" spans="2:6">
      <c r="B65" s="40">
        <v>45465</v>
      </c>
      <c r="C65" s="43" t="s">
        <v>1176</v>
      </c>
      <c r="D65" s="112">
        <v>3060</v>
      </c>
      <c r="E65" s="17"/>
      <c r="F65" s="41">
        <f t="shared" si="0"/>
        <v>17795</v>
      </c>
    </row>
    <row r="66" spans="2:6">
      <c r="B66" s="40">
        <v>45465</v>
      </c>
      <c r="C66" s="43" t="s">
        <v>1175</v>
      </c>
      <c r="D66" s="112">
        <v>12670</v>
      </c>
      <c r="E66" s="17"/>
      <c r="F66" s="41">
        <f t="shared" si="0"/>
        <v>30465</v>
      </c>
    </row>
    <row r="67" spans="2:6">
      <c r="B67" s="40">
        <v>45465</v>
      </c>
      <c r="C67" s="43" t="s">
        <v>1178</v>
      </c>
      <c r="D67" s="112">
        <v>2390</v>
      </c>
      <c r="E67" s="17"/>
      <c r="F67" s="41">
        <f t="shared" si="0"/>
        <v>32855</v>
      </c>
    </row>
    <row r="68" spans="2:6">
      <c r="B68" s="40">
        <v>45465</v>
      </c>
      <c r="C68" s="43" t="s">
        <v>1097</v>
      </c>
      <c r="D68" s="112"/>
      <c r="E68" s="17">
        <v>24000</v>
      </c>
      <c r="F68" s="41">
        <f t="shared" si="0"/>
        <v>8855</v>
      </c>
    </row>
    <row r="69" spans="2:6">
      <c r="B69" s="40">
        <v>45467</v>
      </c>
      <c r="C69" s="43" t="s">
        <v>1186</v>
      </c>
      <c r="D69" s="112"/>
      <c r="E69" s="17">
        <v>1000</v>
      </c>
      <c r="F69" s="41">
        <f t="shared" si="0"/>
        <v>7855</v>
      </c>
    </row>
    <row r="70" spans="2:6">
      <c r="B70" s="40">
        <v>45469</v>
      </c>
      <c r="C70" s="43" t="s">
        <v>1216</v>
      </c>
      <c r="D70" s="112">
        <v>41080</v>
      </c>
      <c r="E70" s="17"/>
      <c r="F70" s="41">
        <f t="shared" si="0"/>
        <v>48935</v>
      </c>
    </row>
    <row r="71" spans="2:6">
      <c r="B71" s="40">
        <v>45469</v>
      </c>
      <c r="C71" s="43" t="s">
        <v>1211</v>
      </c>
      <c r="D71" s="112">
        <v>5010</v>
      </c>
      <c r="E71" s="17"/>
      <c r="F71" s="41">
        <f t="shared" si="0"/>
        <v>53945</v>
      </c>
    </row>
    <row r="72" spans="2:6">
      <c r="B72" s="40">
        <v>45469</v>
      </c>
      <c r="C72" s="43" t="s">
        <v>1212</v>
      </c>
      <c r="D72" s="112"/>
      <c r="E72" s="17">
        <v>25</v>
      </c>
      <c r="F72" s="41">
        <f t="shared" si="0"/>
        <v>53920</v>
      </c>
    </row>
    <row r="73" spans="2:6">
      <c r="B73" s="40">
        <v>45469</v>
      </c>
      <c r="C73" s="43" t="s">
        <v>1213</v>
      </c>
      <c r="D73" s="112"/>
      <c r="E73" s="17">
        <v>41000</v>
      </c>
      <c r="F73" s="41">
        <f t="shared" si="0"/>
        <v>12920</v>
      </c>
    </row>
    <row r="74" spans="2:6">
      <c r="B74" s="40">
        <v>45469</v>
      </c>
      <c r="C74" s="43" t="s">
        <v>1214</v>
      </c>
      <c r="D74" s="112"/>
      <c r="E74" s="17">
        <v>2000</v>
      </c>
      <c r="F74" s="41">
        <f t="shared" si="0"/>
        <v>10920</v>
      </c>
    </row>
    <row r="75" spans="2:6">
      <c r="B75" s="40">
        <v>45471</v>
      </c>
      <c r="C75" s="43" t="s">
        <v>1231</v>
      </c>
      <c r="D75" s="112">
        <v>31500</v>
      </c>
      <c r="E75" s="17"/>
      <c r="F75" s="41">
        <f t="shared" si="0"/>
        <v>42420</v>
      </c>
    </row>
    <row r="76" spans="2:6">
      <c r="B76" s="40">
        <v>45471</v>
      </c>
      <c r="C76" s="43" t="s">
        <v>1213</v>
      </c>
      <c r="D76" s="112"/>
      <c r="E76" s="17">
        <v>31350</v>
      </c>
      <c r="F76" s="41">
        <f t="shared" ref="F76:F139" si="1">F75+D76-E76</f>
        <v>11070</v>
      </c>
    </row>
    <row r="77" spans="2:6">
      <c r="B77" s="40">
        <v>45471</v>
      </c>
      <c r="C77" s="43" t="s">
        <v>1232</v>
      </c>
      <c r="D77" s="112"/>
      <c r="E77" s="17">
        <v>100</v>
      </c>
      <c r="F77" s="41">
        <f t="shared" si="1"/>
        <v>10970</v>
      </c>
    </row>
    <row r="78" spans="2:6">
      <c r="B78" s="40">
        <v>45471</v>
      </c>
      <c r="C78" s="43" t="s">
        <v>1212</v>
      </c>
      <c r="D78" s="112"/>
      <c r="E78" s="17">
        <v>50</v>
      </c>
      <c r="F78" s="41">
        <f t="shared" si="1"/>
        <v>10920</v>
      </c>
    </row>
    <row r="79" spans="2:6">
      <c r="B79" s="40">
        <v>45471</v>
      </c>
      <c r="C79" s="43" t="s">
        <v>1238</v>
      </c>
      <c r="D79" s="112">
        <v>2720</v>
      </c>
      <c r="E79" s="17"/>
      <c r="F79" s="41">
        <f t="shared" si="1"/>
        <v>13640</v>
      </c>
    </row>
    <row r="80" spans="2:6">
      <c r="B80" s="40">
        <v>45471</v>
      </c>
      <c r="C80" s="43" t="s">
        <v>1239</v>
      </c>
      <c r="D80" s="112"/>
      <c r="E80" s="112">
        <v>2720</v>
      </c>
      <c r="F80" s="41">
        <f t="shared" si="1"/>
        <v>10920</v>
      </c>
    </row>
    <row r="81" spans="2:6">
      <c r="B81" s="40">
        <v>45472</v>
      </c>
      <c r="C81" s="43" t="s">
        <v>1243</v>
      </c>
      <c r="D81" s="112">
        <v>9800</v>
      </c>
      <c r="E81" s="17"/>
      <c r="F81" s="41">
        <f t="shared" si="1"/>
        <v>20720</v>
      </c>
    </row>
    <row r="82" spans="2:6">
      <c r="B82" s="40">
        <v>45472</v>
      </c>
      <c r="C82" s="43" t="s">
        <v>562</v>
      </c>
      <c r="D82" s="112"/>
      <c r="E82" s="17">
        <v>55</v>
      </c>
      <c r="F82" s="41">
        <f t="shared" si="1"/>
        <v>20665</v>
      </c>
    </row>
    <row r="83" spans="2:6">
      <c r="B83" s="40">
        <v>45474</v>
      </c>
      <c r="C83" s="43" t="s">
        <v>562</v>
      </c>
      <c r="D83" s="112"/>
      <c r="E83" s="112">
        <v>10000</v>
      </c>
      <c r="F83" s="41">
        <f t="shared" si="1"/>
        <v>10665</v>
      </c>
    </row>
    <row r="84" spans="2:6">
      <c r="B84" s="40">
        <v>45474</v>
      </c>
      <c r="C84" s="43" t="s">
        <v>1327</v>
      </c>
      <c r="D84" s="112">
        <v>54175</v>
      </c>
      <c r="E84" s="17"/>
      <c r="F84" s="41">
        <f t="shared" si="1"/>
        <v>64840</v>
      </c>
    </row>
    <row r="85" spans="2:6">
      <c r="B85" s="40">
        <v>45474</v>
      </c>
      <c r="C85" s="43" t="s">
        <v>1326</v>
      </c>
      <c r="D85" s="112">
        <v>110160</v>
      </c>
      <c r="E85" s="17"/>
      <c r="F85" s="41">
        <f t="shared" si="1"/>
        <v>175000</v>
      </c>
    </row>
    <row r="86" spans="2:6">
      <c r="B86" s="40">
        <v>45474</v>
      </c>
      <c r="C86" s="43" t="s">
        <v>1328</v>
      </c>
      <c r="D86" s="112"/>
      <c r="E86" s="17">
        <v>73200</v>
      </c>
      <c r="F86" s="41">
        <f t="shared" si="1"/>
        <v>101800</v>
      </c>
    </row>
    <row r="87" spans="2:6">
      <c r="B87" s="40">
        <v>45474</v>
      </c>
      <c r="C87" s="43" t="s">
        <v>1329</v>
      </c>
      <c r="D87" s="112"/>
      <c r="E87" s="17">
        <v>1050</v>
      </c>
      <c r="F87" s="41">
        <f t="shared" si="1"/>
        <v>100750</v>
      </c>
    </row>
    <row r="88" spans="2:6">
      <c r="B88" s="40">
        <v>45474</v>
      </c>
      <c r="C88" s="43" t="s">
        <v>1330</v>
      </c>
      <c r="D88" s="112"/>
      <c r="E88" s="17">
        <v>60</v>
      </c>
      <c r="F88" s="41">
        <f t="shared" si="1"/>
        <v>100690</v>
      </c>
    </row>
    <row r="89" spans="2:6">
      <c r="B89" s="40">
        <v>45474</v>
      </c>
      <c r="C89" s="43" t="s">
        <v>1328</v>
      </c>
      <c r="D89" s="112"/>
      <c r="E89" s="17">
        <v>1525</v>
      </c>
      <c r="F89" s="41">
        <f t="shared" si="1"/>
        <v>99165</v>
      </c>
    </row>
    <row r="90" spans="2:6">
      <c r="B90" s="40">
        <v>45475</v>
      </c>
      <c r="C90" s="43" t="s">
        <v>1328</v>
      </c>
      <c r="D90" s="112"/>
      <c r="E90" s="17">
        <v>38250</v>
      </c>
      <c r="F90" s="41">
        <f t="shared" si="1"/>
        <v>60915</v>
      </c>
    </row>
    <row r="91" spans="2:6">
      <c r="B91" s="40">
        <v>45477</v>
      </c>
      <c r="C91" s="43" t="s">
        <v>1395</v>
      </c>
      <c r="D91" s="112">
        <v>7500</v>
      </c>
      <c r="E91" s="17"/>
      <c r="F91" s="41">
        <f t="shared" si="1"/>
        <v>68415</v>
      </c>
    </row>
    <row r="92" spans="2:6">
      <c r="B92" s="40">
        <v>45478</v>
      </c>
      <c r="C92" s="43" t="s">
        <v>1419</v>
      </c>
      <c r="D92" s="112">
        <v>46500</v>
      </c>
      <c r="E92" s="17"/>
      <c r="F92" s="41">
        <f t="shared" si="1"/>
        <v>114915</v>
      </c>
    </row>
    <row r="93" spans="2:6">
      <c r="B93" s="40">
        <v>45478</v>
      </c>
      <c r="C93" s="43" t="s">
        <v>1420</v>
      </c>
      <c r="D93" s="112">
        <v>2660</v>
      </c>
      <c r="E93" s="17"/>
      <c r="F93" s="41">
        <f t="shared" si="1"/>
        <v>117575</v>
      </c>
    </row>
    <row r="94" spans="2:6">
      <c r="B94" s="40">
        <v>45478</v>
      </c>
      <c r="C94" s="43" t="s">
        <v>1421</v>
      </c>
      <c r="D94" s="112"/>
      <c r="E94" s="17">
        <v>46500</v>
      </c>
      <c r="F94" s="41">
        <f t="shared" si="1"/>
        <v>71075</v>
      </c>
    </row>
    <row r="95" spans="2:6">
      <c r="B95" s="40">
        <v>45479</v>
      </c>
      <c r="C95" s="43" t="s">
        <v>562</v>
      </c>
      <c r="D95" s="112"/>
      <c r="E95" s="17">
        <v>50000</v>
      </c>
      <c r="F95" s="41">
        <f t="shared" si="1"/>
        <v>21075</v>
      </c>
    </row>
    <row r="96" spans="2:6">
      <c r="B96" s="40">
        <v>45479</v>
      </c>
      <c r="C96" s="43" t="s">
        <v>562</v>
      </c>
      <c r="D96" s="112"/>
      <c r="E96" s="17">
        <v>10000</v>
      </c>
      <c r="F96" s="41">
        <f t="shared" si="1"/>
        <v>11075</v>
      </c>
    </row>
    <row r="97" spans="2:6">
      <c r="B97" s="40">
        <v>45480</v>
      </c>
      <c r="C97" s="43" t="s">
        <v>1438</v>
      </c>
      <c r="D97" s="112">
        <v>29380</v>
      </c>
      <c r="E97" s="17"/>
      <c r="F97" s="41">
        <f t="shared" si="1"/>
        <v>40455</v>
      </c>
    </row>
    <row r="98" spans="2:6">
      <c r="B98" s="40">
        <v>45481</v>
      </c>
      <c r="C98" s="43" t="s">
        <v>562</v>
      </c>
      <c r="D98" s="112"/>
      <c r="E98" s="17">
        <v>1333</v>
      </c>
      <c r="F98" s="41">
        <f t="shared" si="1"/>
        <v>39122</v>
      </c>
    </row>
    <row r="99" spans="2:6">
      <c r="B99" s="40">
        <v>45481</v>
      </c>
      <c r="C99" s="43" t="s">
        <v>1421</v>
      </c>
      <c r="D99" s="112"/>
      <c r="E99" s="17">
        <v>1860</v>
      </c>
      <c r="F99" s="41">
        <f t="shared" si="1"/>
        <v>37262</v>
      </c>
    </row>
    <row r="100" spans="2:6">
      <c r="B100" s="40">
        <v>45482</v>
      </c>
      <c r="C100" s="43" t="s">
        <v>1440</v>
      </c>
      <c r="D100" s="112">
        <v>40125</v>
      </c>
      <c r="E100" s="17"/>
      <c r="F100" s="41">
        <f t="shared" si="1"/>
        <v>77387</v>
      </c>
    </row>
    <row r="101" spans="2:6">
      <c r="B101" s="40">
        <v>45482</v>
      </c>
      <c r="C101" s="43" t="s">
        <v>1441</v>
      </c>
      <c r="D101" s="112"/>
      <c r="E101" s="17">
        <v>40075</v>
      </c>
      <c r="F101" s="41">
        <f t="shared" si="1"/>
        <v>37312</v>
      </c>
    </row>
    <row r="102" spans="2:6">
      <c r="B102" s="40">
        <v>45482</v>
      </c>
      <c r="C102" s="43" t="s">
        <v>1441</v>
      </c>
      <c r="D102" s="112"/>
      <c r="E102" s="17">
        <v>50</v>
      </c>
      <c r="F102" s="41">
        <f t="shared" si="1"/>
        <v>37262</v>
      </c>
    </row>
    <row r="103" spans="2:6">
      <c r="B103" s="40">
        <v>45484</v>
      </c>
      <c r="C103" s="43" t="s">
        <v>1507</v>
      </c>
      <c r="D103" s="112">
        <v>93080</v>
      </c>
      <c r="E103" s="17"/>
      <c r="F103" s="41">
        <f t="shared" si="1"/>
        <v>130342</v>
      </c>
    </row>
    <row r="104" spans="2:6">
      <c r="B104" s="40">
        <v>45484</v>
      </c>
      <c r="C104" s="43" t="s">
        <v>1441</v>
      </c>
      <c r="D104" s="112"/>
      <c r="E104" s="17">
        <v>92910</v>
      </c>
      <c r="F104" s="41">
        <f t="shared" si="1"/>
        <v>37432</v>
      </c>
    </row>
    <row r="105" spans="2:6">
      <c r="B105" s="40">
        <v>45484</v>
      </c>
      <c r="C105" s="43" t="s">
        <v>1451</v>
      </c>
      <c r="D105" s="112"/>
      <c r="E105" s="17">
        <v>100</v>
      </c>
      <c r="F105" s="41">
        <f t="shared" si="1"/>
        <v>37332</v>
      </c>
    </row>
    <row r="106" spans="2:6">
      <c r="B106" s="40">
        <v>45484</v>
      </c>
      <c r="C106" s="43" t="s">
        <v>1452</v>
      </c>
      <c r="D106" s="112"/>
      <c r="E106" s="17">
        <v>70</v>
      </c>
      <c r="F106" s="41">
        <f t="shared" si="1"/>
        <v>37262</v>
      </c>
    </row>
    <row r="107" spans="2:6">
      <c r="B107" s="40">
        <v>45485</v>
      </c>
      <c r="C107" s="43" t="s">
        <v>562</v>
      </c>
      <c r="D107" s="112"/>
      <c r="E107" s="112">
        <v>40000</v>
      </c>
      <c r="F107" s="41">
        <f t="shared" si="1"/>
        <v>-2738</v>
      </c>
    </row>
    <row r="108" spans="2:6">
      <c r="B108" s="40">
        <v>45487</v>
      </c>
      <c r="C108" s="43" t="s">
        <v>1508</v>
      </c>
      <c r="D108" s="112"/>
      <c r="E108" s="17">
        <v>180</v>
      </c>
      <c r="F108" s="41">
        <f t="shared" si="1"/>
        <v>-2918</v>
      </c>
    </row>
    <row r="109" spans="2:6">
      <c r="B109" s="40">
        <v>45487</v>
      </c>
      <c r="C109" s="43" t="s">
        <v>641</v>
      </c>
      <c r="D109" s="112"/>
      <c r="E109" s="17">
        <v>40</v>
      </c>
      <c r="F109" s="41">
        <f t="shared" si="1"/>
        <v>-2958</v>
      </c>
    </row>
    <row r="110" spans="2:6">
      <c r="B110" s="40">
        <v>45487</v>
      </c>
      <c r="C110" s="43" t="s">
        <v>1509</v>
      </c>
      <c r="D110" s="112"/>
      <c r="E110" s="17">
        <v>1150</v>
      </c>
      <c r="F110" s="41">
        <f t="shared" si="1"/>
        <v>-4108</v>
      </c>
    </row>
    <row r="111" spans="2:6">
      <c r="B111" s="40">
        <v>45487</v>
      </c>
      <c r="C111" s="43" t="s">
        <v>1511</v>
      </c>
      <c r="D111" s="112">
        <v>6500</v>
      </c>
      <c r="E111" s="17"/>
      <c r="F111" s="41">
        <f t="shared" si="1"/>
        <v>2392</v>
      </c>
    </row>
    <row r="112" spans="2:6">
      <c r="B112" s="40">
        <v>45491</v>
      </c>
      <c r="C112" s="43" t="s">
        <v>1535</v>
      </c>
      <c r="D112" s="112">
        <v>116720</v>
      </c>
      <c r="E112" s="17"/>
      <c r="F112" s="41">
        <f t="shared" si="1"/>
        <v>119112</v>
      </c>
    </row>
    <row r="113" spans="2:6">
      <c r="B113" s="40">
        <v>45491</v>
      </c>
      <c r="C113" s="43" t="s">
        <v>1536</v>
      </c>
      <c r="D113" s="112"/>
      <c r="E113" s="17">
        <v>51000</v>
      </c>
      <c r="F113" s="41">
        <f t="shared" si="1"/>
        <v>68112</v>
      </c>
    </row>
    <row r="114" spans="2:6">
      <c r="B114" s="40">
        <v>45491</v>
      </c>
      <c r="C114" s="43" t="s">
        <v>1537</v>
      </c>
      <c r="D114" s="112"/>
      <c r="E114" s="17">
        <v>950</v>
      </c>
      <c r="F114" s="41">
        <f t="shared" si="1"/>
        <v>67162</v>
      </c>
    </row>
    <row r="115" spans="2:6">
      <c r="B115" s="40">
        <v>45491</v>
      </c>
      <c r="C115" s="43" t="s">
        <v>1538</v>
      </c>
      <c r="D115" s="112"/>
      <c r="E115" s="17">
        <v>20</v>
      </c>
      <c r="F115" s="41">
        <f t="shared" si="1"/>
        <v>67142</v>
      </c>
    </row>
    <row r="116" spans="2:6">
      <c r="B116" s="40">
        <v>45491</v>
      </c>
      <c r="C116" s="43" t="s">
        <v>1539</v>
      </c>
      <c r="D116" s="112"/>
      <c r="E116" s="17">
        <v>30</v>
      </c>
      <c r="F116" s="41">
        <f t="shared" si="1"/>
        <v>67112</v>
      </c>
    </row>
    <row r="117" spans="2:6">
      <c r="B117" s="40">
        <v>45491</v>
      </c>
      <c r="C117" s="43" t="s">
        <v>1539</v>
      </c>
      <c r="D117" s="112"/>
      <c r="E117" s="17">
        <v>50000</v>
      </c>
      <c r="F117" s="41">
        <f t="shared" si="1"/>
        <v>17112</v>
      </c>
    </row>
    <row r="118" spans="2:6">
      <c r="B118" s="40">
        <v>45492</v>
      </c>
      <c r="C118" s="43" t="s">
        <v>1570</v>
      </c>
      <c r="D118" s="112">
        <v>17150</v>
      </c>
      <c r="E118" s="17"/>
      <c r="F118" s="41">
        <f t="shared" si="1"/>
        <v>34262</v>
      </c>
    </row>
    <row r="119" spans="2:6">
      <c r="B119" s="40">
        <v>45492</v>
      </c>
      <c r="C119" s="43" t="s">
        <v>1571</v>
      </c>
      <c r="D119" s="112"/>
      <c r="E119" s="17">
        <v>2150</v>
      </c>
      <c r="F119" s="41">
        <f t="shared" si="1"/>
        <v>32112</v>
      </c>
    </row>
    <row r="120" spans="2:6">
      <c r="B120" s="40">
        <v>45492</v>
      </c>
      <c r="C120" s="43" t="s">
        <v>1539</v>
      </c>
      <c r="D120" s="112"/>
      <c r="E120" s="112">
        <v>14000</v>
      </c>
      <c r="F120" s="41">
        <f t="shared" si="1"/>
        <v>18112</v>
      </c>
    </row>
    <row r="121" spans="2:6">
      <c r="B121" s="40">
        <v>45495</v>
      </c>
      <c r="C121" s="43" t="s">
        <v>1536</v>
      </c>
      <c r="D121" s="112"/>
      <c r="E121" s="112">
        <v>3000</v>
      </c>
      <c r="F121" s="41">
        <f t="shared" si="1"/>
        <v>15112</v>
      </c>
    </row>
    <row r="122" spans="2:6">
      <c r="B122" s="40">
        <v>45497</v>
      </c>
      <c r="C122" s="43" t="s">
        <v>1604</v>
      </c>
      <c r="D122" s="112">
        <v>65940</v>
      </c>
      <c r="E122" s="17"/>
      <c r="F122" s="41">
        <f t="shared" si="1"/>
        <v>81052</v>
      </c>
    </row>
    <row r="123" spans="2:6">
      <c r="B123" s="40">
        <v>45497</v>
      </c>
      <c r="C123" s="43" t="s">
        <v>1509</v>
      </c>
      <c r="D123" s="112"/>
      <c r="E123" s="17">
        <v>1050</v>
      </c>
      <c r="F123" s="41">
        <f t="shared" si="1"/>
        <v>80002</v>
      </c>
    </row>
    <row r="124" spans="2:6">
      <c r="B124" s="40">
        <v>45497</v>
      </c>
      <c r="C124" s="43" t="s">
        <v>1596</v>
      </c>
      <c r="D124" s="112"/>
      <c r="E124" s="17">
        <v>20</v>
      </c>
      <c r="F124" s="41">
        <f t="shared" si="1"/>
        <v>79982</v>
      </c>
    </row>
    <row r="125" spans="2:6">
      <c r="B125" s="40">
        <v>45497</v>
      </c>
      <c r="C125" s="43" t="s">
        <v>1605</v>
      </c>
      <c r="D125" s="112">
        <v>8225</v>
      </c>
      <c r="E125" s="17"/>
      <c r="F125" s="41">
        <f t="shared" si="1"/>
        <v>88207</v>
      </c>
    </row>
    <row r="126" spans="2:6">
      <c r="B126" s="40">
        <v>45498</v>
      </c>
      <c r="C126" s="43" t="s">
        <v>1627</v>
      </c>
      <c r="D126" s="112">
        <v>18190</v>
      </c>
      <c r="E126" s="17"/>
      <c r="F126" s="41">
        <f t="shared" si="1"/>
        <v>106397</v>
      </c>
    </row>
    <row r="127" spans="2:6">
      <c r="B127" s="40">
        <v>45498</v>
      </c>
      <c r="C127" s="17" t="s">
        <v>1628</v>
      </c>
      <c r="D127" s="112">
        <v>440</v>
      </c>
      <c r="E127" s="17"/>
      <c r="F127" s="41">
        <f t="shared" si="1"/>
        <v>106837</v>
      </c>
    </row>
    <row r="128" spans="2:6">
      <c r="B128" s="40">
        <v>45500</v>
      </c>
      <c r="C128" s="43" t="s">
        <v>1642</v>
      </c>
      <c r="D128" s="112"/>
      <c r="E128" s="17">
        <v>1050</v>
      </c>
      <c r="F128" s="41">
        <f t="shared" si="1"/>
        <v>105787</v>
      </c>
    </row>
    <row r="129" spans="2:6">
      <c r="B129" s="40">
        <v>45502</v>
      </c>
      <c r="C129" s="43" t="s">
        <v>641</v>
      </c>
      <c r="D129" s="112"/>
      <c r="E129" s="17">
        <v>20</v>
      </c>
      <c r="F129" s="41">
        <f t="shared" si="1"/>
        <v>105767</v>
      </c>
    </row>
    <row r="130" spans="2:6">
      <c r="B130" s="40">
        <v>45502</v>
      </c>
      <c r="C130" s="43" t="s">
        <v>1676</v>
      </c>
      <c r="D130" s="112">
        <v>30290</v>
      </c>
      <c r="E130" s="17"/>
      <c r="F130" s="41">
        <f t="shared" si="1"/>
        <v>136057</v>
      </c>
    </row>
    <row r="131" spans="2:6">
      <c r="B131" s="40">
        <v>45502</v>
      </c>
      <c r="C131" s="43" t="s">
        <v>1677</v>
      </c>
      <c r="D131" s="112"/>
      <c r="E131" s="17">
        <v>135000</v>
      </c>
      <c r="F131" s="41">
        <f t="shared" si="1"/>
        <v>1057</v>
      </c>
    </row>
    <row r="132" spans="2:6">
      <c r="B132" s="40">
        <v>45506</v>
      </c>
      <c r="C132" s="43" t="s">
        <v>1711</v>
      </c>
      <c r="D132" s="112">
        <v>17550</v>
      </c>
      <c r="E132" s="17"/>
      <c r="F132" s="41">
        <f t="shared" si="1"/>
        <v>18607</v>
      </c>
    </row>
    <row r="133" spans="2:6">
      <c r="B133" s="40">
        <v>45506</v>
      </c>
      <c r="C133" s="43" t="s">
        <v>1712</v>
      </c>
      <c r="D133" s="112">
        <v>9680</v>
      </c>
      <c r="E133" s="17"/>
      <c r="F133" s="41">
        <f t="shared" si="1"/>
        <v>28287</v>
      </c>
    </row>
    <row r="134" spans="2:6">
      <c r="B134" s="40">
        <v>45506</v>
      </c>
      <c r="C134" s="43" t="s">
        <v>1713</v>
      </c>
      <c r="D134" s="112"/>
      <c r="E134" s="17">
        <v>200</v>
      </c>
      <c r="F134" s="41">
        <f t="shared" si="1"/>
        <v>28087</v>
      </c>
    </row>
    <row r="135" spans="2:6">
      <c r="B135" s="40">
        <v>45507</v>
      </c>
      <c r="C135" s="43" t="s">
        <v>1800</v>
      </c>
      <c r="D135" s="112">
        <v>5680</v>
      </c>
      <c r="E135" s="17"/>
      <c r="F135" s="41">
        <f t="shared" si="1"/>
        <v>33767</v>
      </c>
    </row>
    <row r="136" spans="2:6">
      <c r="B136" s="40">
        <v>45510</v>
      </c>
      <c r="C136" s="43" t="s">
        <v>1463</v>
      </c>
      <c r="D136" s="112"/>
      <c r="E136" s="112">
        <v>17550</v>
      </c>
      <c r="F136" s="41">
        <f t="shared" si="1"/>
        <v>16217</v>
      </c>
    </row>
    <row r="137" spans="2:6">
      <c r="B137" s="40">
        <v>45511</v>
      </c>
      <c r="C137" s="43" t="s">
        <v>1757</v>
      </c>
      <c r="D137" s="112"/>
      <c r="E137" s="17">
        <v>355</v>
      </c>
      <c r="F137" s="41">
        <f t="shared" si="1"/>
        <v>15862</v>
      </c>
    </row>
    <row r="138" spans="2:6">
      <c r="B138" s="40">
        <v>45511</v>
      </c>
      <c r="C138" s="43" t="s">
        <v>1758</v>
      </c>
      <c r="D138" s="112"/>
      <c r="E138" s="17">
        <v>40</v>
      </c>
      <c r="F138" s="41">
        <f t="shared" si="1"/>
        <v>15822</v>
      </c>
    </row>
    <row r="139" spans="2:6">
      <c r="B139" s="40">
        <v>45517</v>
      </c>
      <c r="C139" s="43" t="s">
        <v>1799</v>
      </c>
      <c r="D139" s="112">
        <v>57750</v>
      </c>
      <c r="E139" s="17"/>
      <c r="F139" s="41">
        <f t="shared" si="1"/>
        <v>73572</v>
      </c>
    </row>
    <row r="140" spans="2:6">
      <c r="B140" s="40">
        <v>45517</v>
      </c>
      <c r="C140" s="43" t="s">
        <v>1801</v>
      </c>
      <c r="D140" s="112"/>
      <c r="E140" s="17">
        <v>70775</v>
      </c>
      <c r="F140" s="41">
        <f t="shared" ref="F140:F157" si="2">F139+D140-E140</f>
        <v>2797</v>
      </c>
    </row>
    <row r="141" spans="2:6">
      <c r="B141" s="40">
        <v>45517</v>
      </c>
      <c r="C141" s="43" t="s">
        <v>1807</v>
      </c>
      <c r="D141" s="112">
        <v>1030</v>
      </c>
      <c r="E141" s="17"/>
      <c r="F141" s="41">
        <f t="shared" si="2"/>
        <v>3827</v>
      </c>
    </row>
    <row r="142" spans="2:6">
      <c r="B142" s="40">
        <v>45519</v>
      </c>
      <c r="C142" s="43" t="s">
        <v>1801</v>
      </c>
      <c r="D142" s="112"/>
      <c r="E142" s="17">
        <v>90</v>
      </c>
      <c r="F142" s="41">
        <f t="shared" si="2"/>
        <v>3737</v>
      </c>
    </row>
    <row r="143" spans="2:6">
      <c r="B143" s="40">
        <v>45521</v>
      </c>
      <c r="C143" s="43" t="s">
        <v>1867</v>
      </c>
      <c r="D143" s="112">
        <v>1030</v>
      </c>
      <c r="E143" s="17"/>
      <c r="F143" s="41">
        <f t="shared" si="2"/>
        <v>4767</v>
      </c>
    </row>
    <row r="144" spans="2:6">
      <c r="B144" s="40">
        <v>45521</v>
      </c>
      <c r="C144" s="43" t="s">
        <v>1868</v>
      </c>
      <c r="D144" s="112">
        <v>13040</v>
      </c>
      <c r="E144" s="17"/>
      <c r="F144" s="41">
        <f t="shared" si="2"/>
        <v>17807</v>
      </c>
    </row>
    <row r="145" spans="2:6">
      <c r="B145" s="40">
        <v>45523</v>
      </c>
      <c r="C145" s="43" t="s">
        <v>1906</v>
      </c>
      <c r="D145" s="112">
        <v>27670</v>
      </c>
      <c r="E145" s="17"/>
      <c r="F145" s="41">
        <f t="shared" si="2"/>
        <v>45477</v>
      </c>
    </row>
    <row r="146" spans="2:6">
      <c r="B146" s="40">
        <v>45523</v>
      </c>
      <c r="C146" s="43" t="s">
        <v>1912</v>
      </c>
      <c r="D146" s="112">
        <v>2830</v>
      </c>
      <c r="E146" s="17"/>
      <c r="F146" s="41">
        <f t="shared" si="2"/>
        <v>48307</v>
      </c>
    </row>
    <row r="147" spans="2:6">
      <c r="B147" s="40">
        <v>45525</v>
      </c>
      <c r="C147" s="43" t="s">
        <v>1980</v>
      </c>
      <c r="D147" s="112"/>
      <c r="E147" s="17">
        <v>3000</v>
      </c>
      <c r="F147" s="41">
        <f t="shared" si="2"/>
        <v>45307</v>
      </c>
    </row>
    <row r="148" spans="2:6">
      <c r="B148" s="40">
        <v>45530</v>
      </c>
      <c r="C148" s="43" t="s">
        <v>1575</v>
      </c>
      <c r="D148" s="112"/>
      <c r="E148" s="17">
        <v>30000</v>
      </c>
      <c r="F148" s="41">
        <f t="shared" si="2"/>
        <v>15307</v>
      </c>
    </row>
    <row r="149" spans="2:6">
      <c r="B149" s="40">
        <v>45534</v>
      </c>
      <c r="C149" s="43" t="s">
        <v>1972</v>
      </c>
      <c r="D149" s="112">
        <v>8870</v>
      </c>
      <c r="E149" s="17"/>
      <c r="F149" s="41">
        <f t="shared" si="2"/>
        <v>24177</v>
      </c>
    </row>
    <row r="150" spans="2:6">
      <c r="B150" s="40">
        <v>45541</v>
      </c>
      <c r="C150" s="43" t="s">
        <v>2005</v>
      </c>
      <c r="D150" s="112">
        <v>4370</v>
      </c>
      <c r="E150" s="17"/>
      <c r="F150" s="41">
        <f t="shared" si="2"/>
        <v>28547</v>
      </c>
    </row>
    <row r="151" spans="2:6">
      <c r="B151" s="40">
        <v>45551</v>
      </c>
      <c r="C151" s="43" t="s">
        <v>2028</v>
      </c>
      <c r="D151" s="112"/>
      <c r="E151" s="17">
        <v>15000</v>
      </c>
      <c r="F151" s="41">
        <f t="shared" si="2"/>
        <v>13547</v>
      </c>
    </row>
    <row r="152" spans="2:6">
      <c r="B152" s="40">
        <v>45553</v>
      </c>
      <c r="C152" s="43" t="s">
        <v>2035</v>
      </c>
      <c r="D152" s="112">
        <f>1170*5</f>
        <v>5850</v>
      </c>
      <c r="E152" s="17"/>
      <c r="F152" s="41">
        <f t="shared" si="2"/>
        <v>19397</v>
      </c>
    </row>
    <row r="153" spans="2:6">
      <c r="B153" s="40">
        <v>45553</v>
      </c>
      <c r="C153" s="43" t="s">
        <v>2036</v>
      </c>
      <c r="D153" s="112"/>
      <c r="E153" s="17">
        <v>12000</v>
      </c>
      <c r="F153" s="41">
        <f t="shared" si="2"/>
        <v>7397</v>
      </c>
    </row>
    <row r="154" spans="2:6">
      <c r="B154" s="40">
        <v>45574</v>
      </c>
      <c r="C154" s="43" t="s">
        <v>1463</v>
      </c>
      <c r="D154" s="112"/>
      <c r="E154" s="17">
        <v>5000</v>
      </c>
      <c r="F154" s="41">
        <f t="shared" si="2"/>
        <v>2397</v>
      </c>
    </row>
    <row r="155" spans="2:6">
      <c r="B155" s="40">
        <v>45581</v>
      </c>
      <c r="C155" s="43" t="s">
        <v>2279</v>
      </c>
      <c r="D155" s="112">
        <v>31500</v>
      </c>
      <c r="E155" s="17"/>
      <c r="F155" s="41">
        <f t="shared" si="2"/>
        <v>33897</v>
      </c>
    </row>
    <row r="156" spans="2:6">
      <c r="B156" s="40">
        <v>45582</v>
      </c>
      <c r="C156" s="43" t="s">
        <v>2283</v>
      </c>
      <c r="D156" s="112"/>
      <c r="E156" s="17">
        <v>31320</v>
      </c>
      <c r="F156" s="41">
        <f t="shared" si="2"/>
        <v>2577</v>
      </c>
    </row>
    <row r="157" spans="2:6" ht="18">
      <c r="B157" s="40"/>
      <c r="C157" s="428" t="s">
        <v>2348</v>
      </c>
      <c r="D157" s="17"/>
      <c r="E157" s="17"/>
      <c r="F157" s="41">
        <f t="shared" si="2"/>
        <v>2577</v>
      </c>
    </row>
    <row r="158" spans="2:6" ht="15.6">
      <c r="B158" s="17"/>
      <c r="C158" s="19" t="s">
        <v>20</v>
      </c>
      <c r="D158" s="17"/>
      <c r="E158" s="20"/>
      <c r="F158" s="125">
        <f t="shared" ref="F158" si="3">F157+D158-E158</f>
        <v>2577</v>
      </c>
    </row>
    <row r="159" spans="2:6" ht="15.6">
      <c r="C159" s="59"/>
      <c r="E159" s="60"/>
      <c r="F159" s="180"/>
    </row>
    <row r="160" spans="2:6" ht="16.2" thickBot="1">
      <c r="C160" s="59"/>
      <c r="E160" s="60"/>
      <c r="F160" s="180"/>
    </row>
    <row r="161" spans="2:6" ht="20.399999999999999" thickBot="1">
      <c r="B161" s="86"/>
      <c r="C161" s="87" t="s">
        <v>1976</v>
      </c>
      <c r="D161" s="86"/>
      <c r="E161" s="86"/>
      <c r="F161" s="86"/>
    </row>
    <row r="162" spans="2:6">
      <c r="B162" s="584" t="s">
        <v>236</v>
      </c>
      <c r="C162" s="584" t="s">
        <v>237</v>
      </c>
      <c r="D162" s="584" t="s">
        <v>15</v>
      </c>
      <c r="E162" s="584" t="s">
        <v>16</v>
      </c>
      <c r="F162" s="584" t="s">
        <v>238</v>
      </c>
    </row>
    <row r="163" spans="2:6" ht="15" thickBot="1">
      <c r="B163" s="585"/>
      <c r="C163" s="585"/>
      <c r="D163" s="585"/>
      <c r="E163" s="585"/>
      <c r="F163" s="585"/>
    </row>
    <row r="164" spans="2:6" ht="15" thickBot="1">
      <c r="B164" s="88"/>
      <c r="C164" s="88"/>
      <c r="D164" s="88"/>
      <c r="E164" s="88"/>
      <c r="F164" s="95">
        <v>0</v>
      </c>
    </row>
    <row r="165" spans="2:6" ht="18" thickBot="1">
      <c r="B165" s="98">
        <v>45534</v>
      </c>
      <c r="C165" s="43" t="s">
        <v>1979</v>
      </c>
      <c r="D165" s="88">
        <v>27700</v>
      </c>
      <c r="E165" s="90"/>
      <c r="F165" s="90">
        <f>F164+D165-E165</f>
        <v>27700</v>
      </c>
    </row>
    <row r="166" spans="2:6" ht="18" thickBot="1">
      <c r="B166" s="98">
        <v>45538</v>
      </c>
      <c r="C166" s="88" t="s">
        <v>723</v>
      </c>
      <c r="D166" s="88"/>
      <c r="E166" s="88">
        <v>27600</v>
      </c>
      <c r="F166" s="90">
        <f t="shared" ref="F166:F171" si="4">F165+D166-E166</f>
        <v>100</v>
      </c>
    </row>
    <row r="167" spans="2:6" ht="18" thickBot="1">
      <c r="B167" s="98">
        <v>45538</v>
      </c>
      <c r="C167" s="43" t="s">
        <v>1992</v>
      </c>
      <c r="D167" s="88">
        <v>10700</v>
      </c>
      <c r="E167" s="88"/>
      <c r="F167" s="90">
        <f t="shared" si="4"/>
        <v>10800</v>
      </c>
    </row>
    <row r="168" spans="2:6" ht="18" thickBot="1">
      <c r="B168" s="165">
        <v>45541</v>
      </c>
      <c r="C168" s="88" t="s">
        <v>723</v>
      </c>
      <c r="D168" s="92"/>
      <c r="E168" s="88">
        <v>5000</v>
      </c>
      <c r="F168" s="90">
        <f t="shared" si="4"/>
        <v>5800</v>
      </c>
    </row>
    <row r="169" spans="2:6" ht="18" thickBot="1">
      <c r="B169" s="165">
        <v>45568</v>
      </c>
      <c r="C169" s="88" t="s">
        <v>2134</v>
      </c>
      <c r="D169" s="92"/>
      <c r="E169" s="88">
        <v>5700</v>
      </c>
      <c r="F169" s="90">
        <f t="shared" si="4"/>
        <v>100</v>
      </c>
    </row>
    <row r="170" spans="2:6" ht="18" thickBot="1">
      <c r="B170" s="165">
        <v>45568</v>
      </c>
      <c r="C170" s="88" t="s">
        <v>2135</v>
      </c>
      <c r="D170" s="92"/>
      <c r="E170" s="88">
        <v>100</v>
      </c>
      <c r="F170" s="90">
        <f t="shared" si="4"/>
        <v>0</v>
      </c>
    </row>
    <row r="171" spans="2:6" ht="18" thickBot="1">
      <c r="B171" s="88"/>
      <c r="C171" s="88"/>
      <c r="D171" s="88"/>
      <c r="E171" s="88"/>
      <c r="F171" s="90">
        <f t="shared" si="4"/>
        <v>0</v>
      </c>
    </row>
    <row r="172" spans="2:6" ht="18" thickBot="1">
      <c r="B172" s="88"/>
      <c r="C172" s="93" t="s">
        <v>17</v>
      </c>
      <c r="D172" s="92"/>
      <c r="E172" s="88"/>
      <c r="F172" s="99">
        <f>F171-D172+E172</f>
        <v>0</v>
      </c>
    </row>
    <row r="173" spans="2:6" ht="15.6">
      <c r="C173" s="59"/>
      <c r="E173" s="60"/>
      <c r="F173" s="180"/>
    </row>
    <row r="174" spans="2:6" ht="15.6">
      <c r="C174" s="59"/>
      <c r="E174" s="60"/>
      <c r="F174" s="180"/>
    </row>
    <row r="175" spans="2:6" ht="15.6">
      <c r="C175" s="59"/>
      <c r="D175" s="60"/>
      <c r="E175" s="60"/>
      <c r="F175" s="180"/>
    </row>
    <row r="176" spans="2:6" ht="15.6">
      <c r="C176" s="59"/>
      <c r="D176" s="60"/>
      <c r="E176" s="60"/>
      <c r="F176" s="180"/>
    </row>
    <row r="177" spans="2:6" ht="16.2" thickBot="1">
      <c r="C177" s="59"/>
      <c r="D177" s="60"/>
      <c r="E177" s="60"/>
      <c r="F177" s="180"/>
    </row>
    <row r="178" spans="2:6" ht="20.399999999999999" thickBot="1">
      <c r="B178" s="86"/>
      <c r="C178" s="87" t="s">
        <v>1260</v>
      </c>
      <c r="D178" s="86"/>
      <c r="E178" s="86"/>
      <c r="F178" s="86"/>
    </row>
    <row r="179" spans="2:6">
      <c r="B179" s="584" t="s">
        <v>236</v>
      </c>
      <c r="C179" s="584" t="s">
        <v>237</v>
      </c>
      <c r="D179" s="584" t="s">
        <v>15</v>
      </c>
      <c r="E179" s="584" t="s">
        <v>16</v>
      </c>
      <c r="F179" s="584" t="s">
        <v>238</v>
      </c>
    </row>
    <row r="180" spans="2:6" ht="15" thickBot="1">
      <c r="B180" s="585"/>
      <c r="C180" s="585"/>
      <c r="D180" s="585"/>
      <c r="E180" s="585"/>
      <c r="F180" s="585"/>
    </row>
    <row r="181" spans="2:6" ht="15" thickBot="1">
      <c r="B181" s="88"/>
      <c r="C181" s="88"/>
      <c r="D181" s="88"/>
      <c r="E181" s="88"/>
      <c r="F181" s="95">
        <v>0</v>
      </c>
    </row>
    <row r="182" spans="2:6" ht="18" thickBot="1">
      <c r="B182" s="98">
        <v>45472</v>
      </c>
      <c r="C182" s="43" t="s">
        <v>1263</v>
      </c>
      <c r="D182" s="88">
        <f>2475*5</f>
        <v>12375</v>
      </c>
      <c r="E182" s="90"/>
      <c r="F182" s="90">
        <f>F181+D182-E182</f>
        <v>12375</v>
      </c>
    </row>
    <row r="183" spans="2:6" ht="18" thickBot="1">
      <c r="B183" s="98">
        <v>45474</v>
      </c>
      <c r="C183" s="88" t="s">
        <v>725</v>
      </c>
      <c r="D183" s="88"/>
      <c r="E183" s="88">
        <v>12375</v>
      </c>
      <c r="F183" s="90">
        <f t="shared" ref="F183:F186" si="5">F182+D183-E183</f>
        <v>0</v>
      </c>
    </row>
    <row r="184" spans="2:6" ht="18" thickBot="1">
      <c r="B184" s="165">
        <v>45478</v>
      </c>
      <c r="C184" s="43" t="s">
        <v>1415</v>
      </c>
      <c r="D184" s="88">
        <v>7410</v>
      </c>
      <c r="E184" s="88"/>
      <c r="F184" s="90">
        <f t="shared" si="5"/>
        <v>7410</v>
      </c>
    </row>
    <row r="185" spans="2:6" ht="18" thickBot="1">
      <c r="B185" s="165">
        <v>45481</v>
      </c>
      <c r="C185" s="88" t="s">
        <v>1444</v>
      </c>
      <c r="D185" s="92"/>
      <c r="E185" s="88">
        <v>7410</v>
      </c>
      <c r="F185" s="90">
        <f t="shared" si="5"/>
        <v>0</v>
      </c>
    </row>
    <row r="186" spans="2:6" ht="18" thickBot="1">
      <c r="B186" s="88"/>
      <c r="C186" s="88"/>
      <c r="D186" s="88"/>
      <c r="E186" s="88"/>
      <c r="F186" s="90">
        <f t="shared" si="5"/>
        <v>0</v>
      </c>
    </row>
    <row r="187" spans="2:6" ht="18" thickBot="1">
      <c r="B187" s="88"/>
      <c r="C187" s="93" t="s">
        <v>17</v>
      </c>
      <c r="D187" s="92"/>
      <c r="E187" s="88"/>
      <c r="F187" s="99">
        <f>F186-D187+E187</f>
        <v>0</v>
      </c>
    </row>
    <row r="188" spans="2:6" ht="16.2" thickBot="1">
      <c r="C188" s="59"/>
      <c r="D188" s="60"/>
      <c r="E188" s="60"/>
      <c r="F188" s="59"/>
    </row>
    <row r="189" spans="2:6" ht="20.399999999999999" thickBot="1">
      <c r="B189" s="86"/>
      <c r="C189" s="87" t="s">
        <v>1126</v>
      </c>
      <c r="D189" s="86"/>
      <c r="E189" s="86"/>
      <c r="F189" s="86"/>
    </row>
    <row r="190" spans="2:6">
      <c r="B190" s="584" t="s">
        <v>236</v>
      </c>
      <c r="C190" s="584" t="s">
        <v>237</v>
      </c>
      <c r="D190" s="584" t="s">
        <v>15</v>
      </c>
      <c r="E190" s="584" t="s">
        <v>16</v>
      </c>
      <c r="F190" s="584" t="s">
        <v>238</v>
      </c>
    </row>
    <row r="191" spans="2:6" ht="15" thickBot="1">
      <c r="B191" s="585"/>
      <c r="C191" s="585"/>
      <c r="D191" s="585"/>
      <c r="E191" s="585"/>
      <c r="F191" s="585"/>
    </row>
    <row r="192" spans="2:6">
      <c r="B192" s="322"/>
      <c r="C192" s="322"/>
      <c r="D192" s="322"/>
      <c r="E192" s="322"/>
      <c r="F192" s="325">
        <v>0</v>
      </c>
    </row>
    <row r="193" spans="2:6" ht="17.399999999999999">
      <c r="B193" s="65">
        <v>45444</v>
      </c>
      <c r="C193" s="17" t="s">
        <v>1009</v>
      </c>
      <c r="D193" s="46">
        <v>2430</v>
      </c>
      <c r="E193" s="46"/>
      <c r="F193" s="324">
        <f>F192+D193-E193</f>
        <v>2430</v>
      </c>
    </row>
    <row r="194" spans="2:6" ht="17.399999999999999">
      <c r="B194" s="65">
        <v>45453</v>
      </c>
      <c r="C194" s="17" t="s">
        <v>975</v>
      </c>
      <c r="D194" s="46">
        <v>8480</v>
      </c>
      <c r="E194" s="326"/>
      <c r="F194" s="324">
        <f t="shared" ref="F194:F196" si="6">F193+D194-E194</f>
        <v>10910</v>
      </c>
    </row>
    <row r="195" spans="2:6" ht="17.399999999999999">
      <c r="B195" s="65">
        <v>45454</v>
      </c>
      <c r="C195" s="17" t="s">
        <v>993</v>
      </c>
      <c r="D195" s="46">
        <v>13100</v>
      </c>
      <c r="E195" s="46"/>
      <c r="F195" s="324">
        <f t="shared" si="6"/>
        <v>24010</v>
      </c>
    </row>
    <row r="196" spans="2:6" ht="17.399999999999999">
      <c r="B196" s="65">
        <v>45454</v>
      </c>
      <c r="C196" s="17" t="s">
        <v>994</v>
      </c>
      <c r="D196" s="46"/>
      <c r="E196" s="46">
        <v>13100</v>
      </c>
      <c r="F196" s="324">
        <f t="shared" si="6"/>
        <v>10910</v>
      </c>
    </row>
    <row r="197" spans="2:6" ht="17.399999999999999">
      <c r="B197" s="65">
        <v>45454</v>
      </c>
      <c r="C197" s="46" t="s">
        <v>1096</v>
      </c>
      <c r="D197" s="323"/>
      <c r="E197" s="46">
        <v>6150</v>
      </c>
      <c r="F197" s="324">
        <f t="shared" ref="F197:F207" si="7">F196+D197-E197</f>
        <v>4760</v>
      </c>
    </row>
    <row r="198" spans="2:6" ht="17.399999999999999">
      <c r="B198" s="65">
        <v>45456</v>
      </c>
      <c r="C198" s="46" t="s">
        <v>994</v>
      </c>
      <c r="D198" s="323">
        <v>10</v>
      </c>
      <c r="E198" s="46">
        <v>4770</v>
      </c>
      <c r="F198" s="324">
        <f t="shared" si="7"/>
        <v>0</v>
      </c>
    </row>
    <row r="199" spans="2:6" ht="17.399999999999999">
      <c r="B199" s="153">
        <v>45463</v>
      </c>
      <c r="C199" s="17" t="s">
        <v>1129</v>
      </c>
      <c r="D199" s="323">
        <v>2390</v>
      </c>
      <c r="E199" s="46"/>
      <c r="F199" s="324">
        <f t="shared" si="7"/>
        <v>2390</v>
      </c>
    </row>
    <row r="200" spans="2:6" ht="17.399999999999999">
      <c r="B200" s="153">
        <v>45463</v>
      </c>
      <c r="C200" s="46" t="s">
        <v>1177</v>
      </c>
      <c r="D200" s="323"/>
      <c r="E200" s="323">
        <v>2390</v>
      </c>
      <c r="F200" s="324">
        <f t="shared" si="7"/>
        <v>0</v>
      </c>
    </row>
    <row r="201" spans="2:6" ht="17.399999999999999">
      <c r="B201" s="153">
        <v>45482</v>
      </c>
      <c r="C201" s="17" t="s">
        <v>1449</v>
      </c>
      <c r="D201" s="323">
        <v>10360</v>
      </c>
      <c r="E201" s="46"/>
      <c r="F201" s="324">
        <f t="shared" si="7"/>
        <v>10360</v>
      </c>
    </row>
    <row r="202" spans="2:6" ht="17.399999999999999">
      <c r="B202" s="153"/>
      <c r="C202" s="17" t="s">
        <v>1575</v>
      </c>
      <c r="D202" s="323"/>
      <c r="E202" s="46">
        <v>10360</v>
      </c>
      <c r="F202" s="324">
        <f t="shared" si="7"/>
        <v>0</v>
      </c>
    </row>
    <row r="203" spans="2:6" ht="17.399999999999999">
      <c r="B203" s="153"/>
      <c r="C203" s="17"/>
      <c r="D203" s="323"/>
      <c r="E203" s="46"/>
      <c r="F203" s="324">
        <f t="shared" si="7"/>
        <v>0</v>
      </c>
    </row>
    <row r="204" spans="2:6" ht="17.399999999999999">
      <c r="B204" s="153"/>
      <c r="C204" s="17"/>
      <c r="D204" s="323"/>
      <c r="E204" s="46"/>
      <c r="F204" s="324">
        <f t="shared" si="7"/>
        <v>0</v>
      </c>
    </row>
    <row r="205" spans="2:6" ht="17.399999999999999">
      <c r="B205" s="153"/>
      <c r="C205" s="17"/>
      <c r="D205" s="323"/>
      <c r="E205" s="46"/>
      <c r="F205" s="324">
        <f t="shared" si="7"/>
        <v>0</v>
      </c>
    </row>
    <row r="206" spans="2:6" ht="17.399999999999999">
      <c r="B206" s="46"/>
      <c r="C206" s="46"/>
      <c r="D206" s="46"/>
      <c r="E206" s="46"/>
      <c r="F206" s="324">
        <f t="shared" si="7"/>
        <v>0</v>
      </c>
    </row>
    <row r="207" spans="2:6" ht="17.399999999999999">
      <c r="B207" s="46"/>
      <c r="C207" s="138" t="s">
        <v>17</v>
      </c>
      <c r="D207" s="323"/>
      <c r="E207" s="46"/>
      <c r="F207" s="327">
        <f t="shared" si="7"/>
        <v>0</v>
      </c>
    </row>
    <row r="208" spans="2:6" ht="15.6">
      <c r="C208" s="59"/>
      <c r="D208" s="60"/>
      <c r="E208" s="60"/>
      <c r="F208" s="180"/>
    </row>
    <row r="209" spans="2:6" ht="16.2" thickBot="1">
      <c r="C209" s="59"/>
      <c r="D209" s="60"/>
      <c r="E209" s="60"/>
      <c r="F209" s="180"/>
    </row>
    <row r="210" spans="2:6" ht="20.399999999999999" thickBot="1">
      <c r="B210" s="86"/>
      <c r="C210" s="87" t="s">
        <v>1105</v>
      </c>
      <c r="D210" s="86"/>
      <c r="E210" s="86"/>
      <c r="F210" s="86"/>
    </row>
    <row r="211" spans="2:6">
      <c r="B211" s="584" t="s">
        <v>236</v>
      </c>
      <c r="C211" s="584" t="s">
        <v>237</v>
      </c>
      <c r="D211" s="584" t="s">
        <v>15</v>
      </c>
      <c r="E211" s="584" t="s">
        <v>16</v>
      </c>
      <c r="F211" s="584" t="s">
        <v>238</v>
      </c>
    </row>
    <row r="212" spans="2:6" ht="15" thickBot="1">
      <c r="B212" s="585"/>
      <c r="C212" s="585"/>
      <c r="D212" s="585"/>
      <c r="E212" s="585"/>
      <c r="F212" s="585"/>
    </row>
    <row r="213" spans="2:6" ht="15" thickBot="1">
      <c r="B213" s="88"/>
      <c r="C213" s="88"/>
      <c r="D213" s="88"/>
      <c r="E213" s="88"/>
      <c r="F213" s="95">
        <v>0</v>
      </c>
    </row>
    <row r="214" spans="2:6" ht="18" thickBot="1">
      <c r="B214" s="98">
        <v>45457</v>
      </c>
      <c r="C214" s="43" t="s">
        <v>1107</v>
      </c>
      <c r="D214" s="88"/>
      <c r="E214" s="90">
        <v>7600</v>
      </c>
      <c r="F214" s="90">
        <f>F213-D214+E214</f>
        <v>7600</v>
      </c>
    </row>
    <row r="215" spans="2:6" ht="18" thickBot="1">
      <c r="B215" s="98">
        <v>45458</v>
      </c>
      <c r="C215" s="88" t="s">
        <v>1123</v>
      </c>
      <c r="D215" s="88">
        <v>6000</v>
      </c>
      <c r="E215" s="88"/>
      <c r="F215" s="90">
        <f t="shared" ref="F215:F218" si="8">F214-D215+E215</f>
        <v>1600</v>
      </c>
    </row>
    <row r="216" spans="2:6" ht="18" thickBot="1">
      <c r="B216" s="98">
        <v>45485</v>
      </c>
      <c r="C216" s="43" t="s">
        <v>1459</v>
      </c>
      <c r="D216" s="88">
        <v>1500</v>
      </c>
      <c r="E216" s="88"/>
      <c r="F216" s="90">
        <f t="shared" si="8"/>
        <v>100</v>
      </c>
    </row>
    <row r="217" spans="2:6" ht="18" thickBot="1">
      <c r="B217" s="165"/>
      <c r="C217" s="88"/>
      <c r="D217" s="92"/>
      <c r="E217" s="88"/>
      <c r="F217" s="90">
        <f t="shared" si="8"/>
        <v>100</v>
      </c>
    </row>
    <row r="218" spans="2:6" ht="18" thickBot="1">
      <c r="B218" s="88"/>
      <c r="C218" s="88"/>
      <c r="D218" s="88"/>
      <c r="E218" s="88"/>
      <c r="F218" s="90">
        <f t="shared" si="8"/>
        <v>100</v>
      </c>
    </row>
    <row r="219" spans="2:6" ht="18" thickBot="1">
      <c r="B219" s="88"/>
      <c r="C219" s="93" t="s">
        <v>17</v>
      </c>
      <c r="D219" s="92"/>
      <c r="E219" s="88"/>
      <c r="F219" s="99">
        <f>F218-D219+E219</f>
        <v>100</v>
      </c>
    </row>
    <row r="220" spans="2:6" ht="16.2" thickBot="1">
      <c r="C220" s="59"/>
      <c r="D220" s="60"/>
      <c r="E220" s="60"/>
      <c r="F220" s="59"/>
    </row>
    <row r="221" spans="2:6" ht="20.399999999999999" thickBot="1">
      <c r="B221" s="86"/>
      <c r="C221" s="87" t="s">
        <v>2233</v>
      </c>
      <c r="D221" s="86"/>
      <c r="E221" s="86"/>
      <c r="F221" s="86"/>
    </row>
    <row r="222" spans="2:6">
      <c r="B222" s="584" t="s">
        <v>236</v>
      </c>
      <c r="C222" s="584" t="s">
        <v>237</v>
      </c>
      <c r="D222" s="584" t="s">
        <v>15</v>
      </c>
      <c r="E222" s="584" t="s">
        <v>16</v>
      </c>
      <c r="F222" s="584" t="s">
        <v>238</v>
      </c>
    </row>
    <row r="223" spans="2:6" ht="15" thickBot="1">
      <c r="B223" s="585"/>
      <c r="C223" s="585"/>
      <c r="D223" s="585"/>
      <c r="E223" s="585"/>
      <c r="F223" s="585"/>
    </row>
    <row r="224" spans="2:6">
      <c r="B224" s="322"/>
      <c r="C224" s="322"/>
      <c r="D224" s="322"/>
      <c r="E224" s="322"/>
      <c r="F224" s="325">
        <v>0</v>
      </c>
    </row>
    <row r="225" spans="2:6" ht="17.399999999999999">
      <c r="B225" s="65">
        <v>45580</v>
      </c>
      <c r="C225" s="43" t="s">
        <v>2237</v>
      </c>
      <c r="D225" s="46"/>
      <c r="E225" s="326">
        <f>6130*2</f>
        <v>12260</v>
      </c>
      <c r="F225" s="326">
        <f>F224-D225+E225</f>
        <v>12260</v>
      </c>
    </row>
    <row r="226" spans="2:6" ht="17.399999999999999">
      <c r="B226" s="65"/>
      <c r="C226" s="46"/>
      <c r="D226" s="46"/>
      <c r="E226" s="46"/>
      <c r="F226" s="326">
        <f t="shared" ref="F226:F229" si="9">F225-D226+E226</f>
        <v>12260</v>
      </c>
    </row>
    <row r="227" spans="2:6" ht="17.399999999999999">
      <c r="B227" s="65"/>
      <c r="C227" s="17"/>
      <c r="D227" s="46"/>
      <c r="E227" s="46"/>
      <c r="F227" s="326">
        <f t="shared" si="9"/>
        <v>12260</v>
      </c>
    </row>
    <row r="228" spans="2:6" ht="17.399999999999999">
      <c r="B228" s="153"/>
      <c r="C228" s="46"/>
      <c r="D228" s="323"/>
      <c r="E228" s="46"/>
      <c r="F228" s="326">
        <f t="shared" si="9"/>
        <v>12260</v>
      </c>
    </row>
    <row r="229" spans="2:6" ht="17.399999999999999">
      <c r="B229" s="46"/>
      <c r="C229" s="46"/>
      <c r="D229" s="46"/>
      <c r="E229" s="46"/>
      <c r="F229" s="326">
        <f t="shared" si="9"/>
        <v>12260</v>
      </c>
    </row>
    <row r="230" spans="2:6" ht="17.399999999999999">
      <c r="B230" s="46"/>
      <c r="C230" s="138" t="s">
        <v>17</v>
      </c>
      <c r="D230" s="323"/>
      <c r="E230" s="46"/>
      <c r="F230" s="327">
        <f>F229-D230+E230</f>
        <v>12260</v>
      </c>
    </row>
    <row r="231" spans="2:6" ht="15.6">
      <c r="C231" s="59"/>
      <c r="D231" s="60"/>
      <c r="E231" s="60"/>
      <c r="F231" s="59"/>
    </row>
    <row r="232" spans="2:6" ht="16.2" thickBot="1">
      <c r="C232" s="59"/>
      <c r="D232" s="60"/>
      <c r="E232" s="60"/>
      <c r="F232" s="59"/>
    </row>
    <row r="233" spans="2:6" ht="20.399999999999999" thickBot="1">
      <c r="B233" s="86"/>
      <c r="C233" s="87" t="s">
        <v>2001</v>
      </c>
      <c r="D233" s="86"/>
      <c r="E233" s="86"/>
      <c r="F233" s="86"/>
    </row>
    <row r="234" spans="2:6">
      <c r="B234" s="584" t="s">
        <v>236</v>
      </c>
      <c r="C234" s="584" t="s">
        <v>237</v>
      </c>
      <c r="D234" s="584" t="s">
        <v>15</v>
      </c>
      <c r="E234" s="584" t="s">
        <v>16</v>
      </c>
      <c r="F234" s="584" t="s">
        <v>238</v>
      </c>
    </row>
    <row r="235" spans="2:6" ht="15" thickBot="1">
      <c r="B235" s="585"/>
      <c r="C235" s="585"/>
      <c r="D235" s="585"/>
      <c r="E235" s="585"/>
      <c r="F235" s="585"/>
    </row>
    <row r="236" spans="2:6">
      <c r="B236" s="322"/>
      <c r="C236" s="322"/>
      <c r="D236" s="322"/>
      <c r="E236" s="322"/>
      <c r="F236" s="325">
        <v>0</v>
      </c>
    </row>
    <row r="237" spans="2:6" ht="17.399999999999999">
      <c r="B237" s="65">
        <v>45540</v>
      </c>
      <c r="C237" s="17" t="s">
        <v>2002</v>
      </c>
      <c r="D237" s="46"/>
      <c r="E237" s="326">
        <f>1170*5</f>
        <v>5850</v>
      </c>
      <c r="F237" s="326">
        <f>F236-D237+E237</f>
        <v>5850</v>
      </c>
    </row>
    <row r="238" spans="2:6" ht="17.399999999999999">
      <c r="B238" s="65">
        <v>45540</v>
      </c>
      <c r="C238" s="46" t="s">
        <v>1432</v>
      </c>
      <c r="D238" s="46">
        <v>2000</v>
      </c>
      <c r="E238" s="46"/>
      <c r="F238" s="326">
        <f t="shared" ref="F238:F243" si="10">F237-D238+E238</f>
        <v>3850</v>
      </c>
    </row>
    <row r="239" spans="2:6" ht="17.399999999999999">
      <c r="B239" s="65">
        <v>45541</v>
      </c>
      <c r="C239" s="17" t="s">
        <v>1432</v>
      </c>
      <c r="D239" s="46">
        <v>3850</v>
      </c>
      <c r="E239" s="46"/>
      <c r="F239" s="326">
        <f t="shared" si="10"/>
        <v>0</v>
      </c>
    </row>
    <row r="240" spans="2:6" ht="17.399999999999999">
      <c r="B240" s="153">
        <v>45586</v>
      </c>
      <c r="C240" s="17" t="s">
        <v>2293</v>
      </c>
      <c r="D240" s="323"/>
      <c r="E240" s="46">
        <v>23400</v>
      </c>
      <c r="F240" s="326">
        <f t="shared" si="10"/>
        <v>23400</v>
      </c>
    </row>
    <row r="241" spans="2:6" ht="17.399999999999999">
      <c r="B241" s="153">
        <v>45586</v>
      </c>
      <c r="C241" s="17" t="s">
        <v>2294</v>
      </c>
      <c r="D241" s="323">
        <v>19500</v>
      </c>
      <c r="E241" s="46"/>
      <c r="F241" s="326">
        <f t="shared" si="10"/>
        <v>3900</v>
      </c>
    </row>
    <row r="242" spans="2:6" ht="17.399999999999999">
      <c r="B242" s="153">
        <v>45587</v>
      </c>
      <c r="C242" s="17" t="s">
        <v>2294</v>
      </c>
      <c r="D242" s="323">
        <v>3900</v>
      </c>
      <c r="E242" s="46"/>
      <c r="F242" s="326">
        <f t="shared" si="10"/>
        <v>0</v>
      </c>
    </row>
    <row r="243" spans="2:6" ht="17.399999999999999">
      <c r="B243" s="46"/>
      <c r="C243" s="46"/>
      <c r="D243" s="46"/>
      <c r="E243" s="46"/>
      <c r="F243" s="326">
        <f t="shared" si="10"/>
        <v>0</v>
      </c>
    </row>
    <row r="244" spans="2:6" ht="17.399999999999999">
      <c r="B244" s="46"/>
      <c r="C244" s="138" t="s">
        <v>17</v>
      </c>
      <c r="D244" s="323"/>
      <c r="E244" s="46"/>
      <c r="F244" s="327">
        <f>F243-D244+E244</f>
        <v>0</v>
      </c>
    </row>
    <row r="245" spans="2:6" ht="17.399999999999999">
      <c r="B245" s="136"/>
      <c r="C245" s="181"/>
      <c r="D245" s="182"/>
      <c r="E245" s="136"/>
      <c r="F245" s="183"/>
    </row>
    <row r="246" spans="2:6" ht="18" thickBot="1">
      <c r="B246" s="136"/>
      <c r="C246" s="181"/>
      <c r="D246" s="182"/>
      <c r="E246" s="136"/>
      <c r="F246" s="183"/>
    </row>
    <row r="247" spans="2:6" ht="20.399999999999999" thickBot="1">
      <c r="B247" s="86"/>
      <c r="C247" s="87" t="s">
        <v>2311</v>
      </c>
      <c r="D247" s="86"/>
      <c r="E247" s="86"/>
      <c r="F247" s="86"/>
    </row>
    <row r="248" spans="2:6">
      <c r="B248" s="584" t="s">
        <v>236</v>
      </c>
      <c r="C248" s="584" t="s">
        <v>237</v>
      </c>
      <c r="D248" s="584" t="s">
        <v>15</v>
      </c>
      <c r="E248" s="584" t="s">
        <v>16</v>
      </c>
      <c r="F248" s="584" t="s">
        <v>238</v>
      </c>
    </row>
    <row r="249" spans="2:6" ht="15" thickBot="1">
      <c r="B249" s="585"/>
      <c r="C249" s="585"/>
      <c r="D249" s="585"/>
      <c r="E249" s="585"/>
      <c r="F249" s="585"/>
    </row>
    <row r="250" spans="2:6">
      <c r="B250" s="322"/>
      <c r="C250" s="322"/>
      <c r="D250" s="322"/>
      <c r="E250" s="322"/>
      <c r="F250" s="325">
        <v>0</v>
      </c>
    </row>
    <row r="251" spans="2:6" ht="17.399999999999999">
      <c r="B251" s="65">
        <v>45587</v>
      </c>
      <c r="C251" s="17" t="s">
        <v>2312</v>
      </c>
      <c r="D251" s="46"/>
      <c r="E251" s="326">
        <v>1875</v>
      </c>
      <c r="F251" s="326">
        <f>F250-D251+E251</f>
        <v>1875</v>
      </c>
    </row>
    <row r="252" spans="2:6" ht="17.399999999999999">
      <c r="B252" s="65"/>
      <c r="C252" s="46"/>
      <c r="D252" s="46"/>
      <c r="E252" s="46"/>
      <c r="F252" s="326">
        <f t="shared" ref="F252:F257" si="11">F251-D252+E252</f>
        <v>1875</v>
      </c>
    </row>
    <row r="253" spans="2:6" ht="17.399999999999999">
      <c r="B253" s="65"/>
      <c r="C253" s="17"/>
      <c r="D253" s="46"/>
      <c r="E253" s="46"/>
      <c r="F253" s="326">
        <f t="shared" si="11"/>
        <v>1875</v>
      </c>
    </row>
    <row r="254" spans="2:6" ht="17.399999999999999">
      <c r="B254" s="153"/>
      <c r="C254" s="17"/>
      <c r="D254" s="323"/>
      <c r="E254" s="46"/>
      <c r="F254" s="326">
        <f t="shared" si="11"/>
        <v>1875</v>
      </c>
    </row>
    <row r="255" spans="2:6" ht="17.399999999999999">
      <c r="B255" s="153"/>
      <c r="C255" s="17"/>
      <c r="D255" s="323"/>
      <c r="E255" s="46"/>
      <c r="F255" s="326">
        <f t="shared" si="11"/>
        <v>1875</v>
      </c>
    </row>
    <row r="256" spans="2:6" ht="17.399999999999999">
      <c r="B256" s="153"/>
      <c r="C256" s="17"/>
      <c r="D256" s="323"/>
      <c r="E256" s="46"/>
      <c r="F256" s="326">
        <f t="shared" si="11"/>
        <v>1875</v>
      </c>
    </row>
    <row r="257" spans="2:6" ht="17.399999999999999">
      <c r="B257" s="46"/>
      <c r="C257" s="46"/>
      <c r="D257" s="46"/>
      <c r="E257" s="46"/>
      <c r="F257" s="326">
        <f t="shared" si="11"/>
        <v>1875</v>
      </c>
    </row>
    <row r="258" spans="2:6" ht="17.399999999999999">
      <c r="B258" s="46"/>
      <c r="C258" s="138" t="s">
        <v>17</v>
      </c>
      <c r="D258" s="323"/>
      <c r="E258" s="46"/>
      <c r="F258" s="327">
        <f>F257-D258+E258</f>
        <v>1875</v>
      </c>
    </row>
    <row r="259" spans="2:6" ht="17.399999999999999">
      <c r="B259" s="136"/>
      <c r="C259" s="181"/>
      <c r="D259" s="182"/>
      <c r="E259" s="136"/>
      <c r="F259" s="183"/>
    </row>
    <row r="260" spans="2:6" ht="18" thickBot="1">
      <c r="B260" s="136"/>
      <c r="C260" s="181"/>
      <c r="D260" s="182"/>
      <c r="E260" s="136"/>
      <c r="F260" s="183"/>
    </row>
    <row r="261" spans="2:6" ht="20.399999999999999" thickBot="1">
      <c r="B261" s="86"/>
      <c r="C261" s="87" t="s">
        <v>625</v>
      </c>
      <c r="D261" s="86"/>
      <c r="E261" s="86"/>
      <c r="F261" s="86"/>
    </row>
    <row r="262" spans="2:6">
      <c r="B262" s="584" t="s">
        <v>236</v>
      </c>
      <c r="C262" s="584" t="s">
        <v>237</v>
      </c>
      <c r="D262" s="584" t="s">
        <v>15</v>
      </c>
      <c r="E262" s="584" t="s">
        <v>16</v>
      </c>
      <c r="F262" s="584" t="s">
        <v>238</v>
      </c>
    </row>
    <row r="263" spans="2:6" ht="15" thickBot="1">
      <c r="B263" s="585"/>
      <c r="C263" s="585"/>
      <c r="D263" s="585"/>
      <c r="E263" s="585"/>
      <c r="F263" s="585"/>
    </row>
    <row r="264" spans="2:6" ht="15" thickBot="1">
      <c r="B264" s="88"/>
      <c r="C264" s="88"/>
      <c r="D264" s="88"/>
      <c r="E264" s="88"/>
      <c r="F264" s="95">
        <v>0</v>
      </c>
    </row>
    <row r="265" spans="2:6" ht="18" thickBot="1">
      <c r="B265" s="98">
        <v>45430</v>
      </c>
      <c r="C265" s="43" t="s">
        <v>626</v>
      </c>
      <c r="D265" s="88">
        <v>9500</v>
      </c>
      <c r="E265" s="90"/>
      <c r="F265" s="90">
        <f>F264-D265+E265</f>
        <v>-9500</v>
      </c>
    </row>
    <row r="266" spans="2:6" ht="18" thickBot="1">
      <c r="B266" s="98">
        <v>45430</v>
      </c>
      <c r="C266" s="88" t="s">
        <v>627</v>
      </c>
      <c r="D266" s="88"/>
      <c r="E266" s="88">
        <v>9500</v>
      </c>
      <c r="F266" s="90">
        <f t="shared" ref="F266:F269" si="12">F265-D266+E266</f>
        <v>0</v>
      </c>
    </row>
    <row r="267" spans="2:6" ht="18" thickBot="1">
      <c r="B267" s="165">
        <v>45444</v>
      </c>
      <c r="C267" s="43" t="s">
        <v>722</v>
      </c>
      <c r="D267" s="88">
        <v>4980</v>
      </c>
      <c r="E267" s="88"/>
      <c r="F267" s="90">
        <f t="shared" si="12"/>
        <v>-4980</v>
      </c>
    </row>
    <row r="268" spans="2:6" ht="18" thickBot="1">
      <c r="B268" s="165">
        <v>45444</v>
      </c>
      <c r="C268" s="88" t="s">
        <v>723</v>
      </c>
      <c r="D268" s="92"/>
      <c r="E268" s="88">
        <v>4980</v>
      </c>
      <c r="F268" s="90">
        <f t="shared" si="12"/>
        <v>0</v>
      </c>
    </row>
    <row r="269" spans="2:6" ht="18" thickBot="1">
      <c r="B269" s="88"/>
      <c r="C269" s="88"/>
      <c r="D269" s="88"/>
      <c r="E269" s="88"/>
      <c r="F269" s="90">
        <f t="shared" si="12"/>
        <v>0</v>
      </c>
    </row>
    <row r="270" spans="2:6" ht="18" thickBot="1">
      <c r="B270" s="88"/>
      <c r="C270" s="93" t="s">
        <v>17</v>
      </c>
      <c r="D270" s="92"/>
      <c r="E270" s="88"/>
      <c r="F270" s="99">
        <f>F269-D270+E270</f>
        <v>0</v>
      </c>
    </row>
    <row r="271" spans="2:6" ht="17.399999999999999">
      <c r="B271" s="136"/>
      <c r="C271" s="181"/>
      <c r="D271" s="182"/>
      <c r="E271" s="136"/>
      <c r="F271" s="183"/>
    </row>
    <row r="272" spans="2:6" ht="18" thickBot="1">
      <c r="B272" s="136"/>
      <c r="C272" s="181"/>
      <c r="D272" s="182"/>
      <c r="E272" s="136"/>
      <c r="F272" s="183"/>
    </row>
    <row r="273" spans="2:6" ht="20.399999999999999" thickBot="1">
      <c r="B273" s="86"/>
      <c r="C273" s="87" t="s">
        <v>679</v>
      </c>
      <c r="D273" s="86"/>
      <c r="E273" s="86"/>
      <c r="F273" s="86"/>
    </row>
    <row r="274" spans="2:6">
      <c r="B274" s="584" t="s">
        <v>236</v>
      </c>
      <c r="C274" s="584" t="s">
        <v>237</v>
      </c>
      <c r="D274" s="584" t="s">
        <v>15</v>
      </c>
      <c r="E274" s="584" t="s">
        <v>16</v>
      </c>
      <c r="F274" s="584" t="s">
        <v>238</v>
      </c>
    </row>
    <row r="275" spans="2:6" ht="15" thickBot="1">
      <c r="B275" s="586"/>
      <c r="C275" s="586"/>
      <c r="D275" s="586"/>
      <c r="E275" s="586"/>
      <c r="F275" s="586"/>
    </row>
    <row r="276" spans="2:6" ht="15" thickBot="1">
      <c r="B276" s="71"/>
      <c r="C276" s="71"/>
      <c r="D276" s="71"/>
      <c r="E276" s="71"/>
      <c r="F276" s="261">
        <v>0</v>
      </c>
    </row>
    <row r="277" spans="2:6" ht="18" thickBot="1">
      <c r="B277" s="262">
        <v>45441</v>
      </c>
      <c r="C277" s="8" t="s">
        <v>682</v>
      </c>
      <c r="D277" s="71"/>
      <c r="E277" s="71">
        <v>1700</v>
      </c>
      <c r="F277" s="263">
        <f>F276-D277+E277</f>
        <v>1700</v>
      </c>
    </row>
    <row r="278" spans="2:6" ht="18" thickBot="1">
      <c r="B278" s="262">
        <v>45441</v>
      </c>
      <c r="C278" s="8" t="s">
        <v>683</v>
      </c>
      <c r="D278" s="264"/>
      <c r="E278" s="264">
        <v>24300</v>
      </c>
      <c r="F278" s="263">
        <f t="shared" ref="F278:F289" si="13">F277-D278+E278</f>
        <v>26000</v>
      </c>
    </row>
    <row r="279" spans="2:6" ht="18" thickBot="1">
      <c r="B279" s="265">
        <v>45441</v>
      </c>
      <c r="C279" s="71" t="s">
        <v>725</v>
      </c>
      <c r="D279" s="71">
        <v>26000</v>
      </c>
      <c r="E279" s="71"/>
      <c r="F279" s="263">
        <f t="shared" si="13"/>
        <v>0</v>
      </c>
    </row>
    <row r="280" spans="2:6" ht="18" thickBot="1">
      <c r="B280" s="265">
        <v>45453</v>
      </c>
      <c r="C280" s="8" t="s">
        <v>894</v>
      </c>
      <c r="D280" s="266"/>
      <c r="E280" s="71">
        <v>3400</v>
      </c>
      <c r="F280" s="263">
        <f t="shared" si="13"/>
        <v>3400</v>
      </c>
    </row>
    <row r="281" spans="2:6" ht="18" thickBot="1">
      <c r="B281" s="265">
        <v>45453</v>
      </c>
      <c r="C281" s="71" t="s">
        <v>725</v>
      </c>
      <c r="D281" s="266">
        <v>3400</v>
      </c>
      <c r="E281" s="71"/>
      <c r="F281" s="263">
        <f t="shared" si="13"/>
        <v>0</v>
      </c>
    </row>
    <row r="282" spans="2:6" ht="18" thickBot="1">
      <c r="B282" s="265">
        <v>45456</v>
      </c>
      <c r="C282" s="8" t="s">
        <v>1095</v>
      </c>
      <c r="D282" s="266"/>
      <c r="E282" s="71">
        <v>21645</v>
      </c>
      <c r="F282" s="263">
        <f t="shared" si="13"/>
        <v>21645</v>
      </c>
    </row>
    <row r="283" spans="2:6" ht="18" thickBot="1">
      <c r="B283" s="265">
        <v>45457</v>
      </c>
      <c r="C283" s="8" t="s">
        <v>1108</v>
      </c>
      <c r="D283" s="266">
        <v>325</v>
      </c>
      <c r="E283" s="71"/>
      <c r="F283" s="263">
        <f t="shared" si="13"/>
        <v>21320</v>
      </c>
    </row>
    <row r="284" spans="2:6" ht="18" thickBot="1">
      <c r="B284" s="265">
        <v>45457</v>
      </c>
      <c r="C284" s="8" t="s">
        <v>1109</v>
      </c>
      <c r="D284" s="266">
        <v>21320</v>
      </c>
      <c r="E284" s="71"/>
      <c r="F284" s="263">
        <f t="shared" si="13"/>
        <v>0</v>
      </c>
    </row>
    <row r="285" spans="2:6" ht="18" thickBot="1">
      <c r="B285" s="265">
        <v>45523</v>
      </c>
      <c r="C285" s="8" t="s">
        <v>1907</v>
      </c>
      <c r="D285" s="266"/>
      <c r="E285" s="71">
        <v>0</v>
      </c>
      <c r="F285" s="263">
        <f t="shared" si="13"/>
        <v>0</v>
      </c>
    </row>
    <row r="286" spans="2:6" ht="18" thickBot="1">
      <c r="B286" s="265">
        <v>45531</v>
      </c>
      <c r="C286" s="8" t="s">
        <v>1959</v>
      </c>
      <c r="D286" s="266">
        <v>30000</v>
      </c>
      <c r="E286" s="71"/>
      <c r="F286" s="263">
        <f t="shared" si="13"/>
        <v>-30000</v>
      </c>
    </row>
    <row r="287" spans="2:6" ht="18" thickBot="1">
      <c r="B287" s="265">
        <v>45598</v>
      </c>
      <c r="C287" s="8" t="s">
        <v>2368</v>
      </c>
      <c r="D287" s="266"/>
      <c r="E287" s="71">
        <v>16000</v>
      </c>
      <c r="F287" s="263">
        <f t="shared" si="13"/>
        <v>-14000</v>
      </c>
    </row>
    <row r="288" spans="2:6" ht="18" thickBot="1">
      <c r="B288" s="265"/>
      <c r="C288" s="8"/>
      <c r="D288" s="266"/>
      <c r="E288" s="71"/>
      <c r="F288" s="263">
        <f t="shared" si="13"/>
        <v>-14000</v>
      </c>
    </row>
    <row r="289" spans="2:6" ht="18" thickBot="1">
      <c r="B289" s="71"/>
      <c r="C289" s="71"/>
      <c r="D289" s="71"/>
      <c r="E289" s="71"/>
      <c r="F289" s="263">
        <f t="shared" si="13"/>
        <v>-14000</v>
      </c>
    </row>
    <row r="290" spans="2:6" ht="18" thickBot="1">
      <c r="B290" s="71"/>
      <c r="C290" s="267" t="s">
        <v>17</v>
      </c>
      <c r="D290" s="266"/>
      <c r="E290" s="71"/>
      <c r="F290" s="268">
        <f>F289-D290+E290</f>
        <v>-14000</v>
      </c>
    </row>
    <row r="291" spans="2:6" ht="17.399999999999999">
      <c r="B291" s="136"/>
      <c r="C291" s="181"/>
      <c r="D291" s="182"/>
      <c r="E291" s="136"/>
      <c r="F291" s="183"/>
    </row>
    <row r="292" spans="2:6" ht="18" thickBot="1">
      <c r="B292" s="136"/>
      <c r="C292" s="181"/>
      <c r="D292" s="182"/>
      <c r="E292" s="136"/>
      <c r="F292" s="183"/>
    </row>
    <row r="293" spans="2:6" ht="20.399999999999999" thickBot="1">
      <c r="B293" s="86"/>
      <c r="C293" s="87" t="s">
        <v>726</v>
      </c>
      <c r="D293" s="86"/>
      <c r="E293" s="86"/>
      <c r="F293" s="86"/>
    </row>
    <row r="294" spans="2:6">
      <c r="B294" s="584" t="s">
        <v>236</v>
      </c>
      <c r="C294" s="584" t="s">
        <v>237</v>
      </c>
      <c r="D294" s="584" t="s">
        <v>15</v>
      </c>
      <c r="E294" s="584" t="s">
        <v>16</v>
      </c>
      <c r="F294" s="584" t="s">
        <v>238</v>
      </c>
    </row>
    <row r="295" spans="2:6" ht="15" thickBot="1">
      <c r="B295" s="585"/>
      <c r="C295" s="585"/>
      <c r="D295" s="585"/>
      <c r="E295" s="585"/>
      <c r="F295" s="585"/>
    </row>
    <row r="296" spans="2:6" ht="15" thickBot="1">
      <c r="B296" s="88"/>
      <c r="C296" s="88"/>
      <c r="D296" s="88"/>
      <c r="E296" s="88"/>
      <c r="F296" s="95">
        <v>0</v>
      </c>
    </row>
    <row r="297" spans="2:6" ht="18" thickBot="1">
      <c r="B297" s="98"/>
      <c r="C297" s="43" t="s">
        <v>727</v>
      </c>
      <c r="D297" s="88">
        <v>54000</v>
      </c>
      <c r="E297" s="88"/>
      <c r="F297" s="90">
        <f>F296-D297+E297</f>
        <v>-54000</v>
      </c>
    </row>
    <row r="298" spans="2:6" ht="18" thickBot="1">
      <c r="B298" s="98">
        <v>45440</v>
      </c>
      <c r="C298" s="43" t="s">
        <v>728</v>
      </c>
      <c r="D298" s="228"/>
      <c r="E298" s="228">
        <v>30000</v>
      </c>
      <c r="F298" s="90">
        <f t="shared" ref="F298:F301" si="14">F297-D298+E298</f>
        <v>-24000</v>
      </c>
    </row>
    <row r="299" spans="2:6" ht="18" thickBot="1">
      <c r="B299" s="165">
        <v>45531</v>
      </c>
      <c r="C299" s="88" t="s">
        <v>1957</v>
      </c>
      <c r="D299" s="88">
        <f>3100*2.7</f>
        <v>8370</v>
      </c>
      <c r="E299" s="88"/>
      <c r="F299" s="90">
        <f t="shared" si="14"/>
        <v>-32370</v>
      </c>
    </row>
    <row r="300" spans="2:6" ht="18" thickBot="1">
      <c r="B300" s="88"/>
      <c r="C300" s="88"/>
      <c r="D300" s="92"/>
      <c r="E300" s="88"/>
      <c r="F300" s="90">
        <f t="shared" si="14"/>
        <v>-32370</v>
      </c>
    </row>
    <row r="301" spans="2:6" ht="18" thickBot="1">
      <c r="B301" s="88"/>
      <c r="C301" s="88"/>
      <c r="D301" s="88"/>
      <c r="E301" s="88"/>
      <c r="F301" s="90">
        <f t="shared" si="14"/>
        <v>-32370</v>
      </c>
    </row>
    <row r="302" spans="2:6" ht="18" thickBot="1">
      <c r="B302" s="88"/>
      <c r="C302" s="93" t="s">
        <v>17</v>
      </c>
      <c r="D302" s="92"/>
      <c r="E302" s="88"/>
      <c r="F302" s="99">
        <f>F301-D302+E302</f>
        <v>-32370</v>
      </c>
    </row>
    <row r="303" spans="2:6" ht="17.399999999999999">
      <c r="B303" s="136"/>
      <c r="C303" s="181"/>
      <c r="D303" s="182"/>
      <c r="E303" s="136"/>
      <c r="F303" s="183"/>
    </row>
    <row r="304" spans="2:6" ht="16.2" thickBot="1">
      <c r="C304" s="59"/>
      <c r="D304" s="60"/>
      <c r="E304" s="60"/>
      <c r="F304" s="59"/>
    </row>
    <row r="305" spans="2:6" ht="20.399999999999999" thickBot="1">
      <c r="B305" s="86"/>
      <c r="C305" s="87" t="s">
        <v>565</v>
      </c>
      <c r="D305" s="86"/>
      <c r="E305" s="86"/>
      <c r="F305" s="86"/>
    </row>
    <row r="306" spans="2:6">
      <c r="B306" s="584" t="s">
        <v>236</v>
      </c>
      <c r="C306" s="584" t="s">
        <v>237</v>
      </c>
      <c r="D306" s="584" t="s">
        <v>15</v>
      </c>
      <c r="E306" s="584" t="s">
        <v>16</v>
      </c>
      <c r="F306" s="584" t="s">
        <v>238</v>
      </c>
    </row>
    <row r="307" spans="2:6" ht="15" thickBot="1">
      <c r="B307" s="585"/>
      <c r="C307" s="585"/>
      <c r="D307" s="585"/>
      <c r="E307" s="585"/>
      <c r="F307" s="585"/>
    </row>
    <row r="308" spans="2:6">
      <c r="B308" s="322"/>
      <c r="C308" s="322"/>
      <c r="D308" s="322"/>
      <c r="E308" s="322"/>
      <c r="F308" s="325">
        <v>0</v>
      </c>
    </row>
    <row r="309" spans="2:6">
      <c r="B309" s="65">
        <v>45427</v>
      </c>
      <c r="C309" s="66" t="s">
        <v>566</v>
      </c>
      <c r="D309" s="66">
        <v>600</v>
      </c>
      <c r="E309" s="64"/>
      <c r="F309" s="64">
        <f>F308+D309-E309</f>
        <v>600</v>
      </c>
    </row>
    <row r="310" spans="2:6">
      <c r="B310" s="65">
        <v>45486</v>
      </c>
      <c r="C310" s="424" t="s">
        <v>1464</v>
      </c>
      <c r="D310" s="66">
        <v>3000</v>
      </c>
      <c r="E310" s="64"/>
      <c r="F310" s="64">
        <f t="shared" ref="F310:F324" si="15">F309+D310-E310</f>
        <v>3600</v>
      </c>
    </row>
    <row r="311" spans="2:6">
      <c r="B311" s="65">
        <v>45495</v>
      </c>
      <c r="C311" s="424" t="s">
        <v>1647</v>
      </c>
      <c r="D311" s="66">
        <v>3000</v>
      </c>
      <c r="E311" s="66"/>
      <c r="F311" s="64">
        <f t="shared" si="15"/>
        <v>6600</v>
      </c>
    </row>
    <row r="312" spans="2:6">
      <c r="B312" s="425">
        <v>45497</v>
      </c>
      <c r="C312" s="424" t="s">
        <v>1607</v>
      </c>
      <c r="D312" s="426">
        <v>5650</v>
      </c>
      <c r="E312" s="66"/>
      <c r="F312" s="64">
        <f t="shared" si="15"/>
        <v>12250</v>
      </c>
    </row>
    <row r="313" spans="2:6">
      <c r="B313" s="425">
        <v>45497</v>
      </c>
      <c r="C313" s="424" t="s">
        <v>1608</v>
      </c>
      <c r="D313" s="426">
        <v>440</v>
      </c>
      <c r="E313" s="66"/>
      <c r="F313" s="64">
        <f t="shared" si="15"/>
        <v>12690</v>
      </c>
    </row>
    <row r="314" spans="2:6">
      <c r="B314" s="425">
        <v>45499</v>
      </c>
      <c r="C314" s="424" t="s">
        <v>1629</v>
      </c>
      <c r="D314" s="426"/>
      <c r="E314" s="66">
        <v>440</v>
      </c>
      <c r="F314" s="64">
        <f t="shared" si="15"/>
        <v>12250</v>
      </c>
    </row>
    <row r="315" spans="2:6">
      <c r="B315" s="425">
        <v>45499</v>
      </c>
      <c r="C315" s="424" t="s">
        <v>1639</v>
      </c>
      <c r="D315" s="426">
        <v>35400</v>
      </c>
      <c r="E315" s="66"/>
      <c r="F315" s="64">
        <f t="shared" si="15"/>
        <v>47650</v>
      </c>
    </row>
    <row r="316" spans="2:6">
      <c r="B316" s="425">
        <v>45499</v>
      </c>
      <c r="C316" s="424" t="s">
        <v>1640</v>
      </c>
      <c r="D316" s="426"/>
      <c r="E316" s="66">
        <v>35400</v>
      </c>
      <c r="F316" s="64">
        <f t="shared" si="15"/>
        <v>12250</v>
      </c>
    </row>
    <row r="317" spans="2:6">
      <c r="B317" s="425">
        <v>45500</v>
      </c>
      <c r="C317" s="424" t="s">
        <v>1646</v>
      </c>
      <c r="D317" s="426">
        <v>1040</v>
      </c>
      <c r="E317" s="66"/>
      <c r="F317" s="64">
        <f t="shared" si="15"/>
        <v>13290</v>
      </c>
    </row>
    <row r="318" spans="2:6">
      <c r="B318" s="425">
        <v>45509</v>
      </c>
      <c r="C318" s="424" t="s">
        <v>1754</v>
      </c>
      <c r="D318" s="426"/>
      <c r="E318" s="66">
        <v>13290</v>
      </c>
      <c r="F318" s="64">
        <f t="shared" si="15"/>
        <v>0</v>
      </c>
    </row>
    <row r="319" spans="2:6">
      <c r="B319" s="425"/>
      <c r="C319" s="424"/>
      <c r="D319" s="426"/>
      <c r="E319" s="66"/>
      <c r="F319" s="64">
        <f t="shared" si="15"/>
        <v>0</v>
      </c>
    </row>
    <row r="320" spans="2:6">
      <c r="B320" s="425">
        <v>45523</v>
      </c>
      <c r="C320" s="424" t="s">
        <v>1909</v>
      </c>
      <c r="D320" s="426">
        <f>72*1140</f>
        <v>82080</v>
      </c>
      <c r="E320" s="66"/>
      <c r="F320" s="64">
        <f t="shared" si="15"/>
        <v>82080</v>
      </c>
    </row>
    <row r="321" spans="2:6">
      <c r="B321" s="425"/>
      <c r="C321" s="424" t="s">
        <v>1916</v>
      </c>
      <c r="D321" s="426"/>
      <c r="E321" s="66">
        <v>82080</v>
      </c>
      <c r="F321" s="64">
        <f t="shared" si="15"/>
        <v>0</v>
      </c>
    </row>
    <row r="322" spans="2:6">
      <c r="B322" s="425"/>
      <c r="C322" s="424"/>
      <c r="D322" s="426"/>
      <c r="E322" s="66"/>
      <c r="F322" s="64">
        <f t="shared" si="15"/>
        <v>0</v>
      </c>
    </row>
    <row r="323" spans="2:6">
      <c r="B323" s="425"/>
      <c r="C323" s="424"/>
      <c r="D323" s="426"/>
      <c r="E323" s="66"/>
      <c r="F323" s="64">
        <f t="shared" si="15"/>
        <v>0</v>
      </c>
    </row>
    <row r="324" spans="2:6">
      <c r="B324" s="66"/>
      <c r="C324" s="66"/>
      <c r="D324" s="66"/>
      <c r="E324" s="66"/>
      <c r="F324" s="64">
        <f t="shared" si="15"/>
        <v>0</v>
      </c>
    </row>
    <row r="325" spans="2:6">
      <c r="B325" s="66"/>
      <c r="C325" s="62" t="s">
        <v>17</v>
      </c>
      <c r="D325" s="426"/>
      <c r="E325" s="66"/>
      <c r="F325" s="269">
        <f>F324-D325+E325</f>
        <v>0</v>
      </c>
    </row>
    <row r="326" spans="2:6">
      <c r="B326" s="135"/>
      <c r="C326" s="569"/>
      <c r="D326" s="570"/>
      <c r="E326" s="135"/>
      <c r="F326" s="571"/>
    </row>
    <row r="327" spans="2:6">
      <c r="B327" s="135"/>
      <c r="C327" s="569"/>
      <c r="D327" s="570"/>
      <c r="E327" s="135"/>
      <c r="F327" s="571"/>
    </row>
    <row r="328" spans="2:6">
      <c r="B328" s="135"/>
      <c r="C328" s="569"/>
      <c r="D328" s="570"/>
      <c r="E328" s="135"/>
      <c r="F328" s="571"/>
    </row>
    <row r="329" spans="2:6">
      <c r="B329" s="135"/>
      <c r="C329" s="569"/>
      <c r="D329" s="570"/>
      <c r="E329" s="135"/>
      <c r="F329" s="571"/>
    </row>
    <row r="330" spans="2:6">
      <c r="B330" s="135"/>
      <c r="C330" s="569"/>
      <c r="D330" s="570"/>
      <c r="E330" s="135"/>
      <c r="F330" s="571"/>
    </row>
    <row r="331" spans="2:6">
      <c r="B331" s="135"/>
      <c r="C331" s="569"/>
      <c r="D331" s="570"/>
      <c r="E331" s="135"/>
      <c r="F331" s="571"/>
    </row>
    <row r="332" spans="2:6">
      <c r="B332" s="135"/>
      <c r="C332" s="569"/>
      <c r="D332" s="570"/>
      <c r="E332" s="135"/>
      <c r="F332" s="571"/>
    </row>
    <row r="333" spans="2:6">
      <c r="B333" s="135"/>
      <c r="C333" s="569"/>
      <c r="D333" s="570"/>
      <c r="E333" s="135"/>
      <c r="F333" s="571"/>
    </row>
    <row r="334" spans="2:6">
      <c r="B334" s="135"/>
      <c r="C334" s="569"/>
      <c r="D334" s="570"/>
      <c r="E334" s="135"/>
      <c r="F334" s="571"/>
    </row>
    <row r="335" spans="2:6">
      <c r="B335" s="135"/>
      <c r="C335" s="569"/>
      <c r="D335" s="570"/>
      <c r="E335" s="135"/>
      <c r="F335" s="571"/>
    </row>
    <row r="336" spans="2:6">
      <c r="B336" s="135"/>
      <c r="C336" s="569"/>
      <c r="D336" s="570"/>
      <c r="E336" s="135"/>
      <c r="F336" s="571"/>
    </row>
    <row r="337" spans="2:6">
      <c r="B337" s="135"/>
      <c r="C337" s="569"/>
      <c r="D337" s="570"/>
      <c r="E337" s="135"/>
      <c r="F337" s="571"/>
    </row>
    <row r="338" spans="2:6">
      <c r="B338" s="135"/>
      <c r="C338" s="569"/>
      <c r="D338" s="570"/>
      <c r="E338" s="135"/>
      <c r="F338" s="571"/>
    </row>
    <row r="339" spans="2:6">
      <c r="B339" s="135"/>
      <c r="C339" s="569"/>
      <c r="D339" s="570"/>
      <c r="E339" s="135"/>
      <c r="F339" s="571"/>
    </row>
    <row r="340" spans="2:6" ht="17.399999999999999">
      <c r="B340" s="136"/>
      <c r="C340" s="181"/>
      <c r="D340" s="182"/>
      <c r="E340" s="136"/>
      <c r="F340" s="183"/>
    </row>
    <row r="341" spans="2:6" ht="18" thickBot="1">
      <c r="B341" s="136"/>
      <c r="C341" s="181"/>
      <c r="D341" s="182"/>
      <c r="E341" s="136"/>
      <c r="F341" s="183"/>
    </row>
    <row r="342" spans="2:6" ht="20.399999999999999" thickBot="1">
      <c r="B342" s="86"/>
      <c r="C342" s="87" t="s">
        <v>1945</v>
      </c>
      <c r="D342" s="86"/>
      <c r="E342" s="86"/>
      <c r="F342" s="86"/>
    </row>
    <row r="343" spans="2:6" ht="14.55" customHeight="1">
      <c r="B343" s="584" t="s">
        <v>236</v>
      </c>
      <c r="C343" s="584" t="s">
        <v>237</v>
      </c>
      <c r="D343" s="584" t="s">
        <v>15</v>
      </c>
      <c r="E343" s="584" t="s">
        <v>16</v>
      </c>
      <c r="F343" s="584" t="s">
        <v>238</v>
      </c>
    </row>
    <row r="344" spans="2:6" ht="15" customHeight="1" thickBot="1">
      <c r="B344" s="585"/>
      <c r="C344" s="585"/>
      <c r="D344" s="585"/>
      <c r="E344" s="585"/>
      <c r="F344" s="585"/>
    </row>
    <row r="345" spans="2:6" ht="15" thickBot="1">
      <c r="B345" s="88"/>
      <c r="C345" s="88"/>
      <c r="D345" s="88"/>
      <c r="E345" s="88"/>
      <c r="F345" s="95">
        <v>0</v>
      </c>
    </row>
    <row r="346" spans="2:6" ht="18" thickBot="1">
      <c r="B346" s="98">
        <v>45531</v>
      </c>
      <c r="C346" s="89" t="s">
        <v>1946</v>
      </c>
      <c r="D346" s="88">
        <v>30650</v>
      </c>
      <c r="E346" s="90"/>
      <c r="F346" s="90">
        <f>F345-D346+E346</f>
        <v>-30650</v>
      </c>
    </row>
    <row r="347" spans="2:6" ht="18" thickBot="1">
      <c r="B347" s="218">
        <v>45535</v>
      </c>
      <c r="C347" s="221" t="s">
        <v>1981</v>
      </c>
      <c r="D347" s="219"/>
      <c r="E347" s="220">
        <v>30650</v>
      </c>
      <c r="F347" s="220">
        <f t="shared" ref="F347:F350" si="16">F346-D347+E347</f>
        <v>0</v>
      </c>
    </row>
    <row r="348" spans="2:6" ht="18" thickBot="1">
      <c r="B348" s="219"/>
      <c r="C348" s="219"/>
      <c r="D348" s="219"/>
      <c r="E348" s="219"/>
      <c r="F348" s="220">
        <f t="shared" si="16"/>
        <v>0</v>
      </c>
    </row>
    <row r="349" spans="2:6" ht="18" thickBot="1">
      <c r="B349" s="219"/>
      <c r="C349" s="219"/>
      <c r="D349" s="219"/>
      <c r="E349" s="219"/>
      <c r="F349" s="220">
        <f t="shared" si="16"/>
        <v>0</v>
      </c>
    </row>
    <row r="350" spans="2:6" ht="18" thickBot="1">
      <c r="B350" s="88"/>
      <c r="C350" s="88"/>
      <c r="D350" s="88"/>
      <c r="E350" s="88"/>
      <c r="F350" s="90">
        <f t="shared" si="16"/>
        <v>0</v>
      </c>
    </row>
    <row r="351" spans="2:6" ht="18" thickBot="1">
      <c r="B351" s="88"/>
      <c r="C351" s="93" t="s">
        <v>17</v>
      </c>
      <c r="D351" s="92"/>
      <c r="E351" s="88"/>
      <c r="F351" s="99">
        <f>F350-D351+E351</f>
        <v>0</v>
      </c>
    </row>
    <row r="352" spans="2:6" ht="15" thickBot="1"/>
    <row r="353" spans="1:6" ht="20.399999999999999" thickBot="1">
      <c r="B353" s="86"/>
      <c r="C353" s="87" t="s">
        <v>290</v>
      </c>
      <c r="D353" s="86"/>
      <c r="E353" s="86"/>
      <c r="F353" s="86"/>
    </row>
    <row r="354" spans="1:6">
      <c r="B354" s="584" t="s">
        <v>236</v>
      </c>
      <c r="C354" s="584" t="s">
        <v>237</v>
      </c>
      <c r="D354" s="584" t="s">
        <v>15</v>
      </c>
      <c r="E354" s="584" t="s">
        <v>16</v>
      </c>
      <c r="F354" s="584" t="s">
        <v>238</v>
      </c>
    </row>
    <row r="355" spans="1:6" ht="15" thickBot="1">
      <c r="B355" s="585"/>
      <c r="C355" s="585"/>
      <c r="D355" s="585"/>
      <c r="E355" s="585"/>
      <c r="F355" s="585"/>
    </row>
    <row r="356" spans="1:6" ht="15" thickBot="1">
      <c r="B356" s="88"/>
      <c r="C356" s="88"/>
      <c r="D356" s="88"/>
      <c r="E356" s="88"/>
      <c r="F356" s="95">
        <v>0</v>
      </c>
    </row>
    <row r="357" spans="1:6" ht="18" thickBot="1">
      <c r="B357" s="98">
        <v>45418</v>
      </c>
      <c r="C357" s="89" t="s">
        <v>291</v>
      </c>
      <c r="D357" s="88"/>
      <c r="E357" s="90">
        <v>4170</v>
      </c>
      <c r="F357" s="90">
        <f>F356-D357+E357</f>
        <v>4170</v>
      </c>
    </row>
    <row r="358" spans="1:6" ht="27" thickBot="1">
      <c r="B358" s="218">
        <v>45435</v>
      </c>
      <c r="C358" s="221" t="s">
        <v>651</v>
      </c>
      <c r="D358" s="219"/>
      <c r="E358" s="220">
        <v>180</v>
      </c>
      <c r="F358" s="220">
        <f t="shared" ref="F358:F361" si="17">F357-D358+E358</f>
        <v>4350</v>
      </c>
    </row>
    <row r="359" spans="1:6" ht="18" thickBot="1">
      <c r="B359" s="219"/>
      <c r="C359" s="219"/>
      <c r="D359" s="219"/>
      <c r="E359" s="219"/>
      <c r="F359" s="220">
        <f t="shared" si="17"/>
        <v>4350</v>
      </c>
    </row>
    <row r="360" spans="1:6" ht="18" thickBot="1">
      <c r="B360" s="219"/>
      <c r="C360" s="219"/>
      <c r="D360" s="219"/>
      <c r="E360" s="219"/>
      <c r="F360" s="220">
        <f t="shared" si="17"/>
        <v>4350</v>
      </c>
    </row>
    <row r="361" spans="1:6" ht="18" thickBot="1">
      <c r="B361" s="88"/>
      <c r="C361" s="88"/>
      <c r="D361" s="88"/>
      <c r="E361" s="88"/>
      <c r="F361" s="90">
        <f t="shared" si="17"/>
        <v>4350</v>
      </c>
    </row>
    <row r="362" spans="1:6" ht="18" thickBot="1">
      <c r="B362" s="88"/>
      <c r="C362" s="93" t="s">
        <v>17</v>
      </c>
      <c r="D362" s="92"/>
      <c r="E362" s="88"/>
      <c r="F362" s="99">
        <f>F361-D362+E362</f>
        <v>4350</v>
      </c>
    </row>
    <row r="363" spans="1:6" ht="17.399999999999999">
      <c r="B363" s="136"/>
      <c r="C363" s="181"/>
      <c r="D363" s="182"/>
      <c r="E363" s="136"/>
      <c r="F363" s="183"/>
    </row>
    <row r="364" spans="1:6">
      <c r="A364" s="590" t="s">
        <v>21</v>
      </c>
      <c r="B364" s="590"/>
      <c r="C364" s="34" t="s">
        <v>2159</v>
      </c>
    </row>
    <row r="365" spans="1:6" ht="15" thickBot="1"/>
    <row r="366" spans="1:6" ht="18.600000000000001" thickBot="1">
      <c r="B366" s="12" t="s">
        <v>13</v>
      </c>
      <c r="C366" s="15" t="s">
        <v>14</v>
      </c>
      <c r="D366" s="13" t="s">
        <v>15</v>
      </c>
      <c r="E366" s="15" t="s">
        <v>16</v>
      </c>
      <c r="F366" s="14" t="s">
        <v>17</v>
      </c>
    </row>
    <row r="368" spans="1:6">
      <c r="B368" s="40">
        <v>45575</v>
      </c>
      <c r="C368" s="17" t="s">
        <v>2160</v>
      </c>
      <c r="D368" s="209">
        <v>11314.38</v>
      </c>
      <c r="E368" s="209"/>
      <c r="F368" s="17">
        <f>F367+D368-E368</f>
        <v>11314.38</v>
      </c>
    </row>
    <row r="369" spans="1:6">
      <c r="B369" s="40"/>
      <c r="C369" s="17"/>
      <c r="D369" s="209"/>
      <c r="E369" s="209"/>
      <c r="F369" s="17">
        <f t="shared" ref="F369:F372" si="18">F368+D369-E369</f>
        <v>11314.38</v>
      </c>
    </row>
    <row r="370" spans="1:6">
      <c r="B370" s="40"/>
      <c r="C370" s="17"/>
      <c r="D370" s="209"/>
      <c r="E370" s="209"/>
      <c r="F370" s="17">
        <f t="shared" si="18"/>
        <v>11314.38</v>
      </c>
    </row>
    <row r="371" spans="1:6">
      <c r="B371" s="40"/>
      <c r="C371" s="17"/>
      <c r="D371" s="209"/>
      <c r="E371" s="209"/>
      <c r="F371" s="17">
        <f t="shared" si="18"/>
        <v>11314.38</v>
      </c>
    </row>
    <row r="372" spans="1:6">
      <c r="B372" s="520"/>
      <c r="C372" s="519" t="s">
        <v>17</v>
      </c>
      <c r="D372" s="120"/>
      <c r="E372" s="120"/>
      <c r="F372" s="519">
        <f t="shared" si="18"/>
        <v>11314.38</v>
      </c>
    </row>
    <row r="373" spans="1:6" ht="17.399999999999999">
      <c r="B373" s="136"/>
      <c r="C373" s="181"/>
      <c r="D373" s="182"/>
      <c r="E373" s="136"/>
      <c r="F373" s="183"/>
    </row>
    <row r="374" spans="1:6" ht="17.399999999999999">
      <c r="B374" s="136"/>
      <c r="C374" s="181"/>
      <c r="D374" s="182"/>
      <c r="E374" s="136"/>
      <c r="F374" s="183"/>
    </row>
    <row r="376" spans="1:6" ht="23.4">
      <c r="C376" s="587" t="s">
        <v>567</v>
      </c>
      <c r="D376" s="587"/>
      <c r="E376" s="587"/>
    </row>
    <row r="377" spans="1:6" ht="23.4">
      <c r="C377" s="518"/>
      <c r="D377" s="518"/>
      <c r="E377" s="518"/>
    </row>
    <row r="378" spans="1:6">
      <c r="A378" s="590" t="s">
        <v>21</v>
      </c>
      <c r="B378" s="590"/>
      <c r="C378" s="34" t="s">
        <v>805</v>
      </c>
    </row>
    <row r="379" spans="1:6" ht="15" thickBot="1"/>
    <row r="380" spans="1:6" ht="18.600000000000001" thickBot="1">
      <c r="B380" s="12" t="s">
        <v>13</v>
      </c>
      <c r="C380" s="15" t="s">
        <v>14</v>
      </c>
      <c r="D380" s="13" t="s">
        <v>15</v>
      </c>
      <c r="E380" s="15" t="s">
        <v>16</v>
      </c>
      <c r="F380" s="14" t="s">
        <v>17</v>
      </c>
    </row>
    <row r="382" spans="1:6">
      <c r="B382" s="40">
        <v>45699</v>
      </c>
      <c r="C382" s="17" t="s">
        <v>2670</v>
      </c>
      <c r="D382" s="209">
        <v>100000</v>
      </c>
      <c r="E382" s="209"/>
      <c r="F382" s="17">
        <f>F381+D382-E382</f>
        <v>100000</v>
      </c>
    </row>
    <row r="383" spans="1:6">
      <c r="B383" s="40"/>
      <c r="C383" s="17"/>
      <c r="D383" s="209"/>
      <c r="E383" s="209"/>
      <c r="F383" s="17">
        <f t="shared" ref="F383:F386" si="19">F382+D383-E383</f>
        <v>100000</v>
      </c>
    </row>
    <row r="384" spans="1:6">
      <c r="B384" s="40"/>
      <c r="C384" s="17"/>
      <c r="D384" s="209"/>
      <c r="E384" s="209"/>
      <c r="F384" s="17">
        <f t="shared" si="19"/>
        <v>100000</v>
      </c>
    </row>
    <row r="385" spans="1:6">
      <c r="B385" s="40"/>
      <c r="C385" s="17"/>
      <c r="D385" s="209"/>
      <c r="E385" s="209"/>
      <c r="F385" s="17">
        <f t="shared" si="19"/>
        <v>100000</v>
      </c>
    </row>
    <row r="386" spans="1:6">
      <c r="B386" s="520"/>
      <c r="C386" s="519" t="s">
        <v>17</v>
      </c>
      <c r="D386" s="120"/>
      <c r="E386" s="120"/>
      <c r="F386" s="519">
        <f t="shared" si="19"/>
        <v>100000</v>
      </c>
    </row>
    <row r="387" spans="1:6" ht="23.4">
      <c r="C387" s="518"/>
      <c r="D387" s="518"/>
      <c r="E387" s="518"/>
    </row>
    <row r="388" spans="1:6" ht="23.4">
      <c r="C388" s="518"/>
      <c r="D388" s="518"/>
      <c r="E388" s="518"/>
    </row>
    <row r="389" spans="1:6" ht="23.4">
      <c r="C389" s="518"/>
      <c r="D389" s="518"/>
      <c r="E389" s="518"/>
    </row>
    <row r="390" spans="1:6">
      <c r="A390" s="590" t="s">
        <v>21</v>
      </c>
      <c r="B390" s="590"/>
      <c r="C390" s="34" t="s">
        <v>2667</v>
      </c>
    </row>
    <row r="391" spans="1:6" ht="15" thickBot="1"/>
    <row r="392" spans="1:6" ht="18.600000000000001" thickBot="1">
      <c r="B392" s="12" t="s">
        <v>13</v>
      </c>
      <c r="C392" s="15" t="s">
        <v>14</v>
      </c>
      <c r="D392" s="13" t="s">
        <v>15</v>
      </c>
      <c r="E392" s="15" t="s">
        <v>16</v>
      </c>
      <c r="F392" s="14" t="s">
        <v>17</v>
      </c>
    </row>
    <row r="394" spans="1:6">
      <c r="B394" s="40">
        <v>45695</v>
      </c>
      <c r="C394" s="17" t="s">
        <v>2668</v>
      </c>
      <c r="D394" s="209">
        <v>45000</v>
      </c>
      <c r="E394" s="209"/>
      <c r="F394" s="17">
        <f>F393+D394-E394</f>
        <v>45000</v>
      </c>
    </row>
    <row r="395" spans="1:6">
      <c r="B395" s="40"/>
      <c r="C395" s="17"/>
      <c r="D395" s="209"/>
      <c r="E395" s="209"/>
      <c r="F395" s="17">
        <f t="shared" ref="F395:F398" si="20">F394+D395-E395</f>
        <v>45000</v>
      </c>
    </row>
    <row r="396" spans="1:6">
      <c r="B396" s="40"/>
      <c r="C396" s="17"/>
      <c r="D396" s="209"/>
      <c r="E396" s="209"/>
      <c r="F396" s="17">
        <f t="shared" si="20"/>
        <v>45000</v>
      </c>
    </row>
    <row r="397" spans="1:6">
      <c r="B397" s="40"/>
      <c r="C397" s="17"/>
      <c r="D397" s="209"/>
      <c r="E397" s="209"/>
      <c r="F397" s="17">
        <f t="shared" si="20"/>
        <v>45000</v>
      </c>
    </row>
    <row r="398" spans="1:6">
      <c r="B398" s="520"/>
      <c r="C398" s="519" t="s">
        <v>17</v>
      </c>
      <c r="D398" s="120"/>
      <c r="E398" s="120"/>
      <c r="F398" s="519">
        <f t="shared" si="20"/>
        <v>45000</v>
      </c>
    </row>
    <row r="399" spans="1:6" ht="23.4">
      <c r="C399" s="518"/>
      <c r="D399" s="518"/>
      <c r="E399" s="518"/>
    </row>
    <row r="400" spans="1:6" ht="23.4">
      <c r="C400" s="518"/>
      <c r="D400" s="518"/>
      <c r="E400" s="518"/>
    </row>
    <row r="401" spans="1:6" ht="23.4">
      <c r="C401" s="518"/>
      <c r="D401" s="518"/>
      <c r="E401" s="518"/>
    </row>
    <row r="402" spans="1:6">
      <c r="A402" s="590" t="s">
        <v>21</v>
      </c>
      <c r="B402" s="590"/>
      <c r="C402" s="34" t="s">
        <v>2142</v>
      </c>
    </row>
    <row r="403" spans="1:6" ht="15" thickBot="1"/>
    <row r="404" spans="1:6" ht="18.600000000000001" thickBot="1">
      <c r="B404" s="12" t="s">
        <v>13</v>
      </c>
      <c r="C404" s="15" t="s">
        <v>14</v>
      </c>
      <c r="D404" s="13" t="s">
        <v>15</v>
      </c>
      <c r="E404" s="15" t="s">
        <v>16</v>
      </c>
      <c r="F404" s="14" t="s">
        <v>17</v>
      </c>
    </row>
    <row r="406" spans="1:6">
      <c r="B406" s="40">
        <v>45563</v>
      </c>
      <c r="C406" s="17" t="s">
        <v>2144</v>
      </c>
      <c r="D406" s="209">
        <v>50000</v>
      </c>
      <c r="E406" s="209"/>
      <c r="F406" s="17">
        <f>F405+D406-E406</f>
        <v>50000</v>
      </c>
    </row>
    <row r="407" spans="1:6">
      <c r="B407" s="40">
        <v>45564</v>
      </c>
      <c r="C407" s="17" t="s">
        <v>2145</v>
      </c>
      <c r="D407" s="209"/>
      <c r="E407" s="209">
        <v>40000</v>
      </c>
      <c r="F407" s="17">
        <f t="shared" ref="F407:F410" si="21">F406+D407-E407</f>
        <v>10000</v>
      </c>
    </row>
    <row r="408" spans="1:6">
      <c r="B408" s="40"/>
      <c r="C408" s="17" t="s">
        <v>1651</v>
      </c>
      <c r="D408" s="209"/>
      <c r="E408" s="209">
        <v>10000</v>
      </c>
      <c r="F408" s="17">
        <f t="shared" si="21"/>
        <v>0</v>
      </c>
    </row>
    <row r="409" spans="1:6">
      <c r="B409" s="40"/>
      <c r="C409" s="17"/>
      <c r="D409" s="209"/>
      <c r="E409" s="209"/>
      <c r="F409" s="17">
        <f t="shared" si="21"/>
        <v>0</v>
      </c>
    </row>
    <row r="410" spans="1:6">
      <c r="B410" s="520"/>
      <c r="C410" s="519" t="s">
        <v>17</v>
      </c>
      <c r="D410" s="120"/>
      <c r="E410" s="120"/>
      <c r="F410" s="519">
        <f t="shared" si="21"/>
        <v>0</v>
      </c>
    </row>
    <row r="411" spans="1:6" ht="13.5" customHeight="1">
      <c r="C411" s="518"/>
      <c r="D411" s="518"/>
      <c r="E411" s="518"/>
    </row>
    <row r="412" spans="1:6" ht="14.55" customHeight="1">
      <c r="C412" s="518"/>
      <c r="D412" s="518"/>
      <c r="E412" s="518"/>
    </row>
    <row r="414" spans="1:6">
      <c r="A414" s="590" t="s">
        <v>21</v>
      </c>
      <c r="B414" s="590"/>
      <c r="C414" s="34" t="s">
        <v>123</v>
      </c>
    </row>
    <row r="415" spans="1:6" ht="15" thickBot="1"/>
    <row r="416" spans="1:6" ht="18.600000000000001" thickBot="1">
      <c r="B416" s="12" t="s">
        <v>13</v>
      </c>
      <c r="C416" s="15" t="s">
        <v>14</v>
      </c>
      <c r="D416" s="13" t="s">
        <v>15</v>
      </c>
      <c r="E416" s="15" t="s">
        <v>16</v>
      </c>
      <c r="F416" s="14" t="s">
        <v>17</v>
      </c>
    </row>
    <row r="418" spans="1:6">
      <c r="B418" s="40">
        <v>45358</v>
      </c>
      <c r="C418" s="17" t="s">
        <v>124</v>
      </c>
      <c r="D418" s="209"/>
      <c r="E418" s="209">
        <v>3780000</v>
      </c>
      <c r="F418" s="17">
        <f>F417+D418-E418</f>
        <v>-3780000</v>
      </c>
    </row>
    <row r="419" spans="1:6">
      <c r="B419" s="40">
        <v>45358</v>
      </c>
      <c r="C419" s="17" t="s">
        <v>125</v>
      </c>
      <c r="D419" s="209">
        <v>3689250</v>
      </c>
      <c r="E419" s="209"/>
      <c r="F419" s="17">
        <f t="shared" ref="F419:F511" si="22">F418+D419-E419</f>
        <v>-90750</v>
      </c>
    </row>
    <row r="420" spans="1:6">
      <c r="B420" s="208"/>
      <c r="C420" s="17" t="s">
        <v>642</v>
      </c>
      <c r="D420" s="209">
        <v>90750</v>
      </c>
      <c r="E420" s="209"/>
      <c r="F420" s="17">
        <f t="shared" si="22"/>
        <v>0</v>
      </c>
    </row>
    <row r="421" spans="1:6">
      <c r="B421" s="259"/>
      <c r="D421" s="260"/>
      <c r="E421" s="260"/>
    </row>
    <row r="422" spans="1:6">
      <c r="B422" s="259"/>
      <c r="D422" s="260"/>
      <c r="E422" s="260"/>
    </row>
    <row r="423" spans="1:6">
      <c r="A423" s="590" t="s">
        <v>21</v>
      </c>
      <c r="B423" s="590"/>
      <c r="C423" s="34" t="s">
        <v>988</v>
      </c>
    </row>
    <row r="424" spans="1:6" ht="15" thickBot="1"/>
    <row r="425" spans="1:6" ht="18.600000000000001" thickBot="1">
      <c r="B425" s="12" t="s">
        <v>13</v>
      </c>
      <c r="C425" s="15" t="s">
        <v>14</v>
      </c>
      <c r="D425" s="13" t="s">
        <v>15</v>
      </c>
      <c r="E425" s="15" t="s">
        <v>16</v>
      </c>
      <c r="F425" s="14" t="s">
        <v>17</v>
      </c>
    </row>
    <row r="427" spans="1:6">
      <c r="B427" s="40">
        <v>45503</v>
      </c>
      <c r="C427" s="17" t="s">
        <v>1682</v>
      </c>
      <c r="D427" s="209">
        <v>8952</v>
      </c>
      <c r="E427" s="209"/>
      <c r="F427" s="17">
        <f>F426+D427-E427</f>
        <v>8952</v>
      </c>
    </row>
    <row r="428" spans="1:6">
      <c r="B428" s="40"/>
      <c r="C428" s="17" t="s">
        <v>1915</v>
      </c>
      <c r="D428" s="209"/>
      <c r="E428" s="209">
        <v>8952</v>
      </c>
      <c r="F428" s="17">
        <f t="shared" ref="F428:F429" si="23">F427+D428-E428</f>
        <v>0</v>
      </c>
    </row>
    <row r="429" spans="1:6">
      <c r="B429" s="208"/>
      <c r="C429" s="17"/>
      <c r="D429" s="209"/>
      <c r="E429" s="209"/>
      <c r="F429" s="17">
        <f t="shared" si="23"/>
        <v>0</v>
      </c>
    </row>
    <row r="430" spans="1:6">
      <c r="B430" s="259"/>
      <c r="D430" s="260"/>
      <c r="E430" s="260"/>
    </row>
    <row r="431" spans="1:6">
      <c r="A431" s="590" t="s">
        <v>21</v>
      </c>
      <c r="B431" s="590"/>
      <c r="C431" s="34" t="s">
        <v>123</v>
      </c>
    </row>
    <row r="432" spans="1:6" ht="15" thickBot="1"/>
    <row r="433" spans="2:6" ht="18.600000000000001" thickBot="1">
      <c r="B433" s="12" t="s">
        <v>13</v>
      </c>
      <c r="C433" s="15" t="s">
        <v>14</v>
      </c>
      <c r="D433" s="13" t="s">
        <v>15</v>
      </c>
      <c r="E433" s="15" t="s">
        <v>16</v>
      </c>
      <c r="F433" s="14" t="s">
        <v>17</v>
      </c>
    </row>
    <row r="434" spans="2:6">
      <c r="B434" s="208"/>
      <c r="C434" s="17"/>
      <c r="D434" s="209"/>
      <c r="E434" s="209"/>
      <c r="F434" s="17">
        <f>F420+D434-E434</f>
        <v>0</v>
      </c>
    </row>
    <row r="435" spans="2:6">
      <c r="B435" s="208">
        <v>45432</v>
      </c>
      <c r="C435" s="17" t="s">
        <v>638</v>
      </c>
      <c r="D435" s="209"/>
      <c r="E435" s="210">
        <v>370000</v>
      </c>
      <c r="F435" s="17">
        <f t="shared" si="22"/>
        <v>-370000</v>
      </c>
    </row>
    <row r="436" spans="2:6" ht="28.8">
      <c r="B436" s="208">
        <v>45432</v>
      </c>
      <c r="C436" s="207" t="s">
        <v>632</v>
      </c>
      <c r="D436" s="209">
        <v>250000</v>
      </c>
      <c r="E436" s="209"/>
      <c r="F436" s="17">
        <f t="shared" si="22"/>
        <v>-120000</v>
      </c>
    </row>
    <row r="437" spans="2:6" ht="28.8">
      <c r="B437" s="208">
        <v>45433</v>
      </c>
      <c r="C437" s="207" t="s">
        <v>632</v>
      </c>
      <c r="D437" s="209">
        <v>120000</v>
      </c>
      <c r="E437" s="209"/>
      <c r="F437" s="17">
        <f t="shared" si="22"/>
        <v>0</v>
      </c>
    </row>
    <row r="438" spans="2:6">
      <c r="B438" s="208"/>
      <c r="C438" s="207"/>
      <c r="D438" s="209"/>
      <c r="E438" s="209"/>
      <c r="F438" s="17">
        <f t="shared" si="22"/>
        <v>0</v>
      </c>
    </row>
    <row r="439" spans="2:6">
      <c r="B439" s="208">
        <v>45441</v>
      </c>
      <c r="C439" s="17" t="s">
        <v>1117</v>
      </c>
      <c r="D439" s="209"/>
      <c r="E439" s="209">
        <v>180000</v>
      </c>
      <c r="F439" s="17">
        <f t="shared" si="22"/>
        <v>-180000</v>
      </c>
    </row>
    <row r="440" spans="2:6">
      <c r="B440" s="208">
        <v>45442</v>
      </c>
      <c r="C440" s="17" t="s">
        <v>698</v>
      </c>
      <c r="D440" s="209"/>
      <c r="E440" s="209">
        <v>185000</v>
      </c>
      <c r="F440" s="17">
        <f t="shared" si="22"/>
        <v>-365000</v>
      </c>
    </row>
    <row r="441" spans="2:6">
      <c r="B441" s="208"/>
      <c r="C441" s="207" t="s">
        <v>869</v>
      </c>
      <c r="D441" s="209">
        <v>365000</v>
      </c>
      <c r="E441" s="209"/>
      <c r="F441" s="17">
        <f t="shared" si="22"/>
        <v>0</v>
      </c>
    </row>
    <row r="442" spans="2:6">
      <c r="B442" s="208"/>
      <c r="C442" s="17" t="s">
        <v>853</v>
      </c>
      <c r="D442" s="209"/>
      <c r="E442" s="209">
        <v>730000</v>
      </c>
      <c r="F442" s="17">
        <f t="shared" si="22"/>
        <v>-730000</v>
      </c>
    </row>
    <row r="443" spans="2:6" ht="28.8">
      <c r="B443" s="208">
        <v>45442</v>
      </c>
      <c r="C443" s="207" t="s">
        <v>699</v>
      </c>
      <c r="D443" s="209">
        <v>100000</v>
      </c>
      <c r="E443" s="209"/>
      <c r="F443" s="17">
        <f t="shared" si="22"/>
        <v>-630000</v>
      </c>
    </row>
    <row r="444" spans="2:6" ht="28.8">
      <c r="B444" s="208">
        <v>45442</v>
      </c>
      <c r="C444" s="207" t="s">
        <v>700</v>
      </c>
      <c r="D444" s="209">
        <v>80000</v>
      </c>
      <c r="E444" s="209"/>
      <c r="F444" s="17">
        <f t="shared" si="22"/>
        <v>-550000</v>
      </c>
    </row>
    <row r="445" spans="2:6" ht="28.8">
      <c r="B445" s="208">
        <v>45444</v>
      </c>
      <c r="C445" s="207" t="s">
        <v>729</v>
      </c>
      <c r="D445" s="209">
        <v>106500</v>
      </c>
      <c r="E445" s="209"/>
      <c r="F445" s="17">
        <f t="shared" si="22"/>
        <v>-443500</v>
      </c>
    </row>
    <row r="446" spans="2:6">
      <c r="B446" s="208">
        <v>45446</v>
      </c>
      <c r="C446" s="207" t="s">
        <v>734</v>
      </c>
      <c r="D446" s="210">
        <v>263500</v>
      </c>
      <c r="E446" s="209"/>
      <c r="F446" s="17">
        <f t="shared" si="22"/>
        <v>-180000</v>
      </c>
    </row>
    <row r="447" spans="2:6">
      <c r="B447" s="208"/>
      <c r="C447" s="207"/>
      <c r="D447" s="210"/>
      <c r="E447" s="209"/>
      <c r="F447" s="17">
        <f t="shared" si="22"/>
        <v>-180000</v>
      </c>
    </row>
    <row r="448" spans="2:6">
      <c r="B448" s="208">
        <v>45450</v>
      </c>
      <c r="C448" s="207" t="s">
        <v>864</v>
      </c>
      <c r="D448" s="320">
        <v>250000</v>
      </c>
      <c r="E448" s="209"/>
      <c r="F448" s="17">
        <f t="shared" si="22"/>
        <v>70000</v>
      </c>
    </row>
    <row r="449" spans="2:6">
      <c r="B449" s="208">
        <v>45450</v>
      </c>
      <c r="C449" s="207" t="s">
        <v>865</v>
      </c>
      <c r="D449" s="320">
        <v>250000</v>
      </c>
      <c r="E449" s="209"/>
      <c r="F449" s="17">
        <f t="shared" si="22"/>
        <v>320000</v>
      </c>
    </row>
    <row r="450" spans="2:6">
      <c r="B450" s="208">
        <v>45451</v>
      </c>
      <c r="C450" s="207" t="s">
        <v>1118</v>
      </c>
      <c r="D450" s="320"/>
      <c r="E450" s="209">
        <v>910000</v>
      </c>
      <c r="F450" s="17">
        <f t="shared" si="22"/>
        <v>-590000</v>
      </c>
    </row>
    <row r="451" spans="2:6">
      <c r="B451" s="208">
        <v>45451</v>
      </c>
      <c r="C451" s="207" t="s">
        <v>871</v>
      </c>
      <c r="D451" s="320">
        <v>380000</v>
      </c>
      <c r="E451" s="209"/>
      <c r="F451" s="17">
        <f t="shared" si="22"/>
        <v>-210000</v>
      </c>
    </row>
    <row r="452" spans="2:6">
      <c r="B452" s="208">
        <v>45454</v>
      </c>
      <c r="C452" s="207" t="s">
        <v>1119</v>
      </c>
      <c r="D452" s="320"/>
      <c r="E452" s="209">
        <v>540000</v>
      </c>
      <c r="F452" s="17">
        <f t="shared" si="22"/>
        <v>-750000</v>
      </c>
    </row>
    <row r="453" spans="2:6">
      <c r="B453" s="208">
        <v>45455</v>
      </c>
      <c r="C453" s="17" t="s">
        <v>999</v>
      </c>
      <c r="D453" s="209">
        <v>30000</v>
      </c>
      <c r="E453" s="209"/>
      <c r="F453" s="17">
        <f t="shared" si="22"/>
        <v>-720000</v>
      </c>
    </row>
    <row r="454" spans="2:6">
      <c r="B454" s="208">
        <v>45455</v>
      </c>
      <c r="C454" s="207" t="s">
        <v>1005</v>
      </c>
      <c r="D454" s="209">
        <v>200000</v>
      </c>
      <c r="E454" s="209"/>
      <c r="F454" s="17">
        <f t="shared" si="22"/>
        <v>-520000</v>
      </c>
    </row>
    <row r="455" spans="2:6">
      <c r="B455" s="208">
        <v>45456</v>
      </c>
      <c r="C455" s="17" t="s">
        <v>999</v>
      </c>
      <c r="D455" s="209">
        <v>340000</v>
      </c>
      <c r="E455" s="209"/>
      <c r="F455" s="17">
        <f t="shared" si="22"/>
        <v>-180000</v>
      </c>
    </row>
    <row r="456" spans="2:6">
      <c r="B456" s="208">
        <v>45457</v>
      </c>
      <c r="C456" s="207" t="s">
        <v>1114</v>
      </c>
      <c r="D456" s="209"/>
      <c r="E456" s="209">
        <v>700000</v>
      </c>
      <c r="F456" s="17">
        <f t="shared" si="22"/>
        <v>-880000</v>
      </c>
    </row>
    <row r="457" spans="2:6">
      <c r="B457" s="208">
        <v>45463</v>
      </c>
      <c r="C457" s="207" t="s">
        <v>1146</v>
      </c>
      <c r="D457" s="209"/>
      <c r="E457" s="209">
        <v>175000</v>
      </c>
      <c r="F457" s="17">
        <f t="shared" si="22"/>
        <v>-1055000</v>
      </c>
    </row>
    <row r="458" spans="2:6">
      <c r="B458" s="208">
        <v>45463</v>
      </c>
      <c r="C458" s="207" t="s">
        <v>1159</v>
      </c>
      <c r="D458" s="209">
        <v>250000</v>
      </c>
      <c r="E458" s="209"/>
      <c r="F458" s="17">
        <f t="shared" si="22"/>
        <v>-805000</v>
      </c>
    </row>
    <row r="459" spans="2:6">
      <c r="B459" s="208">
        <v>45463</v>
      </c>
      <c r="C459" s="207" t="s">
        <v>1160</v>
      </c>
      <c r="D459" s="209">
        <v>250000</v>
      </c>
      <c r="E459" s="209"/>
      <c r="F459" s="17">
        <f t="shared" si="22"/>
        <v>-555000</v>
      </c>
    </row>
    <row r="460" spans="2:6">
      <c r="B460" s="208">
        <v>45464</v>
      </c>
      <c r="C460" s="207" t="s">
        <v>1182</v>
      </c>
      <c r="D460" s="209">
        <v>200000</v>
      </c>
      <c r="E460" s="209"/>
      <c r="F460" s="17">
        <f t="shared" si="22"/>
        <v>-355000</v>
      </c>
    </row>
    <row r="461" spans="2:6">
      <c r="B461" s="208">
        <v>45464</v>
      </c>
      <c r="C461" s="207" t="s">
        <v>1183</v>
      </c>
      <c r="D461" s="209">
        <v>200000</v>
      </c>
      <c r="E461" s="209"/>
      <c r="F461" s="17">
        <f t="shared" si="22"/>
        <v>-155000</v>
      </c>
    </row>
    <row r="462" spans="2:6">
      <c r="B462" s="208">
        <v>45465</v>
      </c>
      <c r="C462" s="207" t="s">
        <v>1184</v>
      </c>
      <c r="D462" s="209">
        <v>152000</v>
      </c>
      <c r="E462" s="209"/>
      <c r="F462" s="17">
        <f t="shared" si="22"/>
        <v>-3000</v>
      </c>
    </row>
    <row r="463" spans="2:6" ht="28.8">
      <c r="B463" s="208">
        <v>45468</v>
      </c>
      <c r="C463" s="207" t="s">
        <v>1218</v>
      </c>
      <c r="D463" s="209">
        <v>150000</v>
      </c>
      <c r="E463" s="209">
        <v>150000</v>
      </c>
      <c r="F463" s="17">
        <f t="shared" si="22"/>
        <v>-3000</v>
      </c>
    </row>
    <row r="464" spans="2:6">
      <c r="B464" s="208">
        <v>45469</v>
      </c>
      <c r="C464" s="207" t="s">
        <v>1219</v>
      </c>
      <c r="D464" s="209"/>
      <c r="E464" s="418">
        <v>350000</v>
      </c>
      <c r="F464" s="17">
        <f t="shared" si="22"/>
        <v>-353000</v>
      </c>
    </row>
    <row r="465" spans="2:6">
      <c r="B465" s="208">
        <v>45470</v>
      </c>
      <c r="C465" s="207" t="s">
        <v>1220</v>
      </c>
      <c r="D465" s="209">
        <v>353000</v>
      </c>
      <c r="E465" s="209"/>
      <c r="F465" s="17">
        <f t="shared" si="22"/>
        <v>0</v>
      </c>
    </row>
    <row r="466" spans="2:6">
      <c r="B466" s="208">
        <v>45474</v>
      </c>
      <c r="C466" s="207" t="s">
        <v>1378</v>
      </c>
      <c r="D466" s="209"/>
      <c r="E466" s="209">
        <v>175000</v>
      </c>
      <c r="F466" s="17">
        <f t="shared" si="22"/>
        <v>-175000</v>
      </c>
    </row>
    <row r="467" spans="2:6">
      <c r="B467" s="208">
        <v>45475</v>
      </c>
      <c r="C467" s="207" t="s">
        <v>999</v>
      </c>
      <c r="D467" s="209">
        <v>383000</v>
      </c>
      <c r="E467" s="209"/>
      <c r="F467" s="17">
        <f t="shared" si="22"/>
        <v>208000</v>
      </c>
    </row>
    <row r="468" spans="2:6">
      <c r="B468" s="208">
        <v>45492</v>
      </c>
      <c r="C468" s="207" t="s">
        <v>1753</v>
      </c>
      <c r="D468" s="209"/>
      <c r="E468" s="209">
        <v>175000</v>
      </c>
      <c r="F468" s="17">
        <f t="shared" si="22"/>
        <v>33000</v>
      </c>
    </row>
    <row r="469" spans="2:6">
      <c r="B469" s="208">
        <v>45496</v>
      </c>
      <c r="C469" s="207" t="s">
        <v>1582</v>
      </c>
      <c r="D469" s="209">
        <v>100000</v>
      </c>
      <c r="E469" s="209"/>
      <c r="F469" s="17">
        <f t="shared" si="22"/>
        <v>133000</v>
      </c>
    </row>
    <row r="470" spans="2:6">
      <c r="B470" s="208">
        <v>45497</v>
      </c>
      <c r="C470" s="207" t="s">
        <v>1584</v>
      </c>
      <c r="D470" s="209">
        <v>100000</v>
      </c>
      <c r="E470" s="209"/>
      <c r="F470" s="17">
        <f t="shared" si="22"/>
        <v>233000</v>
      </c>
    </row>
    <row r="471" spans="2:6">
      <c r="B471" s="208">
        <v>45497</v>
      </c>
      <c r="C471" s="207" t="s">
        <v>1609</v>
      </c>
      <c r="D471" s="209"/>
      <c r="E471" s="209">
        <v>495000</v>
      </c>
      <c r="F471" s="17">
        <f t="shared" si="22"/>
        <v>-262000</v>
      </c>
    </row>
    <row r="472" spans="2:6">
      <c r="B472" s="208">
        <v>45497</v>
      </c>
      <c r="C472" s="207" t="s">
        <v>1610</v>
      </c>
      <c r="D472" s="419">
        <v>350000</v>
      </c>
      <c r="E472" s="209"/>
      <c r="F472" s="17">
        <f t="shared" si="22"/>
        <v>88000</v>
      </c>
    </row>
    <row r="473" spans="2:6">
      <c r="B473" s="208">
        <v>45497</v>
      </c>
      <c r="C473" s="207" t="s">
        <v>1614</v>
      </c>
      <c r="D473" s="209"/>
      <c r="E473" s="209">
        <v>404000</v>
      </c>
      <c r="F473" s="17">
        <f t="shared" si="22"/>
        <v>-316000</v>
      </c>
    </row>
    <row r="474" spans="2:6">
      <c r="B474" s="208">
        <v>45498</v>
      </c>
      <c r="C474" s="207" t="s">
        <v>1615</v>
      </c>
      <c r="D474" s="209">
        <v>100000</v>
      </c>
      <c r="E474" s="209"/>
      <c r="F474" s="17">
        <f t="shared" si="22"/>
        <v>-216000</v>
      </c>
    </row>
    <row r="475" spans="2:6">
      <c r="B475" s="208">
        <v>45500</v>
      </c>
      <c r="C475" s="207" t="s">
        <v>1641</v>
      </c>
      <c r="D475" s="209">
        <v>100000</v>
      </c>
      <c r="E475" s="209"/>
      <c r="F475" s="17">
        <f t="shared" si="22"/>
        <v>-116000</v>
      </c>
    </row>
    <row r="476" spans="2:6">
      <c r="B476" s="208">
        <v>45503</v>
      </c>
      <c r="C476" s="207" t="s">
        <v>1686</v>
      </c>
      <c r="D476" s="209">
        <f>3*175000</f>
        <v>525000</v>
      </c>
      <c r="E476" s="209"/>
      <c r="F476" s="17">
        <f t="shared" si="22"/>
        <v>409000</v>
      </c>
    </row>
    <row r="477" spans="2:6">
      <c r="B477" s="208">
        <v>45503</v>
      </c>
      <c r="C477" s="207" t="s">
        <v>1684</v>
      </c>
      <c r="D477" s="209"/>
      <c r="E477" s="209">
        <v>525000</v>
      </c>
      <c r="F477" s="17">
        <f t="shared" si="22"/>
        <v>-116000</v>
      </c>
    </row>
    <row r="478" spans="2:6">
      <c r="B478" s="208">
        <v>45503</v>
      </c>
      <c r="C478" s="207" t="s">
        <v>1688</v>
      </c>
      <c r="D478" s="209"/>
      <c r="E478" s="209">
        <f>175000*2</f>
        <v>350000</v>
      </c>
      <c r="F478" s="17">
        <f t="shared" si="22"/>
        <v>-466000</v>
      </c>
    </row>
    <row r="479" spans="2:6">
      <c r="B479" s="208">
        <v>45503</v>
      </c>
      <c r="C479" s="207" t="s">
        <v>1693</v>
      </c>
      <c r="D479" s="209"/>
      <c r="E479" s="209">
        <v>577000</v>
      </c>
      <c r="F479" s="17">
        <f t="shared" si="22"/>
        <v>-1043000</v>
      </c>
    </row>
    <row r="480" spans="2:6">
      <c r="B480" s="208">
        <v>45503</v>
      </c>
      <c r="C480" s="207" t="s">
        <v>1694</v>
      </c>
      <c r="D480" s="209">
        <v>250000</v>
      </c>
      <c r="E480" s="209"/>
      <c r="F480" s="17">
        <f t="shared" si="22"/>
        <v>-793000</v>
      </c>
    </row>
    <row r="481" spans="2:7">
      <c r="B481" s="208">
        <v>45510</v>
      </c>
      <c r="C481" s="207" t="s">
        <v>1997</v>
      </c>
      <c r="D481" s="209"/>
      <c r="E481" s="209">
        <v>220000</v>
      </c>
      <c r="F481" s="17">
        <f t="shared" si="22"/>
        <v>-1013000</v>
      </c>
    </row>
    <row r="482" spans="2:7">
      <c r="B482" s="208">
        <v>45511</v>
      </c>
      <c r="C482" s="207" t="s">
        <v>1861</v>
      </c>
      <c r="D482" s="209">
        <v>260000</v>
      </c>
      <c r="E482" s="209"/>
      <c r="F482" s="17">
        <f t="shared" si="22"/>
        <v>-753000</v>
      </c>
    </row>
    <row r="483" spans="2:7">
      <c r="B483" s="208">
        <v>45520</v>
      </c>
      <c r="C483" s="207" t="s">
        <v>1898</v>
      </c>
      <c r="D483" s="209">
        <v>200000</v>
      </c>
      <c r="E483" s="209"/>
      <c r="F483" s="17">
        <f t="shared" si="22"/>
        <v>-553000</v>
      </c>
    </row>
    <row r="484" spans="2:7">
      <c r="B484" s="208">
        <v>45527</v>
      </c>
      <c r="C484" s="207" t="s">
        <v>1923</v>
      </c>
      <c r="D484" s="209">
        <v>100000</v>
      </c>
      <c r="E484" s="209"/>
      <c r="F484" s="17">
        <f t="shared" si="22"/>
        <v>-453000</v>
      </c>
    </row>
    <row r="485" spans="2:7">
      <c r="B485" s="208">
        <v>45527</v>
      </c>
      <c r="C485" s="207" t="s">
        <v>1953</v>
      </c>
      <c r="D485" s="209">
        <v>166000</v>
      </c>
      <c r="E485" s="209">
        <v>-287000</v>
      </c>
      <c r="F485" s="17">
        <f t="shared" si="22"/>
        <v>0</v>
      </c>
      <c r="G485" s="522" t="s">
        <v>2155</v>
      </c>
    </row>
    <row r="486" spans="2:7">
      <c r="B486" s="208"/>
      <c r="C486" s="207"/>
      <c r="D486" s="209"/>
      <c r="E486" s="209"/>
      <c r="F486" s="17">
        <f t="shared" si="22"/>
        <v>0</v>
      </c>
      <c r="G486" s="522"/>
    </row>
    <row r="487" spans="2:7">
      <c r="B487" s="208">
        <v>45568</v>
      </c>
      <c r="C487" s="207" t="s">
        <v>2152</v>
      </c>
      <c r="D487" s="209"/>
      <c r="E487" s="209">
        <f>188000*4</f>
        <v>752000</v>
      </c>
      <c r="F487" s="17">
        <f t="shared" si="22"/>
        <v>-752000</v>
      </c>
    </row>
    <row r="488" spans="2:7">
      <c r="B488" s="208">
        <v>45568</v>
      </c>
      <c r="C488" s="207" t="s">
        <v>2140</v>
      </c>
      <c r="D488" s="209">
        <v>542500</v>
      </c>
      <c r="E488" s="209"/>
      <c r="F488" s="17">
        <f t="shared" si="22"/>
        <v>-209500</v>
      </c>
    </row>
    <row r="489" spans="2:7">
      <c r="B489" s="208">
        <v>45574</v>
      </c>
      <c r="C489" s="207" t="s">
        <v>2140</v>
      </c>
      <c r="D489" s="209">
        <v>193000</v>
      </c>
      <c r="E489" s="209"/>
      <c r="F489" s="17">
        <f>F488+D489-E489</f>
        <v>-16500</v>
      </c>
    </row>
    <row r="490" spans="2:7">
      <c r="B490" s="208">
        <v>45576</v>
      </c>
      <c r="C490" s="207" t="s">
        <v>2172</v>
      </c>
      <c r="D490" s="209"/>
      <c r="E490" s="209">
        <v>450000</v>
      </c>
      <c r="F490" s="17">
        <f t="shared" si="22"/>
        <v>-466500</v>
      </c>
    </row>
    <row r="491" spans="2:7">
      <c r="B491" s="208">
        <v>45576</v>
      </c>
      <c r="C491" s="207" t="s">
        <v>999</v>
      </c>
      <c r="D491" s="209">
        <v>400000</v>
      </c>
      <c r="E491" s="209"/>
      <c r="F491" s="17">
        <f t="shared" si="22"/>
        <v>-66500</v>
      </c>
    </row>
    <row r="492" spans="2:7">
      <c r="B492" s="208">
        <v>45587</v>
      </c>
      <c r="C492" s="207" t="s">
        <v>2301</v>
      </c>
      <c r="D492" s="209"/>
      <c r="E492" s="209">
        <v>280000</v>
      </c>
      <c r="F492" s="17">
        <f t="shared" si="22"/>
        <v>-346500</v>
      </c>
    </row>
    <row r="493" spans="2:7">
      <c r="B493" s="208">
        <v>45587</v>
      </c>
      <c r="C493" s="207" t="s">
        <v>2302</v>
      </c>
      <c r="D493" s="209">
        <v>280000</v>
      </c>
      <c r="E493" s="209"/>
      <c r="F493" s="17">
        <f t="shared" si="22"/>
        <v>-66500</v>
      </c>
    </row>
    <row r="494" spans="2:7">
      <c r="B494" s="208">
        <v>45589</v>
      </c>
      <c r="C494" s="207" t="s">
        <v>2344</v>
      </c>
      <c r="D494" s="209"/>
      <c r="E494" s="209">
        <v>245000</v>
      </c>
      <c r="F494" s="17">
        <f t="shared" si="22"/>
        <v>-311500</v>
      </c>
    </row>
    <row r="495" spans="2:7">
      <c r="B495" s="208">
        <v>45589</v>
      </c>
      <c r="C495" s="207" t="s">
        <v>2345</v>
      </c>
      <c r="D495" s="209"/>
      <c r="E495" s="209">
        <v>190000</v>
      </c>
      <c r="F495" s="17">
        <f t="shared" si="22"/>
        <v>-501500</v>
      </c>
    </row>
    <row r="496" spans="2:7">
      <c r="B496" s="208">
        <v>45591</v>
      </c>
      <c r="C496" s="207" t="s">
        <v>2346</v>
      </c>
      <c r="D496" s="209">
        <v>300000</v>
      </c>
      <c r="E496" s="209"/>
      <c r="F496" s="17">
        <f t="shared" si="22"/>
        <v>-201500</v>
      </c>
    </row>
    <row r="497" spans="2:9">
      <c r="B497" s="208">
        <v>45591</v>
      </c>
      <c r="C497" s="207" t="s">
        <v>2347</v>
      </c>
      <c r="D497" s="209"/>
      <c r="E497" s="209">
        <v>260000</v>
      </c>
      <c r="F497" s="17">
        <f t="shared" si="22"/>
        <v>-461500</v>
      </c>
    </row>
    <row r="498" spans="2:9">
      <c r="B498" s="208">
        <v>45593</v>
      </c>
      <c r="C498" s="207" t="s">
        <v>2351</v>
      </c>
      <c r="D498" s="209"/>
      <c r="E498" s="209">
        <v>725000</v>
      </c>
      <c r="F498" s="17">
        <f t="shared" si="22"/>
        <v>-1186500</v>
      </c>
    </row>
    <row r="499" spans="2:9">
      <c r="B499" s="208">
        <v>45593</v>
      </c>
      <c r="C499" s="207" t="s">
        <v>2352</v>
      </c>
      <c r="D499" s="209">
        <v>500000</v>
      </c>
      <c r="E499" s="209"/>
      <c r="F499" s="17">
        <f t="shared" si="22"/>
        <v>-686500</v>
      </c>
    </row>
    <row r="500" spans="2:9">
      <c r="B500" s="208">
        <v>45595</v>
      </c>
      <c r="C500" s="207" t="s">
        <v>2352</v>
      </c>
      <c r="D500" s="209">
        <v>500000</v>
      </c>
      <c r="E500" s="209"/>
      <c r="F500" s="17">
        <f t="shared" si="22"/>
        <v>-186500</v>
      </c>
    </row>
    <row r="501" spans="2:9">
      <c r="B501" s="208">
        <v>45598</v>
      </c>
      <c r="C501" s="207" t="s">
        <v>2361</v>
      </c>
      <c r="D501" s="209"/>
      <c r="E501" s="209">
        <v>750000</v>
      </c>
      <c r="F501" s="17">
        <f t="shared" si="22"/>
        <v>-936500</v>
      </c>
    </row>
    <row r="502" spans="2:9">
      <c r="B502" s="208">
        <v>45600</v>
      </c>
      <c r="C502" s="207" t="s">
        <v>2359</v>
      </c>
      <c r="D502" s="209">
        <v>800000</v>
      </c>
      <c r="E502" s="209"/>
      <c r="F502" s="575">
        <f t="shared" si="22"/>
        <v>-136500</v>
      </c>
    </row>
    <row r="503" spans="2:9">
      <c r="B503" s="208"/>
      <c r="C503" s="207" t="s">
        <v>2459</v>
      </c>
      <c r="D503" s="209">
        <v>290000</v>
      </c>
      <c r="E503" s="209"/>
      <c r="F503" s="17">
        <f t="shared" si="22"/>
        <v>153500</v>
      </c>
      <c r="H503" s="321" t="s">
        <v>2659</v>
      </c>
      <c r="I503">
        <v>-136500</v>
      </c>
    </row>
    <row r="504" spans="2:9">
      <c r="B504" s="208">
        <v>45631</v>
      </c>
      <c r="C504" s="207" t="s">
        <v>2607</v>
      </c>
      <c r="D504" s="209">
        <f>600*77.8</f>
        <v>46680</v>
      </c>
      <c r="E504" s="209"/>
      <c r="F504" s="17">
        <f t="shared" si="22"/>
        <v>200180</v>
      </c>
      <c r="H504" s="321" t="s">
        <v>2660</v>
      </c>
      <c r="I504">
        <v>290000</v>
      </c>
    </row>
    <row r="505" spans="2:9">
      <c r="B505" s="208"/>
      <c r="C505" s="207" t="s">
        <v>2661</v>
      </c>
      <c r="D505" s="209">
        <v>1700000</v>
      </c>
      <c r="E505" s="209">
        <v>1883538</v>
      </c>
      <c r="F505" s="17">
        <f t="shared" si="22"/>
        <v>16642</v>
      </c>
    </row>
    <row r="506" spans="2:9">
      <c r="B506" s="208"/>
      <c r="C506" s="207" t="s">
        <v>2662</v>
      </c>
      <c r="D506" s="209">
        <v>100000</v>
      </c>
      <c r="E506" s="209"/>
      <c r="F506" s="17">
        <f t="shared" si="22"/>
        <v>116642</v>
      </c>
    </row>
    <row r="507" spans="2:9">
      <c r="B507" s="208"/>
      <c r="C507" s="207"/>
      <c r="D507" s="209"/>
      <c r="E507" s="209"/>
      <c r="F507" s="17">
        <f t="shared" si="22"/>
        <v>116642</v>
      </c>
    </row>
    <row r="508" spans="2:9">
      <c r="B508" s="572">
        <v>45659</v>
      </c>
      <c r="C508" s="421" t="s">
        <v>2671</v>
      </c>
      <c r="D508" s="573">
        <v>150000</v>
      </c>
      <c r="E508" s="209">
        <v>150000</v>
      </c>
      <c r="F508" s="17">
        <f t="shared" si="22"/>
        <v>116642</v>
      </c>
      <c r="I508">
        <f>SUM(I503:I507)</f>
        <v>153500</v>
      </c>
    </row>
    <row r="509" spans="2:9">
      <c r="B509" s="572">
        <v>45659</v>
      </c>
      <c r="C509" s="574" t="s">
        <v>2672</v>
      </c>
      <c r="D509" s="573">
        <v>18000</v>
      </c>
      <c r="E509" s="209">
        <v>18000</v>
      </c>
      <c r="F509" s="17">
        <f t="shared" si="22"/>
        <v>116642</v>
      </c>
    </row>
    <row r="510" spans="2:9">
      <c r="B510" s="209"/>
      <c r="C510" s="17"/>
      <c r="D510" s="209"/>
      <c r="E510" s="209"/>
      <c r="F510" s="17">
        <f t="shared" si="22"/>
        <v>116642</v>
      </c>
    </row>
    <row r="511" spans="2:9" ht="15.6">
      <c r="B511" s="209"/>
      <c r="C511" s="19" t="s">
        <v>20</v>
      </c>
      <c r="D511" s="20"/>
      <c r="E511" s="20"/>
      <c r="F511" s="19">
        <f t="shared" si="22"/>
        <v>116642</v>
      </c>
    </row>
    <row r="514" spans="1:6">
      <c r="A514" s="590" t="s">
        <v>21</v>
      </c>
      <c r="B514" s="590"/>
      <c r="C514" s="34" t="s">
        <v>2566</v>
      </c>
    </row>
    <row r="515" spans="1:6" ht="15" thickBot="1"/>
    <row r="516" spans="1:6" ht="18.600000000000001" thickBot="1">
      <c r="B516" s="12" t="s">
        <v>13</v>
      </c>
      <c r="C516" s="15" t="s">
        <v>14</v>
      </c>
      <c r="D516" s="13" t="s">
        <v>15</v>
      </c>
      <c r="E516" s="15" t="s">
        <v>16</v>
      </c>
      <c r="F516" s="14" t="s">
        <v>17</v>
      </c>
    </row>
    <row r="518" spans="1:6">
      <c r="B518" s="40"/>
      <c r="C518" s="17"/>
      <c r="D518" s="209"/>
      <c r="E518" s="209"/>
      <c r="F518" s="17">
        <f>F517+D518-E518</f>
        <v>0</v>
      </c>
    </row>
    <row r="519" spans="1:6">
      <c r="B519" s="208">
        <v>45665</v>
      </c>
      <c r="C519" s="224" t="s">
        <v>2567</v>
      </c>
      <c r="D519" s="209">
        <v>100000</v>
      </c>
      <c r="E519" s="209"/>
      <c r="F519" s="209">
        <f t="shared" ref="F519:F529" si="24">F518+D519-E519</f>
        <v>100000</v>
      </c>
    </row>
    <row r="520" spans="1:6">
      <c r="B520" s="208"/>
      <c r="C520" s="17"/>
      <c r="D520" s="209"/>
      <c r="E520" s="209"/>
      <c r="F520" s="17">
        <f t="shared" si="24"/>
        <v>100000</v>
      </c>
    </row>
    <row r="521" spans="1:6">
      <c r="B521" s="208"/>
      <c r="C521" s="17"/>
      <c r="D521" s="209"/>
      <c r="E521" s="210"/>
      <c r="F521" s="17">
        <f t="shared" si="24"/>
        <v>100000</v>
      </c>
    </row>
    <row r="522" spans="1:6">
      <c r="B522" s="208"/>
      <c r="C522" s="207"/>
      <c r="D522" s="209"/>
      <c r="E522" s="209"/>
      <c r="F522" s="17">
        <f t="shared" si="24"/>
        <v>100000</v>
      </c>
    </row>
    <row r="523" spans="1:6">
      <c r="B523" s="208"/>
      <c r="C523" s="207"/>
      <c r="D523" s="209"/>
      <c r="E523" s="209"/>
      <c r="F523" s="17">
        <f t="shared" si="24"/>
        <v>100000</v>
      </c>
    </row>
    <row r="524" spans="1:6">
      <c r="B524" s="208"/>
      <c r="C524" s="17"/>
      <c r="D524" s="209"/>
      <c r="E524" s="209"/>
      <c r="F524" s="17">
        <f t="shared" si="24"/>
        <v>100000</v>
      </c>
    </row>
    <row r="525" spans="1:6">
      <c r="B525" s="208"/>
      <c r="C525" s="17"/>
      <c r="D525" s="209"/>
      <c r="E525" s="209"/>
      <c r="F525" s="17">
        <f t="shared" si="24"/>
        <v>100000</v>
      </c>
    </row>
    <row r="526" spans="1:6">
      <c r="B526" s="208"/>
      <c r="C526" s="17"/>
      <c r="D526" s="209"/>
      <c r="E526" s="209"/>
      <c r="F526" s="17">
        <f t="shared" si="24"/>
        <v>100000</v>
      </c>
    </row>
    <row r="527" spans="1:6">
      <c r="B527" s="209"/>
      <c r="C527" s="17"/>
      <c r="D527" s="209"/>
      <c r="E527" s="209"/>
      <c r="F527" s="17">
        <f t="shared" si="24"/>
        <v>100000</v>
      </c>
    </row>
    <row r="528" spans="1:6">
      <c r="B528" s="209"/>
      <c r="C528" s="17"/>
      <c r="D528" s="209"/>
      <c r="E528" s="209"/>
      <c r="F528" s="17">
        <f t="shared" si="24"/>
        <v>100000</v>
      </c>
    </row>
    <row r="529" spans="2:6" ht="15.6">
      <c r="B529" s="209"/>
      <c r="C529" s="19" t="s">
        <v>20</v>
      </c>
      <c r="D529" s="20"/>
      <c r="E529" s="20"/>
      <c r="F529" s="19">
        <f t="shared" si="24"/>
        <v>100000</v>
      </c>
    </row>
    <row r="532" spans="2:6" ht="15" thickBot="1"/>
    <row r="533" spans="2:6" ht="20.399999999999999" thickBot="1">
      <c r="B533" s="86"/>
      <c r="C533" s="87" t="s">
        <v>818</v>
      </c>
      <c r="D533" s="86"/>
      <c r="E533" s="86"/>
      <c r="F533" s="86"/>
    </row>
    <row r="534" spans="2:6">
      <c r="B534" s="584" t="s">
        <v>236</v>
      </c>
      <c r="C534" s="584" t="s">
        <v>237</v>
      </c>
      <c r="D534" s="584" t="s">
        <v>15</v>
      </c>
      <c r="E534" s="584" t="s">
        <v>16</v>
      </c>
      <c r="F534" s="584" t="s">
        <v>238</v>
      </c>
    </row>
    <row r="535" spans="2:6" ht="15" thickBot="1">
      <c r="B535" s="585"/>
      <c r="C535" s="585"/>
      <c r="D535" s="585"/>
      <c r="E535" s="585"/>
      <c r="F535" s="585"/>
    </row>
    <row r="536" spans="2:6" ht="15" thickBot="1">
      <c r="B536" s="88"/>
      <c r="C536" s="88"/>
      <c r="D536" s="88"/>
      <c r="E536" s="88"/>
      <c r="F536" s="95">
        <v>0</v>
      </c>
    </row>
    <row r="537" spans="2:6" ht="30" thickBot="1">
      <c r="B537" s="98">
        <v>45444</v>
      </c>
      <c r="C537" s="89" t="s">
        <v>819</v>
      </c>
      <c r="D537" s="88"/>
      <c r="E537" s="90">
        <v>62550</v>
      </c>
      <c r="F537" s="90">
        <f>F536-D537+E537</f>
        <v>62550</v>
      </c>
    </row>
    <row r="538" spans="2:6" ht="18" thickBot="1">
      <c r="B538" s="218">
        <v>45451</v>
      </c>
      <c r="C538" s="221" t="s">
        <v>934</v>
      </c>
      <c r="D538" s="219">
        <v>50040</v>
      </c>
      <c r="E538" s="220"/>
      <c r="F538" s="220">
        <f t="shared" ref="F538:F541" si="25">F537-D538+E538</f>
        <v>12510</v>
      </c>
    </row>
    <row r="539" spans="2:6" ht="18" thickBot="1">
      <c r="B539" s="218">
        <v>45451</v>
      </c>
      <c r="C539" s="221" t="s">
        <v>935</v>
      </c>
      <c r="D539" s="219">
        <v>12510</v>
      </c>
      <c r="E539" s="219"/>
      <c r="F539" s="220">
        <f t="shared" si="25"/>
        <v>0</v>
      </c>
    </row>
    <row r="540" spans="2:6" ht="18" thickBot="1">
      <c r="B540" s="219"/>
      <c r="C540" s="219"/>
      <c r="D540" s="219"/>
      <c r="E540" s="219"/>
      <c r="F540" s="220">
        <f t="shared" si="25"/>
        <v>0</v>
      </c>
    </row>
    <row r="541" spans="2:6" ht="18" thickBot="1">
      <c r="B541" s="88"/>
      <c r="C541" s="88"/>
      <c r="D541" s="88"/>
      <c r="E541" s="88"/>
      <c r="F541" s="90">
        <f t="shared" si="25"/>
        <v>0</v>
      </c>
    </row>
    <row r="542" spans="2:6" ht="18" thickBot="1">
      <c r="B542" s="88"/>
      <c r="C542" s="93" t="s">
        <v>17</v>
      </c>
      <c r="D542" s="92"/>
      <c r="E542" s="88"/>
      <c r="F542" s="99">
        <f>F541-D542+E542</f>
        <v>0</v>
      </c>
    </row>
    <row r="544" spans="2:6" ht="15" thickBot="1"/>
    <row r="545" spans="2:6" ht="20.399999999999999" thickBot="1">
      <c r="B545" s="86"/>
      <c r="C545" s="87" t="s">
        <v>2364</v>
      </c>
      <c r="D545" s="86"/>
      <c r="E545" s="86"/>
      <c r="F545" s="86"/>
    </row>
    <row r="546" spans="2:6" ht="14.55" customHeight="1">
      <c r="B546" s="584" t="s">
        <v>236</v>
      </c>
      <c r="C546" s="584" t="s">
        <v>237</v>
      </c>
      <c r="D546" s="584" t="s">
        <v>15</v>
      </c>
      <c r="E546" s="584" t="s">
        <v>16</v>
      </c>
      <c r="F546" s="584" t="s">
        <v>238</v>
      </c>
    </row>
    <row r="547" spans="2:6" ht="15" customHeight="1" thickBot="1">
      <c r="B547" s="585"/>
      <c r="C547" s="585"/>
      <c r="D547" s="585"/>
      <c r="E547" s="585"/>
      <c r="F547" s="585"/>
    </row>
    <row r="548" spans="2:6" ht="15" thickBot="1">
      <c r="B548" s="88"/>
      <c r="C548" s="88"/>
      <c r="D548" s="88"/>
      <c r="E548" s="88"/>
      <c r="F548" s="95">
        <v>0</v>
      </c>
    </row>
    <row r="549" spans="2:6" ht="18" thickBot="1">
      <c r="B549" s="98">
        <v>45603</v>
      </c>
      <c r="C549" s="89" t="s">
        <v>2365</v>
      </c>
      <c r="D549" s="88"/>
      <c r="E549" s="90">
        <v>200000</v>
      </c>
      <c r="F549" s="90">
        <f>F548-D549+E549</f>
        <v>200000</v>
      </c>
    </row>
    <row r="550" spans="2:6" ht="27" thickBot="1">
      <c r="B550" s="98" t="s">
        <v>2910</v>
      </c>
      <c r="C550" s="221" t="s">
        <v>2909</v>
      </c>
      <c r="D550" s="219"/>
      <c r="E550" s="220">
        <v>136350</v>
      </c>
      <c r="F550" s="220">
        <f t="shared" ref="F550:F553" si="26">F549-D550+E550</f>
        <v>336350</v>
      </c>
    </row>
    <row r="551" spans="2:6" ht="18" thickBot="1">
      <c r="B551" s="219"/>
      <c r="C551" s="219"/>
      <c r="D551" s="219"/>
      <c r="E551" s="219"/>
      <c r="F551" s="220">
        <f t="shared" si="26"/>
        <v>336350</v>
      </c>
    </row>
    <row r="552" spans="2:6" ht="18" thickBot="1">
      <c r="B552" s="219"/>
      <c r="C552" s="219"/>
      <c r="D552" s="219"/>
      <c r="E552" s="219"/>
      <c r="F552" s="220">
        <f t="shared" si="26"/>
        <v>336350</v>
      </c>
    </row>
    <row r="553" spans="2:6" ht="18" thickBot="1">
      <c r="B553" s="88"/>
      <c r="C553" s="88"/>
      <c r="D553" s="88"/>
      <c r="E553" s="88"/>
      <c r="F553" s="90">
        <f t="shared" si="26"/>
        <v>336350</v>
      </c>
    </row>
    <row r="554" spans="2:6" ht="18" thickBot="1">
      <c r="B554" s="88"/>
      <c r="C554" s="93" t="s">
        <v>17</v>
      </c>
      <c r="D554" s="92"/>
      <c r="E554" s="88"/>
      <c r="F554" s="99">
        <f>F553-D554+E554</f>
        <v>336350</v>
      </c>
    </row>
    <row r="559" spans="2:6" ht="15" thickBot="1"/>
    <row r="560" spans="2:6" ht="20.399999999999999" thickBot="1">
      <c r="B560" s="86"/>
      <c r="C560" s="87" t="s">
        <v>730</v>
      </c>
      <c r="D560" s="86"/>
      <c r="E560" s="86"/>
      <c r="F560" s="86"/>
    </row>
    <row r="561" spans="1:6">
      <c r="B561" s="584" t="s">
        <v>236</v>
      </c>
      <c r="C561" s="584" t="s">
        <v>237</v>
      </c>
      <c r="D561" s="584" t="s">
        <v>15</v>
      </c>
      <c r="E561" s="584" t="s">
        <v>16</v>
      </c>
      <c r="F561" s="584" t="s">
        <v>238</v>
      </c>
    </row>
    <row r="562" spans="1:6" ht="15" thickBot="1">
      <c r="B562" s="585"/>
      <c r="C562" s="585"/>
      <c r="D562" s="585"/>
      <c r="E562" s="585"/>
      <c r="F562" s="585"/>
    </row>
    <row r="563" spans="1:6" ht="15" thickBot="1">
      <c r="B563" s="88"/>
      <c r="C563" s="88"/>
      <c r="D563" s="88"/>
      <c r="E563" s="88"/>
      <c r="F563" s="95">
        <v>0</v>
      </c>
    </row>
    <row r="564" spans="1:6" ht="30" thickBot="1">
      <c r="B564" s="98">
        <v>45444</v>
      </c>
      <c r="C564" s="89" t="s">
        <v>731</v>
      </c>
      <c r="D564" s="88">
        <v>2500</v>
      </c>
      <c r="E564" s="90"/>
      <c r="F564" s="90">
        <f>F563-D564+E564</f>
        <v>-2500</v>
      </c>
    </row>
    <row r="565" spans="1:6" ht="18" thickBot="1">
      <c r="B565" s="218"/>
      <c r="C565" s="221"/>
      <c r="D565" s="219"/>
      <c r="E565" s="220"/>
      <c r="F565" s="220">
        <f t="shared" ref="F565:F568" si="27">F564-D565+E565</f>
        <v>-2500</v>
      </c>
    </row>
    <row r="566" spans="1:6" ht="18" thickBot="1">
      <c r="B566" s="219"/>
      <c r="C566" s="219"/>
      <c r="D566" s="219"/>
      <c r="E566" s="219"/>
      <c r="F566" s="220">
        <f t="shared" si="27"/>
        <v>-2500</v>
      </c>
    </row>
    <row r="567" spans="1:6" ht="18" thickBot="1">
      <c r="B567" s="219"/>
      <c r="C567" s="219"/>
      <c r="D567" s="219"/>
      <c r="E567" s="219"/>
      <c r="F567" s="220">
        <f t="shared" si="27"/>
        <v>-2500</v>
      </c>
    </row>
    <row r="568" spans="1:6" ht="18" thickBot="1">
      <c r="B568" s="88"/>
      <c r="C568" s="88"/>
      <c r="D568" s="88"/>
      <c r="E568" s="88"/>
      <c r="F568" s="90">
        <f t="shared" si="27"/>
        <v>-2500</v>
      </c>
    </row>
    <row r="569" spans="1:6" ht="18" thickBot="1">
      <c r="B569" s="88"/>
      <c r="C569" s="93" t="s">
        <v>17</v>
      </c>
      <c r="D569" s="92"/>
      <c r="E569" s="88"/>
      <c r="F569" s="99">
        <f>F568-D569+E569</f>
        <v>-2500</v>
      </c>
    </row>
    <row r="572" spans="1:6">
      <c r="A572" s="590" t="s">
        <v>21</v>
      </c>
      <c r="B572" s="590"/>
      <c r="C572" s="34" t="s">
        <v>126</v>
      </c>
    </row>
    <row r="573" spans="1:6" ht="15" thickBot="1"/>
    <row r="574" spans="1:6" ht="18.600000000000001" thickBot="1">
      <c r="B574" s="12" t="s">
        <v>13</v>
      </c>
      <c r="C574" s="15" t="s">
        <v>14</v>
      </c>
      <c r="D574" s="13" t="s">
        <v>15</v>
      </c>
      <c r="E574" s="15" t="s">
        <v>16</v>
      </c>
      <c r="F574" s="14" t="s">
        <v>17</v>
      </c>
    </row>
    <row r="576" spans="1:6" ht="28.8">
      <c r="B576" s="61">
        <v>45358</v>
      </c>
      <c r="C576" s="62" t="s">
        <v>127</v>
      </c>
      <c r="D576" s="63"/>
      <c r="E576" s="64">
        <v>3180000</v>
      </c>
      <c r="F576" s="109">
        <f>F575-D576+E576</f>
        <v>3180000</v>
      </c>
    </row>
    <row r="577" spans="2:6">
      <c r="B577" s="65">
        <v>45360</v>
      </c>
      <c r="C577" s="66" t="s">
        <v>128</v>
      </c>
      <c r="D577" s="64">
        <v>76000</v>
      </c>
      <c r="E577" s="63"/>
      <c r="F577" s="109">
        <f t="shared" ref="F577:F639" si="28">F576-D577+E577</f>
        <v>3104000</v>
      </c>
    </row>
    <row r="578" spans="2:6">
      <c r="B578" s="65">
        <v>45360</v>
      </c>
      <c r="C578" s="66" t="s">
        <v>129</v>
      </c>
      <c r="D578" s="64">
        <v>126000</v>
      </c>
      <c r="E578" s="63"/>
      <c r="F578" s="109">
        <f t="shared" si="28"/>
        <v>2978000</v>
      </c>
    </row>
    <row r="579" spans="2:6">
      <c r="B579" s="65">
        <v>45362</v>
      </c>
      <c r="C579" s="66" t="s">
        <v>130</v>
      </c>
      <c r="D579" s="64">
        <v>100000</v>
      </c>
      <c r="E579" s="63"/>
      <c r="F579" s="109">
        <f t="shared" si="28"/>
        <v>2878000</v>
      </c>
    </row>
    <row r="580" spans="2:6">
      <c r="B580" s="65">
        <v>45362</v>
      </c>
      <c r="C580" s="66" t="s">
        <v>131</v>
      </c>
      <c r="D580" s="67">
        <v>50000</v>
      </c>
      <c r="E580" s="63"/>
      <c r="F580" s="109">
        <f t="shared" si="28"/>
        <v>2828000</v>
      </c>
    </row>
    <row r="581" spans="2:6">
      <c r="B581" s="65">
        <v>45363</v>
      </c>
      <c r="C581" s="66" t="s">
        <v>130</v>
      </c>
      <c r="D581" s="64">
        <v>150000</v>
      </c>
      <c r="E581" s="63"/>
      <c r="F581" s="109">
        <f t="shared" si="28"/>
        <v>2678000</v>
      </c>
    </row>
    <row r="582" spans="2:6">
      <c r="B582" s="65">
        <v>45364</v>
      </c>
      <c r="C582" s="66" t="s">
        <v>130</v>
      </c>
      <c r="D582" s="67">
        <v>100000</v>
      </c>
      <c r="E582" s="63"/>
      <c r="F582" s="109">
        <f t="shared" si="28"/>
        <v>2578000</v>
      </c>
    </row>
    <row r="583" spans="2:6">
      <c r="B583" s="65">
        <v>45367</v>
      </c>
      <c r="C583" s="66" t="s">
        <v>130</v>
      </c>
      <c r="D583" s="67">
        <v>100000</v>
      </c>
      <c r="E583" s="63"/>
      <c r="F583" s="109">
        <f t="shared" si="28"/>
        <v>2478000</v>
      </c>
    </row>
    <row r="584" spans="2:6">
      <c r="B584" s="65">
        <v>45366</v>
      </c>
      <c r="C584" s="66" t="s">
        <v>132</v>
      </c>
      <c r="D584" s="67">
        <v>100000</v>
      </c>
      <c r="E584" s="63"/>
      <c r="F584" s="109">
        <f t="shared" si="28"/>
        <v>2378000</v>
      </c>
    </row>
    <row r="585" spans="2:6">
      <c r="B585" s="65">
        <v>45366</v>
      </c>
      <c r="C585" s="66" t="s">
        <v>133</v>
      </c>
      <c r="D585" s="67">
        <v>180000</v>
      </c>
      <c r="E585" s="63"/>
      <c r="F585" s="109">
        <f t="shared" si="28"/>
        <v>2198000</v>
      </c>
    </row>
    <row r="586" spans="2:6">
      <c r="B586" s="65">
        <v>45367</v>
      </c>
      <c r="C586" s="66" t="s">
        <v>134</v>
      </c>
      <c r="D586" s="67">
        <v>48000</v>
      </c>
      <c r="E586" s="63"/>
      <c r="F586" s="109">
        <f t="shared" si="28"/>
        <v>2150000</v>
      </c>
    </row>
    <row r="587" spans="2:6">
      <c r="B587" s="65">
        <v>45369</v>
      </c>
      <c r="C587" s="66" t="s">
        <v>135</v>
      </c>
      <c r="D587" s="67">
        <v>300000</v>
      </c>
      <c r="E587" s="63"/>
      <c r="F587" s="109">
        <f t="shared" si="28"/>
        <v>1850000</v>
      </c>
    </row>
    <row r="588" spans="2:6">
      <c r="B588" s="65">
        <v>45370</v>
      </c>
      <c r="C588" s="66" t="s">
        <v>136</v>
      </c>
      <c r="D588" s="67">
        <v>224000</v>
      </c>
      <c r="E588" s="63"/>
      <c r="F588" s="109">
        <f t="shared" si="28"/>
        <v>1626000</v>
      </c>
    </row>
    <row r="589" spans="2:6">
      <c r="B589" s="65">
        <v>45372</v>
      </c>
      <c r="C589" s="66" t="s">
        <v>137</v>
      </c>
      <c r="D589" s="67">
        <v>250000</v>
      </c>
      <c r="E589" s="63"/>
      <c r="F589" s="109">
        <f t="shared" si="28"/>
        <v>1376000</v>
      </c>
    </row>
    <row r="590" spans="2:6">
      <c r="B590" s="65">
        <v>45376</v>
      </c>
      <c r="C590" s="66" t="s">
        <v>138</v>
      </c>
      <c r="D590" s="67">
        <v>250000</v>
      </c>
      <c r="E590" s="63"/>
      <c r="F590" s="109">
        <f t="shared" si="28"/>
        <v>1126000</v>
      </c>
    </row>
    <row r="591" spans="2:6">
      <c r="B591" s="65">
        <v>45376</v>
      </c>
      <c r="C591" s="66" t="s">
        <v>139</v>
      </c>
      <c r="D591" s="67">
        <v>250000</v>
      </c>
      <c r="E591" s="63"/>
      <c r="F591" s="109">
        <f t="shared" si="28"/>
        <v>876000</v>
      </c>
    </row>
    <row r="592" spans="2:6">
      <c r="B592" s="65">
        <v>45376</v>
      </c>
      <c r="C592" s="66" t="s">
        <v>140</v>
      </c>
      <c r="D592" s="67">
        <v>250000</v>
      </c>
      <c r="E592" s="63"/>
      <c r="F592" s="109">
        <f t="shared" si="28"/>
        <v>626000</v>
      </c>
    </row>
    <row r="593" spans="2:8">
      <c r="B593" s="65">
        <v>45377</v>
      </c>
      <c r="C593" s="66" t="s">
        <v>141</v>
      </c>
      <c r="D593" s="67">
        <v>300000</v>
      </c>
      <c r="E593" s="63"/>
      <c r="F593" s="109">
        <f t="shared" si="28"/>
        <v>326000</v>
      </c>
    </row>
    <row r="594" spans="2:8">
      <c r="B594" s="65">
        <v>45378</v>
      </c>
      <c r="C594" s="66" t="s">
        <v>142</v>
      </c>
      <c r="D594" s="67">
        <v>200000</v>
      </c>
      <c r="E594" s="63"/>
      <c r="F594" s="109">
        <f t="shared" si="28"/>
        <v>126000</v>
      </c>
    </row>
    <row r="595" spans="2:8">
      <c r="B595" s="65">
        <v>45378</v>
      </c>
      <c r="C595" s="66" t="s">
        <v>143</v>
      </c>
      <c r="D595" s="67">
        <v>200000</v>
      </c>
      <c r="E595" s="63"/>
      <c r="F595" s="109">
        <f t="shared" si="28"/>
        <v>-74000</v>
      </c>
    </row>
    <row r="596" spans="2:8">
      <c r="B596" s="65">
        <v>45379</v>
      </c>
      <c r="C596" s="66" t="s">
        <v>144</v>
      </c>
      <c r="D596" s="67">
        <v>60000</v>
      </c>
      <c r="E596" s="63"/>
      <c r="F596" s="109">
        <f t="shared" si="28"/>
        <v>-134000</v>
      </c>
    </row>
    <row r="597" spans="2:8">
      <c r="B597" s="65">
        <v>45379</v>
      </c>
      <c r="C597" s="66" t="s">
        <v>145</v>
      </c>
      <c r="D597" s="67">
        <v>67000</v>
      </c>
      <c r="E597" s="63"/>
      <c r="F597" s="109">
        <f t="shared" si="28"/>
        <v>-201000</v>
      </c>
    </row>
    <row r="598" spans="2:8">
      <c r="B598" s="65">
        <v>45379</v>
      </c>
      <c r="C598" s="66" t="s">
        <v>146</v>
      </c>
      <c r="D598" s="67">
        <v>400000</v>
      </c>
      <c r="E598" s="63"/>
      <c r="F598" s="109">
        <f t="shared" si="28"/>
        <v>-601000</v>
      </c>
    </row>
    <row r="599" spans="2:8">
      <c r="B599" s="65">
        <v>45379</v>
      </c>
      <c r="C599" s="66" t="s">
        <v>147</v>
      </c>
      <c r="D599" s="68"/>
      <c r="E599" s="64">
        <v>601000</v>
      </c>
      <c r="F599" s="109">
        <f t="shared" si="28"/>
        <v>0</v>
      </c>
    </row>
    <row r="600" spans="2:8">
      <c r="B600" s="65">
        <v>45380</v>
      </c>
      <c r="C600" s="66" t="s">
        <v>148</v>
      </c>
      <c r="D600" s="67">
        <v>310000</v>
      </c>
      <c r="E600" s="63"/>
      <c r="F600" s="109">
        <f t="shared" si="28"/>
        <v>-310000</v>
      </c>
    </row>
    <row r="601" spans="2:8">
      <c r="B601" s="65">
        <v>45380</v>
      </c>
      <c r="C601" s="66" t="s">
        <v>147</v>
      </c>
      <c r="D601" s="68"/>
      <c r="E601" s="64">
        <v>310000</v>
      </c>
      <c r="F601" s="109">
        <f t="shared" si="28"/>
        <v>0</v>
      </c>
    </row>
    <row r="602" spans="2:8">
      <c r="B602" s="65">
        <v>45380</v>
      </c>
      <c r="C602" s="66" t="s">
        <v>149</v>
      </c>
      <c r="D602" s="67">
        <v>500000</v>
      </c>
      <c r="E602" s="63"/>
      <c r="F602" s="109">
        <f t="shared" si="28"/>
        <v>-500000</v>
      </c>
    </row>
    <row r="603" spans="2:8">
      <c r="B603" s="65">
        <v>45380</v>
      </c>
      <c r="C603" s="66" t="s">
        <v>150</v>
      </c>
      <c r="D603" s="67">
        <v>10000</v>
      </c>
      <c r="E603" s="63"/>
      <c r="F603" s="109">
        <f t="shared" si="28"/>
        <v>-510000</v>
      </c>
    </row>
    <row r="604" spans="2:8">
      <c r="B604" s="65">
        <v>45380</v>
      </c>
      <c r="C604" s="66" t="s">
        <v>147</v>
      </c>
      <c r="D604" s="68"/>
      <c r="E604" s="64">
        <v>126725</v>
      </c>
      <c r="F604" s="109">
        <f t="shared" si="28"/>
        <v>-383275</v>
      </c>
    </row>
    <row r="605" spans="2:8">
      <c r="B605" s="69">
        <v>45380</v>
      </c>
      <c r="C605" s="70" t="s">
        <v>151</v>
      </c>
      <c r="D605" s="68"/>
      <c r="E605" s="64">
        <v>8262000</v>
      </c>
      <c r="F605" s="109">
        <f t="shared" si="28"/>
        <v>7878725</v>
      </c>
      <c r="H605" s="321">
        <f>81*4000</f>
        <v>324000</v>
      </c>
    </row>
    <row r="606" spans="2:8">
      <c r="B606" s="69">
        <v>45380</v>
      </c>
      <c r="C606" s="70" t="s">
        <v>152</v>
      </c>
      <c r="D606" s="68"/>
      <c r="E606" s="64">
        <v>92000</v>
      </c>
      <c r="F606" s="109">
        <f t="shared" si="28"/>
        <v>7970725</v>
      </c>
      <c r="H606" s="321">
        <f>1*2000</f>
        <v>2000</v>
      </c>
    </row>
    <row r="607" spans="2:8">
      <c r="B607" s="69">
        <v>45380</v>
      </c>
      <c r="C607" s="70" t="s">
        <v>153</v>
      </c>
      <c r="D607" s="68"/>
      <c r="E607" s="64">
        <v>160000</v>
      </c>
      <c r="F607" s="109">
        <f t="shared" si="28"/>
        <v>8130725</v>
      </c>
      <c r="H607" s="321">
        <f>1*5000</f>
        <v>5000</v>
      </c>
    </row>
    <row r="608" spans="2:8">
      <c r="B608" s="65">
        <v>45384</v>
      </c>
      <c r="C608" s="66" t="s">
        <v>130</v>
      </c>
      <c r="D608" s="67">
        <v>50000</v>
      </c>
      <c r="E608" s="63"/>
      <c r="F608" s="109">
        <f t="shared" si="28"/>
        <v>8080725</v>
      </c>
    </row>
    <row r="609" spans="2:6">
      <c r="B609" s="65">
        <v>45385</v>
      </c>
      <c r="C609" s="66" t="s">
        <v>154</v>
      </c>
      <c r="D609" s="67">
        <v>200000</v>
      </c>
      <c r="E609" s="63"/>
      <c r="F609" s="109">
        <f t="shared" si="28"/>
        <v>7880725</v>
      </c>
    </row>
    <row r="610" spans="2:6">
      <c r="B610" s="65">
        <v>45385</v>
      </c>
      <c r="C610" s="66" t="s">
        <v>155</v>
      </c>
      <c r="D610" s="67">
        <v>150000</v>
      </c>
      <c r="E610" s="63"/>
      <c r="F610" s="109">
        <f t="shared" si="28"/>
        <v>7730725</v>
      </c>
    </row>
    <row r="611" spans="2:6">
      <c r="B611" s="65">
        <v>45385</v>
      </c>
      <c r="C611" s="66" t="s">
        <v>156</v>
      </c>
      <c r="D611" s="67">
        <v>150000</v>
      </c>
      <c r="E611" s="63"/>
      <c r="F611" s="109">
        <f t="shared" si="28"/>
        <v>7580725</v>
      </c>
    </row>
    <row r="612" spans="2:6">
      <c r="B612" s="65">
        <v>45385</v>
      </c>
      <c r="C612" s="66" t="s">
        <v>157</v>
      </c>
      <c r="D612" s="67">
        <v>200000</v>
      </c>
      <c r="E612" s="63"/>
      <c r="F612" s="109">
        <f t="shared" si="28"/>
        <v>7380725</v>
      </c>
    </row>
    <row r="613" spans="2:6">
      <c r="B613" s="65">
        <v>45386</v>
      </c>
      <c r="C613" s="66" t="s">
        <v>130</v>
      </c>
      <c r="D613" s="67">
        <v>50000</v>
      </c>
      <c r="E613" s="63"/>
      <c r="F613" s="109">
        <f t="shared" si="28"/>
        <v>7330725</v>
      </c>
    </row>
    <row r="614" spans="2:6">
      <c r="B614" s="65">
        <v>45388</v>
      </c>
      <c r="C614" s="66" t="s">
        <v>158</v>
      </c>
      <c r="D614" s="67">
        <v>200000</v>
      </c>
      <c r="E614" s="63"/>
      <c r="F614" s="109">
        <f t="shared" si="28"/>
        <v>7130725</v>
      </c>
    </row>
    <row r="615" spans="2:6">
      <c r="B615" s="65">
        <v>45390</v>
      </c>
      <c r="C615" s="66" t="s">
        <v>159</v>
      </c>
      <c r="D615" s="67">
        <v>250000</v>
      </c>
      <c r="E615" s="63"/>
      <c r="F615" s="109">
        <f t="shared" si="28"/>
        <v>6880725</v>
      </c>
    </row>
    <row r="616" spans="2:6">
      <c r="B616" s="65">
        <v>45390</v>
      </c>
      <c r="C616" s="66" t="s">
        <v>160</v>
      </c>
      <c r="D616" s="67">
        <v>28000</v>
      </c>
      <c r="E616" s="63"/>
      <c r="F616" s="109">
        <f t="shared" si="28"/>
        <v>6852725</v>
      </c>
    </row>
    <row r="617" spans="2:6">
      <c r="B617" s="65">
        <v>45390</v>
      </c>
      <c r="C617" s="66" t="s">
        <v>161</v>
      </c>
      <c r="D617" s="67">
        <v>97774</v>
      </c>
      <c r="E617" s="63"/>
      <c r="F617" s="109">
        <f t="shared" si="28"/>
        <v>6754951</v>
      </c>
    </row>
    <row r="618" spans="2:6">
      <c r="B618" s="65">
        <v>45390</v>
      </c>
      <c r="C618" s="66" t="s">
        <v>162</v>
      </c>
      <c r="D618" s="67">
        <v>164448</v>
      </c>
      <c r="E618" s="63"/>
      <c r="F618" s="109">
        <f t="shared" si="28"/>
        <v>6590503</v>
      </c>
    </row>
    <row r="619" spans="2:6">
      <c r="B619" s="65">
        <v>45390</v>
      </c>
      <c r="C619" s="66" t="s">
        <v>163</v>
      </c>
      <c r="D619" s="67">
        <v>150000</v>
      </c>
      <c r="E619" s="63"/>
      <c r="F619" s="109">
        <f t="shared" si="28"/>
        <v>6440503</v>
      </c>
    </row>
    <row r="620" spans="2:6">
      <c r="B620" s="65">
        <v>45390</v>
      </c>
      <c r="C620" s="66" t="s">
        <v>164</v>
      </c>
      <c r="D620" s="67">
        <v>50000</v>
      </c>
      <c r="E620" s="63"/>
      <c r="F620" s="109">
        <f t="shared" si="28"/>
        <v>6390503</v>
      </c>
    </row>
    <row r="621" spans="2:6">
      <c r="B621" s="65">
        <v>45391</v>
      </c>
      <c r="C621" s="66" t="s">
        <v>165</v>
      </c>
      <c r="D621" s="67">
        <v>100000</v>
      </c>
      <c r="E621" s="63"/>
      <c r="F621" s="109">
        <f t="shared" si="28"/>
        <v>6290503</v>
      </c>
    </row>
    <row r="622" spans="2:6">
      <c r="B622" s="65">
        <v>45391</v>
      </c>
      <c r="C622" s="66" t="s">
        <v>166</v>
      </c>
      <c r="D622" s="67">
        <v>250000</v>
      </c>
      <c r="E622" s="63"/>
      <c r="F622" s="109">
        <f t="shared" si="28"/>
        <v>6040503</v>
      </c>
    </row>
    <row r="623" spans="2:6">
      <c r="B623" s="65">
        <v>45391</v>
      </c>
      <c r="C623" s="66" t="s">
        <v>167</v>
      </c>
      <c r="D623" s="67">
        <v>150000</v>
      </c>
      <c r="E623" s="63"/>
      <c r="F623" s="109">
        <f t="shared" si="28"/>
        <v>5890503</v>
      </c>
    </row>
    <row r="624" spans="2:6">
      <c r="B624" s="65">
        <v>45392</v>
      </c>
      <c r="C624" s="66" t="s">
        <v>168</v>
      </c>
      <c r="D624" s="67">
        <v>75000</v>
      </c>
      <c r="E624" s="63"/>
      <c r="F624" s="109">
        <f t="shared" si="28"/>
        <v>5815503</v>
      </c>
    </row>
    <row r="625" spans="2:6">
      <c r="B625" s="65">
        <v>45397</v>
      </c>
      <c r="C625" s="66" t="s">
        <v>169</v>
      </c>
      <c r="D625" s="67">
        <v>250000</v>
      </c>
      <c r="E625" s="63"/>
      <c r="F625" s="109">
        <f t="shared" si="28"/>
        <v>5565503</v>
      </c>
    </row>
    <row r="626" spans="2:6">
      <c r="B626" s="65">
        <v>45397</v>
      </c>
      <c r="C626" s="66" t="s">
        <v>170</v>
      </c>
      <c r="D626" s="67">
        <v>250000</v>
      </c>
      <c r="E626" s="63"/>
      <c r="F626" s="109">
        <f t="shared" si="28"/>
        <v>5315503</v>
      </c>
    </row>
    <row r="627" spans="2:6">
      <c r="B627" s="65">
        <v>45398</v>
      </c>
      <c r="C627" s="70" t="s">
        <v>296</v>
      </c>
      <c r="D627" s="68"/>
      <c r="E627" s="64">
        <f>3*198000</f>
        <v>594000</v>
      </c>
      <c r="F627" s="109">
        <f t="shared" si="28"/>
        <v>5909503</v>
      </c>
    </row>
    <row r="628" spans="2:6">
      <c r="B628" s="65">
        <v>45398</v>
      </c>
      <c r="C628" s="70" t="s">
        <v>171</v>
      </c>
      <c r="D628" s="68"/>
      <c r="E628" s="64">
        <v>206000</v>
      </c>
      <c r="F628" s="109">
        <f t="shared" si="28"/>
        <v>6115503</v>
      </c>
    </row>
    <row r="629" spans="2:6">
      <c r="B629" s="65">
        <v>45399</v>
      </c>
      <c r="C629" s="66" t="s">
        <v>172</v>
      </c>
      <c r="D629" s="67">
        <v>250000</v>
      </c>
      <c r="E629" s="63"/>
      <c r="F629" s="109">
        <f t="shared" si="28"/>
        <v>5865503</v>
      </c>
    </row>
    <row r="630" spans="2:6">
      <c r="B630" s="65">
        <v>45399</v>
      </c>
      <c r="C630" s="66" t="s">
        <v>173</v>
      </c>
      <c r="D630" s="67">
        <v>250000</v>
      </c>
      <c r="E630" s="63"/>
      <c r="F630" s="109">
        <f t="shared" si="28"/>
        <v>5615503</v>
      </c>
    </row>
    <row r="631" spans="2:6">
      <c r="B631" s="65">
        <v>45401</v>
      </c>
      <c r="C631" s="66" t="s">
        <v>174</v>
      </c>
      <c r="D631" s="67">
        <v>250000</v>
      </c>
      <c r="E631" s="63"/>
      <c r="F631" s="109">
        <f t="shared" si="28"/>
        <v>5365503</v>
      </c>
    </row>
    <row r="632" spans="2:6">
      <c r="B632" s="65">
        <v>45401</v>
      </c>
      <c r="C632" s="66" t="s">
        <v>175</v>
      </c>
      <c r="D632" s="67">
        <v>250000</v>
      </c>
      <c r="E632" s="63"/>
      <c r="F632" s="109">
        <f t="shared" si="28"/>
        <v>5115503</v>
      </c>
    </row>
    <row r="633" spans="2:6">
      <c r="B633" s="65">
        <v>45406</v>
      </c>
      <c r="C633" s="66" t="s">
        <v>176</v>
      </c>
      <c r="D633" s="67">
        <v>250000</v>
      </c>
      <c r="E633" s="63"/>
      <c r="F633" s="109">
        <f t="shared" si="28"/>
        <v>4865503</v>
      </c>
    </row>
    <row r="634" spans="2:6">
      <c r="B634" s="65">
        <v>45406</v>
      </c>
      <c r="C634" s="66" t="s">
        <v>177</v>
      </c>
      <c r="D634" s="67">
        <v>250000</v>
      </c>
      <c r="E634" s="63"/>
      <c r="F634" s="109">
        <f t="shared" si="28"/>
        <v>4615503</v>
      </c>
    </row>
    <row r="635" spans="2:6">
      <c r="B635" s="65">
        <v>45409</v>
      </c>
      <c r="C635" s="66" t="s">
        <v>178</v>
      </c>
      <c r="D635" s="67">
        <v>200000</v>
      </c>
      <c r="E635" s="63"/>
      <c r="F635" s="109">
        <f t="shared" si="28"/>
        <v>4415503</v>
      </c>
    </row>
    <row r="636" spans="2:6">
      <c r="B636" s="65">
        <v>45411</v>
      </c>
      <c r="C636" s="66" t="s">
        <v>254</v>
      </c>
      <c r="D636" s="67">
        <v>200000</v>
      </c>
      <c r="E636" s="63"/>
      <c r="F636" s="109">
        <f t="shared" si="28"/>
        <v>4215503</v>
      </c>
    </row>
    <row r="637" spans="2:6">
      <c r="B637" s="65">
        <v>45411</v>
      </c>
      <c r="C637" s="66" t="s">
        <v>255</v>
      </c>
      <c r="D637" s="67">
        <v>200000</v>
      </c>
      <c r="E637" s="63"/>
      <c r="F637" s="109">
        <f t="shared" si="28"/>
        <v>4015503</v>
      </c>
    </row>
    <row r="638" spans="2:6">
      <c r="B638" s="40">
        <v>45414</v>
      </c>
      <c r="C638" s="128" t="s">
        <v>260</v>
      </c>
      <c r="D638" s="17"/>
      <c r="E638" s="112">
        <v>360000</v>
      </c>
      <c r="F638" s="109">
        <f t="shared" si="28"/>
        <v>4375503</v>
      </c>
    </row>
    <row r="639" spans="2:6">
      <c r="B639" s="40">
        <v>45412</v>
      </c>
      <c r="C639" s="66" t="s">
        <v>262</v>
      </c>
      <c r="D639" s="67">
        <v>100000</v>
      </c>
      <c r="E639" s="112"/>
      <c r="F639" s="109">
        <f t="shared" si="28"/>
        <v>4275503</v>
      </c>
    </row>
    <row r="640" spans="2:6">
      <c r="B640" s="40">
        <v>45413</v>
      </c>
      <c r="C640" s="66" t="s">
        <v>263</v>
      </c>
      <c r="D640" s="67">
        <v>100000</v>
      </c>
      <c r="E640" s="112"/>
      <c r="F640" s="109">
        <f t="shared" ref="F640:F708" si="29">F639-D640+E640</f>
        <v>4175503</v>
      </c>
    </row>
    <row r="641" spans="2:7">
      <c r="B641" s="40">
        <v>45415</v>
      </c>
      <c r="C641" s="66" t="s">
        <v>292</v>
      </c>
      <c r="D641" s="67">
        <v>150000</v>
      </c>
      <c r="E641" s="112"/>
      <c r="F641" s="109">
        <f t="shared" si="29"/>
        <v>4025503</v>
      </c>
    </row>
    <row r="642" spans="2:7">
      <c r="B642" s="40">
        <v>45415</v>
      </c>
      <c r="C642" s="66" t="s">
        <v>293</v>
      </c>
      <c r="D642" s="67">
        <v>150000</v>
      </c>
      <c r="E642" s="112"/>
      <c r="F642" s="109">
        <f t="shared" si="29"/>
        <v>3875503</v>
      </c>
    </row>
    <row r="643" spans="2:7">
      <c r="B643" s="40">
        <v>45417</v>
      </c>
      <c r="C643" s="66" t="s">
        <v>294</v>
      </c>
      <c r="D643" s="67">
        <v>200000</v>
      </c>
      <c r="E643" s="112"/>
      <c r="F643" s="109">
        <f t="shared" si="29"/>
        <v>3675503</v>
      </c>
    </row>
    <row r="644" spans="2:7">
      <c r="B644" s="40">
        <v>45418</v>
      </c>
      <c r="C644" s="66" t="s">
        <v>295</v>
      </c>
      <c r="D644" s="67">
        <v>200000</v>
      </c>
      <c r="E644" s="112"/>
      <c r="F644" s="109">
        <f t="shared" si="29"/>
        <v>3475503</v>
      </c>
    </row>
    <row r="645" spans="2:7">
      <c r="B645" s="40">
        <v>45418</v>
      </c>
      <c r="C645" s="17" t="s">
        <v>297</v>
      </c>
      <c r="D645" s="67">
        <v>500000</v>
      </c>
      <c r="E645" s="112"/>
      <c r="F645" s="109">
        <f t="shared" si="29"/>
        <v>2975503</v>
      </c>
    </row>
    <row r="646" spans="2:7">
      <c r="B646" s="40">
        <v>45420</v>
      </c>
      <c r="C646" s="309" t="s">
        <v>462</v>
      </c>
      <c r="D646" s="67"/>
      <c r="E646" s="112">
        <v>0</v>
      </c>
      <c r="F646" s="109">
        <f t="shared" si="29"/>
        <v>2975503</v>
      </c>
      <c r="G646" t="s">
        <v>724</v>
      </c>
    </row>
    <row r="647" spans="2:7">
      <c r="B647" s="40">
        <v>45423</v>
      </c>
      <c r="C647" s="66" t="s">
        <v>474</v>
      </c>
      <c r="D647" s="67">
        <v>121000</v>
      </c>
      <c r="E647" s="112"/>
      <c r="F647" s="109">
        <f t="shared" si="29"/>
        <v>2854503</v>
      </c>
    </row>
    <row r="648" spans="2:7">
      <c r="B648" s="40">
        <v>45423</v>
      </c>
      <c r="C648" s="66" t="s">
        <v>483</v>
      </c>
      <c r="D648" s="67">
        <v>200000</v>
      </c>
      <c r="E648" s="112"/>
      <c r="F648" s="109">
        <f t="shared" si="29"/>
        <v>2654503</v>
      </c>
    </row>
    <row r="649" spans="2:7" ht="28.8">
      <c r="B649" s="178">
        <v>45425</v>
      </c>
      <c r="C649" s="175" t="s">
        <v>482</v>
      </c>
      <c r="D649" s="176">
        <v>300000</v>
      </c>
      <c r="E649" s="177"/>
      <c r="F649" s="109">
        <f t="shared" si="29"/>
        <v>2354503</v>
      </c>
    </row>
    <row r="650" spans="2:7">
      <c r="B650" s="40">
        <v>45426</v>
      </c>
      <c r="C650" s="17" t="s">
        <v>568</v>
      </c>
      <c r="D650" s="176">
        <v>25000</v>
      </c>
      <c r="E650" s="112"/>
      <c r="F650" s="109">
        <f t="shared" si="29"/>
        <v>2329503</v>
      </c>
    </row>
    <row r="651" spans="2:7">
      <c r="B651" s="40">
        <v>45427</v>
      </c>
      <c r="C651" s="66" t="s">
        <v>578</v>
      </c>
      <c r="D651" s="176">
        <v>150000</v>
      </c>
      <c r="E651" s="112"/>
      <c r="F651" s="109">
        <f t="shared" si="29"/>
        <v>2179503</v>
      </c>
    </row>
    <row r="652" spans="2:7">
      <c r="B652" s="40">
        <v>45432</v>
      </c>
      <c r="C652" s="66" t="s">
        <v>631</v>
      </c>
      <c r="D652" s="67">
        <v>250000</v>
      </c>
      <c r="E652" s="112"/>
      <c r="F652" s="109">
        <f t="shared" si="29"/>
        <v>1929503</v>
      </c>
    </row>
    <row r="653" spans="2:7">
      <c r="B653" s="40">
        <v>45433</v>
      </c>
      <c r="C653" s="66" t="s">
        <v>643</v>
      </c>
      <c r="D653" s="67">
        <v>100000</v>
      </c>
      <c r="E653" s="112"/>
      <c r="F653" s="109">
        <f t="shared" si="29"/>
        <v>1829503</v>
      </c>
    </row>
    <row r="654" spans="2:7">
      <c r="B654" s="40">
        <v>45433</v>
      </c>
      <c r="C654" s="66" t="s">
        <v>644</v>
      </c>
      <c r="D654" s="67">
        <v>20000</v>
      </c>
      <c r="E654" s="112"/>
      <c r="F654" s="109">
        <f t="shared" si="29"/>
        <v>1809503</v>
      </c>
    </row>
    <row r="655" spans="2:7">
      <c r="B655" s="40">
        <v>45433</v>
      </c>
      <c r="C655" s="66" t="s">
        <v>646</v>
      </c>
      <c r="D655" s="67"/>
      <c r="E655" s="112">
        <f>34.56*280</f>
        <v>9676.8000000000011</v>
      </c>
      <c r="F655" s="109">
        <f t="shared" si="29"/>
        <v>1819179.8</v>
      </c>
    </row>
    <row r="656" spans="2:7">
      <c r="B656" s="40">
        <v>45433</v>
      </c>
      <c r="C656" s="66" t="s">
        <v>647</v>
      </c>
      <c r="D656" s="67"/>
      <c r="E656" s="112">
        <f>41.04*280</f>
        <v>11491.199999999999</v>
      </c>
      <c r="F656" s="109">
        <f t="shared" si="29"/>
        <v>1830671</v>
      </c>
    </row>
    <row r="657" spans="2:7">
      <c r="B657" s="40">
        <v>45440</v>
      </c>
      <c r="C657" s="309" t="s">
        <v>668</v>
      </c>
      <c r="D657" s="67"/>
      <c r="E657" s="112">
        <v>0</v>
      </c>
      <c r="F657" s="109">
        <f t="shared" si="29"/>
        <v>1830671</v>
      </c>
      <c r="G657" t="s">
        <v>724</v>
      </c>
    </row>
    <row r="658" spans="2:7">
      <c r="B658" s="40">
        <v>45440</v>
      </c>
      <c r="C658" s="309" t="s">
        <v>669</v>
      </c>
      <c r="D658" s="67"/>
      <c r="E658" s="112">
        <v>0</v>
      </c>
      <c r="F658" s="109">
        <f t="shared" si="29"/>
        <v>1830671</v>
      </c>
      <c r="G658" t="s">
        <v>724</v>
      </c>
    </row>
    <row r="659" spans="2:7">
      <c r="B659" s="40">
        <v>45442</v>
      </c>
      <c r="C659" s="230" t="s">
        <v>694</v>
      </c>
      <c r="D659" s="67"/>
      <c r="E659" s="112">
        <v>285000</v>
      </c>
      <c r="F659" s="109">
        <f t="shared" si="29"/>
        <v>2115671</v>
      </c>
    </row>
    <row r="660" spans="2:7">
      <c r="B660" s="40">
        <v>45442</v>
      </c>
      <c r="C660" s="230" t="s">
        <v>1006</v>
      </c>
      <c r="D660" s="67"/>
      <c r="E660" s="112">
        <v>607104</v>
      </c>
      <c r="F660" s="109">
        <f t="shared" si="29"/>
        <v>2722775</v>
      </c>
      <c r="G660" t="s">
        <v>724</v>
      </c>
    </row>
    <row r="661" spans="2:7">
      <c r="B661" s="40">
        <v>45442</v>
      </c>
      <c r="C661" s="66" t="s">
        <v>701</v>
      </c>
      <c r="D661" s="67">
        <v>100000</v>
      </c>
      <c r="E661" s="112"/>
      <c r="F661" s="109">
        <f t="shared" si="29"/>
        <v>2622775</v>
      </c>
    </row>
    <row r="662" spans="2:7">
      <c r="B662" s="40">
        <v>45442</v>
      </c>
      <c r="C662" s="66" t="s">
        <v>702</v>
      </c>
      <c r="D662" s="67">
        <v>80000</v>
      </c>
      <c r="E662" s="112"/>
      <c r="F662" s="109">
        <f t="shared" si="29"/>
        <v>2542775</v>
      </c>
    </row>
    <row r="663" spans="2:7">
      <c r="B663" s="40">
        <v>45448</v>
      </c>
      <c r="C663" s="66" t="s">
        <v>814</v>
      </c>
      <c r="D663" s="67">
        <v>50000</v>
      </c>
      <c r="E663" s="112"/>
      <c r="F663" s="109">
        <f t="shared" si="29"/>
        <v>2492775</v>
      </c>
    </row>
    <row r="664" spans="2:7">
      <c r="B664" s="40">
        <v>45448</v>
      </c>
      <c r="C664" s="66" t="s">
        <v>815</v>
      </c>
      <c r="D664" s="67">
        <v>100000</v>
      </c>
      <c r="E664" s="112"/>
      <c r="F664" s="109">
        <f t="shared" si="29"/>
        <v>2392775</v>
      </c>
    </row>
    <row r="665" spans="2:7">
      <c r="B665" s="40">
        <v>45448</v>
      </c>
      <c r="C665" s="66" t="s">
        <v>816</v>
      </c>
      <c r="D665" s="67">
        <v>200000</v>
      </c>
      <c r="E665" s="112"/>
      <c r="F665" s="109">
        <f t="shared" si="29"/>
        <v>2192775</v>
      </c>
    </row>
    <row r="666" spans="2:7">
      <c r="B666" s="40">
        <v>45448</v>
      </c>
      <c r="C666" s="66" t="s">
        <v>817</v>
      </c>
      <c r="D666" s="67">
        <v>62550</v>
      </c>
      <c r="E666" s="112"/>
      <c r="F666" s="109">
        <f t="shared" si="29"/>
        <v>2130225</v>
      </c>
    </row>
    <row r="667" spans="2:7">
      <c r="B667" s="40">
        <v>45449</v>
      </c>
      <c r="C667" s="230" t="s">
        <v>852</v>
      </c>
      <c r="D667" s="67"/>
      <c r="E667" s="112">
        <v>532500</v>
      </c>
      <c r="F667" s="109">
        <f t="shared" si="29"/>
        <v>2662725</v>
      </c>
    </row>
    <row r="668" spans="2:7">
      <c r="B668" s="40">
        <v>45450</v>
      </c>
      <c r="C668" s="66" t="s">
        <v>861</v>
      </c>
      <c r="D668" s="67">
        <v>250000</v>
      </c>
      <c r="E668" s="112"/>
      <c r="F668" s="109">
        <f t="shared" si="29"/>
        <v>2412725</v>
      </c>
    </row>
    <row r="669" spans="2:7">
      <c r="B669" s="40">
        <v>45450</v>
      </c>
      <c r="C669" s="66" t="s">
        <v>862</v>
      </c>
      <c r="D669" s="67">
        <v>250000</v>
      </c>
      <c r="E669" s="112"/>
      <c r="F669" s="109">
        <f t="shared" si="29"/>
        <v>2162725</v>
      </c>
    </row>
    <row r="670" spans="2:7">
      <c r="B670" s="40">
        <v>45450</v>
      </c>
      <c r="C670" s="66" t="s">
        <v>863</v>
      </c>
      <c r="D670" s="67">
        <v>32500</v>
      </c>
      <c r="E670" s="112"/>
      <c r="F670" s="109">
        <f t="shared" si="29"/>
        <v>2130225</v>
      </c>
    </row>
    <row r="671" spans="2:7">
      <c r="B671" s="40">
        <v>45455</v>
      </c>
      <c r="C671" s="66" t="s">
        <v>1004</v>
      </c>
      <c r="D671" s="67">
        <v>200000</v>
      </c>
      <c r="E671" s="112"/>
      <c r="F671" s="109">
        <f t="shared" si="29"/>
        <v>1930225</v>
      </c>
    </row>
    <row r="672" spans="2:7">
      <c r="B672" s="40">
        <v>45463</v>
      </c>
      <c r="C672" s="66" t="s">
        <v>1157</v>
      </c>
      <c r="D672" s="67">
        <v>250000</v>
      </c>
      <c r="E672" s="112"/>
      <c r="F672" s="109">
        <f t="shared" si="29"/>
        <v>1680225</v>
      </c>
    </row>
    <row r="673" spans="2:6">
      <c r="B673" s="40">
        <v>45463</v>
      </c>
      <c r="C673" s="66" t="s">
        <v>1158</v>
      </c>
      <c r="D673" s="67">
        <v>250000</v>
      </c>
      <c r="E673" s="112"/>
      <c r="F673" s="109">
        <f t="shared" si="29"/>
        <v>1430225</v>
      </c>
    </row>
    <row r="674" spans="2:6">
      <c r="B674" s="40">
        <v>45464</v>
      </c>
      <c r="C674" s="66" t="s">
        <v>1161</v>
      </c>
      <c r="D674" s="67">
        <v>200000</v>
      </c>
      <c r="E674" s="112"/>
      <c r="F674" s="109">
        <f t="shared" si="29"/>
        <v>1230225</v>
      </c>
    </row>
    <row r="675" spans="2:6">
      <c r="B675" s="40">
        <v>45464</v>
      </c>
      <c r="C675" s="66" t="s">
        <v>1162</v>
      </c>
      <c r="D675" s="67">
        <v>200000</v>
      </c>
      <c r="E675" s="112"/>
      <c r="F675" s="109">
        <f t="shared" si="29"/>
        <v>1030225</v>
      </c>
    </row>
    <row r="676" spans="2:6">
      <c r="B676" s="40">
        <v>45464</v>
      </c>
      <c r="C676" s="344" t="s">
        <v>1163</v>
      </c>
      <c r="D676" s="345">
        <f>4000*81+2000*1+5000*1</f>
        <v>331000</v>
      </c>
      <c r="E676" s="112"/>
      <c r="F676" s="109">
        <f t="shared" si="29"/>
        <v>699225</v>
      </c>
    </row>
    <row r="677" spans="2:6">
      <c r="B677" s="40">
        <v>45468</v>
      </c>
      <c r="C677" s="66" t="s">
        <v>1225</v>
      </c>
      <c r="D677" s="67">
        <v>150000</v>
      </c>
      <c r="E677" s="112"/>
      <c r="F677" s="109">
        <f t="shared" si="29"/>
        <v>549225</v>
      </c>
    </row>
    <row r="678" spans="2:6">
      <c r="B678" s="40">
        <v>45469</v>
      </c>
      <c r="C678" s="66" t="s">
        <v>1221</v>
      </c>
      <c r="D678" s="67">
        <v>200000</v>
      </c>
      <c r="E678" s="112"/>
      <c r="F678" s="109">
        <f t="shared" si="29"/>
        <v>349225</v>
      </c>
    </row>
    <row r="679" spans="2:6">
      <c r="B679" s="40">
        <v>45469</v>
      </c>
      <c r="C679" s="66" t="s">
        <v>1222</v>
      </c>
      <c r="D679" s="67">
        <v>200000</v>
      </c>
      <c r="E679" s="112"/>
      <c r="F679" s="109">
        <f t="shared" si="29"/>
        <v>149225</v>
      </c>
    </row>
    <row r="680" spans="2:6">
      <c r="B680" s="40">
        <v>45469</v>
      </c>
      <c r="C680" s="66" t="s">
        <v>1223</v>
      </c>
      <c r="D680" s="67">
        <v>100000</v>
      </c>
      <c r="E680" s="112"/>
      <c r="F680" s="109">
        <f t="shared" si="29"/>
        <v>49225</v>
      </c>
    </row>
    <row r="681" spans="2:6">
      <c r="B681" s="40">
        <v>45469</v>
      </c>
      <c r="C681" s="66" t="s">
        <v>1224</v>
      </c>
      <c r="D681" s="67">
        <v>150000</v>
      </c>
      <c r="E681" s="112"/>
      <c r="F681" s="109">
        <f t="shared" si="29"/>
        <v>-100775</v>
      </c>
    </row>
    <row r="682" spans="2:6">
      <c r="B682" s="40">
        <v>45469</v>
      </c>
      <c r="C682" s="230" t="s">
        <v>1206</v>
      </c>
      <c r="D682" s="67"/>
      <c r="E682" s="112">
        <v>1002150</v>
      </c>
      <c r="F682" s="109">
        <f t="shared" si="29"/>
        <v>901375</v>
      </c>
    </row>
    <row r="683" spans="2:6">
      <c r="B683" s="40">
        <v>45470</v>
      </c>
      <c r="C683" s="66" t="s">
        <v>1379</v>
      </c>
      <c r="D683" s="67">
        <v>250000</v>
      </c>
      <c r="E683" s="112"/>
      <c r="F683" s="109">
        <f t="shared" si="29"/>
        <v>651375</v>
      </c>
    </row>
    <row r="684" spans="2:6">
      <c r="B684" s="40">
        <v>45471</v>
      </c>
      <c r="C684" s="66" t="s">
        <v>1380</v>
      </c>
      <c r="D684" s="67">
        <v>150000</v>
      </c>
      <c r="E684" s="112"/>
      <c r="F684" s="109">
        <f t="shared" si="29"/>
        <v>501375</v>
      </c>
    </row>
    <row r="685" spans="2:6">
      <c r="B685" s="40">
        <v>45475</v>
      </c>
      <c r="C685" s="66" t="s">
        <v>1381</v>
      </c>
      <c r="D685" s="67">
        <v>250000</v>
      </c>
      <c r="E685" s="112"/>
      <c r="F685" s="109">
        <f t="shared" si="29"/>
        <v>251375</v>
      </c>
    </row>
    <row r="686" spans="2:6">
      <c r="B686" s="40">
        <v>45475</v>
      </c>
      <c r="C686" s="66" t="s">
        <v>1382</v>
      </c>
      <c r="D686" s="67">
        <v>250000</v>
      </c>
      <c r="E686" s="112"/>
      <c r="F686" s="109">
        <f t="shared" si="29"/>
        <v>1375</v>
      </c>
    </row>
    <row r="687" spans="2:6">
      <c r="B687" s="40">
        <v>45475</v>
      </c>
      <c r="C687" s="66" t="s">
        <v>1383</v>
      </c>
      <c r="D687" s="67">
        <v>250000</v>
      </c>
      <c r="E687" s="112"/>
      <c r="F687" s="109">
        <f t="shared" si="29"/>
        <v>-248625</v>
      </c>
    </row>
    <row r="688" spans="2:6">
      <c r="B688" s="40">
        <v>45475</v>
      </c>
      <c r="C688" s="66" t="s">
        <v>1384</v>
      </c>
      <c r="D688" s="67">
        <v>250000</v>
      </c>
      <c r="E688" s="112"/>
      <c r="F688" s="109">
        <f t="shared" si="29"/>
        <v>-498625</v>
      </c>
    </row>
    <row r="689" spans="2:6">
      <c r="B689" s="40">
        <v>45475</v>
      </c>
      <c r="C689" s="66" t="s">
        <v>1385</v>
      </c>
      <c r="D689" s="67">
        <v>250000</v>
      </c>
      <c r="E689" s="112"/>
      <c r="F689" s="109">
        <f t="shared" si="29"/>
        <v>-748625</v>
      </c>
    </row>
    <row r="690" spans="2:6">
      <c r="B690" s="40">
        <v>45482</v>
      </c>
      <c r="C690" s="66" t="s">
        <v>1555</v>
      </c>
      <c r="D690" s="67">
        <v>250000</v>
      </c>
      <c r="E690" s="112"/>
      <c r="F690" s="109">
        <f t="shared" si="29"/>
        <v>-998625</v>
      </c>
    </row>
    <row r="691" spans="2:6">
      <c r="B691" s="40">
        <v>45482</v>
      </c>
      <c r="C691" s="66" t="s">
        <v>1556</v>
      </c>
      <c r="D691" s="67">
        <v>250000</v>
      </c>
      <c r="E691" s="112"/>
      <c r="F691" s="109">
        <f t="shared" si="29"/>
        <v>-1248625</v>
      </c>
    </row>
    <row r="692" spans="2:6">
      <c r="B692" s="40">
        <v>45482</v>
      </c>
      <c r="C692" s="66" t="s">
        <v>1557</v>
      </c>
      <c r="D692" s="67">
        <v>250000</v>
      </c>
      <c r="E692" s="112"/>
      <c r="F692" s="109">
        <f t="shared" si="29"/>
        <v>-1498625</v>
      </c>
    </row>
    <row r="693" spans="2:6">
      <c r="B693" s="40">
        <v>45482</v>
      </c>
      <c r="C693" s="66" t="s">
        <v>1558</v>
      </c>
      <c r="D693" s="67">
        <v>250000</v>
      </c>
      <c r="E693" s="112"/>
      <c r="F693" s="109">
        <f t="shared" si="29"/>
        <v>-1748625</v>
      </c>
    </row>
    <row r="694" spans="2:6">
      <c r="B694" s="40">
        <v>45482</v>
      </c>
      <c r="C694" s="66" t="s">
        <v>1559</v>
      </c>
      <c r="D694" s="67">
        <v>250000</v>
      </c>
      <c r="E694" s="112"/>
      <c r="F694" s="109">
        <f t="shared" si="29"/>
        <v>-1998625</v>
      </c>
    </row>
    <row r="695" spans="2:6">
      <c r="B695" s="40">
        <v>45482</v>
      </c>
      <c r="C695" s="66" t="s">
        <v>1560</v>
      </c>
      <c r="D695" s="67">
        <v>250000</v>
      </c>
      <c r="E695" s="112"/>
      <c r="F695" s="109">
        <f t="shared" si="29"/>
        <v>-2248625</v>
      </c>
    </row>
    <row r="696" spans="2:6">
      <c r="B696" s="40">
        <v>45488</v>
      </c>
      <c r="C696" s="66" t="s">
        <v>1561</v>
      </c>
      <c r="D696" s="67">
        <v>200000</v>
      </c>
      <c r="E696" s="112"/>
      <c r="F696" s="109">
        <f t="shared" si="29"/>
        <v>-2448625</v>
      </c>
    </row>
    <row r="697" spans="2:6">
      <c r="B697" s="40">
        <v>45497</v>
      </c>
      <c r="C697" s="66" t="s">
        <v>1635</v>
      </c>
      <c r="D697" s="67">
        <v>250000</v>
      </c>
      <c r="E697" s="112"/>
      <c r="F697" s="109">
        <f t="shared" si="29"/>
        <v>-2698625</v>
      </c>
    </row>
    <row r="698" spans="2:6">
      <c r="B698" s="40">
        <v>45497</v>
      </c>
      <c r="C698" s="66" t="s">
        <v>1636</v>
      </c>
      <c r="D698" s="67">
        <v>224000</v>
      </c>
      <c r="E698" s="112"/>
      <c r="F698" s="109">
        <f t="shared" si="29"/>
        <v>-2922625</v>
      </c>
    </row>
    <row r="699" spans="2:6">
      <c r="B699" s="40">
        <v>45497</v>
      </c>
      <c r="C699" s="66" t="s">
        <v>1637</v>
      </c>
      <c r="D699" s="67">
        <v>200000</v>
      </c>
      <c r="E699" s="112"/>
      <c r="F699" s="109">
        <f t="shared" si="29"/>
        <v>-3122625</v>
      </c>
    </row>
    <row r="700" spans="2:6" ht="28.8">
      <c r="B700" s="208">
        <v>45498</v>
      </c>
      <c r="C700" s="430" t="s">
        <v>1674</v>
      </c>
      <c r="D700" s="176"/>
      <c r="E700" s="210">
        <f>11593*77.5</f>
        <v>898457.5</v>
      </c>
      <c r="F700" s="109">
        <f t="shared" si="29"/>
        <v>-2224167.5</v>
      </c>
    </row>
    <row r="701" spans="2:6">
      <c r="B701" s="40">
        <v>45500</v>
      </c>
      <c r="C701" s="66" t="s">
        <v>1720</v>
      </c>
      <c r="D701" s="67">
        <v>43500</v>
      </c>
      <c r="E701" s="112"/>
      <c r="F701" s="109">
        <f t="shared" si="29"/>
        <v>-2267667.5</v>
      </c>
    </row>
    <row r="702" spans="2:6">
      <c r="B702" s="40">
        <v>45500</v>
      </c>
      <c r="C702" s="66" t="s">
        <v>1721</v>
      </c>
      <c r="D702" s="67">
        <v>8000</v>
      </c>
      <c r="E702" s="112"/>
      <c r="F702" s="109">
        <f t="shared" si="29"/>
        <v>-2275667.5</v>
      </c>
    </row>
    <row r="703" spans="2:6">
      <c r="B703" s="40">
        <v>45504</v>
      </c>
      <c r="C703" s="128" t="s">
        <v>1759</v>
      </c>
      <c r="D703" s="455"/>
      <c r="E703" s="499">
        <v>725000</v>
      </c>
      <c r="F703" s="109">
        <f t="shared" si="29"/>
        <v>-1550667.5</v>
      </c>
    </row>
    <row r="704" spans="2:6">
      <c r="B704" s="40">
        <v>45505</v>
      </c>
      <c r="C704" s="66" t="s">
        <v>1722</v>
      </c>
      <c r="D704" s="67">
        <v>250000</v>
      </c>
      <c r="E704" s="112"/>
      <c r="F704" s="109">
        <f t="shared" si="29"/>
        <v>-1800667.5</v>
      </c>
    </row>
    <row r="705" spans="2:6">
      <c r="B705" s="40">
        <v>45505</v>
      </c>
      <c r="C705" s="66" t="s">
        <v>1723</v>
      </c>
      <c r="D705" s="67">
        <v>250000</v>
      </c>
      <c r="E705" s="112"/>
      <c r="F705" s="109">
        <f t="shared" si="29"/>
        <v>-2050667.5</v>
      </c>
    </row>
    <row r="706" spans="2:6">
      <c r="B706" s="40">
        <v>45509</v>
      </c>
      <c r="C706" s="66" t="s">
        <v>1755</v>
      </c>
      <c r="D706" s="67"/>
      <c r="E706" s="112">
        <f>13290*78</f>
        <v>1036620</v>
      </c>
      <c r="F706" s="109">
        <f t="shared" si="29"/>
        <v>-1014047.5</v>
      </c>
    </row>
    <row r="707" spans="2:6">
      <c r="B707" s="40">
        <v>45512</v>
      </c>
      <c r="C707" s="66" t="s">
        <v>1760</v>
      </c>
      <c r="D707" s="67"/>
      <c r="E707" s="112">
        <v>60000</v>
      </c>
      <c r="F707" s="109">
        <f t="shared" si="29"/>
        <v>-954047.5</v>
      </c>
    </row>
    <row r="708" spans="2:6">
      <c r="B708" s="40">
        <v>45511</v>
      </c>
      <c r="C708" s="66" t="s">
        <v>1862</v>
      </c>
      <c r="D708" s="67">
        <v>260000</v>
      </c>
      <c r="E708" s="112"/>
      <c r="F708" s="109">
        <f t="shared" si="29"/>
        <v>-1214047.5</v>
      </c>
    </row>
    <row r="709" spans="2:6">
      <c r="B709" s="40">
        <v>45517</v>
      </c>
      <c r="C709" s="66" t="s">
        <v>1895</v>
      </c>
      <c r="D709" s="67">
        <v>190000</v>
      </c>
      <c r="E709" s="112"/>
      <c r="F709" s="109">
        <f t="shared" ref="F709:F720" si="30">F708-D709+E709</f>
        <v>-1404047.5</v>
      </c>
    </row>
    <row r="710" spans="2:6">
      <c r="B710" s="40">
        <v>45517</v>
      </c>
      <c r="C710" s="66" t="s">
        <v>1896</v>
      </c>
      <c r="D710" s="67">
        <v>540000</v>
      </c>
      <c r="E710" s="112"/>
      <c r="F710" s="109">
        <f t="shared" si="30"/>
        <v>-1944047.5</v>
      </c>
    </row>
    <row r="711" spans="2:6">
      <c r="B711" s="40">
        <v>45517</v>
      </c>
      <c r="C711" s="66" t="s">
        <v>1897</v>
      </c>
      <c r="D711" s="67">
        <v>90000</v>
      </c>
      <c r="E711" s="112"/>
      <c r="F711" s="109">
        <f t="shared" si="30"/>
        <v>-2034047.5</v>
      </c>
    </row>
    <row r="712" spans="2:6">
      <c r="B712" s="40">
        <v>45527</v>
      </c>
      <c r="C712" s="66" t="s">
        <v>1960</v>
      </c>
      <c r="D712" s="67">
        <v>100000</v>
      </c>
      <c r="E712" s="112"/>
      <c r="F712" s="109">
        <f t="shared" si="30"/>
        <v>-2134047.5</v>
      </c>
    </row>
    <row r="713" spans="2:6">
      <c r="B713" s="40">
        <v>45527</v>
      </c>
      <c r="C713" s="66" t="s">
        <v>1960</v>
      </c>
      <c r="D713" s="67">
        <v>166000</v>
      </c>
      <c r="E713" s="112"/>
      <c r="F713" s="109">
        <f t="shared" si="30"/>
        <v>-2300047.5</v>
      </c>
    </row>
    <row r="714" spans="2:6">
      <c r="B714" s="40">
        <v>45531</v>
      </c>
      <c r="C714" s="128" t="s">
        <v>1963</v>
      </c>
      <c r="D714" s="67"/>
      <c r="E714" s="456">
        <v>897000</v>
      </c>
      <c r="F714" s="109">
        <f t="shared" si="30"/>
        <v>-1403047.5</v>
      </c>
    </row>
    <row r="715" spans="2:6">
      <c r="B715" s="40">
        <v>45536</v>
      </c>
      <c r="C715" s="66" t="s">
        <v>1960</v>
      </c>
      <c r="D715" s="67">
        <v>100000</v>
      </c>
      <c r="E715" s="456"/>
      <c r="F715" s="109"/>
    </row>
    <row r="716" spans="2:6">
      <c r="B716" s="40">
        <v>45552</v>
      </c>
      <c r="C716" s="128" t="s">
        <v>2032</v>
      </c>
      <c r="D716" s="67"/>
      <c r="E716" s="112">
        <v>521625</v>
      </c>
      <c r="F716" s="109">
        <f>F714-D716+E716</f>
        <v>-881422.5</v>
      </c>
    </row>
    <row r="717" spans="2:6">
      <c r="B717" s="40">
        <v>45558</v>
      </c>
      <c r="C717" s="66" t="s">
        <v>2086</v>
      </c>
      <c r="D717" s="67">
        <v>95500</v>
      </c>
      <c r="E717" s="112"/>
      <c r="F717" s="109">
        <f t="shared" si="30"/>
        <v>-976922.5</v>
      </c>
    </row>
    <row r="718" spans="2:6">
      <c r="B718" s="40">
        <v>45597</v>
      </c>
      <c r="C718" s="66" t="s">
        <v>2357</v>
      </c>
      <c r="D718" s="67"/>
      <c r="E718" s="112">
        <v>75000</v>
      </c>
      <c r="F718" s="109">
        <f t="shared" si="30"/>
        <v>-901922.5</v>
      </c>
    </row>
    <row r="719" spans="2:6">
      <c r="B719" s="40"/>
      <c r="C719" s="66" t="s">
        <v>2358</v>
      </c>
      <c r="D719" s="67"/>
      <c r="E719" s="112"/>
      <c r="F719" s="109">
        <f t="shared" si="30"/>
        <v>-901922.5</v>
      </c>
    </row>
    <row r="720" spans="2:6">
      <c r="B720" s="17"/>
      <c r="C720" s="17"/>
      <c r="D720" s="191"/>
      <c r="E720" s="17"/>
      <c r="F720" s="109">
        <f t="shared" si="30"/>
        <v>-901922.5</v>
      </c>
    </row>
    <row r="721" spans="2:6" ht="15.6">
      <c r="B721" s="17"/>
      <c r="C721" s="19" t="s">
        <v>20</v>
      </c>
      <c r="D721" s="20"/>
      <c r="E721" s="20"/>
      <c r="F721" s="217">
        <f t="shared" ref="F721" si="31">F720+D721-E721</f>
        <v>-901922.5</v>
      </c>
    </row>
    <row r="722" spans="2:6" ht="15.6">
      <c r="C722" s="59"/>
      <c r="D722" s="60"/>
      <c r="E722" s="60"/>
      <c r="F722" s="59"/>
    </row>
    <row r="723" spans="2:6">
      <c r="F723" s="114"/>
    </row>
    <row r="724" spans="2:6" ht="23.4">
      <c r="B724" s="124" t="s">
        <v>270</v>
      </c>
      <c r="C724" s="124"/>
      <c r="D724" s="124"/>
      <c r="E724" s="124"/>
      <c r="F724" s="124"/>
    </row>
    <row r="725" spans="2:6">
      <c r="B725" s="115" t="s">
        <v>13</v>
      </c>
      <c r="C725" s="115" t="s">
        <v>271</v>
      </c>
      <c r="D725" s="115" t="s">
        <v>15</v>
      </c>
      <c r="E725" s="115" t="s">
        <v>16</v>
      </c>
      <c r="F725" s="116" t="s">
        <v>17</v>
      </c>
    </row>
    <row r="726" spans="2:6">
      <c r="B726" s="17"/>
      <c r="C726" s="17"/>
      <c r="D726" s="17"/>
      <c r="E726" s="17"/>
      <c r="F726" s="117">
        <v>0</v>
      </c>
    </row>
    <row r="727" spans="2:6">
      <c r="B727" s="40">
        <v>45265</v>
      </c>
      <c r="C727" s="17" t="s">
        <v>272</v>
      </c>
      <c r="D727" s="17"/>
      <c r="E727" s="112">
        <v>6370000</v>
      </c>
      <c r="F727" s="117">
        <f>F726-D727+E727</f>
        <v>6370000</v>
      </c>
    </row>
    <row r="728" spans="2:6">
      <c r="B728" s="40">
        <v>45267</v>
      </c>
      <c r="C728" s="17" t="s">
        <v>273</v>
      </c>
      <c r="D728" s="17">
        <v>400000</v>
      </c>
      <c r="E728" s="17"/>
      <c r="F728" s="117">
        <f t="shared" ref="F728:F762" si="32">F727-D728+E728</f>
        <v>5970000</v>
      </c>
    </row>
    <row r="729" spans="2:6">
      <c r="B729" s="40">
        <v>45268</v>
      </c>
      <c r="C729" s="17" t="s">
        <v>274</v>
      </c>
      <c r="D729" s="17">
        <v>100000</v>
      </c>
      <c r="E729" s="17"/>
      <c r="F729" s="117">
        <f t="shared" si="32"/>
        <v>5870000</v>
      </c>
    </row>
    <row r="730" spans="2:6">
      <c r="B730" s="40">
        <v>45279</v>
      </c>
      <c r="C730" s="17" t="s">
        <v>274</v>
      </c>
      <c r="D730" s="17">
        <v>500000</v>
      </c>
      <c r="E730" s="17"/>
      <c r="F730" s="117">
        <f t="shared" si="32"/>
        <v>5370000</v>
      </c>
    </row>
    <row r="731" spans="2:6">
      <c r="B731" s="40">
        <v>45294</v>
      </c>
      <c r="C731" s="17" t="s">
        <v>275</v>
      </c>
      <c r="D731" s="17">
        <v>250000</v>
      </c>
      <c r="E731" s="17"/>
      <c r="F731" s="117">
        <f t="shared" si="32"/>
        <v>5120000</v>
      </c>
    </row>
    <row r="732" spans="2:6">
      <c r="B732" s="40">
        <v>45299</v>
      </c>
      <c r="C732" s="17" t="s">
        <v>276</v>
      </c>
      <c r="D732" s="17">
        <v>150000</v>
      </c>
      <c r="E732" s="17"/>
      <c r="F732" s="117">
        <f t="shared" si="32"/>
        <v>4970000</v>
      </c>
    </row>
    <row r="733" spans="2:6">
      <c r="B733" s="40">
        <v>45302</v>
      </c>
      <c r="C733" s="17" t="s">
        <v>275</v>
      </c>
      <c r="D733" s="17">
        <v>100000</v>
      </c>
      <c r="E733" s="17"/>
      <c r="F733" s="117">
        <f t="shared" si="32"/>
        <v>4870000</v>
      </c>
    </row>
    <row r="734" spans="2:6">
      <c r="B734" s="40">
        <v>45311</v>
      </c>
      <c r="C734" s="17" t="s">
        <v>277</v>
      </c>
      <c r="D734" s="118">
        <v>710000</v>
      </c>
      <c r="E734" s="17"/>
      <c r="F734" s="117">
        <f t="shared" si="32"/>
        <v>4160000</v>
      </c>
    </row>
    <row r="735" spans="2:6">
      <c r="B735" s="40">
        <v>45314</v>
      </c>
      <c r="C735" s="17" t="s">
        <v>278</v>
      </c>
      <c r="D735" s="17"/>
      <c r="E735" s="118">
        <v>710000</v>
      </c>
      <c r="F735" s="117">
        <f t="shared" si="32"/>
        <v>4870000</v>
      </c>
    </row>
    <row r="736" spans="2:6">
      <c r="B736" s="40">
        <v>45314</v>
      </c>
      <c r="C736" s="17" t="s">
        <v>279</v>
      </c>
      <c r="D736" s="17">
        <v>310000</v>
      </c>
      <c r="E736" s="17"/>
      <c r="F736" s="117">
        <f t="shared" si="32"/>
        <v>4560000</v>
      </c>
    </row>
    <row r="737" spans="2:6">
      <c r="B737" s="40">
        <v>45315</v>
      </c>
      <c r="C737" s="17" t="s">
        <v>275</v>
      </c>
      <c r="D737" s="17">
        <v>200000</v>
      </c>
      <c r="E737" s="17"/>
      <c r="F737" s="117">
        <f t="shared" si="32"/>
        <v>4360000</v>
      </c>
    </row>
    <row r="738" spans="2:6">
      <c r="B738" s="40">
        <v>45325</v>
      </c>
      <c r="C738" s="17" t="s">
        <v>274</v>
      </c>
      <c r="D738" s="17">
        <v>200000</v>
      </c>
      <c r="E738" s="17"/>
      <c r="F738" s="117">
        <f t="shared" si="32"/>
        <v>4160000</v>
      </c>
    </row>
    <row r="739" spans="2:6">
      <c r="B739" s="40">
        <v>45335</v>
      </c>
      <c r="C739" s="17" t="s">
        <v>275</v>
      </c>
      <c r="D739" s="17">
        <v>200000</v>
      </c>
      <c r="E739" s="17"/>
      <c r="F739" s="117">
        <f t="shared" si="32"/>
        <v>3960000</v>
      </c>
    </row>
    <row r="740" spans="2:6">
      <c r="B740" s="40">
        <v>45337</v>
      </c>
      <c r="C740" s="17" t="s">
        <v>275</v>
      </c>
      <c r="D740" s="17">
        <v>200000</v>
      </c>
      <c r="E740" s="17"/>
      <c r="F740" s="117">
        <f t="shared" si="32"/>
        <v>3760000</v>
      </c>
    </row>
    <row r="741" spans="2:6">
      <c r="B741" s="40">
        <v>45342</v>
      </c>
      <c r="C741" s="17" t="s">
        <v>275</v>
      </c>
      <c r="D741" s="17">
        <v>150000</v>
      </c>
      <c r="E741" s="17"/>
      <c r="F741" s="117">
        <f t="shared" si="32"/>
        <v>3610000</v>
      </c>
    </row>
    <row r="742" spans="2:6">
      <c r="B742" s="40">
        <v>45348</v>
      </c>
      <c r="C742" s="17" t="s">
        <v>275</v>
      </c>
      <c r="D742" s="17">
        <v>200000</v>
      </c>
      <c r="E742" s="17"/>
      <c r="F742" s="117">
        <f t="shared" si="32"/>
        <v>3410000</v>
      </c>
    </row>
    <row r="743" spans="2:6">
      <c r="B743" s="40">
        <v>45356</v>
      </c>
      <c r="C743" s="17" t="s">
        <v>280</v>
      </c>
      <c r="D743" s="17">
        <v>250000</v>
      </c>
      <c r="E743" s="17"/>
      <c r="F743" s="117">
        <f t="shared" si="32"/>
        <v>3160000</v>
      </c>
    </row>
    <row r="744" spans="2:6">
      <c r="B744" s="40">
        <v>45358</v>
      </c>
      <c r="C744" s="17" t="s">
        <v>277</v>
      </c>
      <c r="D744" s="17">
        <v>150000</v>
      </c>
      <c r="E744" s="17"/>
      <c r="F744" s="117">
        <f t="shared" si="32"/>
        <v>3010000</v>
      </c>
    </row>
    <row r="745" spans="2:6">
      <c r="B745" s="40">
        <v>45366</v>
      </c>
      <c r="C745" s="17" t="s">
        <v>277</v>
      </c>
      <c r="D745" s="119">
        <v>200000</v>
      </c>
      <c r="E745" s="17"/>
      <c r="F745" s="117">
        <f t="shared" si="32"/>
        <v>2810000</v>
      </c>
    </row>
    <row r="746" spans="2:6">
      <c r="B746" s="40">
        <v>45371</v>
      </c>
      <c r="C746" s="17" t="s">
        <v>278</v>
      </c>
      <c r="D746" s="17"/>
      <c r="E746" s="119">
        <v>200000</v>
      </c>
      <c r="F746" s="117">
        <f t="shared" si="32"/>
        <v>3010000</v>
      </c>
    </row>
    <row r="747" spans="2:6">
      <c r="B747" s="40">
        <v>45371</v>
      </c>
      <c r="C747" s="17" t="s">
        <v>281</v>
      </c>
      <c r="D747" s="17">
        <v>200000</v>
      </c>
      <c r="E747" s="17"/>
      <c r="F747" s="117">
        <f t="shared" si="32"/>
        <v>2810000</v>
      </c>
    </row>
    <row r="748" spans="2:6">
      <c r="B748" s="40">
        <v>45377</v>
      </c>
      <c r="C748" s="17" t="s">
        <v>282</v>
      </c>
      <c r="D748" s="119">
        <v>500000</v>
      </c>
      <c r="E748" s="17"/>
      <c r="F748" s="117">
        <f t="shared" si="32"/>
        <v>2310000</v>
      </c>
    </row>
    <row r="749" spans="2:6">
      <c r="B749" s="40">
        <v>45384</v>
      </c>
      <c r="C749" s="17" t="s">
        <v>278</v>
      </c>
      <c r="D749" s="17"/>
      <c r="E749" s="119">
        <v>500000</v>
      </c>
      <c r="F749" s="117">
        <f t="shared" si="32"/>
        <v>2810000</v>
      </c>
    </row>
    <row r="750" spans="2:6">
      <c r="B750" s="40">
        <v>45384</v>
      </c>
      <c r="C750" s="17" t="s">
        <v>283</v>
      </c>
      <c r="D750" s="17">
        <v>500000</v>
      </c>
      <c r="E750" s="17"/>
      <c r="F750" s="117">
        <f t="shared" si="32"/>
        <v>2310000</v>
      </c>
    </row>
    <row r="751" spans="2:6">
      <c r="B751" s="40">
        <v>45399</v>
      </c>
      <c r="C751" s="17" t="s">
        <v>284</v>
      </c>
      <c r="D751" s="119">
        <v>400000</v>
      </c>
      <c r="E751" s="17"/>
      <c r="F751" s="117">
        <f t="shared" si="32"/>
        <v>1910000</v>
      </c>
    </row>
    <row r="752" spans="2:6">
      <c r="B752" s="40">
        <v>45407</v>
      </c>
      <c r="C752" s="17" t="s">
        <v>278</v>
      </c>
      <c r="D752" s="17"/>
      <c r="E752" s="119">
        <v>400000</v>
      </c>
      <c r="F752" s="117">
        <f t="shared" si="32"/>
        <v>2310000</v>
      </c>
    </row>
    <row r="753" spans="1:7">
      <c r="B753" s="40">
        <v>45475</v>
      </c>
      <c r="C753" s="17" t="s">
        <v>1725</v>
      </c>
      <c r="D753" s="17">
        <v>235000</v>
      </c>
      <c r="E753" s="17"/>
      <c r="F753" s="117">
        <f t="shared" si="32"/>
        <v>2075000</v>
      </c>
    </row>
    <row r="754" spans="1:7">
      <c r="B754" s="40">
        <v>45475</v>
      </c>
      <c r="C754" s="17" t="s">
        <v>1725</v>
      </c>
      <c r="D754" s="17">
        <v>115000</v>
      </c>
      <c r="E754" s="17"/>
      <c r="F754" s="117">
        <f t="shared" si="32"/>
        <v>1960000</v>
      </c>
    </row>
    <row r="755" spans="1:7">
      <c r="B755" s="40">
        <v>45478</v>
      </c>
      <c r="C755" s="17" t="s">
        <v>1725</v>
      </c>
      <c r="D755" s="17">
        <v>150000</v>
      </c>
      <c r="E755" s="17"/>
      <c r="F755" s="117">
        <f t="shared" si="32"/>
        <v>1810000</v>
      </c>
    </row>
    <row r="756" spans="1:7">
      <c r="B756" s="40">
        <v>45517</v>
      </c>
      <c r="C756" s="17" t="s">
        <v>1725</v>
      </c>
      <c r="D756" s="17">
        <v>200000</v>
      </c>
      <c r="E756" s="17"/>
      <c r="F756" s="117">
        <f t="shared" si="32"/>
        <v>1610000</v>
      </c>
    </row>
    <row r="757" spans="1:7">
      <c r="B757" s="40">
        <v>45520</v>
      </c>
      <c r="C757" s="17" t="s">
        <v>1725</v>
      </c>
      <c r="D757" s="17">
        <v>150000</v>
      </c>
      <c r="E757" s="17"/>
      <c r="F757" s="117">
        <f t="shared" si="32"/>
        <v>1460000</v>
      </c>
    </row>
    <row r="758" spans="1:7">
      <c r="B758" s="40">
        <v>45546</v>
      </c>
      <c r="C758" s="17" t="s">
        <v>1725</v>
      </c>
      <c r="D758" s="17">
        <v>200000</v>
      </c>
      <c r="E758" s="17"/>
      <c r="F758" s="117">
        <f t="shared" si="32"/>
        <v>1260000</v>
      </c>
    </row>
    <row r="759" spans="1:7">
      <c r="B759" s="40">
        <v>45589</v>
      </c>
      <c r="C759" s="17" t="s">
        <v>2325</v>
      </c>
      <c r="D759" s="17">
        <v>300000</v>
      </c>
      <c r="E759" s="17"/>
      <c r="F759" s="117">
        <f t="shared" si="32"/>
        <v>960000</v>
      </c>
    </row>
    <row r="760" spans="1:7">
      <c r="B760" s="40">
        <v>45589</v>
      </c>
      <c r="C760" s="17" t="s">
        <v>2135</v>
      </c>
      <c r="D760" s="17">
        <v>400000</v>
      </c>
      <c r="E760" s="17"/>
      <c r="F760" s="117">
        <f t="shared" si="32"/>
        <v>560000</v>
      </c>
    </row>
    <row r="761" spans="1:7">
      <c r="B761" s="40"/>
      <c r="C761" s="17"/>
      <c r="D761" s="17"/>
      <c r="E761" s="17"/>
      <c r="F761" s="117">
        <f t="shared" si="32"/>
        <v>560000</v>
      </c>
    </row>
    <row r="762" spans="1:7" ht="16.2">
      <c r="B762" s="17"/>
      <c r="C762" s="120" t="s">
        <v>17</v>
      </c>
      <c r="D762" s="17"/>
      <c r="E762" s="17"/>
      <c r="F762" s="121">
        <f t="shared" si="32"/>
        <v>560000</v>
      </c>
    </row>
    <row r="763" spans="1:7">
      <c r="F763" s="114"/>
    </row>
    <row r="764" spans="1:7" ht="15.6">
      <c r="C764" s="59"/>
      <c r="D764" s="60"/>
      <c r="E764" s="60"/>
      <c r="F764" s="59"/>
    </row>
    <row r="765" spans="1:7" ht="15" thickBot="1"/>
    <row r="766" spans="1:7" ht="15" thickBot="1">
      <c r="A766" s="96"/>
      <c r="B766" s="96"/>
      <c r="C766" s="96"/>
      <c r="D766" s="96"/>
      <c r="E766" s="96"/>
      <c r="F766" s="96"/>
      <c r="G766" s="96"/>
    </row>
    <row r="767" spans="1:7" ht="20.399999999999999" thickBot="1">
      <c r="A767" s="96"/>
      <c r="B767" s="86"/>
      <c r="C767" s="87" t="s">
        <v>239</v>
      </c>
      <c r="D767" s="86"/>
      <c r="E767" s="86"/>
      <c r="F767" s="86"/>
      <c r="G767" s="96"/>
    </row>
    <row r="768" spans="1:7" ht="15" thickBot="1">
      <c r="A768" s="97"/>
      <c r="B768" s="584" t="s">
        <v>236</v>
      </c>
      <c r="C768" s="584" t="s">
        <v>237</v>
      </c>
      <c r="D768" s="584" t="s">
        <v>15</v>
      </c>
      <c r="E768" s="584" t="s">
        <v>16</v>
      </c>
      <c r="F768" s="584" t="s">
        <v>238</v>
      </c>
      <c r="G768" s="96"/>
    </row>
    <row r="769" spans="1:7" ht="15" thickBot="1">
      <c r="A769" s="97"/>
      <c r="B769" s="585"/>
      <c r="C769" s="585"/>
      <c r="D769" s="585"/>
      <c r="E769" s="585"/>
      <c r="F769" s="585"/>
      <c r="G769" s="96"/>
    </row>
    <row r="770" spans="1:7" ht="15" thickBot="1">
      <c r="A770" s="97"/>
      <c r="B770" s="88"/>
      <c r="C770" s="88"/>
      <c r="D770" s="88"/>
      <c r="E770" s="88"/>
      <c r="F770" s="95">
        <v>0</v>
      </c>
      <c r="G770" s="96"/>
    </row>
    <row r="771" spans="1:7" ht="18" thickBot="1">
      <c r="A771" s="97"/>
      <c r="B771" s="98">
        <v>45399</v>
      </c>
      <c r="C771" s="89" t="s">
        <v>240</v>
      </c>
      <c r="D771" s="88"/>
      <c r="E771" s="90">
        <v>68000</v>
      </c>
      <c r="F771" s="90">
        <f>F770-D771+E771</f>
        <v>68000</v>
      </c>
      <c r="G771" s="96"/>
    </row>
    <row r="772" spans="1:7" ht="18" thickBot="1">
      <c r="A772" s="97"/>
      <c r="B772" s="165">
        <v>45423</v>
      </c>
      <c r="C772" s="88" t="s">
        <v>473</v>
      </c>
      <c r="D772" s="88">
        <v>68000</v>
      </c>
      <c r="E772" s="88"/>
      <c r="F772" s="90">
        <f t="shared" ref="F772:F776" si="33">F771-D772+E772</f>
        <v>0</v>
      </c>
      <c r="G772" s="96"/>
    </row>
    <row r="773" spans="1:7" ht="18" thickBot="1">
      <c r="A773" s="97"/>
      <c r="B773" s="165">
        <v>45453</v>
      </c>
      <c r="C773" s="88" t="s">
        <v>878</v>
      </c>
      <c r="D773" s="88"/>
      <c r="E773" s="88">
        <v>11698.78</v>
      </c>
      <c r="F773" s="90">
        <f t="shared" si="33"/>
        <v>11698.78</v>
      </c>
      <c r="G773" s="96"/>
    </row>
    <row r="774" spans="1:7" ht="18" thickBot="1">
      <c r="A774" s="97"/>
      <c r="B774" s="165">
        <v>45505</v>
      </c>
      <c r="C774" s="88" t="s">
        <v>1717</v>
      </c>
      <c r="D774" s="92">
        <v>11698.78</v>
      </c>
      <c r="E774" s="88"/>
      <c r="F774" s="90">
        <f t="shared" si="33"/>
        <v>0</v>
      </c>
      <c r="G774" s="96"/>
    </row>
    <row r="775" spans="1:7" ht="18" thickBot="1">
      <c r="A775" s="97"/>
      <c r="B775" s="165">
        <v>45589</v>
      </c>
      <c r="C775" s="88" t="s">
        <v>2326</v>
      </c>
      <c r="D775" s="92"/>
      <c r="E775" s="540">
        <f>683568/78</f>
        <v>8763.6923076923085</v>
      </c>
      <c r="F775" s="90">
        <f t="shared" si="33"/>
        <v>8763.6923076923085</v>
      </c>
      <c r="G775" s="96"/>
    </row>
    <row r="776" spans="1:7" ht="18" thickBot="1">
      <c r="A776" s="97"/>
      <c r="B776" s="88"/>
      <c r="C776" s="88"/>
      <c r="D776" s="88"/>
      <c r="E776" s="88"/>
      <c r="F776" s="90">
        <f t="shared" si="33"/>
        <v>8763.6923076923085</v>
      </c>
      <c r="G776" s="96"/>
    </row>
    <row r="777" spans="1:7" ht="18" thickBot="1">
      <c r="A777" s="97"/>
      <c r="B777" s="88"/>
      <c r="C777" s="93" t="s">
        <v>17</v>
      </c>
      <c r="D777" s="92"/>
      <c r="E777" s="88"/>
      <c r="F777" s="99">
        <f>F776-D777+E777</f>
        <v>8763.6923076923085</v>
      </c>
      <c r="G777" s="96"/>
    </row>
    <row r="778" spans="1:7" ht="15" thickBot="1">
      <c r="A778" s="96"/>
      <c r="B778" s="96"/>
      <c r="C778" s="96"/>
      <c r="D778" s="96"/>
      <c r="E778" s="96"/>
      <c r="F778" s="96"/>
      <c r="G778" s="96"/>
    </row>
    <row r="779" spans="1:7" ht="15" thickBot="1"/>
    <row r="780" spans="1:7" ht="18" thickBot="1">
      <c r="A780" s="96"/>
      <c r="B780" s="86"/>
      <c r="C780" s="100" t="s">
        <v>241</v>
      </c>
      <c r="D780" s="86"/>
      <c r="E780" s="86"/>
      <c r="F780" s="86"/>
      <c r="G780" s="96"/>
    </row>
    <row r="781" spans="1:7" ht="15" thickBot="1">
      <c r="A781" s="97"/>
      <c r="B781" s="588" t="s">
        <v>236</v>
      </c>
      <c r="C781" s="588" t="s">
        <v>237</v>
      </c>
      <c r="D781" s="588" t="s">
        <v>15</v>
      </c>
      <c r="E781" s="588" t="s">
        <v>16</v>
      </c>
      <c r="F781" s="588" t="s">
        <v>238</v>
      </c>
      <c r="G781" s="96"/>
    </row>
    <row r="782" spans="1:7" ht="15" thickBot="1">
      <c r="A782" s="97"/>
      <c r="B782" s="589"/>
      <c r="C782" s="589"/>
      <c r="D782" s="589"/>
      <c r="E782" s="589"/>
      <c r="F782" s="589"/>
      <c r="G782" s="96"/>
    </row>
    <row r="783" spans="1:7" ht="15" thickBot="1">
      <c r="A783" s="97"/>
      <c r="B783" s="88"/>
      <c r="C783" s="88"/>
      <c r="D783" s="88"/>
      <c r="E783" s="88"/>
      <c r="F783" s="95">
        <v>0</v>
      </c>
      <c r="G783" s="96"/>
    </row>
    <row r="784" spans="1:7" ht="18" thickBot="1">
      <c r="A784" s="97"/>
      <c r="B784" s="98">
        <v>45399</v>
      </c>
      <c r="C784" s="89" t="s">
        <v>242</v>
      </c>
      <c r="D784" s="88"/>
      <c r="E784" s="91">
        <v>1518000</v>
      </c>
      <c r="F784" s="91">
        <f>F783-D784+E784</f>
        <v>1518000</v>
      </c>
      <c r="G784" s="96"/>
    </row>
    <row r="785" spans="1:7" ht="18" thickBot="1">
      <c r="A785" s="97"/>
      <c r="B785" s="98">
        <v>45404</v>
      </c>
      <c r="C785" s="89" t="s">
        <v>243</v>
      </c>
      <c r="D785" s="91">
        <v>200000</v>
      </c>
      <c r="E785" s="88"/>
      <c r="F785" s="91">
        <f t="shared" ref="F785:F794" si="34">F784-D785+E785</f>
        <v>1318000</v>
      </c>
      <c r="G785" s="96"/>
    </row>
    <row r="786" spans="1:7" ht="18" thickBot="1">
      <c r="A786" s="97"/>
      <c r="B786" s="98">
        <v>45406</v>
      </c>
      <c r="C786" s="89" t="s">
        <v>243</v>
      </c>
      <c r="D786" s="91">
        <v>200000</v>
      </c>
      <c r="E786" s="88"/>
      <c r="F786" s="91">
        <f t="shared" si="34"/>
        <v>1118000</v>
      </c>
      <c r="G786" s="96"/>
    </row>
    <row r="787" spans="1:7" ht="18" thickBot="1">
      <c r="A787" s="97"/>
      <c r="B787" s="98">
        <v>45409</v>
      </c>
      <c r="C787" s="89" t="s">
        <v>243</v>
      </c>
      <c r="D787" s="91">
        <v>200000</v>
      </c>
      <c r="E787" s="88"/>
      <c r="F787" s="91">
        <f t="shared" si="34"/>
        <v>918000</v>
      </c>
      <c r="G787" s="96"/>
    </row>
    <row r="788" spans="1:7" ht="18" thickBot="1">
      <c r="A788" s="97"/>
      <c r="B788" s="98">
        <v>45411</v>
      </c>
      <c r="C788" s="89" t="s">
        <v>243</v>
      </c>
      <c r="D788" s="91">
        <v>200000</v>
      </c>
      <c r="E788" s="88"/>
      <c r="F788" s="91">
        <f t="shared" si="34"/>
        <v>718000</v>
      </c>
      <c r="G788" s="96"/>
    </row>
    <row r="789" spans="1:7" ht="18" thickBot="1">
      <c r="A789" s="97"/>
      <c r="B789" s="98">
        <v>45414</v>
      </c>
      <c r="C789" s="89" t="s">
        <v>243</v>
      </c>
      <c r="D789" s="91">
        <v>100000</v>
      </c>
      <c r="E789" s="88"/>
      <c r="F789" s="91">
        <f t="shared" si="34"/>
        <v>618000</v>
      </c>
      <c r="G789" s="96"/>
    </row>
    <row r="790" spans="1:7" ht="18" thickBot="1">
      <c r="A790" s="97"/>
      <c r="B790" s="98">
        <v>45415</v>
      </c>
      <c r="C790" s="89" t="s">
        <v>243</v>
      </c>
      <c r="D790" s="91">
        <v>150000</v>
      </c>
      <c r="E790" s="88"/>
      <c r="F790" s="91">
        <f t="shared" si="34"/>
        <v>468000</v>
      </c>
      <c r="G790" s="96"/>
    </row>
    <row r="791" spans="1:7" ht="18" thickBot="1">
      <c r="A791" s="97"/>
      <c r="B791" s="98">
        <v>45418</v>
      </c>
      <c r="C791" s="89" t="s">
        <v>243</v>
      </c>
      <c r="D791" s="91">
        <v>100000</v>
      </c>
      <c r="E791" s="88"/>
      <c r="F791" s="91">
        <f t="shared" si="34"/>
        <v>368000</v>
      </c>
      <c r="G791" s="96"/>
    </row>
    <row r="792" spans="1:7" ht="18" thickBot="1">
      <c r="A792" s="97"/>
      <c r="B792" s="98">
        <v>45420</v>
      </c>
      <c r="C792" s="89" t="s">
        <v>243</v>
      </c>
      <c r="D792" s="91">
        <v>200000</v>
      </c>
      <c r="E792" s="88"/>
      <c r="F792" s="91">
        <f t="shared" si="34"/>
        <v>168000</v>
      </c>
      <c r="G792" s="96"/>
    </row>
    <row r="793" spans="1:7" ht="18" thickBot="1">
      <c r="A793" s="97"/>
      <c r="B793" s="98">
        <v>45423</v>
      </c>
      <c r="C793" s="89" t="s">
        <v>243</v>
      </c>
      <c r="D793" s="91">
        <v>168000</v>
      </c>
      <c r="E793" s="88"/>
      <c r="F793" s="91">
        <f t="shared" si="34"/>
        <v>0</v>
      </c>
      <c r="G793" s="96"/>
    </row>
    <row r="794" spans="1:7" ht="18" thickBot="1">
      <c r="A794" s="97"/>
      <c r="B794" s="88"/>
      <c r="C794" s="88"/>
      <c r="D794" s="88"/>
      <c r="E794" s="88"/>
      <c r="F794" s="91">
        <f t="shared" si="34"/>
        <v>0</v>
      </c>
      <c r="G794" s="96"/>
    </row>
    <row r="795" spans="1:7" ht="18" thickBot="1">
      <c r="A795" s="97"/>
      <c r="B795" s="88"/>
      <c r="C795" s="93" t="s">
        <v>17</v>
      </c>
      <c r="D795" s="92"/>
      <c r="E795" s="88"/>
      <c r="F795" s="94">
        <f>F794-D795+E795</f>
        <v>0</v>
      </c>
      <c r="G795" s="96"/>
    </row>
    <row r="796" spans="1:7" ht="15" thickBot="1">
      <c r="A796" s="96"/>
      <c r="B796" s="96"/>
      <c r="C796" s="96"/>
      <c r="D796" s="96"/>
      <c r="E796" s="96"/>
      <c r="F796" s="96"/>
      <c r="G796" s="96"/>
    </row>
    <row r="797" spans="1:7" ht="15" thickBot="1"/>
    <row r="798" spans="1:7" ht="20.399999999999999" thickBot="1">
      <c r="A798" s="96"/>
      <c r="B798" s="86"/>
      <c r="C798" s="87" t="s">
        <v>244</v>
      </c>
      <c r="D798" s="86"/>
      <c r="E798" s="86"/>
      <c r="F798" s="86"/>
      <c r="G798" s="96"/>
    </row>
    <row r="799" spans="1:7" ht="15" thickBot="1">
      <c r="A799" s="97"/>
      <c r="B799" s="584" t="s">
        <v>236</v>
      </c>
      <c r="C799" s="584" t="s">
        <v>237</v>
      </c>
      <c r="D799" s="584" t="s">
        <v>15</v>
      </c>
      <c r="E799" s="584" t="s">
        <v>16</v>
      </c>
      <c r="F799" s="584" t="s">
        <v>238</v>
      </c>
      <c r="G799" s="96"/>
    </row>
    <row r="800" spans="1:7" ht="15" thickBot="1">
      <c r="A800" s="97"/>
      <c r="B800" s="585"/>
      <c r="C800" s="585"/>
      <c r="D800" s="585"/>
      <c r="E800" s="585"/>
      <c r="F800" s="585"/>
      <c r="G800" s="96"/>
    </row>
    <row r="801" spans="1:7" ht="15" thickBot="1">
      <c r="A801" s="97"/>
      <c r="B801" s="88"/>
      <c r="C801" s="88"/>
      <c r="D801" s="88"/>
      <c r="E801" s="88"/>
      <c r="F801" s="95">
        <v>0</v>
      </c>
      <c r="G801" s="96"/>
    </row>
    <row r="802" spans="1:7" ht="30" thickBot="1">
      <c r="A802" s="97"/>
      <c r="B802" s="98">
        <v>45404</v>
      </c>
      <c r="C802" s="89" t="s">
        <v>245</v>
      </c>
      <c r="D802" s="88"/>
      <c r="E802" s="91">
        <v>200000</v>
      </c>
      <c r="F802" s="91">
        <f>F801-D802+E802</f>
        <v>200000</v>
      </c>
      <c r="G802" s="96"/>
    </row>
    <row r="803" spans="1:7" ht="30" thickBot="1">
      <c r="A803" s="97"/>
      <c r="B803" s="98">
        <v>45406</v>
      </c>
      <c r="C803" s="89" t="s">
        <v>245</v>
      </c>
      <c r="D803" s="88"/>
      <c r="E803" s="91">
        <v>200000</v>
      </c>
      <c r="F803" s="91">
        <f t="shared" ref="F803:F814" si="35">F802-D803+E803</f>
        <v>400000</v>
      </c>
      <c r="G803" s="96"/>
    </row>
    <row r="804" spans="1:7" ht="30" thickBot="1">
      <c r="A804" s="97"/>
      <c r="B804" s="98">
        <v>45409</v>
      </c>
      <c r="C804" s="89" t="s">
        <v>245</v>
      </c>
      <c r="D804" s="88"/>
      <c r="E804" s="91">
        <v>200000</v>
      </c>
      <c r="F804" s="91">
        <f t="shared" si="35"/>
        <v>600000</v>
      </c>
      <c r="G804" s="96"/>
    </row>
    <row r="805" spans="1:7" ht="30" thickBot="1">
      <c r="A805" s="97"/>
      <c r="B805" s="98">
        <v>45411</v>
      </c>
      <c r="C805" s="89" t="s">
        <v>245</v>
      </c>
      <c r="D805" s="92"/>
      <c r="E805" s="91">
        <v>200000</v>
      </c>
      <c r="F805" s="91">
        <f t="shared" si="35"/>
        <v>800000</v>
      </c>
      <c r="G805" s="96"/>
    </row>
    <row r="806" spans="1:7" ht="18" thickBot="1">
      <c r="A806" s="97"/>
      <c r="B806" s="98">
        <v>45412</v>
      </c>
      <c r="C806" s="89" t="s">
        <v>258</v>
      </c>
      <c r="D806" s="92"/>
      <c r="E806" s="91">
        <v>300000</v>
      </c>
      <c r="F806" s="91">
        <f t="shared" si="35"/>
        <v>1100000</v>
      </c>
      <c r="G806" s="96"/>
    </row>
    <row r="807" spans="1:7" ht="30" thickBot="1">
      <c r="A807" s="97"/>
      <c r="B807" s="98">
        <v>45414</v>
      </c>
      <c r="C807" s="89" t="s">
        <v>245</v>
      </c>
      <c r="D807" s="92"/>
      <c r="E807" s="91">
        <v>100000</v>
      </c>
      <c r="F807" s="91">
        <f t="shared" si="35"/>
        <v>1200000</v>
      </c>
      <c r="G807" s="96"/>
    </row>
    <row r="808" spans="1:7" ht="30" thickBot="1">
      <c r="A808" s="97"/>
      <c r="B808" s="98">
        <v>45415</v>
      </c>
      <c r="C808" s="89" t="s">
        <v>245</v>
      </c>
      <c r="D808" s="92"/>
      <c r="E808" s="91">
        <v>150000</v>
      </c>
      <c r="F808" s="91">
        <f t="shared" si="35"/>
        <v>1350000</v>
      </c>
      <c r="G808" s="96"/>
    </row>
    <row r="809" spans="1:7" ht="30" thickBot="1">
      <c r="A809" s="97"/>
      <c r="B809" s="98">
        <v>45418</v>
      </c>
      <c r="C809" s="89" t="s">
        <v>245</v>
      </c>
      <c r="D809" s="92"/>
      <c r="E809" s="91">
        <v>100000</v>
      </c>
      <c r="F809" s="91">
        <f t="shared" si="35"/>
        <v>1450000</v>
      </c>
      <c r="G809" s="96"/>
    </row>
    <row r="810" spans="1:7" ht="30" thickBot="1">
      <c r="A810" s="97"/>
      <c r="B810" s="98">
        <v>45420</v>
      </c>
      <c r="C810" s="89" t="s">
        <v>245</v>
      </c>
      <c r="D810" s="92"/>
      <c r="E810" s="91">
        <v>200000</v>
      </c>
      <c r="F810" s="91">
        <f t="shared" si="35"/>
        <v>1650000</v>
      </c>
      <c r="G810" s="96"/>
    </row>
    <row r="811" spans="1:7" ht="30" thickBot="1">
      <c r="A811" s="97"/>
      <c r="B811" s="98">
        <v>45423</v>
      </c>
      <c r="C811" s="89" t="s">
        <v>245</v>
      </c>
      <c r="D811" s="92"/>
      <c r="E811" s="91">
        <v>168000</v>
      </c>
      <c r="F811" s="91">
        <f t="shared" si="35"/>
        <v>1818000</v>
      </c>
      <c r="G811" s="96"/>
    </row>
    <row r="812" spans="1:7" ht="18" thickBot="1">
      <c r="A812" s="97"/>
      <c r="B812" s="98">
        <v>45505</v>
      </c>
      <c r="C812" s="89" t="s">
        <v>1716</v>
      </c>
      <c r="D812" s="92">
        <v>1818000</v>
      </c>
      <c r="E812" s="91"/>
      <c r="F812" s="91">
        <f t="shared" si="35"/>
        <v>0</v>
      </c>
      <c r="G812" s="96"/>
    </row>
    <row r="813" spans="1:7" ht="18" thickBot="1">
      <c r="A813" s="97"/>
      <c r="B813" s="88"/>
      <c r="C813" s="88"/>
      <c r="D813" s="88"/>
      <c r="E813" s="88"/>
      <c r="F813" s="91">
        <f t="shared" si="35"/>
        <v>0</v>
      </c>
      <c r="G813" s="96"/>
    </row>
    <row r="814" spans="1:7" ht="18" thickBot="1">
      <c r="A814" s="97"/>
      <c r="B814" s="88"/>
      <c r="C814" s="93" t="s">
        <v>17</v>
      </c>
      <c r="D814" s="92"/>
      <c r="E814" s="88"/>
      <c r="F814" s="94">
        <f t="shared" si="35"/>
        <v>0</v>
      </c>
      <c r="G814" s="96"/>
    </row>
    <row r="815" spans="1:7" ht="15" thickBot="1">
      <c r="A815" s="96"/>
      <c r="B815" s="96"/>
      <c r="C815" s="96"/>
      <c r="D815" s="96"/>
      <c r="E815" s="96"/>
      <c r="F815" s="96"/>
      <c r="G815" s="96"/>
    </row>
    <row r="816" spans="1:7" ht="15" thickBot="1"/>
    <row r="817" spans="2:6" ht="18" thickBot="1">
      <c r="B817" s="86"/>
      <c r="C817" s="100" t="s">
        <v>687</v>
      </c>
      <c r="D817" s="86"/>
      <c r="E817" s="86"/>
      <c r="F817" s="86"/>
    </row>
    <row r="818" spans="2:6">
      <c r="B818" s="588" t="s">
        <v>236</v>
      </c>
      <c r="C818" s="588" t="s">
        <v>237</v>
      </c>
      <c r="D818" s="588" t="s">
        <v>15</v>
      </c>
      <c r="E818" s="588" t="s">
        <v>16</v>
      </c>
      <c r="F818" s="588" t="s">
        <v>238</v>
      </c>
    </row>
    <row r="819" spans="2:6" ht="15" thickBot="1">
      <c r="B819" s="589"/>
      <c r="C819" s="589"/>
      <c r="D819" s="589"/>
      <c r="E819" s="589"/>
      <c r="F819" s="589"/>
    </row>
    <row r="820" spans="2:6" ht="15" thickBot="1">
      <c r="B820" s="88"/>
      <c r="C820" s="88"/>
      <c r="D820" s="88"/>
      <c r="E820" s="88"/>
      <c r="F820" s="95">
        <v>0</v>
      </c>
    </row>
    <row r="821" spans="2:6" ht="18" thickBot="1">
      <c r="B821" s="98"/>
      <c r="C821" s="89"/>
      <c r="D821" s="88"/>
      <c r="E821" s="91"/>
      <c r="F821" s="91">
        <f>F820-D821+E821</f>
        <v>0</v>
      </c>
    </row>
    <row r="822" spans="2:6" ht="18" thickBot="1">
      <c r="B822" s="98"/>
      <c r="C822" s="89"/>
      <c r="D822" s="91"/>
      <c r="E822" s="88"/>
      <c r="F822" s="91">
        <f t="shared" ref="F822:F831" si="36">F821-D822+E822</f>
        <v>0</v>
      </c>
    </row>
    <row r="823" spans="2:6" ht="18" thickBot="1">
      <c r="B823" s="98"/>
      <c r="C823" s="89"/>
      <c r="D823" s="91"/>
      <c r="E823" s="88"/>
      <c r="F823" s="91">
        <f t="shared" si="36"/>
        <v>0</v>
      </c>
    </row>
    <row r="824" spans="2:6" ht="18" thickBot="1">
      <c r="B824" s="98"/>
      <c r="C824" s="89"/>
      <c r="D824" s="91"/>
      <c r="E824" s="88"/>
      <c r="F824" s="91">
        <f t="shared" si="36"/>
        <v>0</v>
      </c>
    </row>
    <row r="825" spans="2:6" ht="18" thickBot="1">
      <c r="B825" s="98"/>
      <c r="C825" s="89"/>
      <c r="D825" s="91"/>
      <c r="E825" s="88"/>
      <c r="F825" s="91">
        <f t="shared" si="36"/>
        <v>0</v>
      </c>
    </row>
    <row r="826" spans="2:6" ht="18" thickBot="1">
      <c r="B826" s="98"/>
      <c r="C826" s="89"/>
      <c r="D826" s="91"/>
      <c r="E826" s="88"/>
      <c r="F826" s="91">
        <f t="shared" si="36"/>
        <v>0</v>
      </c>
    </row>
    <row r="827" spans="2:6" ht="18" thickBot="1">
      <c r="B827" s="98"/>
      <c r="C827" s="89"/>
      <c r="D827" s="91"/>
      <c r="E827" s="88"/>
      <c r="F827" s="91">
        <f t="shared" si="36"/>
        <v>0</v>
      </c>
    </row>
    <row r="828" spans="2:6" ht="18" thickBot="1">
      <c r="B828" s="98"/>
      <c r="C828" s="89"/>
      <c r="D828" s="91"/>
      <c r="E828" s="88"/>
      <c r="F828" s="91">
        <f t="shared" si="36"/>
        <v>0</v>
      </c>
    </row>
    <row r="829" spans="2:6" ht="18" thickBot="1">
      <c r="B829" s="98"/>
      <c r="C829" s="89"/>
      <c r="D829" s="91"/>
      <c r="E829" s="88"/>
      <c r="F829" s="91">
        <f t="shared" si="36"/>
        <v>0</v>
      </c>
    </row>
    <row r="830" spans="2:6" ht="18" thickBot="1">
      <c r="B830" s="98"/>
      <c r="C830" s="89"/>
      <c r="D830" s="91"/>
      <c r="E830" s="88"/>
      <c r="F830" s="91">
        <f t="shared" si="36"/>
        <v>0</v>
      </c>
    </row>
    <row r="831" spans="2:6" ht="18" thickBot="1">
      <c r="B831" s="88"/>
      <c r="C831" s="88"/>
      <c r="D831" s="88"/>
      <c r="E831" s="88"/>
      <c r="F831" s="91">
        <f t="shared" si="36"/>
        <v>0</v>
      </c>
    </row>
    <row r="832" spans="2:6" ht="18" thickBot="1">
      <c r="B832" s="88"/>
      <c r="C832" s="93" t="s">
        <v>17</v>
      </c>
      <c r="D832" s="92"/>
      <c r="E832" s="88"/>
      <c r="F832" s="94">
        <f>F831-D832+E832</f>
        <v>0</v>
      </c>
    </row>
  </sheetData>
  <mergeCells count="111">
    <mergeCell ref="B818:B819"/>
    <mergeCell ref="C818:C819"/>
    <mergeCell ref="D818:D819"/>
    <mergeCell ref="F818:F819"/>
    <mergeCell ref="E818:E819"/>
    <mergeCell ref="D561:D562"/>
    <mergeCell ref="E561:E562"/>
    <mergeCell ref="D768:D769"/>
    <mergeCell ref="E781:E782"/>
    <mergeCell ref="E799:E800"/>
    <mergeCell ref="F799:F800"/>
    <mergeCell ref="F781:F782"/>
    <mergeCell ref="F768:F769"/>
    <mergeCell ref="F561:F562"/>
    <mergeCell ref="A3:B3"/>
    <mergeCell ref="A414:B414"/>
    <mergeCell ref="A572:B572"/>
    <mergeCell ref="B262:B263"/>
    <mergeCell ref="C262:C263"/>
    <mergeCell ref="A514:B514"/>
    <mergeCell ref="C274:C275"/>
    <mergeCell ref="B294:B295"/>
    <mergeCell ref="C294:C295"/>
    <mergeCell ref="B561:B562"/>
    <mergeCell ref="C561:C562"/>
    <mergeCell ref="B534:B535"/>
    <mergeCell ref="C534:C535"/>
    <mergeCell ref="A431:B431"/>
    <mergeCell ref="B190:B191"/>
    <mergeCell ref="A423:B423"/>
    <mergeCell ref="A364:B364"/>
    <mergeCell ref="A402:B402"/>
    <mergeCell ref="B211:B212"/>
    <mergeCell ref="C211:C212"/>
    <mergeCell ref="B162:B163"/>
    <mergeCell ref="C162:C163"/>
    <mergeCell ref="C546:C547"/>
    <mergeCell ref="B546:B547"/>
    <mergeCell ref="B354:B355"/>
    <mergeCell ref="C354:C355"/>
    <mergeCell ref="C376:E376"/>
    <mergeCell ref="D354:D355"/>
    <mergeCell ref="E354:E355"/>
    <mergeCell ref="B781:B782"/>
    <mergeCell ref="C781:C782"/>
    <mergeCell ref="D781:D782"/>
    <mergeCell ref="B799:B800"/>
    <mergeCell ref="C799:C800"/>
    <mergeCell ref="D799:D800"/>
    <mergeCell ref="B768:B769"/>
    <mergeCell ref="C768:C769"/>
    <mergeCell ref="E768:E769"/>
    <mergeCell ref="D546:D547"/>
    <mergeCell ref="E546:E547"/>
    <mergeCell ref="A390:B390"/>
    <mergeCell ref="A378:B378"/>
    <mergeCell ref="B343:B344"/>
    <mergeCell ref="B234:B235"/>
    <mergeCell ref="C234:C235"/>
    <mergeCell ref="B274:B275"/>
    <mergeCell ref="D274:D275"/>
    <mergeCell ref="B222:B223"/>
    <mergeCell ref="E343:E344"/>
    <mergeCell ref="E274:E275"/>
    <mergeCell ref="E306:E307"/>
    <mergeCell ref="B306:B307"/>
    <mergeCell ref="D262:D263"/>
    <mergeCell ref="E262:E263"/>
    <mergeCell ref="E294:E295"/>
    <mergeCell ref="D248:D249"/>
    <mergeCell ref="E248:E249"/>
    <mergeCell ref="B248:B249"/>
    <mergeCell ref="F546:F547"/>
    <mergeCell ref="D211:D212"/>
    <mergeCell ref="E211:E212"/>
    <mergeCell ref="F211:F212"/>
    <mergeCell ref="E234:E235"/>
    <mergeCell ref="C306:C307"/>
    <mergeCell ref="F306:F307"/>
    <mergeCell ref="F222:F223"/>
    <mergeCell ref="F354:F355"/>
    <mergeCell ref="D534:D535"/>
    <mergeCell ref="E534:E535"/>
    <mergeCell ref="F534:F535"/>
    <mergeCell ref="F262:F263"/>
    <mergeCell ref="C248:C249"/>
    <mergeCell ref="C343:C344"/>
    <mergeCell ref="D306:D307"/>
    <mergeCell ref="F343:F344"/>
    <mergeCell ref="D343:D344"/>
    <mergeCell ref="D162:D163"/>
    <mergeCell ref="E162:E163"/>
    <mergeCell ref="F162:F163"/>
    <mergeCell ref="B179:B180"/>
    <mergeCell ref="F179:F180"/>
    <mergeCell ref="D190:D191"/>
    <mergeCell ref="E190:E191"/>
    <mergeCell ref="F190:F191"/>
    <mergeCell ref="F294:F295"/>
    <mergeCell ref="F234:F235"/>
    <mergeCell ref="D234:D235"/>
    <mergeCell ref="F274:F275"/>
    <mergeCell ref="C179:C180"/>
    <mergeCell ref="D179:D180"/>
    <mergeCell ref="E179:E180"/>
    <mergeCell ref="C190:C191"/>
    <mergeCell ref="D294:D295"/>
    <mergeCell ref="F248:F249"/>
    <mergeCell ref="C222:C223"/>
    <mergeCell ref="D222:D223"/>
    <mergeCell ref="E222:E223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Q191"/>
  <sheetViews>
    <sheetView topLeftCell="A100" zoomScale="90" zoomScaleNormal="90" workbookViewId="0">
      <selection activeCell="I111" sqref="I111"/>
    </sheetView>
  </sheetViews>
  <sheetFormatPr defaultRowHeight="14.4"/>
  <cols>
    <col min="2" max="2" width="10.6640625" bestFit="1" customWidth="1"/>
    <col min="3" max="3" width="9.88671875" bestFit="1" customWidth="1"/>
    <col min="4" max="4" width="23.21875" bestFit="1" customWidth="1"/>
    <col min="5" max="5" width="13.6640625" customWidth="1"/>
    <col min="6" max="6" width="12" customWidth="1"/>
    <col min="7" max="7" width="14.21875" bestFit="1" customWidth="1"/>
    <col min="9" max="9" width="11.77734375" bestFit="1" customWidth="1"/>
    <col min="10" max="10" width="11.5546875" customWidth="1"/>
    <col min="11" max="11" width="29.77734375" customWidth="1"/>
  </cols>
  <sheetData>
    <row r="4" spans="4:8" ht="28.8">
      <c r="D4" s="153">
        <v>45484</v>
      </c>
      <c r="E4" s="66" t="s">
        <v>1457</v>
      </c>
      <c r="F4" s="46">
        <v>93080</v>
      </c>
      <c r="G4" s="46"/>
      <c r="H4" s="152">
        <f t="shared" ref="H4" si="0">H3+F4-G4</f>
        <v>93080</v>
      </c>
    </row>
    <row r="5" spans="4:8">
      <c r="D5" s="153">
        <v>45484</v>
      </c>
      <c r="E5" s="66" t="s">
        <v>1458</v>
      </c>
      <c r="F5" s="46"/>
      <c r="G5" s="46">
        <v>100</v>
      </c>
      <c r="H5" s="152">
        <f>H4+F5-G5</f>
        <v>92980</v>
      </c>
    </row>
    <row r="6" spans="4:8" ht="43.2">
      <c r="D6" s="153">
        <v>45484</v>
      </c>
      <c r="E6" s="66" t="s">
        <v>1591</v>
      </c>
      <c r="F6" s="46"/>
      <c r="G6" s="46">
        <v>70</v>
      </c>
      <c r="H6" s="152">
        <f t="shared" ref="H6:H35" si="1">H5+F6-G6</f>
        <v>92910</v>
      </c>
    </row>
    <row r="7" spans="4:8" ht="28.8">
      <c r="D7" s="153">
        <v>45485</v>
      </c>
      <c r="E7" s="66" t="s">
        <v>1460</v>
      </c>
      <c r="F7" s="46">
        <v>10360</v>
      </c>
      <c r="G7" s="1"/>
      <c r="H7" s="152">
        <f t="shared" si="1"/>
        <v>103270</v>
      </c>
    </row>
    <row r="8" spans="4:8" ht="28.8">
      <c r="D8" s="153">
        <v>45485</v>
      </c>
      <c r="E8" s="66" t="s">
        <v>1461</v>
      </c>
      <c r="F8" s="46">
        <v>1500</v>
      </c>
      <c r="G8" s="1"/>
      <c r="H8" s="152">
        <f t="shared" si="1"/>
        <v>104770</v>
      </c>
    </row>
    <row r="9" spans="4:8" ht="28.8">
      <c r="D9" s="153">
        <v>45485</v>
      </c>
      <c r="E9" s="66" t="s">
        <v>1550</v>
      </c>
      <c r="F9" s="392">
        <v>40000</v>
      </c>
      <c r="G9" s="1"/>
      <c r="H9" s="152">
        <f t="shared" si="1"/>
        <v>144770</v>
      </c>
    </row>
    <row r="10" spans="4:8" ht="57.6">
      <c r="D10" s="153">
        <v>45485</v>
      </c>
      <c r="E10" s="66" t="s">
        <v>1573</v>
      </c>
      <c r="F10" s="392"/>
      <c r="G10" s="402">
        <v>24430</v>
      </c>
      <c r="H10" s="152">
        <f t="shared" si="1"/>
        <v>120340</v>
      </c>
    </row>
    <row r="11" spans="4:8" ht="28.8">
      <c r="D11" s="153">
        <v>45486</v>
      </c>
      <c r="E11" s="66" t="s">
        <v>1463</v>
      </c>
      <c r="F11" s="46"/>
      <c r="G11" s="46">
        <v>3000</v>
      </c>
      <c r="H11" s="152">
        <f t="shared" si="1"/>
        <v>117340</v>
      </c>
    </row>
    <row r="12" spans="4:8" ht="57.6">
      <c r="D12" s="153">
        <v>45487</v>
      </c>
      <c r="E12" s="66" t="s">
        <v>1465</v>
      </c>
      <c r="F12" s="46"/>
      <c r="G12" s="46">
        <v>90</v>
      </c>
      <c r="H12" s="152">
        <f t="shared" si="1"/>
        <v>117250</v>
      </c>
    </row>
    <row r="13" spans="4:8" ht="28.8">
      <c r="D13" s="153">
        <v>45487</v>
      </c>
      <c r="E13" s="66" t="s">
        <v>467</v>
      </c>
      <c r="F13" s="46">
        <v>180</v>
      </c>
      <c r="G13" s="46"/>
      <c r="H13" s="152">
        <f t="shared" si="1"/>
        <v>117430</v>
      </c>
    </row>
    <row r="14" spans="4:8" ht="28.8">
      <c r="D14" s="153">
        <v>45487</v>
      </c>
      <c r="E14" s="66" t="s">
        <v>467</v>
      </c>
      <c r="F14" s="46">
        <v>40</v>
      </c>
      <c r="G14" s="46"/>
      <c r="H14" s="152">
        <f t="shared" si="1"/>
        <v>117470</v>
      </c>
    </row>
    <row r="15" spans="4:8" ht="28.8">
      <c r="D15" s="153">
        <v>45487</v>
      </c>
      <c r="E15" s="66" t="s">
        <v>467</v>
      </c>
      <c r="F15" s="46">
        <v>1150</v>
      </c>
      <c r="G15" s="46"/>
      <c r="H15" s="152">
        <f t="shared" si="1"/>
        <v>118620</v>
      </c>
    </row>
    <row r="16" spans="4:8" ht="43.2">
      <c r="D16" s="153">
        <v>45487</v>
      </c>
      <c r="E16" s="66" t="s">
        <v>1517</v>
      </c>
      <c r="F16" s="46"/>
      <c r="G16" s="46">
        <v>180</v>
      </c>
      <c r="H16" s="152">
        <f t="shared" si="1"/>
        <v>118440</v>
      </c>
    </row>
    <row r="17" spans="4:8" ht="28.8">
      <c r="D17" s="153">
        <v>45487</v>
      </c>
      <c r="E17" s="66" t="s">
        <v>1518</v>
      </c>
      <c r="F17" s="46"/>
      <c r="G17" s="46">
        <v>20</v>
      </c>
      <c r="H17" s="152">
        <f t="shared" si="1"/>
        <v>118420</v>
      </c>
    </row>
    <row r="18" spans="4:8" ht="28.8">
      <c r="D18" s="153">
        <v>45487</v>
      </c>
      <c r="E18" s="66" t="s">
        <v>1519</v>
      </c>
      <c r="F18" s="46"/>
      <c r="G18" s="46">
        <v>20</v>
      </c>
      <c r="H18" s="152">
        <f t="shared" si="1"/>
        <v>118400</v>
      </c>
    </row>
    <row r="19" spans="4:8" ht="28.8">
      <c r="D19" s="153">
        <v>45487</v>
      </c>
      <c r="E19" s="66" t="s">
        <v>1520</v>
      </c>
      <c r="F19" s="46"/>
      <c r="G19" s="46">
        <v>1150</v>
      </c>
      <c r="H19" s="152">
        <f t="shared" si="1"/>
        <v>117250</v>
      </c>
    </row>
    <row r="20" spans="4:8" ht="28.8">
      <c r="D20" s="153">
        <v>45491</v>
      </c>
      <c r="E20" s="66" t="s">
        <v>467</v>
      </c>
      <c r="F20" s="46">
        <v>51000</v>
      </c>
      <c r="G20" s="46"/>
      <c r="H20" s="152">
        <f t="shared" si="1"/>
        <v>168250</v>
      </c>
    </row>
    <row r="21" spans="4:8" ht="28.8">
      <c r="D21" s="153">
        <v>45491</v>
      </c>
      <c r="E21" s="66" t="s">
        <v>1422</v>
      </c>
      <c r="F21" s="46"/>
      <c r="G21" s="46">
        <v>51000</v>
      </c>
      <c r="H21" s="152">
        <f t="shared" si="1"/>
        <v>117250</v>
      </c>
    </row>
    <row r="22" spans="4:8" ht="28.8">
      <c r="D22" s="153">
        <v>45491</v>
      </c>
      <c r="E22" s="66" t="s">
        <v>467</v>
      </c>
      <c r="F22" s="46">
        <v>950</v>
      </c>
      <c r="G22" s="46"/>
      <c r="H22" s="152">
        <f t="shared" si="1"/>
        <v>118200</v>
      </c>
    </row>
    <row r="23" spans="4:8" ht="28.8">
      <c r="D23" s="153">
        <v>45491</v>
      </c>
      <c r="E23" s="66" t="s">
        <v>1520</v>
      </c>
      <c r="F23" s="46"/>
      <c r="G23" s="46">
        <v>950</v>
      </c>
      <c r="H23" s="152">
        <f t="shared" si="1"/>
        <v>117250</v>
      </c>
    </row>
    <row r="24" spans="4:8" ht="28.8">
      <c r="D24" s="153">
        <v>45491</v>
      </c>
      <c r="E24" s="66" t="s">
        <v>467</v>
      </c>
      <c r="F24" s="46">
        <v>20</v>
      </c>
      <c r="G24" s="46"/>
      <c r="H24" s="152">
        <f t="shared" si="1"/>
        <v>117270</v>
      </c>
    </row>
    <row r="25" spans="4:8" ht="28.8">
      <c r="D25" s="153">
        <v>45491</v>
      </c>
      <c r="E25" s="66" t="s">
        <v>1519</v>
      </c>
      <c r="F25" s="46"/>
      <c r="G25" s="46">
        <v>20</v>
      </c>
      <c r="H25" s="152">
        <f t="shared" si="1"/>
        <v>117250</v>
      </c>
    </row>
    <row r="26" spans="4:8" ht="28.8">
      <c r="D26" s="153">
        <v>45491</v>
      </c>
      <c r="E26" s="66" t="s">
        <v>467</v>
      </c>
      <c r="F26" s="46">
        <v>30</v>
      </c>
      <c r="G26" s="46"/>
      <c r="H26" s="152">
        <f t="shared" si="1"/>
        <v>117280</v>
      </c>
    </row>
    <row r="27" spans="4:8" ht="28.8">
      <c r="D27" s="153">
        <v>45491</v>
      </c>
      <c r="E27" s="66" t="s">
        <v>467</v>
      </c>
      <c r="F27" s="392">
        <v>50000</v>
      </c>
      <c r="G27" s="46"/>
      <c r="H27" s="152">
        <f t="shared" si="1"/>
        <v>167280</v>
      </c>
    </row>
    <row r="28" spans="4:8" ht="28.8">
      <c r="D28" s="153">
        <v>45491</v>
      </c>
      <c r="E28" s="66" t="s">
        <v>1540</v>
      </c>
      <c r="F28" s="46"/>
      <c r="G28" s="46">
        <v>30000</v>
      </c>
      <c r="H28" s="152">
        <f t="shared" si="1"/>
        <v>137280</v>
      </c>
    </row>
    <row r="29" spans="4:8" ht="28.8">
      <c r="D29" s="153">
        <v>45491</v>
      </c>
      <c r="E29" s="66" t="s">
        <v>1541</v>
      </c>
      <c r="F29" s="46"/>
      <c r="G29" s="46">
        <v>20000</v>
      </c>
      <c r="H29" s="152">
        <f t="shared" si="1"/>
        <v>117280</v>
      </c>
    </row>
    <row r="30" spans="4:8" ht="57.6">
      <c r="D30" s="153">
        <v>45493</v>
      </c>
      <c r="E30" s="66" t="s">
        <v>1574</v>
      </c>
      <c r="F30" s="46">
        <v>14000</v>
      </c>
      <c r="G30" s="46"/>
      <c r="H30" s="152">
        <f t="shared" si="1"/>
        <v>131280</v>
      </c>
    </row>
    <row r="31" spans="4:8" ht="28.8">
      <c r="D31" s="153">
        <v>45493</v>
      </c>
      <c r="E31" s="66" t="s">
        <v>1576</v>
      </c>
      <c r="F31" s="46"/>
      <c r="G31" s="392">
        <v>30000</v>
      </c>
      <c r="H31" s="152">
        <f t="shared" si="1"/>
        <v>101280</v>
      </c>
    </row>
    <row r="32" spans="4:8" ht="28.8">
      <c r="D32" s="153">
        <v>45494</v>
      </c>
      <c r="E32" s="66" t="s">
        <v>1576</v>
      </c>
      <c r="F32" s="46"/>
      <c r="G32" s="392">
        <v>20000</v>
      </c>
      <c r="H32" s="152">
        <f t="shared" si="1"/>
        <v>81280</v>
      </c>
    </row>
    <row r="33" spans="4:8" ht="43.2">
      <c r="D33" s="21">
        <v>45495</v>
      </c>
      <c r="E33" s="371" t="s">
        <v>1592</v>
      </c>
      <c r="G33" s="416">
        <v>3000</v>
      </c>
      <c r="H33" s="152">
        <f t="shared" si="1"/>
        <v>78280</v>
      </c>
    </row>
    <row r="34" spans="4:8">
      <c r="E34" s="371" t="s">
        <v>1594</v>
      </c>
      <c r="G34" s="416">
        <v>400</v>
      </c>
      <c r="H34" s="152">
        <f t="shared" si="1"/>
        <v>77880</v>
      </c>
    </row>
    <row r="35" spans="4:8">
      <c r="H35" s="152">
        <f t="shared" si="1"/>
        <v>77880</v>
      </c>
    </row>
    <row r="41" spans="4:8">
      <c r="D41" t="s">
        <v>1630</v>
      </c>
      <c r="E41" s="436" t="e">
        <f>#REF!</f>
        <v>#REF!</v>
      </c>
    </row>
    <row r="42" spans="4:8">
      <c r="D42" t="s">
        <v>1631</v>
      </c>
      <c r="E42" s="438">
        <v>0</v>
      </c>
    </row>
    <row r="43" spans="4:8">
      <c r="D43" t="s">
        <v>1632</v>
      </c>
      <c r="E43" s="436">
        <v>18604</v>
      </c>
    </row>
    <row r="44" spans="4:8">
      <c r="D44" t="s">
        <v>1633</v>
      </c>
      <c r="E44" s="436" t="e">
        <f>'AR Bank Accounts'!#REF!-25000</f>
        <v>#REF!</v>
      </c>
    </row>
    <row r="45" spans="4:8">
      <c r="D45" s="254" t="s">
        <v>1697</v>
      </c>
      <c r="E45" s="439">
        <v>4747428</v>
      </c>
    </row>
    <row r="46" spans="4:8">
      <c r="D46" t="s">
        <v>1698</v>
      </c>
      <c r="E46" s="436">
        <v>25732</v>
      </c>
    </row>
    <row r="47" spans="4:8">
      <c r="D47" t="s">
        <v>1634</v>
      </c>
      <c r="E47" s="436">
        <v>63968</v>
      </c>
    </row>
    <row r="48" spans="4:8">
      <c r="E48" s="302"/>
    </row>
    <row r="49" spans="4:7">
      <c r="D49" s="254" t="s">
        <v>1699</v>
      </c>
      <c r="E49" s="439">
        <v>-2226667</v>
      </c>
    </row>
    <row r="50" spans="4:7">
      <c r="D50" t="s">
        <v>1700</v>
      </c>
      <c r="E50" s="437">
        <v>-29416</v>
      </c>
    </row>
    <row r="56" spans="4:7" ht="15" thickBot="1"/>
    <row r="57" spans="4:7" ht="15" thickBot="1">
      <c r="D57" s="482" t="s">
        <v>1918</v>
      </c>
      <c r="E57" s="483">
        <f>19607/77</f>
        <v>254.63636363636363</v>
      </c>
      <c r="F57" s="484"/>
      <c r="G57" s="485"/>
    </row>
    <row r="58" spans="4:7">
      <c r="D58" s="44" t="s">
        <v>1919</v>
      </c>
      <c r="E58" s="480">
        <v>49838.83</v>
      </c>
      <c r="F58" s="44"/>
      <c r="G58" s="481"/>
    </row>
    <row r="59" spans="4:7">
      <c r="D59" s="477" t="s">
        <v>1920</v>
      </c>
      <c r="E59" s="478">
        <v>705.63</v>
      </c>
      <c r="F59" s="477"/>
      <c r="G59" s="479"/>
    </row>
    <row r="60" spans="4:7">
      <c r="D60" s="17"/>
      <c r="E60" s="18"/>
      <c r="F60" s="17"/>
      <c r="G60" s="48"/>
    </row>
    <row r="61" spans="4:7">
      <c r="D61" s="486"/>
      <c r="E61" s="487">
        <v>0</v>
      </c>
      <c r="F61" s="486"/>
      <c r="G61" s="488"/>
    </row>
    <row r="62" spans="4:7" ht="15" thickBot="1">
      <c r="D62" s="43"/>
      <c r="E62" s="30"/>
      <c r="F62" s="43"/>
      <c r="G62" s="489"/>
    </row>
    <row r="63" spans="4:7" ht="15" thickBot="1">
      <c r="D63" s="482" t="s">
        <v>1922</v>
      </c>
      <c r="E63" s="483">
        <f>-903547/77</f>
        <v>-11734.376623376624</v>
      </c>
      <c r="F63" s="484"/>
      <c r="G63" s="485"/>
    </row>
    <row r="64" spans="4:7">
      <c r="D64" s="44" t="s">
        <v>1921</v>
      </c>
      <c r="E64" s="480">
        <v>-73521</v>
      </c>
      <c r="F64" s="44"/>
      <c r="G64" s="44"/>
    </row>
    <row r="65" spans="3:7">
      <c r="D65" s="477"/>
      <c r="E65" s="478"/>
      <c r="F65" s="477"/>
      <c r="G65" s="477"/>
    </row>
    <row r="66" spans="3:7">
      <c r="D66" s="17" t="s">
        <v>1634</v>
      </c>
      <c r="E66" s="18">
        <v>139705</v>
      </c>
      <c r="F66" s="17"/>
      <c r="G66" s="17"/>
    </row>
    <row r="68" spans="3:7">
      <c r="D68" t="s">
        <v>1958</v>
      </c>
      <c r="E68" s="476">
        <f>SUM(E57:E67)</f>
        <v>105248.71974025974</v>
      </c>
    </row>
    <row r="69" spans="3:7">
      <c r="E69">
        <v>-31312</v>
      </c>
    </row>
    <row r="71" spans="3:7">
      <c r="E71" s="369">
        <f>SUM(E68:E70)</f>
        <v>73936.719740259738</v>
      </c>
    </row>
    <row r="72" spans="3:7">
      <c r="E72" s="395" t="s">
        <v>567</v>
      </c>
      <c r="F72" s="395" t="s">
        <v>752</v>
      </c>
    </row>
    <row r="73" spans="3:7">
      <c r="C73" s="129" t="s">
        <v>2239</v>
      </c>
      <c r="D73" t="s">
        <v>1634</v>
      </c>
      <c r="E73" s="1"/>
      <c r="F73" s="534">
        <v>55213</v>
      </c>
    </row>
    <row r="74" spans="3:7">
      <c r="E74" s="1"/>
      <c r="F74" s="535"/>
    </row>
    <row r="75" spans="3:7">
      <c r="C75" s="129" t="s">
        <v>2240</v>
      </c>
      <c r="E75" s="1"/>
      <c r="F75" s="1"/>
    </row>
    <row r="76" spans="3:7">
      <c r="D76" t="s">
        <v>2243</v>
      </c>
      <c r="E76" s="538">
        <v>1321220.8500000001</v>
      </c>
      <c r="F76" s="476">
        <f>E76/77.5</f>
        <v>17048.010967741935</v>
      </c>
    </row>
    <row r="77" spans="3:7">
      <c r="D77" t="s">
        <v>2245</v>
      </c>
      <c r="E77" s="1"/>
      <c r="F77" s="535">
        <v>33764.800000000003</v>
      </c>
    </row>
    <row r="78" spans="3:7">
      <c r="D78" t="s">
        <v>2244</v>
      </c>
      <c r="E78" s="1"/>
      <c r="F78" s="1">
        <v>1837</v>
      </c>
    </row>
    <row r="79" spans="3:7">
      <c r="D79" t="s">
        <v>2246</v>
      </c>
      <c r="E79" s="538">
        <v>90500</v>
      </c>
      <c r="F79" s="476">
        <f>E79/77.5</f>
        <v>1167.741935483871</v>
      </c>
    </row>
    <row r="80" spans="3:7">
      <c r="E80" s="1"/>
      <c r="F80" s="1"/>
    </row>
    <row r="81" spans="3:6">
      <c r="E81" s="1"/>
      <c r="F81" s="1"/>
    </row>
    <row r="82" spans="3:6">
      <c r="C82" s="129" t="s">
        <v>2241</v>
      </c>
      <c r="D82" t="s">
        <v>2265</v>
      </c>
      <c r="E82" s="538">
        <v>560000</v>
      </c>
      <c r="F82" s="476">
        <f>560000/77.5</f>
        <v>7225.8064516129034</v>
      </c>
    </row>
    <row r="83" spans="3:6">
      <c r="C83" s="129"/>
      <c r="D83" t="s">
        <v>2371</v>
      </c>
      <c r="E83" s="538">
        <v>200000</v>
      </c>
      <c r="F83" s="476">
        <f>200000/77.5</f>
        <v>2580.6451612903224</v>
      </c>
    </row>
    <row r="84" spans="3:6">
      <c r="D84" t="s">
        <v>2267</v>
      </c>
      <c r="E84" s="1"/>
      <c r="F84" s="1">
        <v>4350</v>
      </c>
    </row>
    <row r="85" spans="3:6">
      <c r="D85" t="s">
        <v>2270</v>
      </c>
      <c r="E85" s="1"/>
      <c r="F85" s="1">
        <v>100</v>
      </c>
    </row>
    <row r="86" spans="3:6">
      <c r="D86" t="s">
        <v>2271</v>
      </c>
      <c r="E86" s="1"/>
      <c r="F86" s="1">
        <v>11314</v>
      </c>
    </row>
    <row r="87" spans="3:6">
      <c r="D87" t="s">
        <v>2268</v>
      </c>
      <c r="E87" s="534">
        <v>114413</v>
      </c>
      <c r="F87" s="1">
        <f>E87/77.5</f>
        <v>1476.2967741935483</v>
      </c>
    </row>
    <row r="88" spans="3:6" ht="15" thickBot="1">
      <c r="E88" s="1"/>
      <c r="F88" s="536">
        <f>SUM(F73:F86)</f>
        <v>134601.00451612903</v>
      </c>
    </row>
    <row r="89" spans="3:6">
      <c r="C89" s="129" t="s">
        <v>2242</v>
      </c>
      <c r="E89" s="1"/>
      <c r="F89" s="1"/>
    </row>
    <row r="90" spans="3:6">
      <c r="D90" t="s">
        <v>248</v>
      </c>
      <c r="E90" s="538">
        <v>901922</v>
      </c>
      <c r="F90" s="476">
        <f>901922/77.5</f>
        <v>11637.703225806452</v>
      </c>
    </row>
    <row r="91" spans="3:6">
      <c r="D91" t="s">
        <v>1917</v>
      </c>
      <c r="E91" s="1"/>
      <c r="F91" s="1">
        <v>14000</v>
      </c>
    </row>
    <row r="92" spans="3:6">
      <c r="D92" t="s">
        <v>2269</v>
      </c>
      <c r="E92" s="1"/>
      <c r="F92" s="1">
        <v>32370</v>
      </c>
    </row>
    <row r="93" spans="3:6" ht="15" thickBot="1">
      <c r="E93" s="1"/>
      <c r="F93" s="537">
        <f>SUM(F90:F92)</f>
        <v>58007.70322580645</v>
      </c>
    </row>
    <row r="95" spans="3:6">
      <c r="D95" s="532" t="s">
        <v>835</v>
      </c>
      <c r="F95" s="533">
        <f>F88-F93</f>
        <v>76593.30129032259</v>
      </c>
    </row>
    <row r="96" spans="3:6">
      <c r="D96" s="532"/>
      <c r="F96" s="533"/>
    </row>
    <row r="97" spans="2:6">
      <c r="D97" s="532"/>
      <c r="F97" s="533"/>
    </row>
    <row r="98" spans="2:6">
      <c r="B98" s="544">
        <v>45631</v>
      </c>
      <c r="E98" s="395" t="s">
        <v>567</v>
      </c>
      <c r="F98" s="395" t="s">
        <v>752</v>
      </c>
    </row>
    <row r="99" spans="2:6">
      <c r="C99" s="129" t="s">
        <v>2239</v>
      </c>
      <c r="D99" t="s">
        <v>1634</v>
      </c>
      <c r="E99" s="1"/>
      <c r="F99" s="534">
        <v>28299</v>
      </c>
    </row>
    <row r="100" spans="2:6">
      <c r="E100" s="1"/>
      <c r="F100" s="535"/>
    </row>
    <row r="101" spans="2:6">
      <c r="C101" s="129" t="s">
        <v>2240</v>
      </c>
      <c r="E101" s="1"/>
      <c r="F101" s="1"/>
    </row>
    <row r="102" spans="2:6">
      <c r="D102" t="s">
        <v>2243</v>
      </c>
      <c r="E102" s="538">
        <v>1602631.85</v>
      </c>
      <c r="F102" s="476">
        <f>E102/77.5</f>
        <v>20679.120645161292</v>
      </c>
    </row>
    <row r="103" spans="2:6">
      <c r="D103" t="s">
        <v>2245</v>
      </c>
      <c r="E103" s="1"/>
      <c r="F103" s="535">
        <v>33764.800000000003</v>
      </c>
    </row>
    <row r="104" spans="2:6">
      <c r="D104" t="s">
        <v>2244</v>
      </c>
      <c r="E104" s="1"/>
      <c r="F104" s="1">
        <v>1827</v>
      </c>
    </row>
    <row r="105" spans="2:6">
      <c r="D105" t="s">
        <v>2246</v>
      </c>
      <c r="E105" s="538">
        <v>2108731</v>
      </c>
      <c r="F105" s="476">
        <f>E105/77.5</f>
        <v>27209.432258064517</v>
      </c>
    </row>
    <row r="106" spans="2:6">
      <c r="E106" s="1"/>
      <c r="F106" s="1"/>
    </row>
    <row r="107" spans="2:6">
      <c r="E107" s="1"/>
      <c r="F107" s="1"/>
    </row>
    <row r="108" spans="2:6">
      <c r="C108" s="129" t="s">
        <v>2241</v>
      </c>
      <c r="D108" t="s">
        <v>2265</v>
      </c>
      <c r="E108" s="538">
        <v>560000</v>
      </c>
      <c r="F108" s="476">
        <f>560000/77.5</f>
        <v>7225.8064516129034</v>
      </c>
    </row>
    <row r="109" spans="2:6">
      <c r="C109" s="129"/>
      <c r="D109" t="s">
        <v>2371</v>
      </c>
      <c r="E109" s="538">
        <v>200000</v>
      </c>
      <c r="F109" s="476">
        <f>200000/77.5</f>
        <v>2580.6451612903224</v>
      </c>
    </row>
    <row r="110" spans="2:6">
      <c r="D110" t="s">
        <v>2267</v>
      </c>
      <c r="E110" s="1"/>
      <c r="F110" s="1">
        <v>4350</v>
      </c>
    </row>
    <row r="111" spans="2:6">
      <c r="D111" t="s">
        <v>2270</v>
      </c>
      <c r="E111" s="1"/>
      <c r="F111" s="1">
        <v>100</v>
      </c>
    </row>
    <row r="112" spans="2:6">
      <c r="D112" t="s">
        <v>2271</v>
      </c>
      <c r="E112" s="1"/>
      <c r="F112" s="1">
        <v>11314</v>
      </c>
    </row>
    <row r="113" spans="3:6">
      <c r="D113" t="s">
        <v>2268</v>
      </c>
      <c r="E113" s="534">
        <v>114413</v>
      </c>
      <c r="F113" s="476">
        <f>E113/77.5</f>
        <v>1476.2967741935483</v>
      </c>
    </row>
    <row r="114" spans="3:6" ht="15" thickBot="1">
      <c r="E114" s="1"/>
      <c r="F114" s="536">
        <f>SUM(F99:F113)</f>
        <v>138826.10129032258</v>
      </c>
    </row>
    <row r="115" spans="3:6">
      <c r="C115" s="129" t="s">
        <v>2242</v>
      </c>
      <c r="E115" s="1"/>
      <c r="F115" s="1"/>
    </row>
    <row r="116" spans="3:6">
      <c r="D116" t="s">
        <v>248</v>
      </c>
      <c r="E116" s="538">
        <v>901922</v>
      </c>
      <c r="F116" s="476">
        <f>901922/77.5</f>
        <v>11637.703225806452</v>
      </c>
    </row>
    <row r="117" spans="3:6">
      <c r="D117" t="s">
        <v>1917</v>
      </c>
      <c r="E117" s="1"/>
      <c r="F117" s="1">
        <v>14000</v>
      </c>
    </row>
    <row r="118" spans="3:6">
      <c r="D118" t="s">
        <v>2269</v>
      </c>
      <c r="E118" s="1"/>
      <c r="F118" s="1">
        <v>32370</v>
      </c>
    </row>
    <row r="119" spans="3:6" ht="15" thickBot="1">
      <c r="E119" s="1"/>
      <c r="F119" s="537">
        <f>SUM(F116:F118)</f>
        <v>58007.70322580645</v>
      </c>
    </row>
    <row r="121" spans="3:6">
      <c r="D121" s="532" t="s">
        <v>835</v>
      </c>
      <c r="F121" s="533">
        <f>F114-F119</f>
        <v>80818.398064516135</v>
      </c>
    </row>
    <row r="123" spans="3:6">
      <c r="D123" s="532"/>
      <c r="F123" s="533"/>
    </row>
    <row r="124" spans="3:6">
      <c r="D124" s="532"/>
      <c r="F124" s="533"/>
    </row>
    <row r="125" spans="3:6">
      <c r="D125" s="532"/>
      <c r="F125" s="533"/>
    </row>
    <row r="126" spans="3:6">
      <c r="D126" s="532"/>
      <c r="F126" s="533"/>
    </row>
    <row r="127" spans="3:6">
      <c r="D127" s="532"/>
      <c r="F127" s="533"/>
    </row>
    <row r="128" spans="3:6">
      <c r="D128" s="532"/>
      <c r="F128" s="533"/>
    </row>
    <row r="129" spans="4:6">
      <c r="D129" s="532"/>
      <c r="F129" s="533"/>
    </row>
    <row r="130" spans="4:6">
      <c r="D130" s="532"/>
      <c r="F130" s="533"/>
    </row>
    <row r="131" spans="4:6">
      <c r="D131" s="532"/>
      <c r="F131" s="533"/>
    </row>
    <row r="132" spans="4:6">
      <c r="D132" s="532"/>
      <c r="F132" s="533"/>
    </row>
    <row r="133" spans="4:6">
      <c r="D133" s="532"/>
      <c r="F133" s="533"/>
    </row>
    <row r="134" spans="4:6">
      <c r="D134" s="532"/>
      <c r="F134" s="533"/>
    </row>
    <row r="135" spans="4:6">
      <c r="D135" s="532"/>
      <c r="F135" s="533"/>
    </row>
    <row r="136" spans="4:6">
      <c r="D136" s="532"/>
      <c r="F136" s="533"/>
    </row>
    <row r="137" spans="4:6">
      <c r="D137" s="532"/>
      <c r="F137" s="533"/>
    </row>
    <row r="138" spans="4:6">
      <c r="D138" s="532"/>
      <c r="F138" s="533"/>
    </row>
    <row r="139" spans="4:6">
      <c r="D139" s="532"/>
      <c r="F139" s="533"/>
    </row>
    <row r="140" spans="4:6">
      <c r="D140" s="532"/>
      <c r="F140" s="533"/>
    </row>
    <row r="141" spans="4:6">
      <c r="D141" s="532"/>
      <c r="F141" s="533"/>
    </row>
    <row r="142" spans="4:6">
      <c r="D142" s="532"/>
      <c r="F142" s="533"/>
    </row>
    <row r="143" spans="4:6">
      <c r="D143" s="532"/>
      <c r="F143" s="533"/>
    </row>
    <row r="144" spans="4:6">
      <c r="D144" s="532"/>
      <c r="F144" s="533"/>
    </row>
    <row r="145" spans="4:6">
      <c r="D145" s="532"/>
      <c r="F145" s="533"/>
    </row>
    <row r="146" spans="4:6">
      <c r="D146" s="532"/>
      <c r="F146" s="533"/>
    </row>
    <row r="147" spans="4:6">
      <c r="D147" s="532"/>
      <c r="F147" s="533"/>
    </row>
    <row r="148" spans="4:6">
      <c r="D148" s="532"/>
      <c r="F148" s="533"/>
    </row>
    <row r="149" spans="4:6">
      <c r="D149" s="532"/>
      <c r="F149" s="533"/>
    </row>
    <row r="150" spans="4:6">
      <c r="D150" s="532"/>
      <c r="F150" s="533"/>
    </row>
    <row r="151" spans="4:6">
      <c r="D151" s="532"/>
      <c r="F151" s="533"/>
    </row>
    <row r="152" spans="4:6">
      <c r="D152" s="532"/>
      <c r="F152" s="533"/>
    </row>
    <row r="153" spans="4:6">
      <c r="D153" s="532"/>
      <c r="F153" s="533"/>
    </row>
    <row r="154" spans="4:6">
      <c r="D154" s="532"/>
      <c r="F154" s="533"/>
    </row>
    <row r="155" spans="4:6">
      <c r="D155" s="532"/>
      <c r="F155" s="533"/>
    </row>
    <row r="156" spans="4:6">
      <c r="D156" s="532"/>
      <c r="F156" s="533"/>
    </row>
    <row r="157" spans="4:6">
      <c r="D157" s="532"/>
      <c r="F157" s="533"/>
    </row>
    <row r="158" spans="4:6">
      <c r="D158" s="532"/>
      <c r="F158" s="533"/>
    </row>
    <row r="159" spans="4:6">
      <c r="D159" s="532"/>
      <c r="F159" s="533"/>
    </row>
    <row r="160" spans="4:6">
      <c r="D160" s="532"/>
      <c r="F160" s="533"/>
    </row>
    <row r="161" spans="4:17">
      <c r="D161" s="532"/>
      <c r="F161" s="533"/>
    </row>
    <row r="162" spans="4:17">
      <c r="D162" s="532"/>
      <c r="F162" s="533"/>
    </row>
    <row r="163" spans="4:17">
      <c r="D163" s="532"/>
      <c r="F163" s="533"/>
    </row>
    <row r="164" spans="4:17">
      <c r="D164" s="532"/>
      <c r="F164" s="533"/>
    </row>
    <row r="165" spans="4:17">
      <c r="D165" s="532"/>
      <c r="F165" s="533"/>
    </row>
    <row r="166" spans="4:17">
      <c r="D166" s="532"/>
      <c r="F166" s="533"/>
    </row>
    <row r="167" spans="4:17">
      <c r="D167" s="532"/>
      <c r="F167" s="533"/>
    </row>
    <row r="168" spans="4:17">
      <c r="D168" s="532"/>
      <c r="F168" s="533"/>
    </row>
    <row r="170" spans="4:17">
      <c r="I170" s="151"/>
      <c r="K170" s="395" t="s">
        <v>2272</v>
      </c>
    </row>
    <row r="171" spans="4:17">
      <c r="I171" s="21">
        <v>45580</v>
      </c>
      <c r="J171" s="1" t="s">
        <v>2247</v>
      </c>
      <c r="K171" t="s">
        <v>2263</v>
      </c>
      <c r="L171" s="1">
        <v>3</v>
      </c>
      <c r="N171">
        <f>577000/77.5</f>
        <v>7445.1612903225805</v>
      </c>
    </row>
    <row r="172" spans="4:17">
      <c r="I172" s="21">
        <v>45580</v>
      </c>
      <c r="J172" s="1" t="s">
        <v>2247</v>
      </c>
      <c r="K172" t="s">
        <v>2248</v>
      </c>
      <c r="L172" s="1">
        <v>4</v>
      </c>
      <c r="N172">
        <f>752000/77.5</f>
        <v>9703.2258064516136</v>
      </c>
      <c r="Q172">
        <f>188000*4</f>
        <v>752000</v>
      </c>
    </row>
    <row r="173" spans="4:17">
      <c r="I173" s="21">
        <v>45580</v>
      </c>
      <c r="J173" s="1" t="s">
        <v>2247</v>
      </c>
      <c r="K173" t="s">
        <v>2249</v>
      </c>
      <c r="L173" s="1">
        <v>1</v>
      </c>
      <c r="N173">
        <f>175000/77.5</f>
        <v>2258.0645161290322</v>
      </c>
    </row>
    <row r="174" spans="4:17">
      <c r="I174" s="21">
        <v>45580</v>
      </c>
      <c r="J174" s="1" t="s">
        <v>2247</v>
      </c>
      <c r="K174" t="s">
        <v>2250</v>
      </c>
      <c r="L174" s="1">
        <v>3</v>
      </c>
      <c r="N174">
        <f>480000/77.5</f>
        <v>6193.5483870967746</v>
      </c>
      <c r="Q174">
        <f>160000*3</f>
        <v>480000</v>
      </c>
    </row>
    <row r="175" spans="4:17">
      <c r="L175" s="1"/>
    </row>
    <row r="176" spans="4:17">
      <c r="I176" s="21">
        <v>45580</v>
      </c>
      <c r="J176" s="1" t="s">
        <v>2251</v>
      </c>
      <c r="K176" t="s">
        <v>600</v>
      </c>
      <c r="L176" s="1">
        <v>1</v>
      </c>
      <c r="N176">
        <v>2623</v>
      </c>
    </row>
    <row r="177" spans="9:14">
      <c r="I177" s="21">
        <v>45580</v>
      </c>
      <c r="J177" s="1" t="s">
        <v>2251</v>
      </c>
      <c r="K177" t="s">
        <v>2252</v>
      </c>
      <c r="L177" s="1">
        <v>1</v>
      </c>
      <c r="N177">
        <v>4428</v>
      </c>
    </row>
    <row r="178" spans="9:14">
      <c r="I178" s="21">
        <v>45580</v>
      </c>
      <c r="J178" s="1" t="s">
        <v>2251</v>
      </c>
      <c r="K178" t="s">
        <v>2253</v>
      </c>
      <c r="L178" s="1">
        <v>1</v>
      </c>
      <c r="N178">
        <v>3186</v>
      </c>
    </row>
    <row r="179" spans="9:14">
      <c r="I179" s="21">
        <v>45580</v>
      </c>
      <c r="J179" s="1" t="s">
        <v>2251</v>
      </c>
      <c r="K179" t="s">
        <v>2254</v>
      </c>
      <c r="L179" s="1">
        <v>1</v>
      </c>
      <c r="N179">
        <v>1450</v>
      </c>
    </row>
    <row r="180" spans="9:14">
      <c r="I180" s="21">
        <v>45580</v>
      </c>
      <c r="J180" s="1" t="s">
        <v>2251</v>
      </c>
      <c r="K180" t="s">
        <v>2255</v>
      </c>
      <c r="L180" s="1">
        <v>3</v>
      </c>
      <c r="N180">
        <v>4767</v>
      </c>
    </row>
    <row r="181" spans="9:14">
      <c r="I181" s="21">
        <v>45580</v>
      </c>
      <c r="J181" s="1" t="s">
        <v>2251</v>
      </c>
      <c r="K181" t="s">
        <v>2256</v>
      </c>
      <c r="L181" s="1">
        <v>1</v>
      </c>
      <c r="N181">
        <v>926</v>
      </c>
    </row>
    <row r="182" spans="9:14">
      <c r="I182" s="21">
        <v>45580</v>
      </c>
      <c r="J182" s="1" t="s">
        <v>2251</v>
      </c>
      <c r="K182" t="s">
        <v>2257</v>
      </c>
      <c r="L182" s="1">
        <v>1</v>
      </c>
      <c r="N182">
        <v>781</v>
      </c>
    </row>
    <row r="183" spans="9:14">
      <c r="I183" s="21">
        <v>45580</v>
      </c>
      <c r="J183" s="1" t="s">
        <v>2251</v>
      </c>
      <c r="K183" t="s">
        <v>2258</v>
      </c>
      <c r="L183" s="1">
        <v>4</v>
      </c>
      <c r="N183">
        <v>1956</v>
      </c>
    </row>
    <row r="184" spans="9:14">
      <c r="I184" s="21">
        <v>45580</v>
      </c>
      <c r="J184" s="1" t="s">
        <v>2251</v>
      </c>
      <c r="K184" t="s">
        <v>2259</v>
      </c>
      <c r="L184" s="1">
        <v>5</v>
      </c>
      <c r="N184">
        <v>2620</v>
      </c>
    </row>
    <row r="185" spans="9:14">
      <c r="I185" s="21">
        <v>45580</v>
      </c>
      <c r="J185" s="1" t="s">
        <v>2251</v>
      </c>
      <c r="K185" t="s">
        <v>2249</v>
      </c>
      <c r="L185" s="1">
        <v>1</v>
      </c>
      <c r="N185">
        <v>2338</v>
      </c>
    </row>
    <row r="186" spans="9:14">
      <c r="I186" s="21">
        <v>45580</v>
      </c>
      <c r="J186" s="1" t="s">
        <v>2251</v>
      </c>
      <c r="K186" t="s">
        <v>2260</v>
      </c>
      <c r="L186" s="1">
        <v>1</v>
      </c>
      <c r="N186">
        <v>300</v>
      </c>
    </row>
    <row r="187" spans="9:14">
      <c r="I187" s="21">
        <v>45580</v>
      </c>
      <c r="J187" s="1" t="s">
        <v>2251</v>
      </c>
      <c r="K187" t="s">
        <v>56</v>
      </c>
      <c r="L187" s="1">
        <v>1</v>
      </c>
      <c r="N187">
        <v>555.6</v>
      </c>
    </row>
    <row r="188" spans="9:14">
      <c r="I188" s="21">
        <v>45580</v>
      </c>
      <c r="J188" s="1" t="s">
        <v>2251</v>
      </c>
      <c r="K188" t="s">
        <v>2261</v>
      </c>
      <c r="L188" s="1">
        <v>1</v>
      </c>
      <c r="N188">
        <v>555.6</v>
      </c>
    </row>
    <row r="189" spans="9:14">
      <c r="I189" s="21">
        <v>45580</v>
      </c>
      <c r="J189" s="1" t="s">
        <v>2251</v>
      </c>
      <c r="K189" t="s">
        <v>2262</v>
      </c>
      <c r="L189" s="1">
        <v>1</v>
      </c>
      <c r="N189">
        <v>555.6</v>
      </c>
    </row>
    <row r="191" spans="9:14">
      <c r="K191" s="129" t="s">
        <v>257</v>
      </c>
      <c r="L191" s="395">
        <f>SUM(L171:L190)</f>
        <v>34</v>
      </c>
      <c r="M191" s="129"/>
      <c r="N191" s="129">
        <f>SUM(N171:N190)</f>
        <v>52641.799999999996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3:I187"/>
  <sheetViews>
    <sheetView tabSelected="1" topLeftCell="A133" zoomScale="90" zoomScaleNormal="90" workbookViewId="0">
      <selection activeCell="H162" sqref="H162"/>
    </sheetView>
  </sheetViews>
  <sheetFormatPr defaultRowHeight="14.4"/>
  <cols>
    <col min="2" max="2" width="18.21875" customWidth="1"/>
    <col min="3" max="3" width="30.21875" customWidth="1"/>
    <col min="4" max="4" width="10.88671875" customWidth="1"/>
    <col min="5" max="5" width="12.109375" customWidth="1"/>
    <col min="6" max="6" width="11.109375" customWidth="1"/>
    <col min="7" max="7" width="18.6640625" bestFit="1" customWidth="1"/>
    <col min="8" max="8" width="28" bestFit="1" customWidth="1"/>
  </cols>
  <sheetData>
    <row r="3" spans="1:6">
      <c r="A3" s="590" t="s">
        <v>18</v>
      </c>
      <c r="B3" s="590"/>
      <c r="C3" s="16" t="s">
        <v>19</v>
      </c>
    </row>
    <row r="4" spans="1:6" ht="15" thickBot="1"/>
    <row r="5" spans="1:6" ht="18.600000000000001" thickBot="1">
      <c r="B5" s="12" t="s">
        <v>13</v>
      </c>
      <c r="C5" s="15" t="s">
        <v>14</v>
      </c>
      <c r="D5" s="13" t="s">
        <v>15</v>
      </c>
      <c r="E5" s="15" t="s">
        <v>16</v>
      </c>
      <c r="F5" s="14" t="s">
        <v>17</v>
      </c>
    </row>
    <row r="7" spans="1:6">
      <c r="B7" s="42">
        <v>45405</v>
      </c>
      <c r="C7" s="43" t="s">
        <v>83</v>
      </c>
      <c r="D7" s="43"/>
      <c r="E7" s="17">
        <f>Pur.Invoice!F21</f>
        <v>18375</v>
      </c>
      <c r="F7" s="48">
        <f>F6+D7-E7</f>
        <v>-18375</v>
      </c>
    </row>
    <row r="8" spans="1:6">
      <c r="B8" s="40">
        <v>45405</v>
      </c>
      <c r="C8" s="17" t="s">
        <v>84</v>
      </c>
      <c r="D8" s="17"/>
      <c r="E8" s="41">
        <f>Pur.Invoice!F43</f>
        <v>23650</v>
      </c>
      <c r="F8" s="48">
        <f t="shared" ref="F8:F13" si="0">F7+D8-E8</f>
        <v>-42025</v>
      </c>
    </row>
    <row r="9" spans="1:6">
      <c r="B9" s="40">
        <v>45405</v>
      </c>
      <c r="C9" s="17" t="s">
        <v>85</v>
      </c>
      <c r="D9" s="17"/>
      <c r="E9" s="41">
        <f>Pur.Invoice!F74</f>
        <v>9999.9900000000016</v>
      </c>
      <c r="F9" s="48">
        <f t="shared" si="0"/>
        <v>-52024.990000000005</v>
      </c>
    </row>
    <row r="10" spans="1:6">
      <c r="B10" s="42">
        <v>45405</v>
      </c>
      <c r="C10" s="43" t="s">
        <v>86</v>
      </c>
      <c r="D10" s="43"/>
      <c r="E10" s="41">
        <f>Pur.Invoice!F123</f>
        <v>31000</v>
      </c>
      <c r="F10" s="48">
        <f t="shared" si="0"/>
        <v>-83024.990000000005</v>
      </c>
    </row>
    <row r="11" spans="1:6">
      <c r="B11" s="45">
        <v>45406</v>
      </c>
      <c r="C11" s="46" t="s">
        <v>87</v>
      </c>
      <c r="D11" s="47">
        <v>19607.84</v>
      </c>
      <c r="E11" s="41"/>
      <c r="F11" s="48">
        <f t="shared" si="0"/>
        <v>-63417.150000000009</v>
      </c>
    </row>
    <row r="12" spans="1:6" ht="27">
      <c r="B12" s="45">
        <v>45406</v>
      </c>
      <c r="C12" s="46" t="s">
        <v>88</v>
      </c>
      <c r="D12" s="47">
        <v>3267.97</v>
      </c>
      <c r="E12" s="41"/>
      <c r="F12" s="48">
        <f t="shared" si="0"/>
        <v>-60149.180000000008</v>
      </c>
    </row>
    <row r="13" spans="1:6" ht="27">
      <c r="B13" s="45">
        <v>45406</v>
      </c>
      <c r="C13" s="46" t="s">
        <v>88</v>
      </c>
      <c r="D13" s="47">
        <v>3267.97</v>
      </c>
      <c r="E13" s="41"/>
      <c r="F13" s="48">
        <f t="shared" si="0"/>
        <v>-56881.210000000006</v>
      </c>
    </row>
    <row r="14" spans="1:6">
      <c r="B14" s="130">
        <v>45419</v>
      </c>
      <c r="C14" s="44" t="s">
        <v>298</v>
      </c>
      <c r="D14" s="44">
        <v>26000</v>
      </c>
      <c r="E14" s="17"/>
      <c r="F14" s="48">
        <f t="shared" ref="F14:F27" si="1">F13+D14-E14</f>
        <v>-30881.210000000006</v>
      </c>
    </row>
    <row r="15" spans="1:6">
      <c r="B15" s="40">
        <v>45421</v>
      </c>
      <c r="C15" s="17" t="s">
        <v>472</v>
      </c>
      <c r="D15" s="17">
        <v>30001.21</v>
      </c>
      <c r="E15" s="17"/>
      <c r="F15" s="48">
        <f t="shared" si="1"/>
        <v>-880.00000000000728</v>
      </c>
    </row>
    <row r="16" spans="1:6">
      <c r="B16" s="40"/>
      <c r="C16" s="17"/>
      <c r="D16" s="17"/>
      <c r="E16" s="17"/>
      <c r="F16" s="48">
        <f t="shared" si="1"/>
        <v>-880.00000000000728</v>
      </c>
    </row>
    <row r="17" spans="1:8">
      <c r="B17" s="40"/>
      <c r="C17" s="17" t="s">
        <v>804</v>
      </c>
      <c r="D17" s="17">
        <v>50000</v>
      </c>
      <c r="E17" s="17"/>
      <c r="F17" s="48">
        <f t="shared" si="1"/>
        <v>49119.999999999993</v>
      </c>
    </row>
    <row r="18" spans="1:8" ht="15" thickBot="1">
      <c r="B18" s="40">
        <v>45453</v>
      </c>
      <c r="C18" s="17" t="s">
        <v>875</v>
      </c>
      <c r="D18" s="17">
        <v>760</v>
      </c>
      <c r="E18" s="17">
        <v>760</v>
      </c>
      <c r="F18" s="48">
        <f t="shared" si="1"/>
        <v>49119.999999999993</v>
      </c>
    </row>
    <row r="19" spans="1:8">
      <c r="B19" s="40">
        <v>45453</v>
      </c>
      <c r="C19" s="17" t="s">
        <v>85</v>
      </c>
      <c r="D19" s="17"/>
      <c r="E19" s="109">
        <v>129728.22</v>
      </c>
      <c r="F19" s="48">
        <f t="shared" si="1"/>
        <v>-80608.22</v>
      </c>
      <c r="G19" t="s">
        <v>1372</v>
      </c>
      <c r="H19" s="386" t="s">
        <v>1373</v>
      </c>
    </row>
    <row r="20" spans="1:8">
      <c r="B20" s="40">
        <v>45456</v>
      </c>
      <c r="C20" s="17" t="s">
        <v>467</v>
      </c>
      <c r="D20" s="17">
        <v>50000</v>
      </c>
      <c r="E20" s="17"/>
      <c r="F20" s="48">
        <f t="shared" si="1"/>
        <v>-30608.22</v>
      </c>
      <c r="H20" s="387" t="s">
        <v>1374</v>
      </c>
    </row>
    <row r="21" spans="1:8" ht="15" thickBot="1">
      <c r="B21" s="40">
        <v>45474</v>
      </c>
      <c r="C21" s="17" t="s">
        <v>1347</v>
      </c>
      <c r="D21" s="109">
        <v>13887.72</v>
      </c>
      <c r="E21" s="17"/>
      <c r="F21" s="48">
        <f t="shared" si="1"/>
        <v>-16720.5</v>
      </c>
      <c r="H21" s="297" t="s">
        <v>1375</v>
      </c>
    </row>
    <row r="22" spans="1:8">
      <c r="B22" s="40">
        <v>45497</v>
      </c>
      <c r="C22" s="17" t="s">
        <v>1622</v>
      </c>
      <c r="D22" s="17">
        <v>1304.27</v>
      </c>
      <c r="E22" s="17"/>
      <c r="F22" s="48">
        <f t="shared" si="1"/>
        <v>-15416.23</v>
      </c>
    </row>
    <row r="23" spans="1:8">
      <c r="B23" s="40">
        <v>45500</v>
      </c>
      <c r="C23" s="17" t="s">
        <v>1643</v>
      </c>
      <c r="D23" s="17">
        <v>10000</v>
      </c>
      <c r="E23" s="17"/>
      <c r="F23" s="48">
        <f t="shared" si="1"/>
        <v>-5416.23</v>
      </c>
    </row>
    <row r="24" spans="1:8">
      <c r="B24" s="40"/>
      <c r="C24" s="17"/>
      <c r="D24" s="17"/>
      <c r="E24" s="17"/>
      <c r="F24" s="48">
        <f t="shared" si="1"/>
        <v>-5416.23</v>
      </c>
    </row>
    <row r="25" spans="1:8">
      <c r="B25" s="40"/>
      <c r="C25" s="17"/>
      <c r="D25" s="17"/>
      <c r="E25" s="17"/>
      <c r="F25" s="48">
        <f t="shared" si="1"/>
        <v>-5416.23</v>
      </c>
    </row>
    <row r="26" spans="1:8">
      <c r="B26" s="17"/>
      <c r="C26" s="17"/>
      <c r="D26" s="17"/>
      <c r="E26" s="17"/>
      <c r="F26" s="48">
        <f t="shared" si="1"/>
        <v>-5416.23</v>
      </c>
    </row>
    <row r="27" spans="1:8" ht="15.6">
      <c r="B27" s="17"/>
      <c r="C27" s="19" t="s">
        <v>20</v>
      </c>
      <c r="D27" s="20"/>
      <c r="E27" s="20"/>
      <c r="F27" s="19">
        <f t="shared" si="1"/>
        <v>-5416.23</v>
      </c>
    </row>
    <row r="30" spans="1:8">
      <c r="A30" s="590" t="s">
        <v>18</v>
      </c>
      <c r="B30" s="590"/>
      <c r="C30" s="16" t="s">
        <v>180</v>
      </c>
    </row>
    <row r="31" spans="1:8" ht="15" thickBot="1"/>
    <row r="32" spans="1:8" ht="18.600000000000001" thickBot="1">
      <c r="B32" s="12" t="s">
        <v>13</v>
      </c>
      <c r="C32" s="15" t="s">
        <v>14</v>
      </c>
      <c r="D32" s="13" t="s">
        <v>15</v>
      </c>
      <c r="E32" s="15" t="s">
        <v>16</v>
      </c>
      <c r="F32" s="14" t="s">
        <v>17</v>
      </c>
    </row>
    <row r="34" spans="2:7">
      <c r="B34" s="17"/>
      <c r="C34" s="17" t="s">
        <v>470</v>
      </c>
      <c r="D34" s="17">
        <v>94813.52</v>
      </c>
      <c r="E34" s="17"/>
      <c r="F34" s="48">
        <f>F33+D34-E34</f>
        <v>94813.52</v>
      </c>
    </row>
    <row r="35" spans="2:7">
      <c r="B35" s="42">
        <v>45405</v>
      </c>
      <c r="C35" s="43" t="s">
        <v>227</v>
      </c>
      <c r="D35" s="43"/>
      <c r="E35" s="17">
        <v>154324</v>
      </c>
      <c r="F35" s="48">
        <f>F34+D35-E35</f>
        <v>-59510.479999999996</v>
      </c>
    </row>
    <row r="36" spans="2:7">
      <c r="B36" s="40">
        <v>45420</v>
      </c>
      <c r="C36" s="17" t="s">
        <v>471</v>
      </c>
      <c r="D36" s="17">
        <v>40000</v>
      </c>
      <c r="E36" s="41"/>
      <c r="F36" s="48">
        <f t="shared" ref="F36:F66" si="2">F35+D36-E36</f>
        <v>-19510.479999999996</v>
      </c>
    </row>
    <row r="37" spans="2:7">
      <c r="B37" s="42">
        <v>45420</v>
      </c>
      <c r="C37" s="17" t="s">
        <v>471</v>
      </c>
      <c r="D37" s="43">
        <v>20000</v>
      </c>
      <c r="E37" s="41"/>
      <c r="F37" s="48">
        <f t="shared" si="2"/>
        <v>489.52000000000407</v>
      </c>
    </row>
    <row r="38" spans="2:7">
      <c r="B38" s="42">
        <v>45420</v>
      </c>
      <c r="C38" s="17" t="s">
        <v>471</v>
      </c>
      <c r="D38" s="47">
        <v>10000</v>
      </c>
      <c r="E38" s="41"/>
      <c r="F38" s="48">
        <f t="shared" si="2"/>
        <v>10489.520000000004</v>
      </c>
    </row>
    <row r="39" spans="2:7">
      <c r="B39" s="42">
        <v>45412</v>
      </c>
      <c r="C39" s="43" t="s">
        <v>639</v>
      </c>
      <c r="D39" s="47"/>
      <c r="E39" s="41">
        <v>534.86</v>
      </c>
      <c r="F39" s="48">
        <f t="shared" si="2"/>
        <v>9954.6600000000035</v>
      </c>
    </row>
    <row r="40" spans="2:7">
      <c r="B40" s="42"/>
      <c r="C40" s="43" t="s">
        <v>641</v>
      </c>
      <c r="D40" s="47"/>
      <c r="E40" s="41">
        <v>40</v>
      </c>
      <c r="F40" s="48">
        <f t="shared" si="2"/>
        <v>9914.6600000000035</v>
      </c>
    </row>
    <row r="41" spans="2:7">
      <c r="B41" s="42">
        <v>45423</v>
      </c>
      <c r="C41" s="43" t="s">
        <v>564</v>
      </c>
      <c r="D41" s="47">
        <v>3455</v>
      </c>
      <c r="E41" s="41"/>
      <c r="F41" s="48">
        <f t="shared" si="2"/>
        <v>13369.660000000003</v>
      </c>
    </row>
    <row r="42" spans="2:7">
      <c r="B42" s="45">
        <v>45426</v>
      </c>
      <c r="C42" s="43" t="s">
        <v>563</v>
      </c>
      <c r="D42" s="47"/>
      <c r="E42" s="212">
        <v>56288</v>
      </c>
      <c r="F42" s="48">
        <f t="shared" si="2"/>
        <v>-42918.34</v>
      </c>
      <c r="G42" s="179"/>
    </row>
    <row r="43" spans="2:7">
      <c r="B43" s="45">
        <v>45427</v>
      </c>
      <c r="C43" s="46" t="s">
        <v>640</v>
      </c>
      <c r="D43" s="47">
        <v>50000</v>
      </c>
      <c r="E43" s="41"/>
      <c r="F43" s="48">
        <f t="shared" si="2"/>
        <v>7081.6600000000035</v>
      </c>
    </row>
    <row r="44" spans="2:7">
      <c r="B44" s="45">
        <v>45427</v>
      </c>
      <c r="C44" s="44" t="s">
        <v>641</v>
      </c>
      <c r="D44" s="44"/>
      <c r="E44" s="17">
        <v>10</v>
      </c>
      <c r="F44" s="48">
        <f t="shared" si="2"/>
        <v>7071.6600000000035</v>
      </c>
    </row>
    <row r="45" spans="2:7">
      <c r="B45" s="40">
        <v>45442</v>
      </c>
      <c r="C45" s="43" t="s">
        <v>811</v>
      </c>
      <c r="D45" s="17">
        <v>35000</v>
      </c>
      <c r="E45" s="109"/>
      <c r="F45" s="48">
        <f t="shared" si="2"/>
        <v>42071.66</v>
      </c>
    </row>
    <row r="46" spans="2:7">
      <c r="B46" s="40">
        <v>45442</v>
      </c>
      <c r="C46" s="17" t="s">
        <v>1167</v>
      </c>
      <c r="D46" s="17"/>
      <c r="E46" s="346">
        <v>4903</v>
      </c>
      <c r="F46" s="48">
        <f t="shared" si="2"/>
        <v>37168.660000000003</v>
      </c>
    </row>
    <row r="47" spans="2:7">
      <c r="B47" s="40">
        <v>45443</v>
      </c>
      <c r="C47" s="43" t="s">
        <v>1164</v>
      </c>
      <c r="D47" s="17"/>
      <c r="E47" s="346">
        <v>527.77</v>
      </c>
      <c r="F47" s="48">
        <f t="shared" si="2"/>
        <v>36640.890000000007</v>
      </c>
    </row>
    <row r="48" spans="2:7" ht="15.6">
      <c r="B48" s="40">
        <v>45447</v>
      </c>
      <c r="C48" s="349" t="s">
        <v>802</v>
      </c>
      <c r="D48" s="17"/>
      <c r="E48" s="109">
        <v>44886</v>
      </c>
      <c r="F48" s="48">
        <f t="shared" si="2"/>
        <v>-8245.1099999999933</v>
      </c>
      <c r="G48" s="194">
        <v>1632</v>
      </c>
    </row>
    <row r="49" spans="2:7">
      <c r="B49" s="40">
        <v>45448</v>
      </c>
      <c r="C49" s="43" t="s">
        <v>1165</v>
      </c>
      <c r="D49" s="17"/>
      <c r="E49" s="348">
        <v>1938.51</v>
      </c>
      <c r="F49" s="48">
        <f t="shared" si="2"/>
        <v>-10183.619999999994</v>
      </c>
      <c r="G49" s="194"/>
    </row>
    <row r="50" spans="2:7">
      <c r="B50" s="40">
        <v>45448</v>
      </c>
      <c r="C50" s="46" t="s">
        <v>640</v>
      </c>
      <c r="D50" s="17">
        <v>10000</v>
      </c>
      <c r="E50" s="109"/>
      <c r="F50" s="48">
        <f t="shared" si="2"/>
        <v>-183.61999999999352</v>
      </c>
      <c r="G50" s="194"/>
    </row>
    <row r="51" spans="2:7">
      <c r="B51" s="40">
        <v>45453</v>
      </c>
      <c r="C51" s="17" t="s">
        <v>1167</v>
      </c>
      <c r="D51" s="347">
        <v>760</v>
      </c>
      <c r="E51" s="109"/>
      <c r="F51" s="48">
        <f>F50+D51-E51</f>
        <v>576.38000000000648</v>
      </c>
    </row>
    <row r="52" spans="2:7">
      <c r="B52" s="40">
        <v>45453</v>
      </c>
      <c r="C52" s="43" t="s">
        <v>877</v>
      </c>
      <c r="D52" s="17">
        <v>3000</v>
      </c>
      <c r="E52" s="109"/>
      <c r="F52" s="48">
        <f t="shared" si="2"/>
        <v>3576.3800000000065</v>
      </c>
    </row>
    <row r="53" spans="2:7" ht="15.6">
      <c r="B53" s="40">
        <v>45454</v>
      </c>
      <c r="C53" s="349" t="s">
        <v>1111</v>
      </c>
      <c r="D53" s="17"/>
      <c r="E53" s="251">
        <v>55588</v>
      </c>
      <c r="F53" s="48">
        <f t="shared" si="2"/>
        <v>-52011.619999999995</v>
      </c>
      <c r="G53" s="179">
        <v>1991.69</v>
      </c>
    </row>
    <row r="54" spans="2:7">
      <c r="B54" s="40">
        <v>45454</v>
      </c>
      <c r="C54" s="43" t="s">
        <v>1166</v>
      </c>
      <c r="D54" s="17"/>
      <c r="E54" s="348">
        <v>315.51</v>
      </c>
      <c r="F54" s="48">
        <f t="shared" si="2"/>
        <v>-52327.13</v>
      </c>
    </row>
    <row r="55" spans="2:7">
      <c r="B55" s="40">
        <v>45458</v>
      </c>
      <c r="C55" s="17" t="s">
        <v>1190</v>
      </c>
      <c r="D55" s="17">
        <v>10622</v>
      </c>
      <c r="E55" s="17"/>
      <c r="F55" s="48">
        <f t="shared" si="2"/>
        <v>-41705.129999999997</v>
      </c>
    </row>
    <row r="56" spans="2:7">
      <c r="B56" s="40">
        <v>45465</v>
      </c>
      <c r="C56" s="17" t="s">
        <v>1191</v>
      </c>
      <c r="D56" s="17">
        <v>24000</v>
      </c>
      <c r="E56" s="17"/>
      <c r="F56" s="48">
        <f t="shared" si="2"/>
        <v>-17705.129999999997</v>
      </c>
    </row>
    <row r="57" spans="2:7">
      <c r="B57" s="40">
        <v>45467</v>
      </c>
      <c r="C57" s="17" t="s">
        <v>1244</v>
      </c>
      <c r="D57" s="17"/>
      <c r="E57" s="365">
        <v>34125</v>
      </c>
      <c r="F57" s="48">
        <f t="shared" si="2"/>
        <v>-51830.13</v>
      </c>
    </row>
    <row r="58" spans="2:7">
      <c r="B58" s="40">
        <v>45469</v>
      </c>
      <c r="C58" s="17" t="s">
        <v>811</v>
      </c>
      <c r="D58" s="17">
        <v>20000</v>
      </c>
      <c r="E58" s="17"/>
      <c r="F58" s="48">
        <f t="shared" si="2"/>
        <v>-31830.129999999997</v>
      </c>
    </row>
    <row r="59" spans="2:7">
      <c r="B59" s="40">
        <v>45468</v>
      </c>
      <c r="C59" s="17" t="s">
        <v>1245</v>
      </c>
      <c r="D59" s="17"/>
      <c r="E59" s="17">
        <v>60</v>
      </c>
      <c r="F59" s="48">
        <f t="shared" si="2"/>
        <v>-31890.129999999997</v>
      </c>
    </row>
    <row r="60" spans="2:7">
      <c r="B60" s="40">
        <v>45468</v>
      </c>
      <c r="C60" s="17" t="s">
        <v>1246</v>
      </c>
      <c r="D60" s="17"/>
      <c r="E60" s="17">
        <v>1350</v>
      </c>
      <c r="F60" s="48">
        <f t="shared" si="2"/>
        <v>-33240.129999999997</v>
      </c>
    </row>
    <row r="61" spans="2:7">
      <c r="B61" s="40">
        <v>45472</v>
      </c>
      <c r="C61" s="17" t="s">
        <v>1258</v>
      </c>
      <c r="D61" s="17">
        <v>4950</v>
      </c>
      <c r="E61" s="17"/>
      <c r="F61" s="48">
        <f t="shared" si="2"/>
        <v>-28290.129999999997</v>
      </c>
    </row>
    <row r="62" spans="2:7">
      <c r="B62" s="40">
        <v>45472</v>
      </c>
      <c r="C62" s="17" t="s">
        <v>1258</v>
      </c>
      <c r="D62">
        <v>10700</v>
      </c>
      <c r="E62" s="17"/>
      <c r="F62" s="48">
        <f t="shared" si="2"/>
        <v>-17590.129999999997</v>
      </c>
    </row>
    <row r="63" spans="2:7">
      <c r="B63" s="40">
        <v>45472</v>
      </c>
      <c r="C63" s="17" t="s">
        <v>1258</v>
      </c>
      <c r="D63" s="17">
        <v>10000</v>
      </c>
      <c r="E63" s="17"/>
      <c r="F63" s="48">
        <f t="shared" si="2"/>
        <v>-7590.1299999999974</v>
      </c>
    </row>
    <row r="64" spans="2:7">
      <c r="B64" s="40">
        <v>45475</v>
      </c>
      <c r="C64" s="17" t="s">
        <v>1258</v>
      </c>
      <c r="D64" s="17">
        <v>7600</v>
      </c>
      <c r="E64" s="17"/>
      <c r="F64" s="48">
        <f t="shared" si="2"/>
        <v>9.8700000000026193</v>
      </c>
    </row>
    <row r="65" spans="1:6">
      <c r="B65" s="17"/>
      <c r="C65" s="17"/>
      <c r="D65" s="17"/>
      <c r="E65" s="17"/>
      <c r="F65" s="48">
        <f t="shared" si="2"/>
        <v>9.8700000000026193</v>
      </c>
    </row>
    <row r="66" spans="1:6" ht="15.6">
      <c r="B66" s="17"/>
      <c r="C66" s="19" t="s">
        <v>20</v>
      </c>
      <c r="D66" s="20"/>
      <c r="E66" s="20"/>
      <c r="F66" s="19">
        <f t="shared" si="2"/>
        <v>9.8700000000026193</v>
      </c>
    </row>
    <row r="69" spans="1:6">
      <c r="A69" s="590" t="s">
        <v>18</v>
      </c>
      <c r="B69" s="590"/>
      <c r="C69" s="16" t="s">
        <v>585</v>
      </c>
    </row>
    <row r="70" spans="1:6" ht="15" thickBot="1"/>
    <row r="71" spans="1:6" ht="18.600000000000001" thickBot="1">
      <c r="B71" s="12" t="s">
        <v>13</v>
      </c>
      <c r="C71" s="15" t="s">
        <v>14</v>
      </c>
      <c r="D71" s="13" t="s">
        <v>15</v>
      </c>
      <c r="E71" s="15" t="s">
        <v>16</v>
      </c>
      <c r="F71" s="14" t="s">
        <v>17</v>
      </c>
    </row>
    <row r="73" spans="1:6">
      <c r="B73" s="42">
        <v>45429</v>
      </c>
      <c r="C73" s="43" t="s">
        <v>586</v>
      </c>
      <c r="D73" s="43"/>
      <c r="E73" s="17">
        <v>8350</v>
      </c>
      <c r="F73" s="48">
        <f>F72+D73-E73</f>
        <v>-8350</v>
      </c>
    </row>
    <row r="74" spans="1:6">
      <c r="B74" s="40">
        <v>45444</v>
      </c>
      <c r="C74" s="43" t="s">
        <v>718</v>
      </c>
      <c r="D74" s="17">
        <v>4950</v>
      </c>
      <c r="E74" s="41"/>
      <c r="F74" s="48">
        <f t="shared" ref="F74:F79" si="3">F73+D74-E74</f>
        <v>-3400</v>
      </c>
    </row>
    <row r="75" spans="1:6">
      <c r="B75" s="40">
        <v>45479</v>
      </c>
      <c r="C75" s="17" t="s">
        <v>1432</v>
      </c>
      <c r="D75" s="112">
        <v>10000</v>
      </c>
      <c r="E75" s="41"/>
      <c r="F75" s="48">
        <f t="shared" si="3"/>
        <v>6600</v>
      </c>
    </row>
    <row r="76" spans="1:6">
      <c r="B76" s="42">
        <v>45498</v>
      </c>
      <c r="C76" s="43" t="s">
        <v>1724</v>
      </c>
      <c r="D76" s="43"/>
      <c r="E76" s="41">
        <v>6600</v>
      </c>
      <c r="F76" s="48">
        <f t="shared" si="3"/>
        <v>0</v>
      </c>
    </row>
    <row r="77" spans="1:6">
      <c r="B77" s="17"/>
      <c r="C77" s="17"/>
      <c r="D77" s="17"/>
      <c r="E77" s="17"/>
      <c r="F77" s="48">
        <f t="shared" si="3"/>
        <v>0</v>
      </c>
    </row>
    <row r="78" spans="1:6">
      <c r="B78" s="17"/>
      <c r="C78" s="17"/>
      <c r="D78" s="17"/>
      <c r="E78" s="17"/>
      <c r="F78" s="48">
        <f t="shared" si="3"/>
        <v>0</v>
      </c>
    </row>
    <row r="79" spans="1:6" ht="15.6">
      <c r="B79" s="17"/>
      <c r="C79" s="19" t="s">
        <v>20</v>
      </c>
      <c r="D79" s="20"/>
      <c r="E79" s="20"/>
      <c r="F79" s="19">
        <f t="shared" si="3"/>
        <v>0</v>
      </c>
    </row>
    <row r="83" spans="1:6">
      <c r="A83" s="590" t="s">
        <v>18</v>
      </c>
      <c r="B83" s="590"/>
      <c r="C83" s="16" t="s">
        <v>805</v>
      </c>
    </row>
    <row r="84" spans="1:6" ht="15" thickBot="1"/>
    <row r="85" spans="1:6" ht="18.600000000000001" thickBot="1">
      <c r="B85" s="12" t="s">
        <v>13</v>
      </c>
      <c r="C85" s="15" t="s">
        <v>14</v>
      </c>
      <c r="D85" s="13" t="s">
        <v>15</v>
      </c>
      <c r="E85" s="15" t="s">
        <v>16</v>
      </c>
      <c r="F85" s="14" t="s">
        <v>17</v>
      </c>
    </row>
    <row r="87" spans="1:6">
      <c r="B87" s="42">
        <v>45448</v>
      </c>
      <c r="C87" s="43" t="s">
        <v>808</v>
      </c>
      <c r="D87" s="43"/>
      <c r="E87" s="17">
        <v>6150</v>
      </c>
      <c r="F87" s="48">
        <f>F86+D87-E87</f>
        <v>-6150</v>
      </c>
    </row>
    <row r="88" spans="1:6">
      <c r="B88" s="21">
        <v>45455</v>
      </c>
      <c r="C88" t="s">
        <v>1008</v>
      </c>
      <c r="D88">
        <v>6150</v>
      </c>
      <c r="E88" s="41"/>
      <c r="F88" s="48">
        <f t="shared" ref="F88:F89" si="4">F87+D88-E88</f>
        <v>0</v>
      </c>
    </row>
    <row r="89" spans="1:6">
      <c r="B89" s="42"/>
      <c r="C89" s="43"/>
      <c r="D89" s="17"/>
      <c r="E89" s="41"/>
      <c r="F89" s="48">
        <f t="shared" si="4"/>
        <v>0</v>
      </c>
    </row>
    <row r="90" spans="1:6">
      <c r="B90" s="42"/>
      <c r="C90" s="43"/>
      <c r="D90" s="43"/>
      <c r="E90" s="41"/>
      <c r="F90" s="48">
        <f t="shared" ref="F90:F93" si="5">F89+D90-E90</f>
        <v>0</v>
      </c>
    </row>
    <row r="91" spans="1:6">
      <c r="B91" s="17"/>
      <c r="C91" s="17"/>
      <c r="D91" s="17"/>
      <c r="E91" s="17"/>
      <c r="F91" s="48">
        <f t="shared" si="5"/>
        <v>0</v>
      </c>
    </row>
    <row r="92" spans="1:6">
      <c r="B92" s="17"/>
      <c r="C92" s="17"/>
      <c r="D92" s="17"/>
      <c r="E92" s="17"/>
      <c r="F92" s="48">
        <f t="shared" si="5"/>
        <v>0</v>
      </c>
    </row>
    <row r="93" spans="1:6" ht="15.6">
      <c r="B93" s="17"/>
      <c r="C93" s="19" t="s">
        <v>20</v>
      </c>
      <c r="D93" s="20"/>
      <c r="E93" s="20"/>
      <c r="F93" s="19">
        <f t="shared" si="5"/>
        <v>0</v>
      </c>
    </row>
    <row r="97" spans="1:6">
      <c r="A97" s="590" t="s">
        <v>18</v>
      </c>
      <c r="B97" s="590"/>
      <c r="C97" s="16" t="s">
        <v>1521</v>
      </c>
    </row>
    <row r="98" spans="1:6" ht="15" thickBot="1"/>
    <row r="99" spans="1:6" ht="18.600000000000001" thickBot="1">
      <c r="B99" s="12" t="s">
        <v>13</v>
      </c>
      <c r="C99" s="15" t="s">
        <v>14</v>
      </c>
      <c r="D99" s="13" t="s">
        <v>15</v>
      </c>
      <c r="E99" s="15" t="s">
        <v>16</v>
      </c>
      <c r="F99" s="14" t="s">
        <v>17</v>
      </c>
    </row>
    <row r="101" spans="1:6">
      <c r="B101" s="40">
        <v>45488</v>
      </c>
      <c r="C101" s="43" t="s">
        <v>1523</v>
      </c>
      <c r="D101" s="17"/>
      <c r="E101" s="17">
        <v>24900</v>
      </c>
      <c r="F101" s="48">
        <f>F100+D101-E101</f>
        <v>-24900</v>
      </c>
    </row>
    <row r="102" spans="1:6">
      <c r="B102" s="40">
        <v>45488</v>
      </c>
      <c r="C102" s="17" t="s">
        <v>1599</v>
      </c>
      <c r="D102" s="17">
        <v>24430</v>
      </c>
      <c r="E102" s="17"/>
      <c r="F102" s="48">
        <f t="shared" ref="F102:F107" si="6">F101+D102-E102</f>
        <v>-470</v>
      </c>
    </row>
    <row r="103" spans="1:6">
      <c r="B103" s="40">
        <v>45502</v>
      </c>
      <c r="C103" s="17" t="s">
        <v>1651</v>
      </c>
      <c r="D103" s="17">
        <v>470</v>
      </c>
      <c r="E103" s="17"/>
      <c r="F103" s="48">
        <f t="shared" si="6"/>
        <v>0</v>
      </c>
    </row>
    <row r="104" spans="1:6">
      <c r="B104" s="42">
        <v>45497</v>
      </c>
      <c r="C104" s="43" t="s">
        <v>1600</v>
      </c>
      <c r="D104" s="43"/>
      <c r="E104" s="41">
        <v>13560</v>
      </c>
      <c r="F104" s="48">
        <f t="shared" si="6"/>
        <v>-13560</v>
      </c>
    </row>
    <row r="105" spans="1:6">
      <c r="B105" s="42">
        <v>45497</v>
      </c>
      <c r="C105" s="17" t="s">
        <v>1601</v>
      </c>
      <c r="D105" s="41">
        <v>13560</v>
      </c>
      <c r="E105" s="17"/>
      <c r="F105" s="48">
        <f t="shared" si="6"/>
        <v>0</v>
      </c>
    </row>
    <row r="106" spans="1:6">
      <c r="B106" s="17"/>
      <c r="C106" s="17"/>
      <c r="D106" s="17"/>
      <c r="E106" s="17"/>
      <c r="F106" s="48">
        <f t="shared" si="6"/>
        <v>0</v>
      </c>
    </row>
    <row r="107" spans="1:6" ht="15.6">
      <c r="B107" s="17"/>
      <c r="C107" s="19" t="s">
        <v>20</v>
      </c>
      <c r="D107" s="20"/>
      <c r="E107" s="20"/>
      <c r="F107" s="19">
        <f t="shared" si="6"/>
        <v>0</v>
      </c>
    </row>
    <row r="110" spans="1:6">
      <c r="A110" s="590" t="s">
        <v>18</v>
      </c>
      <c r="B110" s="590"/>
      <c r="C110" s="16" t="s">
        <v>1973</v>
      </c>
    </row>
    <row r="111" spans="1:6" ht="15" thickBot="1"/>
    <row r="112" spans="1:6" ht="18.600000000000001" thickBot="1">
      <c r="B112" s="12" t="s">
        <v>13</v>
      </c>
      <c r="C112" s="15" t="s">
        <v>14</v>
      </c>
      <c r="D112" s="13" t="s">
        <v>15</v>
      </c>
      <c r="E112" s="15" t="s">
        <v>16</v>
      </c>
      <c r="F112" s="14" t="s">
        <v>17</v>
      </c>
    </row>
    <row r="114" spans="2:9">
      <c r="B114" s="40">
        <v>45516</v>
      </c>
      <c r="C114" s="17" t="s">
        <v>1761</v>
      </c>
      <c r="D114" s="17">
        <v>5050</v>
      </c>
      <c r="E114" s="17"/>
      <c r="F114" s="48">
        <f>F113+D114-E114</f>
        <v>5050</v>
      </c>
    </row>
    <row r="115" spans="2:9">
      <c r="B115" s="40">
        <v>45516</v>
      </c>
      <c r="C115" s="17" t="s">
        <v>1451</v>
      </c>
      <c r="D115" s="17"/>
      <c r="E115" s="17">
        <v>50</v>
      </c>
      <c r="F115" s="48">
        <f t="shared" ref="F115:F116" si="7">F114+D115-E115</f>
        <v>5000</v>
      </c>
    </row>
    <row r="116" spans="2:9">
      <c r="B116" s="40">
        <v>45517</v>
      </c>
      <c r="C116" s="463" t="s">
        <v>1796</v>
      </c>
      <c r="D116" s="17"/>
      <c r="E116" s="17">
        <v>75465</v>
      </c>
      <c r="F116" s="48">
        <f t="shared" si="7"/>
        <v>-70465</v>
      </c>
    </row>
    <row r="117" spans="2:9">
      <c r="B117" s="40">
        <v>45517</v>
      </c>
      <c r="C117" s="463" t="s">
        <v>1803</v>
      </c>
      <c r="D117" s="17"/>
      <c r="E117" s="17">
        <v>200</v>
      </c>
      <c r="F117" s="48">
        <f t="shared" ref="F117:F133" si="8">F116+D117-E117</f>
        <v>-70665</v>
      </c>
    </row>
    <row r="118" spans="2:9">
      <c r="B118" s="40">
        <v>45517</v>
      </c>
      <c r="C118" s="463" t="s">
        <v>1804</v>
      </c>
      <c r="D118" s="17"/>
      <c r="E118" s="17">
        <v>110</v>
      </c>
      <c r="F118" s="48">
        <f t="shared" si="8"/>
        <v>-70775</v>
      </c>
    </row>
    <row r="119" spans="2:9">
      <c r="B119" s="40">
        <v>45517</v>
      </c>
      <c r="C119" s="17" t="s">
        <v>1802</v>
      </c>
      <c r="D119" s="112">
        <v>70775</v>
      </c>
      <c r="E119" s="17"/>
      <c r="F119" s="48">
        <f t="shared" si="8"/>
        <v>0</v>
      </c>
    </row>
    <row r="120" spans="2:9">
      <c r="B120" s="40">
        <v>45519</v>
      </c>
      <c r="C120" s="17" t="s">
        <v>464</v>
      </c>
      <c r="D120" s="17">
        <v>20</v>
      </c>
      <c r="E120" s="17">
        <v>20</v>
      </c>
      <c r="F120" s="48">
        <f t="shared" si="8"/>
        <v>0</v>
      </c>
    </row>
    <row r="121" spans="2:9">
      <c r="B121" s="40">
        <v>45519</v>
      </c>
      <c r="C121" s="17" t="s">
        <v>1819</v>
      </c>
      <c r="D121" s="17">
        <v>70</v>
      </c>
      <c r="E121" s="17">
        <v>70</v>
      </c>
      <c r="F121" s="48">
        <f t="shared" si="8"/>
        <v>0</v>
      </c>
    </row>
    <row r="122" spans="2:9">
      <c r="B122" s="40"/>
      <c r="C122" s="17"/>
      <c r="D122" s="17"/>
      <c r="E122" s="17"/>
      <c r="F122" s="48">
        <f t="shared" si="8"/>
        <v>0</v>
      </c>
    </row>
    <row r="123" spans="2:9">
      <c r="B123" s="40">
        <v>45527</v>
      </c>
      <c r="C123" s="17" t="s">
        <v>1938</v>
      </c>
      <c r="D123" s="17"/>
      <c r="E123" s="17">
        <f>Pur.Invoice!F1078</f>
        <v>45306</v>
      </c>
      <c r="F123" s="48">
        <f t="shared" si="8"/>
        <v>-45306</v>
      </c>
    </row>
    <row r="124" spans="2:9">
      <c r="B124" s="40">
        <v>45531</v>
      </c>
      <c r="C124" s="17" t="s">
        <v>1944</v>
      </c>
      <c r="D124" s="17">
        <f>11480*2.7</f>
        <v>30996.000000000004</v>
      </c>
      <c r="E124" s="17"/>
      <c r="F124" s="48">
        <f t="shared" si="8"/>
        <v>-14309.999999999996</v>
      </c>
      <c r="I124" t="s">
        <v>752</v>
      </c>
    </row>
    <row r="125" spans="2:9">
      <c r="B125" s="40">
        <v>45531</v>
      </c>
      <c r="C125" s="17" t="s">
        <v>1955</v>
      </c>
      <c r="D125" s="17">
        <f>3100*2.7</f>
        <v>8370</v>
      </c>
      <c r="E125" s="17"/>
      <c r="F125" s="48">
        <f t="shared" si="8"/>
        <v>-5939.9999999999964</v>
      </c>
      <c r="I125">
        <v>8100</v>
      </c>
    </row>
    <row r="126" spans="2:9">
      <c r="B126" s="40">
        <v>45531</v>
      </c>
      <c r="C126" s="17" t="s">
        <v>1956</v>
      </c>
      <c r="D126" s="17">
        <f>2200*2.7</f>
        <v>5940</v>
      </c>
      <c r="E126" s="17"/>
      <c r="F126" s="48">
        <f t="shared" si="8"/>
        <v>3.637978807091713E-12</v>
      </c>
    </row>
    <row r="127" spans="2:9">
      <c r="B127" s="40">
        <v>45542</v>
      </c>
      <c r="C127" s="17" t="s">
        <v>2020</v>
      </c>
      <c r="D127" s="17">
        <v>32405</v>
      </c>
      <c r="E127" s="17"/>
      <c r="F127" s="48">
        <f t="shared" si="8"/>
        <v>32405.000000000004</v>
      </c>
    </row>
    <row r="128" spans="2:9">
      <c r="B128" s="40">
        <v>45569</v>
      </c>
      <c r="C128" s="17" t="s">
        <v>2136</v>
      </c>
      <c r="D128" s="17"/>
      <c r="E128" s="17">
        <v>32405</v>
      </c>
      <c r="F128" s="48">
        <f t="shared" si="8"/>
        <v>0</v>
      </c>
    </row>
    <row r="129" spans="1:6">
      <c r="B129" s="40"/>
      <c r="C129" s="17"/>
      <c r="D129" s="17"/>
      <c r="E129" s="17"/>
      <c r="F129" s="48">
        <f t="shared" si="8"/>
        <v>0</v>
      </c>
    </row>
    <row r="130" spans="1:6">
      <c r="B130" s="40"/>
      <c r="C130" s="17"/>
      <c r="D130" s="17"/>
      <c r="E130" s="17"/>
      <c r="F130" s="48">
        <f t="shared" si="8"/>
        <v>0</v>
      </c>
    </row>
    <row r="131" spans="1:6">
      <c r="B131" s="40"/>
      <c r="C131" s="17"/>
      <c r="D131" s="17"/>
      <c r="E131" s="17"/>
      <c r="F131" s="48">
        <f t="shared" si="8"/>
        <v>0</v>
      </c>
    </row>
    <row r="132" spans="1:6">
      <c r="B132" s="40"/>
      <c r="C132" s="17"/>
      <c r="D132" s="17"/>
      <c r="E132" s="17"/>
      <c r="F132" s="48">
        <f t="shared" si="8"/>
        <v>0</v>
      </c>
    </row>
    <row r="133" spans="1:6" ht="17.399999999999999">
      <c r="B133" s="17"/>
      <c r="C133" s="19" t="s">
        <v>20</v>
      </c>
      <c r="D133" s="20"/>
      <c r="E133" s="20"/>
      <c r="F133" s="493">
        <f t="shared" si="8"/>
        <v>0</v>
      </c>
    </row>
    <row r="136" spans="1:6">
      <c r="C136" t="s">
        <v>1947</v>
      </c>
      <c r="D136">
        <v>400</v>
      </c>
    </row>
    <row r="137" spans="1:6">
      <c r="C137" t="s">
        <v>1948</v>
      </c>
      <c r="D137">
        <v>400</v>
      </c>
    </row>
    <row r="139" spans="1:6">
      <c r="A139" s="590" t="s">
        <v>18</v>
      </c>
      <c r="B139" s="590"/>
      <c r="C139" s="16" t="s">
        <v>2315</v>
      </c>
    </row>
    <row r="140" spans="1:6" ht="15" thickBot="1"/>
    <row r="141" spans="1:6" ht="18.600000000000001" thickBot="1">
      <c r="B141" s="12" t="s">
        <v>13</v>
      </c>
      <c r="C141" s="15" t="s">
        <v>14</v>
      </c>
      <c r="D141" s="13" t="s">
        <v>15</v>
      </c>
      <c r="E141" s="15" t="s">
        <v>16</v>
      </c>
      <c r="F141" s="14" t="s">
        <v>17</v>
      </c>
    </row>
    <row r="143" spans="1:6">
      <c r="B143" s="40">
        <v>45572</v>
      </c>
      <c r="C143" s="43" t="s">
        <v>2314</v>
      </c>
      <c r="D143" s="17"/>
      <c r="E143" s="109">
        <v>37137.699999999997</v>
      </c>
      <c r="F143" s="48">
        <f>F142+D143-E143</f>
        <v>-37137.699999999997</v>
      </c>
    </row>
    <row r="144" spans="1:6">
      <c r="B144" s="40"/>
      <c r="C144" s="17"/>
      <c r="D144" s="17"/>
      <c r="E144" s="17"/>
      <c r="F144" s="48">
        <f t="shared" ref="F144:F149" si="9">F143+D144-E144</f>
        <v>-37137.699999999997</v>
      </c>
    </row>
    <row r="145" spans="1:6">
      <c r="B145" s="40"/>
      <c r="C145" s="17"/>
      <c r="D145" s="17"/>
      <c r="E145" s="17"/>
      <c r="F145" s="48">
        <f t="shared" si="9"/>
        <v>-37137.699999999997</v>
      </c>
    </row>
    <row r="146" spans="1:6">
      <c r="B146" s="42"/>
      <c r="C146" s="43"/>
      <c r="D146" s="43"/>
      <c r="E146" s="41"/>
      <c r="F146" s="48">
        <f t="shared" si="9"/>
        <v>-37137.699999999997</v>
      </c>
    </row>
    <row r="147" spans="1:6">
      <c r="B147" s="42"/>
      <c r="C147" s="17"/>
      <c r="D147" s="41"/>
      <c r="E147" s="17"/>
      <c r="F147" s="48">
        <f t="shared" si="9"/>
        <v>-37137.699999999997</v>
      </c>
    </row>
    <row r="148" spans="1:6">
      <c r="B148" s="17"/>
      <c r="C148" s="17"/>
      <c r="D148" s="17"/>
      <c r="E148" s="17"/>
      <c r="F148" s="48">
        <f t="shared" si="9"/>
        <v>-37137.699999999997</v>
      </c>
    </row>
    <row r="149" spans="1:6" ht="15.6">
      <c r="B149" s="17"/>
      <c r="C149" s="19" t="s">
        <v>20</v>
      </c>
      <c r="D149" s="20"/>
      <c r="E149" s="20"/>
      <c r="F149" s="19">
        <f t="shared" si="9"/>
        <v>-37137.699999999997</v>
      </c>
    </row>
    <row r="150" spans="1:6" ht="15.6">
      <c r="C150" s="59"/>
      <c r="D150" s="60"/>
      <c r="E150" s="60"/>
      <c r="F150" s="59"/>
    </row>
    <row r="151" spans="1:6" ht="15.6">
      <c r="C151" s="59"/>
      <c r="D151" s="60"/>
      <c r="E151" s="60"/>
      <c r="F151" s="59"/>
    </row>
    <row r="152" spans="1:6">
      <c r="A152" s="590" t="s">
        <v>18</v>
      </c>
      <c r="B152" s="590"/>
      <c r="C152" s="16" t="s">
        <v>2316</v>
      </c>
    </row>
    <row r="153" spans="1:6" ht="15" thickBot="1"/>
    <row r="154" spans="1:6" ht="18.600000000000001" thickBot="1">
      <c r="B154" s="12" t="s">
        <v>13</v>
      </c>
      <c r="C154" s="15" t="s">
        <v>14</v>
      </c>
      <c r="D154" s="13" t="s">
        <v>15</v>
      </c>
      <c r="E154" s="15" t="s">
        <v>16</v>
      </c>
      <c r="F154" s="14" t="s">
        <v>17</v>
      </c>
    </row>
    <row r="156" spans="1:6">
      <c r="B156" s="40">
        <v>45572</v>
      </c>
      <c r="C156" s="43" t="s">
        <v>2356</v>
      </c>
      <c r="D156" s="17"/>
      <c r="E156" s="109">
        <f>13754.7*2.67</f>
        <v>36725.048999999999</v>
      </c>
      <c r="F156" s="48">
        <f>F155+D156-E156</f>
        <v>-36725.048999999999</v>
      </c>
    </row>
    <row r="157" spans="1:6">
      <c r="B157" s="40"/>
      <c r="C157" s="17"/>
      <c r="D157" s="17"/>
      <c r="E157" s="17"/>
      <c r="F157" s="48">
        <f t="shared" ref="F157:F162" si="10">F156+D157-E157</f>
        <v>-36725.048999999999</v>
      </c>
    </row>
    <row r="158" spans="1:6">
      <c r="B158" s="40"/>
      <c r="C158" s="17"/>
      <c r="D158" s="17"/>
      <c r="E158" s="17"/>
      <c r="F158" s="48">
        <f t="shared" si="10"/>
        <v>-36725.048999999999</v>
      </c>
    </row>
    <row r="159" spans="1:6">
      <c r="B159" s="42"/>
      <c r="C159" s="43"/>
      <c r="D159" s="43"/>
      <c r="E159" s="41"/>
      <c r="F159" s="48">
        <f t="shared" si="10"/>
        <v>-36725.048999999999</v>
      </c>
    </row>
    <row r="160" spans="1:6">
      <c r="B160" s="42"/>
      <c r="C160" s="17"/>
      <c r="D160" s="41"/>
      <c r="E160" s="17"/>
      <c r="F160" s="48">
        <f t="shared" si="10"/>
        <v>-36725.048999999999</v>
      </c>
    </row>
    <row r="161" spans="1:6">
      <c r="B161" s="17"/>
      <c r="C161" s="17"/>
      <c r="D161" s="17"/>
      <c r="E161" s="17"/>
      <c r="F161" s="48">
        <f t="shared" si="10"/>
        <v>-36725.048999999999</v>
      </c>
    </row>
    <row r="162" spans="1:6" ht="15.6">
      <c r="B162" s="17"/>
      <c r="C162" s="19" t="s">
        <v>20</v>
      </c>
      <c r="D162" s="20"/>
      <c r="E162" s="20"/>
      <c r="F162" s="19">
        <f t="shared" si="10"/>
        <v>-36725.048999999999</v>
      </c>
    </row>
    <row r="163" spans="1:6" ht="15.6">
      <c r="C163" s="59"/>
      <c r="D163" s="60"/>
      <c r="E163" s="60"/>
      <c r="F163" s="59"/>
    </row>
    <row r="165" spans="1:6">
      <c r="A165" s="590" t="s">
        <v>18</v>
      </c>
      <c r="B165" s="590"/>
      <c r="C165" s="16" t="s">
        <v>2275</v>
      </c>
    </row>
    <row r="166" spans="1:6" ht="15" thickBot="1"/>
    <row r="167" spans="1:6" ht="18.600000000000001" thickBot="1">
      <c r="B167" s="12" t="s">
        <v>13</v>
      </c>
      <c r="C167" s="15" t="s">
        <v>14</v>
      </c>
      <c r="D167" s="13" t="s">
        <v>15</v>
      </c>
      <c r="E167" s="15" t="s">
        <v>16</v>
      </c>
      <c r="F167" s="14" t="s">
        <v>17</v>
      </c>
    </row>
    <row r="169" spans="1:6">
      <c r="B169" s="40">
        <v>45580</v>
      </c>
      <c r="C169" s="43" t="s">
        <v>2276</v>
      </c>
      <c r="D169" s="112"/>
      <c r="E169" s="17">
        <v>206530</v>
      </c>
      <c r="F169" s="48">
        <f>F168+D169-E169</f>
        <v>-206530</v>
      </c>
    </row>
    <row r="170" spans="1:6">
      <c r="B170" s="40">
        <v>45581</v>
      </c>
      <c r="C170" s="17" t="s">
        <v>2277</v>
      </c>
      <c r="D170" s="17">
        <v>205100</v>
      </c>
      <c r="E170" s="17"/>
      <c r="F170" s="48">
        <f t="shared" ref="F170:F175" si="11">F169+D170-E170</f>
        <v>-1430</v>
      </c>
    </row>
    <row r="171" spans="1:6">
      <c r="B171" s="40"/>
      <c r="C171" s="17"/>
      <c r="D171" s="17"/>
      <c r="E171" s="17"/>
      <c r="F171" s="48">
        <f t="shared" si="11"/>
        <v>-1430</v>
      </c>
    </row>
    <row r="172" spans="1:6">
      <c r="B172" s="42"/>
      <c r="C172" s="43"/>
      <c r="D172" s="43"/>
      <c r="E172" s="41"/>
      <c r="F172" s="48">
        <f t="shared" si="11"/>
        <v>-1430</v>
      </c>
    </row>
    <row r="173" spans="1:6">
      <c r="B173" s="42"/>
      <c r="C173" s="17"/>
      <c r="D173" s="41"/>
      <c r="E173" s="17"/>
      <c r="F173" s="48">
        <f t="shared" si="11"/>
        <v>-1430</v>
      </c>
    </row>
    <row r="174" spans="1:6">
      <c r="B174" s="17"/>
      <c r="C174" s="17"/>
      <c r="D174" s="17"/>
      <c r="E174" s="17"/>
      <c r="F174" s="48">
        <f t="shared" si="11"/>
        <v>-1430</v>
      </c>
    </row>
    <row r="175" spans="1:6" ht="15.6">
      <c r="B175" s="17"/>
      <c r="C175" s="19" t="s">
        <v>20</v>
      </c>
      <c r="D175" s="20"/>
      <c r="E175" s="20"/>
      <c r="F175" s="19">
        <f t="shared" si="11"/>
        <v>-1430</v>
      </c>
    </row>
    <row r="177" spans="1:6">
      <c r="A177" s="590" t="s">
        <v>18</v>
      </c>
      <c r="B177" s="590"/>
      <c r="C177" s="16" t="s">
        <v>2305</v>
      </c>
    </row>
    <row r="178" spans="1:6" ht="15" thickBot="1"/>
    <row r="179" spans="1:6" ht="18.600000000000001" thickBot="1">
      <c r="B179" s="12" t="s">
        <v>13</v>
      </c>
      <c r="C179" s="15" t="s">
        <v>14</v>
      </c>
      <c r="D179" s="13" t="s">
        <v>15</v>
      </c>
      <c r="E179" s="15" t="s">
        <v>16</v>
      </c>
      <c r="F179" s="14" t="s">
        <v>17</v>
      </c>
    </row>
    <row r="181" spans="1:6">
      <c r="B181" s="40">
        <v>45587</v>
      </c>
      <c r="C181" s="43" t="s">
        <v>2306</v>
      </c>
      <c r="D181" s="112"/>
      <c r="E181" s="112">
        <v>119860</v>
      </c>
      <c r="F181" s="48">
        <f>F180+D181-E181</f>
        <v>-119860</v>
      </c>
    </row>
    <row r="182" spans="1:6">
      <c r="B182" s="40">
        <v>45587</v>
      </c>
      <c r="C182" s="17" t="s">
        <v>2307</v>
      </c>
      <c r="D182" s="17">
        <v>4660</v>
      </c>
      <c r="E182" s="17"/>
      <c r="F182" s="48">
        <f t="shared" ref="F182:F187" si="12">F181+D182-E182</f>
        <v>-115200</v>
      </c>
    </row>
    <row r="183" spans="1:6">
      <c r="B183" s="40">
        <v>45587</v>
      </c>
      <c r="C183" s="17" t="s">
        <v>2307</v>
      </c>
      <c r="D183" s="17">
        <v>105000</v>
      </c>
      <c r="E183" s="17"/>
      <c r="F183" s="48">
        <f t="shared" si="12"/>
        <v>-10200</v>
      </c>
    </row>
    <row r="184" spans="1:6">
      <c r="B184" s="42"/>
      <c r="C184" s="43"/>
      <c r="D184" s="43"/>
      <c r="E184" s="41"/>
      <c r="F184" s="48">
        <f t="shared" si="12"/>
        <v>-10200</v>
      </c>
    </row>
    <row r="185" spans="1:6">
      <c r="B185" s="42"/>
      <c r="C185" s="17"/>
      <c r="D185" s="41"/>
      <c r="E185" s="17"/>
      <c r="F185" s="48">
        <f t="shared" si="12"/>
        <v>-10200</v>
      </c>
    </row>
    <row r="186" spans="1:6">
      <c r="B186" s="17"/>
      <c r="C186" s="17"/>
      <c r="D186" s="17"/>
      <c r="E186" s="17"/>
      <c r="F186" s="48">
        <f t="shared" si="12"/>
        <v>-10200</v>
      </c>
    </row>
    <row r="187" spans="1:6" ht="15.6">
      <c r="B187" s="17"/>
      <c r="C187" s="19" t="s">
        <v>20</v>
      </c>
      <c r="D187" s="20"/>
      <c r="E187" s="20"/>
      <c r="F187" s="19">
        <f t="shared" si="12"/>
        <v>-10200</v>
      </c>
    </row>
  </sheetData>
  <mergeCells count="10">
    <mergeCell ref="A177:B177"/>
    <mergeCell ref="A165:B165"/>
    <mergeCell ref="A139:B139"/>
    <mergeCell ref="A110:B110"/>
    <mergeCell ref="A3:B3"/>
    <mergeCell ref="A30:B30"/>
    <mergeCell ref="A69:B69"/>
    <mergeCell ref="A83:B83"/>
    <mergeCell ref="A97:B97"/>
    <mergeCell ref="A152:B1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R585"/>
  <sheetViews>
    <sheetView topLeftCell="B552" zoomScale="80" zoomScaleNormal="80" workbookViewId="0">
      <selection activeCell="D580" sqref="D580"/>
    </sheetView>
  </sheetViews>
  <sheetFormatPr defaultRowHeight="14.4"/>
  <cols>
    <col min="1" max="1" width="10.77734375" bestFit="1" customWidth="1"/>
    <col min="2" max="2" width="14.21875" bestFit="1" customWidth="1"/>
    <col min="3" max="3" width="75.44140625" bestFit="1" customWidth="1"/>
    <col min="4" max="4" width="17.77734375" style="131" customWidth="1"/>
    <col min="5" max="5" width="15.88671875" bestFit="1" customWidth="1"/>
    <col min="6" max="6" width="13.44140625" bestFit="1" customWidth="1"/>
    <col min="7" max="7" width="12.44140625" customWidth="1"/>
    <col min="8" max="8" width="12" bestFit="1" customWidth="1"/>
    <col min="9" max="9" width="18.109375" bestFit="1" customWidth="1"/>
    <col min="12" max="12" width="11" bestFit="1" customWidth="1"/>
    <col min="13" max="13" width="14.44140625" bestFit="1" customWidth="1"/>
    <col min="14" max="14" width="15.77734375" bestFit="1" customWidth="1"/>
    <col min="15" max="15" width="17.77734375" bestFit="1" customWidth="1"/>
    <col min="16" max="16" width="18.21875" bestFit="1" customWidth="1"/>
    <col min="17" max="17" width="17.77734375" bestFit="1" customWidth="1"/>
    <col min="18" max="18" width="13.5546875" bestFit="1" customWidth="1"/>
  </cols>
  <sheetData>
    <row r="2" spans="2:4" ht="15.6">
      <c r="B2" s="132" t="s">
        <v>305</v>
      </c>
      <c r="C2" s="132" t="s">
        <v>451</v>
      </c>
      <c r="D2" s="133"/>
    </row>
    <row r="3" spans="2:4" ht="15.6">
      <c r="B3" s="132" t="s">
        <v>13</v>
      </c>
      <c r="C3" s="134">
        <v>45409</v>
      </c>
      <c r="D3" s="133"/>
    </row>
    <row r="4" spans="2:4" ht="15.6">
      <c r="B4" s="132" t="s">
        <v>452</v>
      </c>
      <c r="C4" s="132" t="s">
        <v>179</v>
      </c>
      <c r="D4" s="133"/>
    </row>
    <row r="5" spans="2:4" ht="15.6">
      <c r="B5" s="132"/>
      <c r="C5" s="132" t="s">
        <v>306</v>
      </c>
      <c r="D5" s="133" t="s">
        <v>24</v>
      </c>
    </row>
    <row r="7" spans="2:4">
      <c r="C7" t="s">
        <v>316</v>
      </c>
      <c r="D7" s="131" t="s">
        <v>307</v>
      </c>
    </row>
    <row r="8" spans="2:4">
      <c r="C8" t="s">
        <v>316</v>
      </c>
      <c r="D8" s="131" t="s">
        <v>308</v>
      </c>
    </row>
    <row r="9" spans="2:4">
      <c r="C9" t="s">
        <v>316</v>
      </c>
      <c r="D9" s="131" t="s">
        <v>309</v>
      </c>
    </row>
    <row r="10" spans="2:4">
      <c r="C10" t="s">
        <v>316</v>
      </c>
      <c r="D10" s="131" t="s">
        <v>310</v>
      </c>
    </row>
    <row r="11" spans="2:4">
      <c r="C11" t="s">
        <v>316</v>
      </c>
      <c r="D11" s="131" t="s">
        <v>311</v>
      </c>
    </row>
    <row r="12" spans="2:4">
      <c r="C12" t="s">
        <v>317</v>
      </c>
      <c r="D12" s="131" t="s">
        <v>312</v>
      </c>
    </row>
    <row r="13" spans="2:4">
      <c r="C13" t="s">
        <v>318</v>
      </c>
      <c r="D13" s="131" t="s">
        <v>313</v>
      </c>
    </row>
    <row r="14" spans="2:4">
      <c r="C14" t="s">
        <v>318</v>
      </c>
      <c r="D14" s="131" t="s">
        <v>314</v>
      </c>
    </row>
    <row r="15" spans="2:4">
      <c r="C15" t="s">
        <v>318</v>
      </c>
      <c r="D15" s="131" t="s">
        <v>315</v>
      </c>
    </row>
    <row r="17" spans="3:4">
      <c r="C17" t="s">
        <v>316</v>
      </c>
      <c r="D17" t="s">
        <v>319</v>
      </c>
    </row>
    <row r="18" spans="3:4">
      <c r="C18" t="s">
        <v>316</v>
      </c>
      <c r="D18" t="s">
        <v>320</v>
      </c>
    </row>
    <row r="19" spans="3:4">
      <c r="C19" t="s">
        <v>316</v>
      </c>
      <c r="D19" t="s">
        <v>321</v>
      </c>
    </row>
    <row r="20" spans="3:4">
      <c r="C20" t="s">
        <v>318</v>
      </c>
      <c r="D20" t="s">
        <v>322</v>
      </c>
    </row>
    <row r="21" spans="3:4">
      <c r="C21" t="s">
        <v>318</v>
      </c>
      <c r="D21" t="s">
        <v>323</v>
      </c>
    </row>
    <row r="22" spans="3:4">
      <c r="C22" t="s">
        <v>318</v>
      </c>
      <c r="D22" t="s">
        <v>324</v>
      </c>
    </row>
    <row r="23" spans="3:4">
      <c r="C23" t="s">
        <v>318</v>
      </c>
      <c r="D23" t="s">
        <v>325</v>
      </c>
    </row>
    <row r="24" spans="3:4">
      <c r="C24" t="s">
        <v>318</v>
      </c>
      <c r="D24" t="s">
        <v>326</v>
      </c>
    </row>
    <row r="25" spans="3:4">
      <c r="C25" t="s">
        <v>318</v>
      </c>
      <c r="D25" t="s">
        <v>327</v>
      </c>
    </row>
    <row r="26" spans="3:4">
      <c r="C26" t="s">
        <v>318</v>
      </c>
      <c r="D26" t="s">
        <v>328</v>
      </c>
    </row>
    <row r="27" spans="3:4">
      <c r="C27" t="s">
        <v>318</v>
      </c>
      <c r="D27" t="s">
        <v>329</v>
      </c>
    </row>
    <row r="28" spans="3:4">
      <c r="C28" t="s">
        <v>318</v>
      </c>
      <c r="D28" t="s">
        <v>330</v>
      </c>
    </row>
    <row r="29" spans="3:4">
      <c r="C29" t="s">
        <v>318</v>
      </c>
      <c r="D29" t="s">
        <v>331</v>
      </c>
    </row>
    <row r="30" spans="3:4">
      <c r="C30" t="s">
        <v>318</v>
      </c>
      <c r="D30" t="s">
        <v>332</v>
      </c>
    </row>
    <row r="31" spans="3:4">
      <c r="C31" t="s">
        <v>317</v>
      </c>
      <c r="D31" t="s">
        <v>333</v>
      </c>
    </row>
    <row r="32" spans="3:4">
      <c r="C32" t="s">
        <v>318</v>
      </c>
      <c r="D32" t="s">
        <v>334</v>
      </c>
    </row>
    <row r="33" spans="3:4">
      <c r="C33" t="s">
        <v>318</v>
      </c>
      <c r="D33" t="s">
        <v>335</v>
      </c>
    </row>
    <row r="34" spans="3:4">
      <c r="C34" t="s">
        <v>318</v>
      </c>
      <c r="D34" t="s">
        <v>336</v>
      </c>
    </row>
    <row r="35" spans="3:4">
      <c r="C35" t="s">
        <v>318</v>
      </c>
      <c r="D35" t="s">
        <v>337</v>
      </c>
    </row>
    <row r="36" spans="3:4">
      <c r="C36" t="s">
        <v>318</v>
      </c>
      <c r="D36" t="s">
        <v>338</v>
      </c>
    </row>
    <row r="37" spans="3:4">
      <c r="C37" t="s">
        <v>318</v>
      </c>
      <c r="D37" t="s">
        <v>339</v>
      </c>
    </row>
    <row r="38" spans="3:4">
      <c r="C38" t="s">
        <v>318</v>
      </c>
      <c r="D38" t="s">
        <v>340</v>
      </c>
    </row>
    <row r="39" spans="3:4">
      <c r="C39" t="s">
        <v>318</v>
      </c>
      <c r="D39" t="s">
        <v>341</v>
      </c>
    </row>
    <row r="40" spans="3:4">
      <c r="C40" t="s">
        <v>318</v>
      </c>
      <c r="D40" t="s">
        <v>342</v>
      </c>
    </row>
    <row r="41" spans="3:4">
      <c r="C41" t="s">
        <v>318</v>
      </c>
      <c r="D41" t="s">
        <v>343</v>
      </c>
    </row>
    <row r="43" spans="3:4">
      <c r="C43" t="s">
        <v>318</v>
      </c>
      <c r="D43" t="s">
        <v>344</v>
      </c>
    </row>
    <row r="44" spans="3:4">
      <c r="C44" t="s">
        <v>318</v>
      </c>
      <c r="D44" t="s">
        <v>345</v>
      </c>
    </row>
    <row r="45" spans="3:4">
      <c r="C45" t="s">
        <v>318</v>
      </c>
      <c r="D45" t="s">
        <v>346</v>
      </c>
    </row>
    <row r="46" spans="3:4">
      <c r="C46" t="s">
        <v>318</v>
      </c>
      <c r="D46" t="s">
        <v>347</v>
      </c>
    </row>
    <row r="47" spans="3:4">
      <c r="C47" t="s">
        <v>318</v>
      </c>
      <c r="D47" t="s">
        <v>348</v>
      </c>
    </row>
    <row r="48" spans="3:4">
      <c r="C48" t="s">
        <v>318</v>
      </c>
      <c r="D48" t="s">
        <v>349</v>
      </c>
    </row>
    <row r="49" spans="3:4">
      <c r="C49" t="s">
        <v>318</v>
      </c>
      <c r="D49" t="s">
        <v>350</v>
      </c>
    </row>
    <row r="50" spans="3:4">
      <c r="C50" t="s">
        <v>318</v>
      </c>
      <c r="D50" t="s">
        <v>351</v>
      </c>
    </row>
    <row r="51" spans="3:4">
      <c r="C51" t="s">
        <v>318</v>
      </c>
      <c r="D51" t="s">
        <v>352</v>
      </c>
    </row>
    <row r="52" spans="3:4">
      <c r="C52" t="s">
        <v>318</v>
      </c>
      <c r="D52" t="s">
        <v>353</v>
      </c>
    </row>
    <row r="53" spans="3:4">
      <c r="C53" t="s">
        <v>316</v>
      </c>
      <c r="D53" t="s">
        <v>354</v>
      </c>
    </row>
    <row r="54" spans="3:4">
      <c r="C54" t="s">
        <v>316</v>
      </c>
      <c r="D54" t="s">
        <v>355</v>
      </c>
    </row>
    <row r="55" spans="3:4">
      <c r="C55" t="s">
        <v>316</v>
      </c>
      <c r="D55" t="s">
        <v>356</v>
      </c>
    </row>
    <row r="56" spans="3:4">
      <c r="C56" t="s">
        <v>317</v>
      </c>
      <c r="D56" t="s">
        <v>357</v>
      </c>
    </row>
    <row r="57" spans="3:4">
      <c r="C57" t="s">
        <v>317</v>
      </c>
      <c r="D57" t="s">
        <v>358</v>
      </c>
    </row>
    <row r="58" spans="3:4">
      <c r="C58" t="s">
        <v>316</v>
      </c>
      <c r="D58" t="s">
        <v>359</v>
      </c>
    </row>
    <row r="59" spans="3:4">
      <c r="C59" t="s">
        <v>317</v>
      </c>
      <c r="D59" t="s">
        <v>360</v>
      </c>
    </row>
    <row r="60" spans="3:4">
      <c r="C60" t="s">
        <v>317</v>
      </c>
      <c r="D60" t="s">
        <v>361</v>
      </c>
    </row>
    <row r="61" spans="3:4">
      <c r="C61" t="s">
        <v>317</v>
      </c>
      <c r="D61" t="s">
        <v>362</v>
      </c>
    </row>
    <row r="62" spans="3:4">
      <c r="C62" t="s">
        <v>317</v>
      </c>
      <c r="D62" t="s">
        <v>363</v>
      </c>
    </row>
    <row r="63" spans="3:4">
      <c r="C63" t="s">
        <v>317</v>
      </c>
      <c r="D63" t="s">
        <v>364</v>
      </c>
    </row>
    <row r="64" spans="3:4">
      <c r="C64" t="s">
        <v>317</v>
      </c>
      <c r="D64" t="s">
        <v>365</v>
      </c>
    </row>
    <row r="65" spans="3:4">
      <c r="C65" t="s">
        <v>317</v>
      </c>
      <c r="D65" t="s">
        <v>366</v>
      </c>
    </row>
    <row r="66" spans="3:4">
      <c r="C66" t="s">
        <v>317</v>
      </c>
      <c r="D66" t="s">
        <v>367</v>
      </c>
    </row>
    <row r="67" spans="3:4">
      <c r="C67" t="s">
        <v>317</v>
      </c>
      <c r="D67" t="s">
        <v>368</v>
      </c>
    </row>
    <row r="68" spans="3:4">
      <c r="C68" t="s">
        <v>317</v>
      </c>
      <c r="D68" t="s">
        <v>369</v>
      </c>
    </row>
    <row r="69" spans="3:4">
      <c r="C69" t="s">
        <v>317</v>
      </c>
      <c r="D69" t="s">
        <v>370</v>
      </c>
    </row>
    <row r="70" spans="3:4">
      <c r="C70" t="s">
        <v>317</v>
      </c>
      <c r="D70" t="s">
        <v>371</v>
      </c>
    </row>
    <row r="71" spans="3:4">
      <c r="C71" t="s">
        <v>317</v>
      </c>
      <c r="D71" t="s">
        <v>372</v>
      </c>
    </row>
    <row r="72" spans="3:4">
      <c r="C72" t="s">
        <v>317</v>
      </c>
      <c r="D72" t="s">
        <v>373</v>
      </c>
    </row>
    <row r="73" spans="3:4">
      <c r="C73" t="s">
        <v>317</v>
      </c>
      <c r="D73" t="s">
        <v>374</v>
      </c>
    </row>
    <row r="74" spans="3:4">
      <c r="C74" t="s">
        <v>317</v>
      </c>
      <c r="D74" t="s">
        <v>375</v>
      </c>
    </row>
    <row r="75" spans="3:4">
      <c r="C75" t="s">
        <v>317</v>
      </c>
      <c r="D75" t="s">
        <v>376</v>
      </c>
    </row>
    <row r="76" spans="3:4">
      <c r="C76" t="s">
        <v>317</v>
      </c>
      <c r="D76" t="s">
        <v>377</v>
      </c>
    </row>
    <row r="77" spans="3:4">
      <c r="C77" t="s">
        <v>317</v>
      </c>
      <c r="D77" t="s">
        <v>378</v>
      </c>
    </row>
    <row r="78" spans="3:4">
      <c r="C78" t="s">
        <v>317</v>
      </c>
      <c r="D78" t="s">
        <v>379</v>
      </c>
    </row>
    <row r="79" spans="3:4">
      <c r="C79" t="s">
        <v>317</v>
      </c>
      <c r="D79" t="s">
        <v>380</v>
      </c>
    </row>
    <row r="80" spans="3:4">
      <c r="C80" t="s">
        <v>317</v>
      </c>
      <c r="D80" t="s">
        <v>381</v>
      </c>
    </row>
    <row r="81" spans="3:4">
      <c r="C81" t="s">
        <v>317</v>
      </c>
      <c r="D81" t="s">
        <v>382</v>
      </c>
    </row>
    <row r="82" spans="3:4">
      <c r="C82" t="s">
        <v>317</v>
      </c>
      <c r="D82" t="s">
        <v>383</v>
      </c>
    </row>
    <row r="83" spans="3:4">
      <c r="C83" t="s">
        <v>317</v>
      </c>
      <c r="D83" t="s">
        <v>384</v>
      </c>
    </row>
    <row r="84" spans="3:4">
      <c r="C84" t="s">
        <v>317</v>
      </c>
      <c r="D84" t="s">
        <v>385</v>
      </c>
    </row>
    <row r="85" spans="3:4">
      <c r="C85" t="s">
        <v>318</v>
      </c>
      <c r="D85" t="s">
        <v>386</v>
      </c>
    </row>
    <row r="86" spans="3:4">
      <c r="C86" t="s">
        <v>318</v>
      </c>
      <c r="D86" t="s">
        <v>387</v>
      </c>
    </row>
    <row r="87" spans="3:4">
      <c r="C87" t="s">
        <v>318</v>
      </c>
      <c r="D87" t="s">
        <v>388</v>
      </c>
    </row>
    <row r="88" spans="3:4">
      <c r="C88" t="s">
        <v>318</v>
      </c>
      <c r="D88" t="s">
        <v>389</v>
      </c>
    </row>
    <row r="89" spans="3:4">
      <c r="C89" t="s">
        <v>318</v>
      </c>
      <c r="D89" t="s">
        <v>390</v>
      </c>
    </row>
    <row r="90" spans="3:4">
      <c r="C90" t="s">
        <v>318</v>
      </c>
      <c r="D90" t="s">
        <v>391</v>
      </c>
    </row>
    <row r="91" spans="3:4">
      <c r="C91" t="s">
        <v>318</v>
      </c>
      <c r="D91" t="s">
        <v>392</v>
      </c>
    </row>
    <row r="92" spans="3:4">
      <c r="C92" t="s">
        <v>318</v>
      </c>
      <c r="D92" t="s">
        <v>393</v>
      </c>
    </row>
    <row r="93" spans="3:4">
      <c r="C93" t="s">
        <v>318</v>
      </c>
      <c r="D93" t="s">
        <v>394</v>
      </c>
    </row>
    <row r="94" spans="3:4">
      <c r="C94" t="s">
        <v>318</v>
      </c>
      <c r="D94" t="s">
        <v>395</v>
      </c>
    </row>
    <row r="95" spans="3:4">
      <c r="C95" t="s">
        <v>318</v>
      </c>
      <c r="D95" t="s">
        <v>396</v>
      </c>
    </row>
    <row r="96" spans="3:4">
      <c r="C96" t="s">
        <v>318</v>
      </c>
      <c r="D96" t="s">
        <v>397</v>
      </c>
    </row>
    <row r="97" spans="3:4">
      <c r="C97" t="s">
        <v>318</v>
      </c>
      <c r="D97" t="s">
        <v>398</v>
      </c>
    </row>
    <row r="98" spans="3:4">
      <c r="C98" t="s">
        <v>318</v>
      </c>
      <c r="D98" t="s">
        <v>399</v>
      </c>
    </row>
    <row r="99" spans="3:4">
      <c r="C99" t="s">
        <v>318</v>
      </c>
      <c r="D99" t="s">
        <v>400</v>
      </c>
    </row>
    <row r="100" spans="3:4">
      <c r="C100" t="s">
        <v>318</v>
      </c>
      <c r="D100" t="s">
        <v>401</v>
      </c>
    </row>
    <row r="101" spans="3:4">
      <c r="C101" t="s">
        <v>318</v>
      </c>
      <c r="D101" t="s">
        <v>402</v>
      </c>
    </row>
    <row r="102" spans="3:4">
      <c r="C102" t="s">
        <v>318</v>
      </c>
      <c r="D102" t="s">
        <v>403</v>
      </c>
    </row>
    <row r="103" spans="3:4">
      <c r="C103" t="s">
        <v>318</v>
      </c>
      <c r="D103" t="s">
        <v>404</v>
      </c>
    </row>
    <row r="104" spans="3:4">
      <c r="C104" t="s">
        <v>318</v>
      </c>
      <c r="D104" t="s">
        <v>405</v>
      </c>
    </row>
    <row r="105" spans="3:4">
      <c r="C105" t="s">
        <v>318</v>
      </c>
      <c r="D105" t="s">
        <v>406</v>
      </c>
    </row>
    <row r="106" spans="3:4">
      <c r="C106" t="s">
        <v>318</v>
      </c>
      <c r="D106" t="s">
        <v>407</v>
      </c>
    </row>
    <row r="107" spans="3:4">
      <c r="C107" t="s">
        <v>318</v>
      </c>
      <c r="D107" t="s">
        <v>408</v>
      </c>
    </row>
    <row r="108" spans="3:4">
      <c r="C108" t="s">
        <v>318</v>
      </c>
      <c r="D108" t="s">
        <v>409</v>
      </c>
    </row>
    <row r="109" spans="3:4">
      <c r="C109" t="s">
        <v>318</v>
      </c>
      <c r="D109" t="s">
        <v>410</v>
      </c>
    </row>
    <row r="110" spans="3:4">
      <c r="C110" t="s">
        <v>318</v>
      </c>
      <c r="D110" t="s">
        <v>411</v>
      </c>
    </row>
    <row r="111" spans="3:4">
      <c r="C111" t="s">
        <v>318</v>
      </c>
      <c r="D111" t="s">
        <v>412</v>
      </c>
    </row>
    <row r="112" spans="3:4">
      <c r="C112" t="s">
        <v>318</v>
      </c>
      <c r="D112" t="s">
        <v>413</v>
      </c>
    </row>
    <row r="114" spans="3:4">
      <c r="C114" t="s">
        <v>317</v>
      </c>
      <c r="D114" t="s">
        <v>414</v>
      </c>
    </row>
    <row r="115" spans="3:4">
      <c r="C115" t="s">
        <v>425</v>
      </c>
      <c r="D115" t="s">
        <v>415</v>
      </c>
    </row>
    <row r="116" spans="3:4">
      <c r="C116" t="s">
        <v>316</v>
      </c>
      <c r="D116" t="s">
        <v>416</v>
      </c>
    </row>
    <row r="117" spans="3:4">
      <c r="C117" t="s">
        <v>317</v>
      </c>
      <c r="D117" t="s">
        <v>417</v>
      </c>
    </row>
    <row r="118" spans="3:4">
      <c r="C118" t="s">
        <v>318</v>
      </c>
      <c r="D118" t="s">
        <v>418</v>
      </c>
    </row>
    <row r="119" spans="3:4">
      <c r="C119" t="s">
        <v>426</v>
      </c>
      <c r="D119" t="s">
        <v>419</v>
      </c>
    </row>
    <row r="120" spans="3:4">
      <c r="C120" t="s">
        <v>426</v>
      </c>
      <c r="D120" t="s">
        <v>420</v>
      </c>
    </row>
    <row r="121" spans="3:4">
      <c r="C121" t="s">
        <v>427</v>
      </c>
      <c r="D121" t="s">
        <v>421</v>
      </c>
    </row>
    <row r="122" spans="3:4">
      <c r="C122" t="s">
        <v>427</v>
      </c>
      <c r="D122" t="s">
        <v>422</v>
      </c>
    </row>
    <row r="123" spans="3:4">
      <c r="C123" t="s">
        <v>426</v>
      </c>
      <c r="D123" t="s">
        <v>423</v>
      </c>
    </row>
    <row r="124" spans="3:4">
      <c r="C124" t="s">
        <v>426</v>
      </c>
      <c r="D124" t="s">
        <v>424</v>
      </c>
    </row>
    <row r="126" spans="3:4">
      <c r="C126" t="s">
        <v>316</v>
      </c>
      <c r="D126" t="s">
        <v>428</v>
      </c>
    </row>
    <row r="127" spans="3:4">
      <c r="C127" t="s">
        <v>316</v>
      </c>
      <c r="D127" t="s">
        <v>429</v>
      </c>
    </row>
    <row r="128" spans="3:4">
      <c r="C128" t="s">
        <v>316</v>
      </c>
      <c r="D128" t="s">
        <v>430</v>
      </c>
    </row>
    <row r="129" spans="3:4">
      <c r="C129" t="s">
        <v>316</v>
      </c>
      <c r="D129" t="s">
        <v>431</v>
      </c>
    </row>
    <row r="130" spans="3:4">
      <c r="C130" t="s">
        <v>316</v>
      </c>
      <c r="D130" t="s">
        <v>432</v>
      </c>
    </row>
    <row r="131" spans="3:4">
      <c r="C131" t="s">
        <v>316</v>
      </c>
      <c r="D131" t="s">
        <v>433</v>
      </c>
    </row>
    <row r="132" spans="3:4">
      <c r="C132" t="s">
        <v>318</v>
      </c>
      <c r="D132" t="s">
        <v>434</v>
      </c>
    </row>
    <row r="133" spans="3:4">
      <c r="C133" t="s">
        <v>318</v>
      </c>
      <c r="D133" t="s">
        <v>435</v>
      </c>
    </row>
    <row r="134" spans="3:4">
      <c r="C134" t="s">
        <v>318</v>
      </c>
      <c r="D134" t="s">
        <v>436</v>
      </c>
    </row>
    <row r="135" spans="3:4">
      <c r="C135" t="s">
        <v>318</v>
      </c>
      <c r="D135" t="s">
        <v>437</v>
      </c>
    </row>
    <row r="136" spans="3:4">
      <c r="C136" t="s">
        <v>318</v>
      </c>
      <c r="D136" t="s">
        <v>438</v>
      </c>
    </row>
    <row r="137" spans="3:4">
      <c r="C137" t="s">
        <v>318</v>
      </c>
      <c r="D137" t="s">
        <v>439</v>
      </c>
    </row>
    <row r="138" spans="3:4">
      <c r="C138" t="s">
        <v>318</v>
      </c>
      <c r="D138" t="s">
        <v>440</v>
      </c>
    </row>
    <row r="139" spans="3:4">
      <c r="C139" t="s">
        <v>318</v>
      </c>
      <c r="D139" t="s">
        <v>441</v>
      </c>
    </row>
    <row r="140" spans="3:4">
      <c r="C140" t="s">
        <v>318</v>
      </c>
      <c r="D140" t="s">
        <v>442</v>
      </c>
    </row>
    <row r="141" spans="3:4">
      <c r="C141" t="s">
        <v>318</v>
      </c>
      <c r="D141" t="s">
        <v>443</v>
      </c>
    </row>
    <row r="142" spans="3:4">
      <c r="C142" t="s">
        <v>318</v>
      </c>
      <c r="D142" t="s">
        <v>444</v>
      </c>
    </row>
    <row r="144" spans="3:4">
      <c r="C144" t="s">
        <v>316</v>
      </c>
      <c r="D144" t="s">
        <v>445</v>
      </c>
    </row>
    <row r="145" spans="2:4">
      <c r="C145" t="s">
        <v>318</v>
      </c>
      <c r="D145" t="s">
        <v>446</v>
      </c>
    </row>
    <row r="146" spans="2:4">
      <c r="C146" t="s">
        <v>316</v>
      </c>
      <c r="D146" t="s">
        <v>447</v>
      </c>
    </row>
    <row r="147" spans="2:4">
      <c r="C147" t="s">
        <v>316</v>
      </c>
      <c r="D147" t="s">
        <v>448</v>
      </c>
    </row>
    <row r="148" spans="2:4">
      <c r="C148" t="s">
        <v>316</v>
      </c>
      <c r="D148" t="s">
        <v>449</v>
      </c>
    </row>
    <row r="149" spans="2:4">
      <c r="C149" t="s">
        <v>316</v>
      </c>
      <c r="D149" t="s">
        <v>450</v>
      </c>
    </row>
    <row r="151" spans="2:4" ht="15.6">
      <c r="B151" s="132" t="s">
        <v>305</v>
      </c>
      <c r="C151" s="132" t="s">
        <v>451</v>
      </c>
      <c r="D151" s="133"/>
    </row>
    <row r="152" spans="2:4" ht="15.6">
      <c r="B152" s="132" t="s">
        <v>13</v>
      </c>
      <c r="C152" s="134">
        <v>45426</v>
      </c>
      <c r="D152" s="133"/>
    </row>
    <row r="153" spans="2:4" ht="15.6">
      <c r="B153" s="132" t="s">
        <v>452</v>
      </c>
      <c r="C153" s="132" t="s">
        <v>559</v>
      </c>
      <c r="D153" s="133"/>
    </row>
    <row r="154" spans="2:4" ht="15.6">
      <c r="B154" s="132"/>
      <c r="C154" s="132" t="s">
        <v>306</v>
      </c>
      <c r="D154" s="133" t="s">
        <v>24</v>
      </c>
    </row>
    <row r="156" spans="2:4" ht="15.6">
      <c r="B156" s="132"/>
      <c r="D156"/>
    </row>
    <row r="157" spans="2:4">
      <c r="B157" t="s">
        <v>557</v>
      </c>
      <c r="C157" t="s">
        <v>551</v>
      </c>
      <c r="D157" t="s">
        <v>484</v>
      </c>
    </row>
    <row r="158" spans="2:4">
      <c r="C158" t="s">
        <v>551</v>
      </c>
      <c r="D158" t="s">
        <v>485</v>
      </c>
    </row>
    <row r="159" spans="2:4">
      <c r="C159" t="s">
        <v>551</v>
      </c>
      <c r="D159" t="s">
        <v>486</v>
      </c>
    </row>
    <row r="160" spans="2:4">
      <c r="C160" t="s">
        <v>552</v>
      </c>
      <c r="D160" t="s">
        <v>487</v>
      </c>
    </row>
    <row r="161" spans="3:4">
      <c r="C161" t="s">
        <v>191</v>
      </c>
      <c r="D161" t="s">
        <v>488</v>
      </c>
    </row>
    <row r="162" spans="3:4">
      <c r="C162" t="s">
        <v>191</v>
      </c>
      <c r="D162" t="s">
        <v>489</v>
      </c>
    </row>
    <row r="163" spans="3:4">
      <c r="C163" t="s">
        <v>553</v>
      </c>
      <c r="D163" t="s">
        <v>490</v>
      </c>
    </row>
    <row r="164" spans="3:4">
      <c r="C164" t="s">
        <v>553</v>
      </c>
      <c r="D164" t="s">
        <v>491</v>
      </c>
    </row>
    <row r="165" spans="3:4">
      <c r="C165" t="s">
        <v>553</v>
      </c>
      <c r="D165" t="s">
        <v>492</v>
      </c>
    </row>
    <row r="166" spans="3:4">
      <c r="C166" t="s">
        <v>554</v>
      </c>
      <c r="D166" t="s">
        <v>493</v>
      </c>
    </row>
    <row r="167" spans="3:4">
      <c r="C167" t="s">
        <v>208</v>
      </c>
      <c r="D167" t="s">
        <v>494</v>
      </c>
    </row>
    <row r="168" spans="3:4">
      <c r="C168" t="s">
        <v>208</v>
      </c>
      <c r="D168" t="s">
        <v>495</v>
      </c>
    </row>
    <row r="169" spans="3:4">
      <c r="C169" t="s">
        <v>208</v>
      </c>
      <c r="D169" t="s">
        <v>496</v>
      </c>
    </row>
    <row r="170" spans="3:4">
      <c r="C170" t="s">
        <v>208</v>
      </c>
      <c r="D170" t="s">
        <v>497</v>
      </c>
    </row>
    <row r="171" spans="3:4">
      <c r="C171" t="s">
        <v>208</v>
      </c>
      <c r="D171" t="s">
        <v>498</v>
      </c>
    </row>
    <row r="172" spans="3:4">
      <c r="C172" t="s">
        <v>208</v>
      </c>
      <c r="D172" t="s">
        <v>499</v>
      </c>
    </row>
    <row r="173" spans="3:4">
      <c r="C173" t="s">
        <v>208</v>
      </c>
      <c r="D173" t="s">
        <v>500</v>
      </c>
    </row>
    <row r="174" spans="3:4">
      <c r="C174" t="s">
        <v>208</v>
      </c>
      <c r="D174" t="s">
        <v>501</v>
      </c>
    </row>
    <row r="175" spans="3:4">
      <c r="C175" t="s">
        <v>208</v>
      </c>
      <c r="D175" t="s">
        <v>502</v>
      </c>
    </row>
    <row r="176" spans="3:4">
      <c r="C176" t="s">
        <v>208</v>
      </c>
      <c r="D176" t="s">
        <v>503</v>
      </c>
    </row>
    <row r="177" spans="2:4">
      <c r="C177" t="s">
        <v>549</v>
      </c>
      <c r="D177" t="s">
        <v>504</v>
      </c>
    </row>
    <row r="178" spans="2:4" ht="15.6">
      <c r="B178" s="132"/>
      <c r="D178"/>
    </row>
    <row r="179" spans="2:4">
      <c r="B179" t="s">
        <v>558</v>
      </c>
      <c r="C179" t="s">
        <v>536</v>
      </c>
      <c r="D179" t="s">
        <v>505</v>
      </c>
    </row>
    <row r="180" spans="2:4">
      <c r="C180" t="s">
        <v>537</v>
      </c>
      <c r="D180" t="s">
        <v>506</v>
      </c>
    </row>
    <row r="181" spans="2:4">
      <c r="C181" t="s">
        <v>538</v>
      </c>
      <c r="D181" t="s">
        <v>507</v>
      </c>
    </row>
    <row r="182" spans="2:4">
      <c r="C182" t="s">
        <v>539</v>
      </c>
      <c r="D182" t="s">
        <v>508</v>
      </c>
    </row>
    <row r="183" spans="2:4">
      <c r="C183" t="s">
        <v>539</v>
      </c>
      <c r="D183" t="s">
        <v>509</v>
      </c>
    </row>
    <row r="184" spans="2:4">
      <c r="C184" t="s">
        <v>540</v>
      </c>
      <c r="D184" t="s">
        <v>510</v>
      </c>
    </row>
    <row r="185" spans="2:4">
      <c r="C185" t="s">
        <v>540</v>
      </c>
      <c r="D185" t="s">
        <v>511</v>
      </c>
    </row>
    <row r="186" spans="2:4">
      <c r="C186" t="s">
        <v>540</v>
      </c>
      <c r="D186" t="s">
        <v>512</v>
      </c>
    </row>
    <row r="187" spans="2:4">
      <c r="C187" t="s">
        <v>540</v>
      </c>
      <c r="D187" t="s">
        <v>513</v>
      </c>
    </row>
    <row r="188" spans="2:4">
      <c r="C188" t="s">
        <v>540</v>
      </c>
      <c r="D188" t="s">
        <v>514</v>
      </c>
    </row>
    <row r="189" spans="2:4">
      <c r="C189" t="s">
        <v>540</v>
      </c>
      <c r="D189" t="s">
        <v>515</v>
      </c>
    </row>
    <row r="190" spans="2:4">
      <c r="C190" t="s">
        <v>541</v>
      </c>
      <c r="D190" t="s">
        <v>516</v>
      </c>
    </row>
    <row r="191" spans="2:4">
      <c r="C191" t="s">
        <v>541</v>
      </c>
      <c r="D191" t="s">
        <v>517</v>
      </c>
    </row>
    <row r="192" spans="2:4">
      <c r="C192" t="s">
        <v>542</v>
      </c>
      <c r="D192" t="s">
        <v>518</v>
      </c>
    </row>
    <row r="193" spans="3:4">
      <c r="C193" t="s">
        <v>543</v>
      </c>
      <c r="D193" t="s">
        <v>519</v>
      </c>
    </row>
    <row r="194" spans="3:4">
      <c r="C194" t="s">
        <v>544</v>
      </c>
      <c r="D194" s="231" t="s">
        <v>520</v>
      </c>
    </row>
    <row r="195" spans="3:4">
      <c r="C195" t="s">
        <v>545</v>
      </c>
      <c r="D195" t="s">
        <v>521</v>
      </c>
    </row>
    <row r="196" spans="3:4">
      <c r="C196" t="s">
        <v>546</v>
      </c>
      <c r="D196" t="s">
        <v>522</v>
      </c>
    </row>
    <row r="197" spans="3:4">
      <c r="C197" t="s">
        <v>547</v>
      </c>
      <c r="D197" t="s">
        <v>523</v>
      </c>
    </row>
    <row r="198" spans="3:4">
      <c r="C198" t="s">
        <v>548</v>
      </c>
      <c r="D198" t="s">
        <v>524</v>
      </c>
    </row>
    <row r="199" spans="3:4">
      <c r="C199" t="s">
        <v>548</v>
      </c>
      <c r="D199" t="s">
        <v>525</v>
      </c>
    </row>
    <row r="200" spans="3:4">
      <c r="C200" t="s">
        <v>548</v>
      </c>
      <c r="D200" t="s">
        <v>526</v>
      </c>
    </row>
    <row r="201" spans="3:4">
      <c r="C201" t="s">
        <v>548</v>
      </c>
      <c r="D201" t="s">
        <v>527</v>
      </c>
    </row>
    <row r="202" spans="3:4">
      <c r="C202" t="s">
        <v>548</v>
      </c>
      <c r="D202" t="s">
        <v>528</v>
      </c>
    </row>
    <row r="203" spans="3:4">
      <c r="C203" t="s">
        <v>548</v>
      </c>
      <c r="D203" t="s">
        <v>529</v>
      </c>
    </row>
    <row r="204" spans="3:4">
      <c r="C204" t="s">
        <v>548</v>
      </c>
      <c r="D204" t="s">
        <v>530</v>
      </c>
    </row>
    <row r="205" spans="3:4">
      <c r="C205" t="s">
        <v>548</v>
      </c>
      <c r="D205" t="s">
        <v>531</v>
      </c>
    </row>
    <row r="206" spans="3:4">
      <c r="C206" t="s">
        <v>548</v>
      </c>
      <c r="D206" t="s">
        <v>532</v>
      </c>
    </row>
    <row r="207" spans="3:4">
      <c r="C207" t="s">
        <v>548</v>
      </c>
      <c r="D207" t="s">
        <v>533</v>
      </c>
    </row>
    <row r="208" spans="3:4">
      <c r="C208" t="s">
        <v>549</v>
      </c>
      <c r="D208" t="s">
        <v>534</v>
      </c>
    </row>
    <row r="209" spans="2:5">
      <c r="C209" t="s">
        <v>550</v>
      </c>
      <c r="D209" t="s">
        <v>535</v>
      </c>
    </row>
    <row r="210" spans="2:5">
      <c r="D210"/>
    </row>
    <row r="211" spans="2:5" ht="15.6">
      <c r="B211" s="132" t="s">
        <v>305</v>
      </c>
      <c r="C211" s="132" t="s">
        <v>585</v>
      </c>
      <c r="D211" s="133"/>
    </row>
    <row r="212" spans="2:5" ht="15.6">
      <c r="B212" s="132" t="s">
        <v>13</v>
      </c>
      <c r="C212" s="134">
        <v>45429</v>
      </c>
      <c r="D212" s="133"/>
    </row>
    <row r="213" spans="2:5" ht="15.6">
      <c r="B213" s="132" t="s">
        <v>452</v>
      </c>
      <c r="C213" s="132" t="s">
        <v>579</v>
      </c>
      <c r="D213" s="133"/>
    </row>
    <row r="214" spans="2:5" ht="15.6">
      <c r="B214" s="132"/>
      <c r="C214" s="132" t="s">
        <v>306</v>
      </c>
      <c r="D214" s="133" t="s">
        <v>24</v>
      </c>
    </row>
    <row r="216" spans="2:5">
      <c r="C216" t="s">
        <v>587</v>
      </c>
    </row>
    <row r="217" spans="2:5">
      <c r="C217" t="s">
        <v>588</v>
      </c>
    </row>
    <row r="218" spans="2:5">
      <c r="C218" s="21">
        <v>45428</v>
      </c>
    </row>
    <row r="220" spans="2:5">
      <c r="C220" t="s">
        <v>589</v>
      </c>
      <c r="D220" s="131">
        <v>353927428469404</v>
      </c>
    </row>
    <row r="221" spans="2:5">
      <c r="C221" t="s">
        <v>590</v>
      </c>
      <c r="D221" s="131">
        <v>359817437335072</v>
      </c>
    </row>
    <row r="222" spans="2:5">
      <c r="C222" t="s">
        <v>591</v>
      </c>
      <c r="D222" s="131">
        <v>356630554968622</v>
      </c>
      <c r="E222" t="s">
        <v>876</v>
      </c>
    </row>
    <row r="223" spans="2:5">
      <c r="C223" t="s">
        <v>592</v>
      </c>
      <c r="D223" s="131">
        <v>354321299423253</v>
      </c>
      <c r="E223" t="s">
        <v>876</v>
      </c>
    </row>
    <row r="224" spans="2:5">
      <c r="C224" t="s">
        <v>593</v>
      </c>
      <c r="D224" s="131">
        <v>354660209965204</v>
      </c>
    </row>
    <row r="225" spans="2:4">
      <c r="C225" t="s">
        <v>590</v>
      </c>
      <c r="D225" s="131">
        <v>356223813233605</v>
      </c>
    </row>
    <row r="227" spans="2:4">
      <c r="C227" t="s">
        <v>594</v>
      </c>
      <c r="D227" s="131">
        <v>350196696839853</v>
      </c>
    </row>
    <row r="228" spans="2:4">
      <c r="C228" t="s">
        <v>595</v>
      </c>
      <c r="D228" s="131">
        <v>354660209965204</v>
      </c>
    </row>
    <row r="229" spans="2:4">
      <c r="C229" t="s">
        <v>596</v>
      </c>
      <c r="D229" s="131">
        <v>354645219905688</v>
      </c>
    </row>
    <row r="231" spans="2:4" ht="15.6">
      <c r="B231" s="132" t="s">
        <v>305</v>
      </c>
      <c r="C231" s="132" t="s">
        <v>674</v>
      </c>
      <c r="D231" s="133"/>
    </row>
    <row r="232" spans="2:4" ht="15.6">
      <c r="B232" s="132" t="s">
        <v>13</v>
      </c>
      <c r="C232" s="134">
        <v>45441</v>
      </c>
      <c r="D232" s="133"/>
    </row>
    <row r="233" spans="2:4" ht="15.6">
      <c r="B233" s="132" t="s">
        <v>452</v>
      </c>
      <c r="C233" s="132" t="s">
        <v>673</v>
      </c>
      <c r="D233" s="133"/>
    </row>
    <row r="234" spans="2:4" ht="15.6">
      <c r="B234" s="132"/>
      <c r="C234" s="132" t="s">
        <v>306</v>
      </c>
      <c r="D234" s="133" t="s">
        <v>24</v>
      </c>
    </row>
    <row r="236" spans="2:4" ht="15.6">
      <c r="C236" s="132" t="s">
        <v>675</v>
      </c>
      <c r="D236" s="131">
        <v>352676524721637</v>
      </c>
    </row>
    <row r="239" spans="2:4" ht="15.6">
      <c r="B239" s="132" t="s">
        <v>305</v>
      </c>
      <c r="C239" s="132" t="s">
        <v>451</v>
      </c>
      <c r="D239" s="133"/>
    </row>
    <row r="240" spans="2:4" ht="15.6">
      <c r="B240" s="132" t="s">
        <v>13</v>
      </c>
      <c r="C240" s="134">
        <v>45447</v>
      </c>
      <c r="D240" s="133"/>
    </row>
    <row r="241" spans="2:9" ht="15.6">
      <c r="B241" s="132" t="s">
        <v>452</v>
      </c>
      <c r="C241" s="132" t="s">
        <v>736</v>
      </c>
      <c r="D241" s="133"/>
    </row>
    <row r="242" spans="2:9" ht="15.6">
      <c r="B242" s="132"/>
      <c r="C242" s="132" t="s">
        <v>306</v>
      </c>
      <c r="D242" s="133" t="s">
        <v>24</v>
      </c>
    </row>
    <row r="243" spans="2:9" ht="43.2">
      <c r="G243" t="s">
        <v>752</v>
      </c>
      <c r="H243" s="354" t="s">
        <v>1270</v>
      </c>
    </row>
    <row r="244" spans="2:9">
      <c r="B244" t="s">
        <v>557</v>
      </c>
      <c r="C244" t="s">
        <v>737</v>
      </c>
      <c r="D244" t="s">
        <v>740</v>
      </c>
      <c r="E244" s="244">
        <v>205</v>
      </c>
      <c r="F244">
        <v>3.6739999999999999</v>
      </c>
      <c r="G244">
        <f>E244*F244</f>
        <v>753.17</v>
      </c>
      <c r="H244">
        <v>37.090000000000003</v>
      </c>
      <c r="I244">
        <f>G244+H244</f>
        <v>790.26</v>
      </c>
    </row>
    <row r="245" spans="2:9">
      <c r="C245" t="s">
        <v>737</v>
      </c>
      <c r="D245" t="s">
        <v>741</v>
      </c>
      <c r="E245" s="244">
        <v>205</v>
      </c>
      <c r="F245">
        <v>3.6739999999999999</v>
      </c>
      <c r="G245">
        <f t="shared" ref="G245:G255" si="0">E245*F245</f>
        <v>753.17</v>
      </c>
      <c r="H245">
        <v>37.090000000000003</v>
      </c>
      <c r="I245">
        <f t="shared" ref="I245:I255" si="1">G245+H245</f>
        <v>790.26</v>
      </c>
    </row>
    <row r="246" spans="2:9">
      <c r="C246" t="s">
        <v>738</v>
      </c>
      <c r="D246" t="s">
        <v>742</v>
      </c>
      <c r="E246" s="244">
        <v>205</v>
      </c>
      <c r="F246">
        <v>3.6739999999999999</v>
      </c>
      <c r="G246">
        <f t="shared" si="0"/>
        <v>753.17</v>
      </c>
      <c r="H246">
        <v>37.090000000000003</v>
      </c>
      <c r="I246">
        <f t="shared" si="1"/>
        <v>790.26</v>
      </c>
    </row>
    <row r="247" spans="2:9">
      <c r="C247" t="s">
        <v>543</v>
      </c>
      <c r="D247" t="s">
        <v>743</v>
      </c>
      <c r="E247" s="244">
        <v>243</v>
      </c>
      <c r="F247">
        <v>3.6739999999999999</v>
      </c>
      <c r="G247">
        <f t="shared" si="0"/>
        <v>892.78200000000004</v>
      </c>
      <c r="H247">
        <v>37.090000000000003</v>
      </c>
      <c r="I247">
        <f t="shared" si="1"/>
        <v>929.87200000000007</v>
      </c>
    </row>
    <row r="248" spans="2:9">
      <c r="C248" t="s">
        <v>543</v>
      </c>
      <c r="D248" t="s">
        <v>744</v>
      </c>
      <c r="E248" s="244">
        <v>243</v>
      </c>
      <c r="F248">
        <v>3.6739999999999999</v>
      </c>
      <c r="G248">
        <f t="shared" si="0"/>
        <v>892.78200000000004</v>
      </c>
      <c r="H248">
        <v>37.090000000000003</v>
      </c>
      <c r="I248">
        <f t="shared" si="1"/>
        <v>929.87200000000007</v>
      </c>
    </row>
    <row r="249" spans="2:9">
      <c r="C249" t="s">
        <v>543</v>
      </c>
      <c r="D249" t="s">
        <v>745</v>
      </c>
      <c r="E249" s="244">
        <v>243</v>
      </c>
      <c r="F249">
        <v>3.6739999999999999</v>
      </c>
      <c r="G249">
        <f t="shared" si="0"/>
        <v>892.78200000000004</v>
      </c>
      <c r="H249">
        <v>37.090000000000003</v>
      </c>
      <c r="I249">
        <f t="shared" si="1"/>
        <v>929.87200000000007</v>
      </c>
    </row>
    <row r="250" spans="2:9">
      <c r="C250" t="s">
        <v>739</v>
      </c>
      <c r="D250" t="s">
        <v>746</v>
      </c>
      <c r="E250" s="244">
        <v>412</v>
      </c>
      <c r="F250">
        <v>3.6739999999999999</v>
      </c>
      <c r="G250">
        <f t="shared" si="0"/>
        <v>1513.6879999999999</v>
      </c>
      <c r="H250">
        <v>37.090000000000003</v>
      </c>
      <c r="I250">
        <f t="shared" si="1"/>
        <v>1550.7779999999998</v>
      </c>
    </row>
    <row r="251" spans="2:9">
      <c r="C251" t="s">
        <v>549</v>
      </c>
      <c r="D251" t="s">
        <v>747</v>
      </c>
      <c r="E251" s="244">
        <v>243</v>
      </c>
      <c r="F251">
        <v>3.6739999999999999</v>
      </c>
      <c r="G251">
        <f t="shared" si="0"/>
        <v>892.78200000000004</v>
      </c>
      <c r="H251">
        <v>37.090000000000003</v>
      </c>
      <c r="I251">
        <f t="shared" si="1"/>
        <v>929.87200000000007</v>
      </c>
    </row>
    <row r="252" spans="2:9">
      <c r="C252" t="s">
        <v>549</v>
      </c>
      <c r="D252" t="s">
        <v>748</v>
      </c>
      <c r="E252" s="244">
        <v>243</v>
      </c>
      <c r="F252">
        <v>3.6739999999999999</v>
      </c>
      <c r="G252">
        <f t="shared" si="0"/>
        <v>892.78200000000004</v>
      </c>
      <c r="H252">
        <v>37.090000000000003</v>
      </c>
      <c r="I252">
        <f t="shared" si="1"/>
        <v>929.87200000000007</v>
      </c>
    </row>
    <row r="253" spans="2:9">
      <c r="C253" t="s">
        <v>549</v>
      </c>
      <c r="D253" t="s">
        <v>749</v>
      </c>
      <c r="E253" s="244">
        <v>243</v>
      </c>
      <c r="F253">
        <v>3.6739999999999999</v>
      </c>
      <c r="G253">
        <f t="shared" si="0"/>
        <v>892.78200000000004</v>
      </c>
      <c r="H253">
        <v>37.090000000000003</v>
      </c>
      <c r="I253">
        <f t="shared" si="1"/>
        <v>929.87200000000007</v>
      </c>
    </row>
    <row r="254" spans="2:9">
      <c r="C254" t="s">
        <v>549</v>
      </c>
      <c r="D254" t="s">
        <v>750</v>
      </c>
      <c r="E254" s="244">
        <v>243</v>
      </c>
      <c r="F254">
        <v>3.6739999999999999</v>
      </c>
      <c r="G254">
        <f t="shared" si="0"/>
        <v>892.78200000000004</v>
      </c>
      <c r="H254">
        <v>37.090000000000003</v>
      </c>
      <c r="I254">
        <f t="shared" si="1"/>
        <v>929.87200000000007</v>
      </c>
    </row>
    <row r="255" spans="2:9">
      <c r="C255" t="s">
        <v>549</v>
      </c>
      <c r="D255" t="s">
        <v>751</v>
      </c>
      <c r="E255" s="244">
        <v>243</v>
      </c>
      <c r="F255">
        <v>3.6739999999999999</v>
      </c>
      <c r="G255">
        <f t="shared" si="0"/>
        <v>892.78200000000004</v>
      </c>
      <c r="H255">
        <v>37.090000000000003</v>
      </c>
      <c r="I255">
        <f t="shared" si="1"/>
        <v>929.87200000000007</v>
      </c>
    </row>
    <row r="258" spans="2:9">
      <c r="B258" t="s">
        <v>558</v>
      </c>
      <c r="C258" t="s">
        <v>753</v>
      </c>
      <c r="D258" t="s">
        <v>770</v>
      </c>
      <c r="E258" s="244">
        <v>430</v>
      </c>
      <c r="F258">
        <v>3.6739999999999999</v>
      </c>
      <c r="G258">
        <f t="shared" ref="G258:G289" si="2">E258*F258</f>
        <v>1579.82</v>
      </c>
      <c r="H258">
        <v>37.090000000000003</v>
      </c>
      <c r="I258">
        <f t="shared" ref="I258:I289" si="3">G258+H258</f>
        <v>1616.9099999999999</v>
      </c>
    </row>
    <row r="259" spans="2:9">
      <c r="C259" t="s">
        <v>754</v>
      </c>
      <c r="D259" t="s">
        <v>771</v>
      </c>
      <c r="E259" s="244">
        <v>430</v>
      </c>
      <c r="F259">
        <v>3.6739999999999999</v>
      </c>
      <c r="G259">
        <f t="shared" si="2"/>
        <v>1579.82</v>
      </c>
      <c r="H259">
        <v>37.090000000000003</v>
      </c>
      <c r="I259">
        <f t="shared" si="3"/>
        <v>1616.9099999999999</v>
      </c>
    </row>
    <row r="260" spans="2:9">
      <c r="C260" t="s">
        <v>755</v>
      </c>
      <c r="D260" t="s">
        <v>772</v>
      </c>
      <c r="E260" s="244">
        <v>430</v>
      </c>
      <c r="F260">
        <v>3.6739999999999999</v>
      </c>
      <c r="G260">
        <f t="shared" si="2"/>
        <v>1579.82</v>
      </c>
      <c r="H260">
        <v>37.090000000000003</v>
      </c>
      <c r="I260">
        <f t="shared" si="3"/>
        <v>1616.9099999999999</v>
      </c>
    </row>
    <row r="261" spans="2:9">
      <c r="C261" t="s">
        <v>756</v>
      </c>
      <c r="D261" t="s">
        <v>773</v>
      </c>
      <c r="E261" s="244">
        <v>430</v>
      </c>
      <c r="F261">
        <v>3.6739999999999999</v>
      </c>
      <c r="G261">
        <f t="shared" si="2"/>
        <v>1579.82</v>
      </c>
      <c r="H261">
        <v>37.090000000000003</v>
      </c>
      <c r="I261">
        <f t="shared" si="3"/>
        <v>1616.9099999999999</v>
      </c>
    </row>
    <row r="262" spans="2:9">
      <c r="C262" t="s">
        <v>757</v>
      </c>
      <c r="D262" t="s">
        <v>774</v>
      </c>
      <c r="E262" s="244">
        <v>430</v>
      </c>
      <c r="F262">
        <v>3.6739999999999999</v>
      </c>
      <c r="G262">
        <f t="shared" si="2"/>
        <v>1579.82</v>
      </c>
      <c r="H262">
        <v>37.090000000000003</v>
      </c>
      <c r="I262">
        <f t="shared" si="3"/>
        <v>1616.9099999999999</v>
      </c>
    </row>
    <row r="263" spans="2:9">
      <c r="C263" t="s">
        <v>758</v>
      </c>
      <c r="D263" t="s">
        <v>775</v>
      </c>
      <c r="E263" s="244">
        <v>425</v>
      </c>
      <c r="F263">
        <v>3.6739999999999999</v>
      </c>
      <c r="G263">
        <f t="shared" si="2"/>
        <v>1561.45</v>
      </c>
      <c r="H263">
        <v>37.090000000000003</v>
      </c>
      <c r="I263">
        <f t="shared" si="3"/>
        <v>1598.54</v>
      </c>
    </row>
    <row r="264" spans="2:9">
      <c r="C264" t="s">
        <v>759</v>
      </c>
      <c r="D264" t="s">
        <v>776</v>
      </c>
      <c r="E264" s="244">
        <v>430</v>
      </c>
      <c r="F264">
        <v>3.6739999999999999</v>
      </c>
      <c r="G264">
        <f t="shared" si="2"/>
        <v>1579.82</v>
      </c>
      <c r="H264">
        <v>37.090000000000003</v>
      </c>
      <c r="I264">
        <f t="shared" si="3"/>
        <v>1616.9099999999999</v>
      </c>
    </row>
    <row r="265" spans="2:9">
      <c r="C265" t="s">
        <v>191</v>
      </c>
      <c r="D265" t="s">
        <v>777</v>
      </c>
      <c r="E265" s="244">
        <v>430</v>
      </c>
      <c r="F265">
        <v>3.6739999999999999</v>
      </c>
      <c r="G265">
        <f t="shared" si="2"/>
        <v>1579.82</v>
      </c>
      <c r="H265">
        <v>37.090000000000003</v>
      </c>
      <c r="I265">
        <f t="shared" si="3"/>
        <v>1616.9099999999999</v>
      </c>
    </row>
    <row r="266" spans="2:9">
      <c r="C266" t="s">
        <v>760</v>
      </c>
      <c r="D266" t="s">
        <v>778</v>
      </c>
      <c r="E266" s="244">
        <v>120</v>
      </c>
      <c r="F266">
        <v>3.6739999999999999</v>
      </c>
      <c r="G266">
        <f t="shared" si="2"/>
        <v>440.88</v>
      </c>
      <c r="H266">
        <v>37.090000000000003</v>
      </c>
      <c r="I266">
        <f t="shared" si="3"/>
        <v>477.97</v>
      </c>
    </row>
    <row r="267" spans="2:9">
      <c r="C267" t="s">
        <v>761</v>
      </c>
      <c r="D267" t="s">
        <v>779</v>
      </c>
      <c r="E267" s="244">
        <v>205</v>
      </c>
      <c r="F267">
        <v>3.6739999999999999</v>
      </c>
      <c r="G267">
        <f t="shared" si="2"/>
        <v>753.17</v>
      </c>
      <c r="H267">
        <v>37.090000000000003</v>
      </c>
      <c r="I267">
        <f t="shared" si="3"/>
        <v>790.26</v>
      </c>
    </row>
    <row r="268" spans="2:9">
      <c r="C268" t="s">
        <v>761</v>
      </c>
      <c r="D268" t="s">
        <v>780</v>
      </c>
      <c r="E268" s="244">
        <v>205</v>
      </c>
      <c r="F268">
        <v>3.6739999999999999</v>
      </c>
      <c r="G268">
        <f t="shared" si="2"/>
        <v>753.17</v>
      </c>
      <c r="H268">
        <v>37.090000000000003</v>
      </c>
      <c r="I268">
        <f t="shared" si="3"/>
        <v>790.26</v>
      </c>
    </row>
    <row r="269" spans="2:9">
      <c r="C269" t="s">
        <v>762</v>
      </c>
      <c r="D269" t="s">
        <v>781</v>
      </c>
      <c r="E269" s="244">
        <v>202</v>
      </c>
      <c r="F269">
        <v>3.6739999999999999</v>
      </c>
      <c r="G269">
        <f t="shared" si="2"/>
        <v>742.14800000000002</v>
      </c>
      <c r="H269">
        <v>37.090000000000003</v>
      </c>
      <c r="I269">
        <f t="shared" si="3"/>
        <v>779.23800000000006</v>
      </c>
    </row>
    <row r="270" spans="2:9">
      <c r="C270" t="s">
        <v>543</v>
      </c>
      <c r="D270" t="s">
        <v>782</v>
      </c>
      <c r="E270" s="244">
        <v>241</v>
      </c>
      <c r="F270">
        <v>3.6739999999999999</v>
      </c>
      <c r="G270">
        <f t="shared" si="2"/>
        <v>885.43399999999997</v>
      </c>
      <c r="H270">
        <v>37.090000000000003</v>
      </c>
      <c r="I270">
        <f t="shared" si="3"/>
        <v>922.524</v>
      </c>
    </row>
    <row r="271" spans="2:9">
      <c r="C271" t="s">
        <v>543</v>
      </c>
      <c r="D271" t="s">
        <v>783</v>
      </c>
      <c r="E271" s="244">
        <v>241</v>
      </c>
      <c r="F271">
        <v>3.6739999999999999</v>
      </c>
      <c r="G271">
        <f t="shared" si="2"/>
        <v>885.43399999999997</v>
      </c>
      <c r="H271">
        <v>37.090000000000003</v>
      </c>
      <c r="I271">
        <f t="shared" si="3"/>
        <v>922.524</v>
      </c>
    </row>
    <row r="272" spans="2:9">
      <c r="C272" t="s">
        <v>543</v>
      </c>
      <c r="D272" t="s">
        <v>784</v>
      </c>
      <c r="E272" s="244">
        <v>241</v>
      </c>
      <c r="F272">
        <v>3.6739999999999999</v>
      </c>
      <c r="G272">
        <f t="shared" si="2"/>
        <v>885.43399999999997</v>
      </c>
      <c r="H272">
        <v>37.090000000000003</v>
      </c>
      <c r="I272">
        <f t="shared" si="3"/>
        <v>922.524</v>
      </c>
    </row>
    <row r="273" spans="3:9">
      <c r="C273" t="s">
        <v>543</v>
      </c>
      <c r="D273" t="s">
        <v>785</v>
      </c>
      <c r="E273" s="244">
        <v>241</v>
      </c>
      <c r="F273">
        <v>3.6739999999999999</v>
      </c>
      <c r="G273">
        <f t="shared" si="2"/>
        <v>885.43399999999997</v>
      </c>
      <c r="H273">
        <v>37.090000000000003</v>
      </c>
      <c r="I273">
        <f t="shared" si="3"/>
        <v>922.524</v>
      </c>
    </row>
    <row r="274" spans="3:9">
      <c r="C274" t="s">
        <v>763</v>
      </c>
      <c r="D274" t="s">
        <v>786</v>
      </c>
      <c r="E274" s="244">
        <v>249</v>
      </c>
      <c r="F274">
        <v>3.6739999999999999</v>
      </c>
      <c r="G274">
        <f t="shared" si="2"/>
        <v>914.82600000000002</v>
      </c>
      <c r="H274">
        <v>37.090000000000003</v>
      </c>
      <c r="I274">
        <f t="shared" si="3"/>
        <v>951.91600000000005</v>
      </c>
    </row>
    <row r="275" spans="3:9">
      <c r="C275" t="s">
        <v>764</v>
      </c>
      <c r="D275" t="s">
        <v>787</v>
      </c>
      <c r="E275" s="244">
        <v>161</v>
      </c>
      <c r="F275">
        <v>3.6739999999999999</v>
      </c>
      <c r="G275">
        <f t="shared" si="2"/>
        <v>591.51400000000001</v>
      </c>
      <c r="H275">
        <v>37.090000000000003</v>
      </c>
      <c r="I275">
        <f t="shared" si="3"/>
        <v>628.60400000000004</v>
      </c>
    </row>
    <row r="276" spans="3:9">
      <c r="C276" t="s">
        <v>765</v>
      </c>
      <c r="D276" t="s">
        <v>788</v>
      </c>
      <c r="E276" s="244">
        <v>123</v>
      </c>
      <c r="F276">
        <v>3.6739999999999999</v>
      </c>
      <c r="G276">
        <f t="shared" si="2"/>
        <v>451.90199999999999</v>
      </c>
      <c r="H276">
        <v>37.090000000000003</v>
      </c>
      <c r="I276">
        <f t="shared" si="3"/>
        <v>488.99199999999996</v>
      </c>
    </row>
    <row r="277" spans="3:9">
      <c r="C277" t="s">
        <v>766</v>
      </c>
      <c r="D277" t="s">
        <v>789</v>
      </c>
      <c r="E277" s="244">
        <v>202</v>
      </c>
      <c r="F277">
        <v>3.6739999999999999</v>
      </c>
      <c r="G277">
        <f t="shared" si="2"/>
        <v>742.14800000000002</v>
      </c>
      <c r="H277">
        <v>37.090000000000003</v>
      </c>
      <c r="I277">
        <f t="shared" si="3"/>
        <v>779.23800000000006</v>
      </c>
    </row>
    <row r="278" spans="3:9">
      <c r="C278" t="s">
        <v>767</v>
      </c>
      <c r="D278" t="s">
        <v>790</v>
      </c>
      <c r="E278" s="244">
        <v>245</v>
      </c>
      <c r="F278">
        <v>3.6739999999999999</v>
      </c>
      <c r="G278">
        <f t="shared" si="2"/>
        <v>900.13</v>
      </c>
      <c r="H278">
        <v>37.090000000000003</v>
      </c>
      <c r="I278">
        <f t="shared" si="3"/>
        <v>937.22</v>
      </c>
    </row>
    <row r="279" spans="3:9">
      <c r="C279" t="s">
        <v>767</v>
      </c>
      <c r="D279" t="s">
        <v>791</v>
      </c>
      <c r="E279" s="244">
        <v>245</v>
      </c>
      <c r="F279">
        <v>3.6739999999999999</v>
      </c>
      <c r="G279">
        <f t="shared" si="2"/>
        <v>900.13</v>
      </c>
      <c r="H279">
        <v>37.090000000000003</v>
      </c>
      <c r="I279">
        <f t="shared" si="3"/>
        <v>937.22</v>
      </c>
    </row>
    <row r="280" spans="3:9">
      <c r="C280" t="s">
        <v>767</v>
      </c>
      <c r="D280" t="s">
        <v>792</v>
      </c>
      <c r="E280" s="244">
        <v>245</v>
      </c>
      <c r="F280">
        <v>3.6739999999999999</v>
      </c>
      <c r="G280">
        <f t="shared" si="2"/>
        <v>900.13</v>
      </c>
      <c r="H280">
        <v>37.090000000000003</v>
      </c>
      <c r="I280">
        <f t="shared" si="3"/>
        <v>937.22</v>
      </c>
    </row>
    <row r="281" spans="3:9">
      <c r="C281" t="s">
        <v>767</v>
      </c>
      <c r="D281" t="s">
        <v>793</v>
      </c>
      <c r="E281" s="244">
        <v>245</v>
      </c>
      <c r="F281">
        <v>3.6739999999999999</v>
      </c>
      <c r="G281">
        <f t="shared" si="2"/>
        <v>900.13</v>
      </c>
      <c r="H281">
        <v>37.090000000000003</v>
      </c>
      <c r="I281">
        <f t="shared" si="3"/>
        <v>937.22</v>
      </c>
    </row>
    <row r="282" spans="3:9">
      <c r="C282" t="s">
        <v>767</v>
      </c>
      <c r="D282" t="s">
        <v>794</v>
      </c>
      <c r="E282" s="244">
        <v>245</v>
      </c>
      <c r="F282">
        <v>3.6739999999999999</v>
      </c>
      <c r="G282">
        <f t="shared" si="2"/>
        <v>900.13</v>
      </c>
      <c r="H282">
        <v>37.090000000000003</v>
      </c>
      <c r="I282">
        <f t="shared" si="3"/>
        <v>937.22</v>
      </c>
    </row>
    <row r="283" spans="3:9">
      <c r="C283" t="s">
        <v>767</v>
      </c>
      <c r="D283" t="s">
        <v>795</v>
      </c>
      <c r="E283" s="244">
        <v>245</v>
      </c>
      <c r="F283">
        <v>3.6739999999999999</v>
      </c>
      <c r="G283">
        <f t="shared" si="2"/>
        <v>900.13</v>
      </c>
      <c r="H283">
        <v>37.090000000000003</v>
      </c>
      <c r="I283">
        <f t="shared" si="3"/>
        <v>937.22</v>
      </c>
    </row>
    <row r="284" spans="3:9">
      <c r="C284" t="s">
        <v>767</v>
      </c>
      <c r="D284" t="s">
        <v>796</v>
      </c>
      <c r="E284" s="244">
        <v>245</v>
      </c>
      <c r="F284">
        <v>3.6739999999999999</v>
      </c>
      <c r="G284">
        <f t="shared" si="2"/>
        <v>900.13</v>
      </c>
      <c r="H284">
        <v>37.090000000000003</v>
      </c>
      <c r="I284">
        <f t="shared" si="3"/>
        <v>937.22</v>
      </c>
    </row>
    <row r="285" spans="3:9">
      <c r="C285" t="s">
        <v>767</v>
      </c>
      <c r="D285" t="s">
        <v>797</v>
      </c>
      <c r="E285" s="244">
        <v>245</v>
      </c>
      <c r="F285">
        <v>3.6739999999999999</v>
      </c>
      <c r="G285">
        <f t="shared" si="2"/>
        <v>900.13</v>
      </c>
      <c r="H285">
        <v>37.090000000000003</v>
      </c>
      <c r="I285">
        <f t="shared" si="3"/>
        <v>937.22</v>
      </c>
    </row>
    <row r="286" spans="3:9">
      <c r="C286" t="s">
        <v>767</v>
      </c>
      <c r="D286" t="s">
        <v>798</v>
      </c>
      <c r="E286" s="244">
        <v>245</v>
      </c>
      <c r="F286">
        <v>3.6739999999999999</v>
      </c>
      <c r="G286">
        <f t="shared" si="2"/>
        <v>900.13</v>
      </c>
      <c r="H286">
        <v>37.090000000000003</v>
      </c>
      <c r="I286">
        <f t="shared" si="3"/>
        <v>937.22</v>
      </c>
    </row>
    <row r="287" spans="3:9">
      <c r="C287" t="s">
        <v>767</v>
      </c>
      <c r="D287" t="s">
        <v>799</v>
      </c>
      <c r="E287" s="244">
        <v>245</v>
      </c>
      <c r="F287">
        <v>3.6739999999999999</v>
      </c>
      <c r="G287">
        <f t="shared" si="2"/>
        <v>900.13</v>
      </c>
      <c r="H287">
        <v>37.090000000000003</v>
      </c>
      <c r="I287">
        <f t="shared" si="3"/>
        <v>937.22</v>
      </c>
    </row>
    <row r="288" spans="3:9">
      <c r="C288" t="s">
        <v>768</v>
      </c>
      <c r="D288" t="s">
        <v>800</v>
      </c>
      <c r="E288" s="244">
        <v>245</v>
      </c>
      <c r="F288">
        <v>3.6739999999999999</v>
      </c>
      <c r="G288">
        <f t="shared" si="2"/>
        <v>900.13</v>
      </c>
      <c r="H288">
        <v>37.090000000000003</v>
      </c>
      <c r="I288">
        <f t="shared" si="3"/>
        <v>937.22</v>
      </c>
    </row>
    <row r="289" spans="1:18">
      <c r="C289" t="s">
        <v>769</v>
      </c>
      <c r="D289" t="s">
        <v>801</v>
      </c>
      <c r="E289" s="244">
        <v>241</v>
      </c>
      <c r="F289">
        <v>3.6739999999999999</v>
      </c>
      <c r="G289">
        <f t="shared" si="2"/>
        <v>885.43399999999997</v>
      </c>
      <c r="H289">
        <v>37.090000000000003</v>
      </c>
      <c r="I289">
        <f t="shared" si="3"/>
        <v>922.524</v>
      </c>
    </row>
    <row r="290" spans="1:18">
      <c r="D290"/>
      <c r="E290" s="244"/>
    </row>
    <row r="291" spans="1:18" s="231" customFormat="1">
      <c r="E291" s="274"/>
    </row>
    <row r="292" spans="1:18">
      <c r="D292"/>
      <c r="E292" s="244"/>
    </row>
    <row r="293" spans="1:18" ht="15.6">
      <c r="B293" s="132" t="s">
        <v>305</v>
      </c>
      <c r="C293" s="132" t="s">
        <v>908</v>
      </c>
      <c r="D293" s="133"/>
      <c r="E293" s="244"/>
    </row>
    <row r="294" spans="1:18" ht="15.6">
      <c r="B294" s="132" t="s">
        <v>13</v>
      </c>
      <c r="C294" s="134">
        <v>45451</v>
      </c>
      <c r="D294" s="133"/>
      <c r="E294" s="244"/>
    </row>
    <row r="295" spans="1:18" ht="15.6">
      <c r="B295" s="132" t="s">
        <v>452</v>
      </c>
      <c r="C295" s="132" t="s">
        <v>909</v>
      </c>
      <c r="D295" s="133"/>
      <c r="E295" s="244"/>
    </row>
    <row r="296" spans="1:18" ht="15.6">
      <c r="B296" s="132"/>
      <c r="C296" s="132" t="s">
        <v>306</v>
      </c>
      <c r="D296" s="133"/>
      <c r="E296" s="244"/>
    </row>
    <row r="298" spans="1:18" ht="15" thickBot="1">
      <c r="A298" s="276"/>
      <c r="B298" s="276"/>
      <c r="C298" s="276"/>
      <c r="D298" s="276"/>
      <c r="E298" s="276"/>
      <c r="F298" s="276"/>
      <c r="G298" s="276"/>
      <c r="H298" s="276"/>
      <c r="I298" s="276"/>
      <c r="J298" s="276"/>
    </row>
    <row r="299" spans="1:18" ht="22.8">
      <c r="B299" s="280" t="s">
        <v>910</v>
      </c>
      <c r="C299" s="281" t="s">
        <v>911</v>
      </c>
      <c r="D299" s="281" t="s">
        <v>912</v>
      </c>
      <c r="E299" s="281" t="s">
        <v>913</v>
      </c>
      <c r="F299" s="288" t="s">
        <v>914</v>
      </c>
      <c r="G299" s="281" t="s">
        <v>915</v>
      </c>
      <c r="H299" s="281" t="s">
        <v>916</v>
      </c>
      <c r="I299" s="281" t="s">
        <v>916</v>
      </c>
      <c r="J299" s="289" t="s">
        <v>917</v>
      </c>
      <c r="K299" s="292" t="s">
        <v>8</v>
      </c>
      <c r="L299" s="292" t="s">
        <v>971</v>
      </c>
      <c r="M299" s="292" t="s">
        <v>972</v>
      </c>
      <c r="N299" s="292" t="s">
        <v>1181</v>
      </c>
      <c r="P299" s="281" t="s">
        <v>911</v>
      </c>
      <c r="Q299" s="305" t="s">
        <v>1180</v>
      </c>
      <c r="R299" s="305" t="s">
        <v>1179</v>
      </c>
    </row>
    <row r="300" spans="1:18">
      <c r="B300" s="275">
        <v>1</v>
      </c>
      <c r="C300" s="275" t="s">
        <v>953</v>
      </c>
      <c r="D300" s="275">
        <v>256</v>
      </c>
      <c r="E300" s="275" t="s">
        <v>918</v>
      </c>
      <c r="F300" s="277">
        <v>350139675584421</v>
      </c>
      <c r="G300" s="275" t="s">
        <v>954</v>
      </c>
      <c r="H300" s="275" t="s">
        <v>920</v>
      </c>
      <c r="I300" s="275" t="s">
        <v>921</v>
      </c>
      <c r="J300" s="290">
        <v>300</v>
      </c>
      <c r="K300" s="17">
        <v>3.6739999999999999</v>
      </c>
      <c r="L300" s="17">
        <f>J300*K300</f>
        <v>1102.2</v>
      </c>
      <c r="M300" s="48"/>
      <c r="N300" s="293">
        <f>L300+M300</f>
        <v>1102.2</v>
      </c>
      <c r="P300" s="275" t="str">
        <f>CONCATENATE(C300,D300," ",E300)</f>
        <v>Galaxy S22 Ultra256 BLACK</v>
      </c>
      <c r="Q300">
        <v>0</v>
      </c>
      <c r="R300" s="350"/>
    </row>
    <row r="301" spans="1:18">
      <c r="B301" s="275">
        <v>2</v>
      </c>
      <c r="C301" s="275" t="s">
        <v>955</v>
      </c>
      <c r="D301" s="275">
        <v>128</v>
      </c>
      <c r="E301" s="275" t="s">
        <v>918</v>
      </c>
      <c r="F301" s="277">
        <v>358711960272466</v>
      </c>
      <c r="G301" s="275" t="s">
        <v>919</v>
      </c>
      <c r="H301" s="275" t="s">
        <v>920</v>
      </c>
      <c r="I301" s="275" t="s">
        <v>921</v>
      </c>
      <c r="J301" s="290">
        <v>250</v>
      </c>
      <c r="K301" s="17">
        <v>3.6739999999999999</v>
      </c>
      <c r="L301" s="17">
        <f t="shared" ref="L301:L364" si="4">J301*K301</f>
        <v>918.5</v>
      </c>
      <c r="M301" s="48"/>
      <c r="N301" s="293">
        <f t="shared" ref="N301:N364" si="5">L301+M301</f>
        <v>918.5</v>
      </c>
      <c r="P301" s="275" t="str">
        <f t="shared" ref="P301:P364" si="6">CONCATENATE(C301,D301," ",E301)</f>
        <v>Pixel 8128 BLACK</v>
      </c>
      <c r="Q301">
        <v>0</v>
      </c>
      <c r="R301" s="350"/>
    </row>
    <row r="302" spans="1:18">
      <c r="B302" s="275">
        <v>3</v>
      </c>
      <c r="C302" s="275">
        <v>14</v>
      </c>
      <c r="D302" s="275">
        <v>128</v>
      </c>
      <c r="E302" s="275" t="s">
        <v>918</v>
      </c>
      <c r="F302" s="277">
        <v>354553492989371</v>
      </c>
      <c r="G302" s="275" t="s">
        <v>919</v>
      </c>
      <c r="H302" s="275" t="s">
        <v>920</v>
      </c>
      <c r="I302" s="275" t="s">
        <v>921</v>
      </c>
      <c r="J302" s="290">
        <v>300</v>
      </c>
      <c r="K302" s="17">
        <v>3.6739999999999999</v>
      </c>
      <c r="L302" s="17">
        <f t="shared" si="4"/>
        <v>1102.2</v>
      </c>
      <c r="M302" s="48"/>
      <c r="N302" s="293">
        <f t="shared" si="5"/>
        <v>1102.2</v>
      </c>
      <c r="P302" s="275" t="str">
        <f t="shared" si="6"/>
        <v>14128 BLACK</v>
      </c>
      <c r="Q302" s="231">
        <v>1220</v>
      </c>
      <c r="R302" s="350">
        <f t="shared" ref="R302:R349" si="7">Q302-N302</f>
        <v>117.79999999999995</v>
      </c>
    </row>
    <row r="303" spans="1:18">
      <c r="B303" s="275">
        <v>4</v>
      </c>
      <c r="C303" s="275">
        <v>14</v>
      </c>
      <c r="D303" s="275">
        <v>128</v>
      </c>
      <c r="E303" s="275" t="s">
        <v>922</v>
      </c>
      <c r="F303" s="277">
        <v>355549916437061</v>
      </c>
      <c r="G303" s="275" t="s">
        <v>919</v>
      </c>
      <c r="H303" s="275" t="s">
        <v>920</v>
      </c>
      <c r="I303" s="275" t="s">
        <v>921</v>
      </c>
      <c r="J303" s="290">
        <v>300</v>
      </c>
      <c r="K303" s="17">
        <v>3.6739999999999999</v>
      </c>
      <c r="L303" s="17">
        <f t="shared" si="4"/>
        <v>1102.2</v>
      </c>
      <c r="M303" s="48"/>
      <c r="N303" s="293">
        <f t="shared" si="5"/>
        <v>1102.2</v>
      </c>
      <c r="P303" s="275" t="str">
        <f t="shared" si="6"/>
        <v>14128 BLUE</v>
      </c>
      <c r="Q303">
        <v>1200</v>
      </c>
      <c r="R303" s="350">
        <f t="shared" si="7"/>
        <v>97.799999999999955</v>
      </c>
    </row>
    <row r="304" spans="1:18">
      <c r="B304" s="275">
        <v>5</v>
      </c>
      <c r="C304" s="275">
        <v>14</v>
      </c>
      <c r="D304" s="275">
        <v>128</v>
      </c>
      <c r="E304" s="275" t="s">
        <v>922</v>
      </c>
      <c r="F304" s="277">
        <v>355549919948734</v>
      </c>
      <c r="G304" s="275" t="s">
        <v>919</v>
      </c>
      <c r="H304" s="275" t="s">
        <v>920</v>
      </c>
      <c r="I304" s="275" t="s">
        <v>921</v>
      </c>
      <c r="J304" s="290">
        <v>300</v>
      </c>
      <c r="K304" s="17">
        <v>3.6739999999999999</v>
      </c>
      <c r="L304" s="17">
        <f t="shared" si="4"/>
        <v>1102.2</v>
      </c>
      <c r="M304" s="48"/>
      <c r="N304" s="293">
        <f t="shared" si="5"/>
        <v>1102.2</v>
      </c>
      <c r="P304" s="275" t="str">
        <f t="shared" si="6"/>
        <v>14128 BLUE</v>
      </c>
      <c r="Q304">
        <v>1200</v>
      </c>
      <c r="R304" s="350">
        <f t="shared" si="7"/>
        <v>97.799999999999955</v>
      </c>
    </row>
    <row r="305" spans="2:18">
      <c r="B305" s="275">
        <v>6</v>
      </c>
      <c r="C305" s="275">
        <v>14</v>
      </c>
      <c r="D305" s="275">
        <v>128</v>
      </c>
      <c r="E305" s="275" t="s">
        <v>922</v>
      </c>
      <c r="F305" s="277">
        <v>355549917028687</v>
      </c>
      <c r="G305" s="275" t="s">
        <v>919</v>
      </c>
      <c r="H305" s="275" t="s">
        <v>920</v>
      </c>
      <c r="I305" s="275" t="s">
        <v>921</v>
      </c>
      <c r="J305" s="290">
        <v>300</v>
      </c>
      <c r="K305" s="17">
        <v>3.6739999999999999</v>
      </c>
      <c r="L305" s="17">
        <f t="shared" si="4"/>
        <v>1102.2</v>
      </c>
      <c r="M305" s="48"/>
      <c r="N305" s="293">
        <f t="shared" si="5"/>
        <v>1102.2</v>
      </c>
      <c r="P305" s="275" t="str">
        <f t="shared" si="6"/>
        <v>14128 BLUE</v>
      </c>
      <c r="Q305">
        <v>1200</v>
      </c>
      <c r="R305" s="350">
        <f t="shared" si="7"/>
        <v>97.799999999999955</v>
      </c>
    </row>
    <row r="306" spans="2:18">
      <c r="B306" s="275">
        <v>7</v>
      </c>
      <c r="C306" s="275">
        <v>14</v>
      </c>
      <c r="D306" s="275">
        <v>128</v>
      </c>
      <c r="E306" s="275" t="s">
        <v>923</v>
      </c>
      <c r="F306" s="277">
        <v>355185497809426</v>
      </c>
      <c r="G306" s="275" t="s">
        <v>919</v>
      </c>
      <c r="H306" s="275" t="s">
        <v>920</v>
      </c>
      <c r="I306" s="275" t="s">
        <v>921</v>
      </c>
      <c r="J306" s="290">
        <v>300</v>
      </c>
      <c r="K306" s="17">
        <v>3.6739999999999999</v>
      </c>
      <c r="L306" s="17">
        <f t="shared" si="4"/>
        <v>1102.2</v>
      </c>
      <c r="M306" s="48"/>
      <c r="N306" s="293">
        <f t="shared" si="5"/>
        <v>1102.2</v>
      </c>
      <c r="P306" s="275" t="str">
        <f t="shared" si="6"/>
        <v>14128 MIDNIGHT</v>
      </c>
      <c r="Q306">
        <v>1200</v>
      </c>
      <c r="R306" s="350">
        <f t="shared" si="7"/>
        <v>97.799999999999955</v>
      </c>
    </row>
    <row r="307" spans="2:18">
      <c r="B307" s="275">
        <v>8</v>
      </c>
      <c r="C307" s="275">
        <v>15</v>
      </c>
      <c r="D307" s="275">
        <v>128</v>
      </c>
      <c r="E307" s="275" t="s">
        <v>922</v>
      </c>
      <c r="F307" s="277">
        <v>358019945087623</v>
      </c>
      <c r="G307" s="275" t="s">
        <v>919</v>
      </c>
      <c r="H307" s="275" t="s">
        <v>920</v>
      </c>
      <c r="I307" s="275" t="s">
        <v>921</v>
      </c>
      <c r="J307" s="290">
        <v>400</v>
      </c>
      <c r="K307" s="17">
        <v>3.6739999999999999</v>
      </c>
      <c r="L307" s="17">
        <f t="shared" si="4"/>
        <v>1469.6</v>
      </c>
      <c r="M307" s="48"/>
      <c r="N307" s="293">
        <f t="shared" si="5"/>
        <v>1469.6</v>
      </c>
      <c r="P307" s="275" t="str">
        <f t="shared" si="6"/>
        <v>15128 BLUE</v>
      </c>
      <c r="Q307">
        <v>1530</v>
      </c>
      <c r="R307" s="350">
        <f t="shared" si="7"/>
        <v>60.400000000000091</v>
      </c>
    </row>
    <row r="308" spans="2:18">
      <c r="B308" s="275">
        <v>9</v>
      </c>
      <c r="C308" s="275">
        <v>15</v>
      </c>
      <c r="D308" s="275">
        <v>128</v>
      </c>
      <c r="E308" s="275" t="s">
        <v>924</v>
      </c>
      <c r="F308" s="277">
        <v>354633853879286</v>
      </c>
      <c r="G308" s="275" t="s">
        <v>919</v>
      </c>
      <c r="H308" s="275" t="s">
        <v>920</v>
      </c>
      <c r="I308" s="275" t="s">
        <v>921</v>
      </c>
      <c r="J308" s="290">
        <v>400</v>
      </c>
      <c r="K308" s="17">
        <v>3.6739999999999999</v>
      </c>
      <c r="L308" s="17">
        <f t="shared" si="4"/>
        <v>1469.6</v>
      </c>
      <c r="M308" s="48"/>
      <c r="N308" s="293">
        <f t="shared" si="5"/>
        <v>1469.6</v>
      </c>
      <c r="P308" s="275" t="str">
        <f t="shared" si="6"/>
        <v>15128 PURPLE</v>
      </c>
      <c r="Q308">
        <v>1530</v>
      </c>
      <c r="R308" s="350">
        <f t="shared" si="7"/>
        <v>60.400000000000091</v>
      </c>
    </row>
    <row r="309" spans="2:18">
      <c r="B309" s="275">
        <v>10</v>
      </c>
      <c r="C309" s="275">
        <v>15</v>
      </c>
      <c r="D309" s="275">
        <v>256</v>
      </c>
      <c r="E309" s="275" t="s">
        <v>918</v>
      </c>
      <c r="F309" s="277">
        <v>354872880723071</v>
      </c>
      <c r="G309" s="275" t="s">
        <v>919</v>
      </c>
      <c r="H309" s="275" t="s">
        <v>920</v>
      </c>
      <c r="I309" s="275" t="s">
        <v>921</v>
      </c>
      <c r="J309" s="290">
        <v>440</v>
      </c>
      <c r="K309" s="17">
        <v>3.6739999999999999</v>
      </c>
      <c r="L309" s="17">
        <f t="shared" si="4"/>
        <v>1616.56</v>
      </c>
      <c r="M309" s="48"/>
      <c r="N309" s="293">
        <f t="shared" si="5"/>
        <v>1616.56</v>
      </c>
      <c r="P309" s="275" t="str">
        <f t="shared" si="6"/>
        <v>15256 BLACK</v>
      </c>
      <c r="Q309">
        <v>0</v>
      </c>
      <c r="R309" s="350"/>
    </row>
    <row r="310" spans="2:18">
      <c r="B310" s="377">
        <v>11</v>
      </c>
      <c r="C310" s="377" t="s">
        <v>925</v>
      </c>
      <c r="D310" s="377">
        <v>128</v>
      </c>
      <c r="E310" s="377" t="s">
        <v>922</v>
      </c>
      <c r="F310" s="378">
        <v>350915774341114</v>
      </c>
      <c r="G310" s="377" t="s">
        <v>919</v>
      </c>
      <c r="H310" s="377" t="s">
        <v>920</v>
      </c>
      <c r="I310" s="377" t="s">
        <v>926</v>
      </c>
      <c r="J310" s="381">
        <v>600</v>
      </c>
      <c r="K310" s="365">
        <v>3.6739999999999999</v>
      </c>
      <c r="L310" s="365">
        <f t="shared" si="4"/>
        <v>2204.4</v>
      </c>
      <c r="M310" s="382"/>
      <c r="N310" s="383">
        <f t="shared" si="5"/>
        <v>2204.4</v>
      </c>
      <c r="O310" s="231" t="s">
        <v>1340</v>
      </c>
      <c r="P310" s="377" t="str">
        <f t="shared" si="6"/>
        <v>14 Plus128 BLUE</v>
      </c>
      <c r="Q310" s="231">
        <v>2204.4</v>
      </c>
      <c r="R310" s="384">
        <f t="shared" si="7"/>
        <v>0</v>
      </c>
    </row>
    <row r="311" spans="2:18">
      <c r="B311" s="377">
        <v>12</v>
      </c>
      <c r="C311" s="377" t="s">
        <v>925</v>
      </c>
      <c r="D311" s="377">
        <v>128</v>
      </c>
      <c r="E311" s="377" t="s">
        <v>923</v>
      </c>
      <c r="F311" s="378">
        <v>350028715517840</v>
      </c>
      <c r="G311" s="377" t="s">
        <v>919</v>
      </c>
      <c r="H311" s="377" t="s">
        <v>920</v>
      </c>
      <c r="I311" s="377" t="s">
        <v>926</v>
      </c>
      <c r="J311" s="381">
        <v>600</v>
      </c>
      <c r="K311" s="365">
        <v>3.6739999999999999</v>
      </c>
      <c r="L311" s="365">
        <f t="shared" si="4"/>
        <v>2204.4</v>
      </c>
      <c r="M311" s="382"/>
      <c r="N311" s="383">
        <f t="shared" si="5"/>
        <v>2204.4</v>
      </c>
      <c r="O311" s="231" t="s">
        <v>1340</v>
      </c>
      <c r="P311" s="377" t="str">
        <f t="shared" si="6"/>
        <v>14 Plus128 MIDNIGHT</v>
      </c>
      <c r="Q311" s="231">
        <v>2204.4</v>
      </c>
      <c r="R311" s="384">
        <f t="shared" si="7"/>
        <v>0</v>
      </c>
    </row>
    <row r="312" spans="2:18">
      <c r="B312" s="275">
        <v>13</v>
      </c>
      <c r="C312" s="275" t="s">
        <v>927</v>
      </c>
      <c r="D312" s="275">
        <v>128</v>
      </c>
      <c r="E312" s="275" t="s">
        <v>922</v>
      </c>
      <c r="F312" s="277">
        <v>359081511476191</v>
      </c>
      <c r="G312" s="275" t="s">
        <v>919</v>
      </c>
      <c r="H312" s="275" t="s">
        <v>920</v>
      </c>
      <c r="I312" s="275" t="s">
        <v>921</v>
      </c>
      <c r="J312" s="290">
        <v>430</v>
      </c>
      <c r="K312" s="17">
        <v>3.6739999999999999</v>
      </c>
      <c r="L312" s="17">
        <f t="shared" si="4"/>
        <v>1579.82</v>
      </c>
      <c r="M312" s="48"/>
      <c r="N312" s="293">
        <f t="shared" si="5"/>
        <v>1579.82</v>
      </c>
      <c r="P312" s="275" t="str">
        <f t="shared" si="6"/>
        <v>15 Plus128 BLUE</v>
      </c>
      <c r="Q312">
        <v>1650</v>
      </c>
      <c r="R312" s="350">
        <f t="shared" si="7"/>
        <v>70.180000000000064</v>
      </c>
    </row>
    <row r="313" spans="2:18">
      <c r="B313" s="275">
        <v>14</v>
      </c>
      <c r="C313" s="275" t="s">
        <v>927</v>
      </c>
      <c r="D313" s="275">
        <v>128</v>
      </c>
      <c r="E313" s="275" t="s">
        <v>922</v>
      </c>
      <c r="F313" s="277">
        <v>353896507988644</v>
      </c>
      <c r="G313" s="275" t="s">
        <v>919</v>
      </c>
      <c r="H313" s="275" t="s">
        <v>920</v>
      </c>
      <c r="I313" s="275" t="s">
        <v>921</v>
      </c>
      <c r="J313" s="290">
        <v>430</v>
      </c>
      <c r="K313" s="17">
        <v>3.6739999999999999</v>
      </c>
      <c r="L313" s="17">
        <f t="shared" si="4"/>
        <v>1579.82</v>
      </c>
      <c r="M313" s="48"/>
      <c r="N313" s="293">
        <f t="shared" si="5"/>
        <v>1579.82</v>
      </c>
      <c r="P313" s="275" t="str">
        <f t="shared" si="6"/>
        <v>15 Plus128 BLUE</v>
      </c>
      <c r="Q313">
        <v>1650</v>
      </c>
      <c r="R313" s="350">
        <f t="shared" si="7"/>
        <v>70.180000000000064</v>
      </c>
    </row>
    <row r="314" spans="2:18">
      <c r="B314" s="275">
        <v>15</v>
      </c>
      <c r="C314" s="275" t="s">
        <v>927</v>
      </c>
      <c r="D314" s="275">
        <v>128</v>
      </c>
      <c r="E314" s="275" t="s">
        <v>922</v>
      </c>
      <c r="F314" s="277">
        <v>353896509678854</v>
      </c>
      <c r="G314" s="275" t="s">
        <v>919</v>
      </c>
      <c r="H314" s="275" t="s">
        <v>920</v>
      </c>
      <c r="I314" s="275" t="s">
        <v>921</v>
      </c>
      <c r="J314" s="290">
        <v>430</v>
      </c>
      <c r="K314" s="17">
        <v>3.6739999999999999</v>
      </c>
      <c r="L314" s="17">
        <f t="shared" si="4"/>
        <v>1579.82</v>
      </c>
      <c r="M314" s="48"/>
      <c r="N314" s="293">
        <f t="shared" si="5"/>
        <v>1579.82</v>
      </c>
      <c r="P314" s="275" t="str">
        <f t="shared" si="6"/>
        <v>15 Plus128 BLUE</v>
      </c>
      <c r="Q314">
        <v>1650</v>
      </c>
      <c r="R314" s="350">
        <f t="shared" si="7"/>
        <v>70.180000000000064</v>
      </c>
    </row>
    <row r="315" spans="2:18">
      <c r="B315" s="275">
        <v>16</v>
      </c>
      <c r="C315" s="275" t="s">
        <v>928</v>
      </c>
      <c r="D315" s="275">
        <v>128</v>
      </c>
      <c r="E315" s="275" t="s">
        <v>918</v>
      </c>
      <c r="F315" s="277">
        <v>353468917794051</v>
      </c>
      <c r="G315" s="275" t="s">
        <v>919</v>
      </c>
      <c r="H315" s="275" t="s">
        <v>920</v>
      </c>
      <c r="I315" s="275" t="s">
        <v>921</v>
      </c>
      <c r="J315" s="290">
        <v>520</v>
      </c>
      <c r="K315" s="17">
        <v>3.6739999999999999</v>
      </c>
      <c r="L315" s="17">
        <f t="shared" si="4"/>
        <v>1910.48</v>
      </c>
      <c r="M315" s="48"/>
      <c r="N315" s="293">
        <f t="shared" si="5"/>
        <v>1910.48</v>
      </c>
      <c r="P315" s="275" t="str">
        <f t="shared" si="6"/>
        <v>15 Pro128 BLACK</v>
      </c>
      <c r="Q315">
        <v>1950</v>
      </c>
      <c r="R315" s="350">
        <f t="shared" si="7"/>
        <v>39.519999999999982</v>
      </c>
    </row>
    <row r="316" spans="2:18">
      <c r="B316" s="275">
        <v>17</v>
      </c>
      <c r="C316" s="275" t="s">
        <v>928</v>
      </c>
      <c r="D316" s="275">
        <v>128</v>
      </c>
      <c r="E316" s="275" t="s">
        <v>929</v>
      </c>
      <c r="F316" s="277">
        <v>352917268437570</v>
      </c>
      <c r="G316" s="275" t="s">
        <v>919</v>
      </c>
      <c r="H316" s="275" t="s">
        <v>920</v>
      </c>
      <c r="I316" s="275" t="s">
        <v>921</v>
      </c>
      <c r="J316" s="290">
        <v>550</v>
      </c>
      <c r="K316" s="17">
        <v>3.6739999999999999</v>
      </c>
      <c r="L316" s="17">
        <f t="shared" si="4"/>
        <v>2020.7</v>
      </c>
      <c r="M316" s="48"/>
      <c r="N316" s="293">
        <f t="shared" si="5"/>
        <v>2020.7</v>
      </c>
      <c r="P316" s="275" t="str">
        <f t="shared" si="6"/>
        <v>15 Pro128 NATURAL</v>
      </c>
      <c r="Q316">
        <v>2080</v>
      </c>
      <c r="R316" s="350">
        <f t="shared" si="7"/>
        <v>59.299999999999955</v>
      </c>
    </row>
    <row r="317" spans="2:18">
      <c r="B317" s="275">
        <v>18</v>
      </c>
      <c r="C317" s="275" t="s">
        <v>928</v>
      </c>
      <c r="D317" s="275">
        <v>256</v>
      </c>
      <c r="E317" s="275" t="s">
        <v>918</v>
      </c>
      <c r="F317" s="277">
        <v>351697430562478</v>
      </c>
      <c r="G317" s="275" t="s">
        <v>919</v>
      </c>
      <c r="H317" s="275" t="s">
        <v>920</v>
      </c>
      <c r="I317" s="275" t="s">
        <v>921</v>
      </c>
      <c r="J317" s="290">
        <v>580</v>
      </c>
      <c r="K317" s="17">
        <v>3.6739999999999999</v>
      </c>
      <c r="L317" s="17">
        <f t="shared" si="4"/>
        <v>2130.92</v>
      </c>
      <c r="M317" s="48"/>
      <c r="N317" s="293">
        <f t="shared" si="5"/>
        <v>2130.92</v>
      </c>
      <c r="P317" s="275" t="str">
        <f t="shared" si="6"/>
        <v>15 Pro256 BLACK</v>
      </c>
      <c r="Q317">
        <v>2080</v>
      </c>
      <c r="R317" s="350">
        <f t="shared" si="7"/>
        <v>-50.920000000000073</v>
      </c>
    </row>
    <row r="318" spans="2:18">
      <c r="B318" s="275">
        <v>19</v>
      </c>
      <c r="C318" s="275" t="s">
        <v>928</v>
      </c>
      <c r="D318" s="275">
        <v>128</v>
      </c>
      <c r="E318" s="275" t="s">
        <v>929</v>
      </c>
      <c r="F318" s="277">
        <v>352917268392445</v>
      </c>
      <c r="G318" s="275" t="s">
        <v>919</v>
      </c>
      <c r="H318" s="275" t="s">
        <v>920</v>
      </c>
      <c r="I318" s="275" t="s">
        <v>921</v>
      </c>
      <c r="J318" s="290">
        <v>550</v>
      </c>
      <c r="K318" s="17">
        <v>3.6739999999999999</v>
      </c>
      <c r="L318" s="17">
        <f t="shared" si="4"/>
        <v>2020.7</v>
      </c>
      <c r="M318" s="48"/>
      <c r="N318" s="293">
        <f t="shared" si="5"/>
        <v>2020.7</v>
      </c>
      <c r="P318" s="275" t="str">
        <f t="shared" si="6"/>
        <v>15 Pro128 NATURAL</v>
      </c>
      <c r="Q318">
        <v>2080</v>
      </c>
      <c r="R318" s="350">
        <f t="shared" si="7"/>
        <v>59.299999999999955</v>
      </c>
    </row>
    <row r="319" spans="2:18">
      <c r="B319" s="275">
        <v>20</v>
      </c>
      <c r="C319" s="275" t="s">
        <v>928</v>
      </c>
      <c r="D319" s="275">
        <v>256</v>
      </c>
      <c r="E319" s="275" t="s">
        <v>918</v>
      </c>
      <c r="F319" s="277">
        <v>351697430563526</v>
      </c>
      <c r="G319" s="275" t="s">
        <v>919</v>
      </c>
      <c r="H319" s="275" t="s">
        <v>920</v>
      </c>
      <c r="I319" s="275" t="s">
        <v>921</v>
      </c>
      <c r="J319" s="290">
        <v>580</v>
      </c>
      <c r="K319" s="17">
        <v>3.6739999999999999</v>
      </c>
      <c r="L319" s="17">
        <f t="shared" si="4"/>
        <v>2130.92</v>
      </c>
      <c r="M319" s="48"/>
      <c r="N319" s="293">
        <f t="shared" si="5"/>
        <v>2130.92</v>
      </c>
      <c r="P319" s="275" t="str">
        <f t="shared" si="6"/>
        <v>15 Pro256 BLACK</v>
      </c>
      <c r="Q319">
        <v>2080</v>
      </c>
      <c r="R319" s="350">
        <f t="shared" si="7"/>
        <v>-50.920000000000073</v>
      </c>
    </row>
    <row r="320" spans="2:18">
      <c r="B320" s="275">
        <v>21</v>
      </c>
      <c r="C320" s="275" t="s">
        <v>928</v>
      </c>
      <c r="D320" s="275">
        <v>512</v>
      </c>
      <c r="E320" s="275" t="s">
        <v>929</v>
      </c>
      <c r="F320" s="277">
        <v>356511214965622</v>
      </c>
      <c r="G320" s="275" t="s">
        <v>919</v>
      </c>
      <c r="H320" s="275" t="s">
        <v>920</v>
      </c>
      <c r="I320" s="275" t="s">
        <v>921</v>
      </c>
      <c r="J320" s="290">
        <v>650</v>
      </c>
      <c r="K320" s="17">
        <v>3.6739999999999999</v>
      </c>
      <c r="L320" s="17">
        <f t="shared" si="4"/>
        <v>2388.1</v>
      </c>
      <c r="M320" s="48"/>
      <c r="N320" s="293">
        <f t="shared" si="5"/>
        <v>2388.1</v>
      </c>
      <c r="P320" s="275" t="str">
        <f t="shared" si="6"/>
        <v>15 Pro512 NATURAL</v>
      </c>
      <c r="Q320">
        <v>2400</v>
      </c>
      <c r="R320" s="350">
        <f t="shared" si="7"/>
        <v>11.900000000000091</v>
      </c>
    </row>
    <row r="321" spans="2:18">
      <c r="B321" s="275">
        <v>22</v>
      </c>
      <c r="C321" s="275" t="s">
        <v>930</v>
      </c>
      <c r="D321" s="275">
        <v>256</v>
      </c>
      <c r="E321" s="275" t="s">
        <v>918</v>
      </c>
      <c r="F321" s="277">
        <v>350278024110718</v>
      </c>
      <c r="G321" s="275" t="s">
        <v>919</v>
      </c>
      <c r="H321" s="275" t="s">
        <v>920</v>
      </c>
      <c r="I321" s="275" t="s">
        <v>921</v>
      </c>
      <c r="J321" s="290">
        <v>655</v>
      </c>
      <c r="K321" s="17">
        <v>3.6739999999999999</v>
      </c>
      <c r="L321" s="17">
        <f t="shared" si="4"/>
        <v>2406.4699999999998</v>
      </c>
      <c r="M321" s="48"/>
      <c r="N321" s="293">
        <f t="shared" si="5"/>
        <v>2406.4699999999998</v>
      </c>
      <c r="P321" s="275" t="str">
        <f t="shared" si="6"/>
        <v>15 Pro Max256 BLACK</v>
      </c>
      <c r="Q321">
        <v>2390</v>
      </c>
      <c r="R321" s="350">
        <f t="shared" si="7"/>
        <v>-16.4699999999998</v>
      </c>
    </row>
    <row r="322" spans="2:18">
      <c r="B322" s="275">
        <v>23</v>
      </c>
      <c r="C322" s="275" t="s">
        <v>930</v>
      </c>
      <c r="D322" s="275">
        <v>256</v>
      </c>
      <c r="E322" s="275" t="s">
        <v>918</v>
      </c>
      <c r="F322" s="277">
        <v>354068586013111</v>
      </c>
      <c r="G322" s="275" t="s">
        <v>919</v>
      </c>
      <c r="H322" s="275" t="s">
        <v>931</v>
      </c>
      <c r="I322" s="275" t="s">
        <v>921</v>
      </c>
      <c r="J322" s="290">
        <v>655</v>
      </c>
      <c r="K322" s="17">
        <v>3.6739999999999999</v>
      </c>
      <c r="L322" s="17">
        <f t="shared" si="4"/>
        <v>2406.4699999999998</v>
      </c>
      <c r="M322" s="48"/>
      <c r="N322" s="293">
        <f t="shared" si="5"/>
        <v>2406.4699999999998</v>
      </c>
      <c r="P322" s="275" t="str">
        <f t="shared" si="6"/>
        <v>15 Pro Max256 BLACK</v>
      </c>
      <c r="Q322">
        <v>2300</v>
      </c>
      <c r="R322" s="350"/>
    </row>
    <row r="323" spans="2:18">
      <c r="B323" s="275">
        <v>24</v>
      </c>
      <c r="C323" s="275" t="s">
        <v>930</v>
      </c>
      <c r="D323" s="275">
        <v>256</v>
      </c>
      <c r="E323" s="275" t="s">
        <v>918</v>
      </c>
      <c r="F323" s="277">
        <v>356511215775244</v>
      </c>
      <c r="G323" s="275" t="s">
        <v>919</v>
      </c>
      <c r="H323" s="275" t="s">
        <v>931</v>
      </c>
      <c r="I323" s="275" t="s">
        <v>921</v>
      </c>
      <c r="J323" s="290">
        <v>655</v>
      </c>
      <c r="K323" s="17">
        <v>3.6739999999999999</v>
      </c>
      <c r="L323" s="17">
        <f t="shared" si="4"/>
        <v>2406.4699999999998</v>
      </c>
      <c r="M323" s="48"/>
      <c r="N323" s="293">
        <f t="shared" si="5"/>
        <v>2406.4699999999998</v>
      </c>
      <c r="P323" s="275" t="str">
        <f t="shared" si="6"/>
        <v>15 Pro Max256 BLACK</v>
      </c>
      <c r="Q323">
        <v>0</v>
      </c>
      <c r="R323" s="350"/>
    </row>
    <row r="324" spans="2:18">
      <c r="B324" s="275">
        <v>25</v>
      </c>
      <c r="C324" s="275" t="s">
        <v>930</v>
      </c>
      <c r="D324" s="275">
        <v>256</v>
      </c>
      <c r="E324" s="275" t="s">
        <v>918</v>
      </c>
      <c r="F324" s="277">
        <v>354934255303291</v>
      </c>
      <c r="G324" s="275" t="s">
        <v>919</v>
      </c>
      <c r="H324" s="275" t="s">
        <v>920</v>
      </c>
      <c r="I324" s="275" t="s">
        <v>921</v>
      </c>
      <c r="J324" s="290">
        <v>655</v>
      </c>
      <c r="K324" s="17">
        <v>3.6739999999999999</v>
      </c>
      <c r="L324" s="17">
        <f t="shared" si="4"/>
        <v>2406.4699999999998</v>
      </c>
      <c r="M324" s="48"/>
      <c r="N324" s="293">
        <f t="shared" si="5"/>
        <v>2406.4699999999998</v>
      </c>
      <c r="P324" s="275" t="str">
        <f t="shared" si="6"/>
        <v>15 Pro Max256 BLACK</v>
      </c>
      <c r="Q324">
        <v>2380</v>
      </c>
      <c r="R324" s="350">
        <f t="shared" si="7"/>
        <v>-26.4699999999998</v>
      </c>
    </row>
    <row r="325" spans="2:18">
      <c r="B325" s="377">
        <v>26</v>
      </c>
      <c r="C325" s="377" t="s">
        <v>930</v>
      </c>
      <c r="D325" s="377">
        <v>256</v>
      </c>
      <c r="E325" s="377" t="s">
        <v>922</v>
      </c>
      <c r="F325" s="378">
        <v>354689820065151</v>
      </c>
      <c r="G325" s="377" t="s">
        <v>919</v>
      </c>
      <c r="H325" s="377" t="s">
        <v>920</v>
      </c>
      <c r="I325" s="377" t="s">
        <v>926</v>
      </c>
      <c r="J325" s="381">
        <v>980</v>
      </c>
      <c r="K325" s="365">
        <v>3.6739999999999999</v>
      </c>
      <c r="L325" s="365">
        <f t="shared" si="4"/>
        <v>3600.52</v>
      </c>
      <c r="M325" s="382"/>
      <c r="N325" s="383">
        <f t="shared" si="5"/>
        <v>3600.52</v>
      </c>
      <c r="O325" s="231" t="s">
        <v>1340</v>
      </c>
      <c r="P325" s="377" t="str">
        <f t="shared" si="6"/>
        <v>15 Pro Max256 BLUE</v>
      </c>
      <c r="Q325" s="231">
        <v>3600.52</v>
      </c>
      <c r="R325" s="384">
        <f t="shared" si="7"/>
        <v>0</v>
      </c>
    </row>
    <row r="326" spans="2:18">
      <c r="B326" s="275">
        <v>27</v>
      </c>
      <c r="C326" s="275" t="s">
        <v>930</v>
      </c>
      <c r="D326" s="275">
        <v>256</v>
      </c>
      <c r="E326" s="275" t="s">
        <v>922</v>
      </c>
      <c r="F326" s="277">
        <v>356511211052325</v>
      </c>
      <c r="G326" s="275" t="s">
        <v>919</v>
      </c>
      <c r="H326" s="275" t="s">
        <v>920</v>
      </c>
      <c r="I326" s="275" t="s">
        <v>921</v>
      </c>
      <c r="J326" s="290">
        <v>665</v>
      </c>
      <c r="K326" s="17">
        <v>3.6739999999999999</v>
      </c>
      <c r="L326" s="17">
        <f t="shared" si="4"/>
        <v>2443.21</v>
      </c>
      <c r="M326" s="48"/>
      <c r="N326" s="293">
        <f t="shared" si="5"/>
        <v>2443.21</v>
      </c>
      <c r="P326" s="275" t="str">
        <f t="shared" si="6"/>
        <v>15 Pro Max256 BLUE</v>
      </c>
      <c r="Q326">
        <v>2440</v>
      </c>
      <c r="R326" s="350">
        <f t="shared" si="7"/>
        <v>-3.2100000000000364</v>
      </c>
    </row>
    <row r="327" spans="2:18">
      <c r="B327" s="275">
        <v>28</v>
      </c>
      <c r="C327" s="275" t="s">
        <v>930</v>
      </c>
      <c r="D327" s="275">
        <v>256</v>
      </c>
      <c r="E327" s="275" t="s">
        <v>922</v>
      </c>
      <c r="F327" s="277">
        <v>358862621527705</v>
      </c>
      <c r="G327" s="275" t="s">
        <v>919</v>
      </c>
      <c r="H327" s="275" t="s">
        <v>920</v>
      </c>
      <c r="I327" s="275" t="s">
        <v>921</v>
      </c>
      <c r="J327" s="290">
        <v>665</v>
      </c>
      <c r="K327" s="17">
        <v>3.6739999999999999</v>
      </c>
      <c r="L327" s="17">
        <f t="shared" si="4"/>
        <v>2443.21</v>
      </c>
      <c r="M327" s="48"/>
      <c r="N327" s="293">
        <f t="shared" si="5"/>
        <v>2443.21</v>
      </c>
      <c r="P327" s="275" t="str">
        <f t="shared" si="6"/>
        <v>15 Pro Max256 BLUE</v>
      </c>
      <c r="Q327">
        <v>2440</v>
      </c>
      <c r="R327" s="350">
        <f t="shared" si="7"/>
        <v>-3.2100000000000364</v>
      </c>
    </row>
    <row r="328" spans="2:18">
      <c r="B328" s="275">
        <v>29</v>
      </c>
      <c r="C328" s="275" t="s">
        <v>930</v>
      </c>
      <c r="D328" s="275">
        <v>256</v>
      </c>
      <c r="E328" s="275" t="s">
        <v>922</v>
      </c>
      <c r="F328" s="277">
        <v>355430970046751</v>
      </c>
      <c r="G328" s="275" t="s">
        <v>919</v>
      </c>
      <c r="H328" s="275" t="s">
        <v>920</v>
      </c>
      <c r="I328" s="275" t="s">
        <v>921</v>
      </c>
      <c r="J328" s="290">
        <v>665</v>
      </c>
      <c r="K328" s="17">
        <v>3.6739999999999999</v>
      </c>
      <c r="L328" s="17">
        <f t="shared" si="4"/>
        <v>2443.21</v>
      </c>
      <c r="M328" s="48"/>
      <c r="N328" s="293">
        <f t="shared" si="5"/>
        <v>2443.21</v>
      </c>
      <c r="P328" s="275" t="str">
        <f t="shared" si="6"/>
        <v>15 Pro Max256 BLUE</v>
      </c>
      <c r="Q328">
        <v>2440</v>
      </c>
      <c r="R328" s="350">
        <f t="shared" si="7"/>
        <v>-3.2100000000000364</v>
      </c>
    </row>
    <row r="329" spans="2:18">
      <c r="B329" s="275">
        <v>30</v>
      </c>
      <c r="C329" s="275" t="s">
        <v>930</v>
      </c>
      <c r="D329" s="275">
        <v>256</v>
      </c>
      <c r="E329" s="275" t="s">
        <v>922</v>
      </c>
      <c r="F329" s="277">
        <v>352229492418180</v>
      </c>
      <c r="G329" s="275" t="s">
        <v>919</v>
      </c>
      <c r="H329" s="275" t="s">
        <v>920</v>
      </c>
      <c r="I329" s="275" t="s">
        <v>921</v>
      </c>
      <c r="J329" s="290">
        <v>665</v>
      </c>
      <c r="K329" s="17">
        <v>3.6739999999999999</v>
      </c>
      <c r="L329" s="17">
        <f t="shared" si="4"/>
        <v>2443.21</v>
      </c>
      <c r="M329" s="48"/>
      <c r="N329" s="293">
        <f t="shared" si="5"/>
        <v>2443.21</v>
      </c>
      <c r="P329" s="275" t="str">
        <f t="shared" si="6"/>
        <v>15 Pro Max256 BLUE</v>
      </c>
      <c r="Q329">
        <v>2440</v>
      </c>
      <c r="R329" s="350">
        <f t="shared" si="7"/>
        <v>-3.2100000000000364</v>
      </c>
    </row>
    <row r="330" spans="2:18">
      <c r="B330" s="275">
        <v>31</v>
      </c>
      <c r="C330" s="275" t="s">
        <v>930</v>
      </c>
      <c r="D330" s="275">
        <v>256</v>
      </c>
      <c r="E330" s="275" t="s">
        <v>929</v>
      </c>
      <c r="F330" s="277">
        <v>353468918255524</v>
      </c>
      <c r="G330" s="275" t="s">
        <v>919</v>
      </c>
      <c r="H330" s="275" t="s">
        <v>920</v>
      </c>
      <c r="I330" s="275" t="s">
        <v>921</v>
      </c>
      <c r="J330" s="290">
        <v>730</v>
      </c>
      <c r="K330" s="17">
        <v>3.6739999999999999</v>
      </c>
      <c r="L330" s="17">
        <f t="shared" si="4"/>
        <v>2682.02</v>
      </c>
      <c r="M330" s="48"/>
      <c r="N330" s="293">
        <f t="shared" si="5"/>
        <v>2682.02</v>
      </c>
      <c r="P330" s="275" t="str">
        <f t="shared" si="6"/>
        <v>15 Pro Max256 NATURAL</v>
      </c>
      <c r="Q330">
        <v>2730</v>
      </c>
      <c r="R330" s="350">
        <f t="shared" si="7"/>
        <v>47.980000000000018</v>
      </c>
    </row>
    <row r="331" spans="2:18">
      <c r="B331" s="275">
        <v>32</v>
      </c>
      <c r="C331" s="275" t="s">
        <v>930</v>
      </c>
      <c r="D331" s="275">
        <v>256</v>
      </c>
      <c r="E331" s="275" t="s">
        <v>929</v>
      </c>
      <c r="F331" s="277">
        <v>356511214753150</v>
      </c>
      <c r="G331" s="275" t="s">
        <v>919</v>
      </c>
      <c r="H331" s="275" t="s">
        <v>931</v>
      </c>
      <c r="I331" s="275" t="s">
        <v>921</v>
      </c>
      <c r="J331" s="290">
        <v>730</v>
      </c>
      <c r="K331" s="17">
        <v>3.6739999999999999</v>
      </c>
      <c r="L331" s="17">
        <f t="shared" si="4"/>
        <v>2682.02</v>
      </c>
      <c r="M331" s="48"/>
      <c r="N331" s="293">
        <f t="shared" si="5"/>
        <v>2682.02</v>
      </c>
      <c r="P331" s="275" t="str">
        <f t="shared" si="6"/>
        <v>15 Pro Max256 NATURAL</v>
      </c>
      <c r="Q331">
        <v>0</v>
      </c>
      <c r="R331" s="350"/>
    </row>
    <row r="332" spans="2:18">
      <c r="B332" s="275">
        <v>33</v>
      </c>
      <c r="C332" s="275" t="s">
        <v>930</v>
      </c>
      <c r="D332" s="275">
        <v>256</v>
      </c>
      <c r="E332" s="275" t="s">
        <v>929</v>
      </c>
      <c r="F332" s="277">
        <v>352310725208703</v>
      </c>
      <c r="G332" s="275" t="s">
        <v>919</v>
      </c>
      <c r="H332" s="275" t="s">
        <v>920</v>
      </c>
      <c r="I332" s="275" t="s">
        <v>921</v>
      </c>
      <c r="J332" s="290">
        <v>730</v>
      </c>
      <c r="K332" s="17">
        <v>3.6739999999999999</v>
      </c>
      <c r="L332" s="17">
        <f t="shared" si="4"/>
        <v>2682.02</v>
      </c>
      <c r="M332" s="48"/>
      <c r="N332" s="293">
        <f t="shared" si="5"/>
        <v>2682.02</v>
      </c>
      <c r="P332" s="275" t="str">
        <f t="shared" si="6"/>
        <v>15 Pro Max256 NATURAL</v>
      </c>
      <c r="Q332">
        <v>2730</v>
      </c>
      <c r="R332" s="350">
        <f t="shared" si="7"/>
        <v>47.980000000000018</v>
      </c>
    </row>
    <row r="333" spans="2:18">
      <c r="B333" s="275">
        <v>34</v>
      </c>
      <c r="C333" s="275" t="s">
        <v>930</v>
      </c>
      <c r="D333" s="275">
        <v>256</v>
      </c>
      <c r="E333" s="275" t="s">
        <v>929</v>
      </c>
      <c r="F333" s="277">
        <v>357275791568915</v>
      </c>
      <c r="G333" s="275" t="s">
        <v>919</v>
      </c>
      <c r="H333" s="275" t="s">
        <v>920</v>
      </c>
      <c r="I333" s="275" t="s">
        <v>921</v>
      </c>
      <c r="J333" s="290">
        <v>730</v>
      </c>
      <c r="K333" s="17">
        <v>3.6739999999999999</v>
      </c>
      <c r="L333" s="17">
        <f t="shared" si="4"/>
        <v>2682.02</v>
      </c>
      <c r="M333" s="48"/>
      <c r="N333" s="293">
        <f t="shared" si="5"/>
        <v>2682.02</v>
      </c>
      <c r="P333" s="275" t="str">
        <f t="shared" si="6"/>
        <v>15 Pro Max256 NATURAL</v>
      </c>
      <c r="Q333">
        <v>2730</v>
      </c>
      <c r="R333" s="350">
        <f t="shared" si="7"/>
        <v>47.980000000000018</v>
      </c>
    </row>
    <row r="334" spans="2:18">
      <c r="B334" s="275">
        <v>35</v>
      </c>
      <c r="C334" s="275" t="s">
        <v>930</v>
      </c>
      <c r="D334" s="275">
        <v>256</v>
      </c>
      <c r="E334" s="275" t="s">
        <v>929</v>
      </c>
      <c r="F334" s="277">
        <v>352310725495300</v>
      </c>
      <c r="G334" s="275" t="s">
        <v>919</v>
      </c>
      <c r="H334" s="275" t="s">
        <v>920</v>
      </c>
      <c r="I334" s="275" t="s">
        <v>921</v>
      </c>
      <c r="J334" s="290">
        <v>730</v>
      </c>
      <c r="K334" s="17">
        <v>3.6739999999999999</v>
      </c>
      <c r="L334" s="17">
        <f t="shared" si="4"/>
        <v>2682.02</v>
      </c>
      <c r="M334" s="48"/>
      <c r="N334" s="293">
        <f t="shared" si="5"/>
        <v>2682.02</v>
      </c>
      <c r="P334" s="275" t="str">
        <f t="shared" si="6"/>
        <v>15 Pro Max256 NATURAL</v>
      </c>
      <c r="Q334">
        <v>2730</v>
      </c>
      <c r="R334" s="350">
        <f t="shared" si="7"/>
        <v>47.980000000000018</v>
      </c>
    </row>
    <row r="335" spans="2:18">
      <c r="B335" s="275">
        <v>36</v>
      </c>
      <c r="C335" s="275" t="s">
        <v>930</v>
      </c>
      <c r="D335" s="275">
        <v>256</v>
      </c>
      <c r="E335" s="275" t="s">
        <v>929</v>
      </c>
      <c r="F335" s="277">
        <v>355364284899706</v>
      </c>
      <c r="G335" s="275" t="s">
        <v>919</v>
      </c>
      <c r="H335" s="275" t="s">
        <v>931</v>
      </c>
      <c r="I335" s="275" t="s">
        <v>921</v>
      </c>
      <c r="J335" s="290">
        <v>710</v>
      </c>
      <c r="K335" s="17">
        <v>3.6739999999999999</v>
      </c>
      <c r="L335" s="17">
        <f t="shared" si="4"/>
        <v>2608.54</v>
      </c>
      <c r="M335" s="48"/>
      <c r="N335" s="293">
        <f t="shared" si="5"/>
        <v>2608.54</v>
      </c>
      <c r="P335" s="275" t="str">
        <f t="shared" si="6"/>
        <v>15 Pro Max256 NATURAL</v>
      </c>
      <c r="Q335">
        <v>0</v>
      </c>
      <c r="R335" s="350"/>
    </row>
    <row r="336" spans="2:18">
      <c r="B336" s="275">
        <v>37</v>
      </c>
      <c r="C336" s="275" t="s">
        <v>930</v>
      </c>
      <c r="D336" s="275">
        <v>256</v>
      </c>
      <c r="E336" s="275" t="s">
        <v>929</v>
      </c>
      <c r="F336" s="277">
        <v>355364286273165</v>
      </c>
      <c r="G336" s="275" t="s">
        <v>919</v>
      </c>
      <c r="H336" s="275" t="s">
        <v>920</v>
      </c>
      <c r="I336" s="275" t="s">
        <v>921</v>
      </c>
      <c r="J336" s="290">
        <v>730</v>
      </c>
      <c r="K336" s="17">
        <v>3.6739999999999999</v>
      </c>
      <c r="L336" s="17">
        <f t="shared" si="4"/>
        <v>2682.02</v>
      </c>
      <c r="M336" s="48"/>
      <c r="N336" s="293">
        <f t="shared" si="5"/>
        <v>2682.02</v>
      </c>
      <c r="P336" s="275" t="str">
        <f t="shared" si="6"/>
        <v>15 Pro Max256 NATURAL</v>
      </c>
      <c r="Q336">
        <v>2730</v>
      </c>
      <c r="R336" s="350">
        <f t="shared" si="7"/>
        <v>47.980000000000018</v>
      </c>
    </row>
    <row r="337" spans="2:18">
      <c r="B337" s="275">
        <v>38</v>
      </c>
      <c r="C337" s="275" t="s">
        <v>930</v>
      </c>
      <c r="D337" s="275">
        <v>256</v>
      </c>
      <c r="E337" s="275" t="s">
        <v>929</v>
      </c>
      <c r="F337" s="277">
        <v>351581976075659</v>
      </c>
      <c r="G337" s="275" t="s">
        <v>919</v>
      </c>
      <c r="H337" s="275" t="s">
        <v>920</v>
      </c>
      <c r="I337" s="275" t="s">
        <v>921</v>
      </c>
      <c r="J337" s="290">
        <v>730</v>
      </c>
      <c r="K337" s="17">
        <v>3.6739999999999999</v>
      </c>
      <c r="L337" s="17">
        <f t="shared" si="4"/>
        <v>2682.02</v>
      </c>
      <c r="M337" s="48"/>
      <c r="N337" s="293">
        <f t="shared" si="5"/>
        <v>2682.02</v>
      </c>
      <c r="P337" s="275" t="str">
        <f t="shared" si="6"/>
        <v>15 Pro Max256 NATURAL</v>
      </c>
      <c r="Q337">
        <v>2730</v>
      </c>
      <c r="R337" s="350">
        <f t="shared" si="7"/>
        <v>47.980000000000018</v>
      </c>
    </row>
    <row r="338" spans="2:18">
      <c r="B338" s="275">
        <v>39</v>
      </c>
      <c r="C338" s="275" t="s">
        <v>930</v>
      </c>
      <c r="D338" s="275">
        <v>256</v>
      </c>
      <c r="E338" s="275" t="s">
        <v>929</v>
      </c>
      <c r="F338" s="277">
        <v>351581976193007</v>
      </c>
      <c r="G338" s="275" t="s">
        <v>919</v>
      </c>
      <c r="H338" s="275" t="s">
        <v>920</v>
      </c>
      <c r="I338" s="275" t="s">
        <v>921</v>
      </c>
      <c r="J338" s="290">
        <v>730</v>
      </c>
      <c r="K338" s="17">
        <v>3.6739999999999999</v>
      </c>
      <c r="L338" s="17">
        <f t="shared" si="4"/>
        <v>2682.02</v>
      </c>
      <c r="M338" s="48"/>
      <c r="N338" s="293">
        <f t="shared" si="5"/>
        <v>2682.02</v>
      </c>
      <c r="P338" s="275" t="str">
        <f t="shared" si="6"/>
        <v>15 Pro Max256 NATURAL</v>
      </c>
      <c r="Q338">
        <v>2730</v>
      </c>
      <c r="R338" s="350">
        <f t="shared" si="7"/>
        <v>47.980000000000018</v>
      </c>
    </row>
    <row r="339" spans="2:18">
      <c r="B339" s="275">
        <v>40</v>
      </c>
      <c r="C339" s="275" t="s">
        <v>930</v>
      </c>
      <c r="D339" s="275">
        <v>256</v>
      </c>
      <c r="E339" s="275" t="s">
        <v>929</v>
      </c>
      <c r="F339" s="277">
        <v>351581976281679</v>
      </c>
      <c r="G339" s="275" t="s">
        <v>919</v>
      </c>
      <c r="H339" s="275" t="s">
        <v>920</v>
      </c>
      <c r="I339" s="275" t="s">
        <v>921</v>
      </c>
      <c r="J339" s="290">
        <v>730</v>
      </c>
      <c r="K339" s="17">
        <v>3.6739999999999999</v>
      </c>
      <c r="L339" s="17">
        <f t="shared" si="4"/>
        <v>2682.02</v>
      </c>
      <c r="M339" s="48"/>
      <c r="N339" s="293">
        <f t="shared" si="5"/>
        <v>2682.02</v>
      </c>
      <c r="P339" s="275" t="str">
        <f t="shared" si="6"/>
        <v>15 Pro Max256 NATURAL</v>
      </c>
      <c r="Q339">
        <v>2740</v>
      </c>
      <c r="R339" s="350">
        <f t="shared" si="7"/>
        <v>57.980000000000018</v>
      </c>
    </row>
    <row r="340" spans="2:18">
      <c r="B340" s="275">
        <v>41</v>
      </c>
      <c r="C340" s="275" t="s">
        <v>930</v>
      </c>
      <c r="D340" s="275">
        <v>256</v>
      </c>
      <c r="E340" s="275" t="s">
        <v>929</v>
      </c>
      <c r="F340" s="277">
        <v>351581976176770</v>
      </c>
      <c r="G340" s="275" t="s">
        <v>919</v>
      </c>
      <c r="H340" s="275" t="s">
        <v>920</v>
      </c>
      <c r="I340" s="275" t="s">
        <v>921</v>
      </c>
      <c r="J340" s="290">
        <v>730</v>
      </c>
      <c r="K340" s="17">
        <v>3.6739999999999999</v>
      </c>
      <c r="L340" s="17">
        <f t="shared" si="4"/>
        <v>2682.02</v>
      </c>
      <c r="M340" s="48"/>
      <c r="N340" s="293">
        <f t="shared" si="5"/>
        <v>2682.02</v>
      </c>
      <c r="P340" s="275" t="str">
        <f t="shared" si="6"/>
        <v>15 Pro Max256 NATURAL</v>
      </c>
      <c r="Q340">
        <v>2740</v>
      </c>
      <c r="R340" s="350">
        <f t="shared" si="7"/>
        <v>57.980000000000018</v>
      </c>
    </row>
    <row r="341" spans="2:18">
      <c r="B341" s="275">
        <v>42</v>
      </c>
      <c r="C341" s="275" t="s">
        <v>930</v>
      </c>
      <c r="D341" s="275">
        <v>256</v>
      </c>
      <c r="E341" s="275" t="s">
        <v>929</v>
      </c>
      <c r="F341" s="277">
        <v>351581976171607</v>
      </c>
      <c r="G341" s="275" t="s">
        <v>919</v>
      </c>
      <c r="H341" s="275" t="s">
        <v>920</v>
      </c>
      <c r="I341" s="275" t="s">
        <v>921</v>
      </c>
      <c r="J341" s="290">
        <v>730</v>
      </c>
      <c r="K341" s="17">
        <v>3.6739999999999999</v>
      </c>
      <c r="L341" s="17">
        <f t="shared" si="4"/>
        <v>2682.02</v>
      </c>
      <c r="M341" s="48"/>
      <c r="N341" s="293">
        <f t="shared" si="5"/>
        <v>2682.02</v>
      </c>
      <c r="P341" s="275" t="str">
        <f t="shared" si="6"/>
        <v>15 Pro Max256 NATURAL</v>
      </c>
      <c r="Q341">
        <v>2740</v>
      </c>
      <c r="R341" s="350">
        <f t="shared" si="7"/>
        <v>57.980000000000018</v>
      </c>
    </row>
    <row r="342" spans="2:18">
      <c r="B342" s="275">
        <v>43</v>
      </c>
      <c r="C342" s="275" t="s">
        <v>930</v>
      </c>
      <c r="D342" s="275">
        <v>256</v>
      </c>
      <c r="E342" s="275" t="s">
        <v>932</v>
      </c>
      <c r="F342" s="277">
        <v>358862625471330</v>
      </c>
      <c r="G342" s="275" t="s">
        <v>919</v>
      </c>
      <c r="H342" s="275" t="s">
        <v>920</v>
      </c>
      <c r="I342" s="275" t="s">
        <v>921</v>
      </c>
      <c r="J342" s="290">
        <v>675</v>
      </c>
      <c r="K342" s="17">
        <v>3.6739999999999999</v>
      </c>
      <c r="L342" s="17">
        <f t="shared" si="4"/>
        <v>2479.9499999999998</v>
      </c>
      <c r="M342" s="48"/>
      <c r="N342" s="293">
        <f t="shared" si="5"/>
        <v>2479.9499999999998</v>
      </c>
      <c r="P342" s="275" t="str">
        <f t="shared" si="6"/>
        <v>15 Pro Max256 WHITE</v>
      </c>
      <c r="Q342">
        <v>2500</v>
      </c>
      <c r="R342" s="350"/>
    </row>
    <row r="343" spans="2:18">
      <c r="B343" s="275">
        <v>44</v>
      </c>
      <c r="C343" s="275" t="s">
        <v>930</v>
      </c>
      <c r="D343" s="275">
        <v>256</v>
      </c>
      <c r="E343" s="275" t="s">
        <v>932</v>
      </c>
      <c r="F343" s="277">
        <v>358862625435228</v>
      </c>
      <c r="G343" s="275" t="s">
        <v>919</v>
      </c>
      <c r="H343" s="275" t="s">
        <v>920</v>
      </c>
      <c r="I343" s="275" t="s">
        <v>921</v>
      </c>
      <c r="J343" s="290">
        <v>675</v>
      </c>
      <c r="K343" s="17">
        <v>3.6739999999999999</v>
      </c>
      <c r="L343" s="17">
        <f t="shared" si="4"/>
        <v>2479.9499999999998</v>
      </c>
      <c r="M343" s="48"/>
      <c r="N343" s="293">
        <f t="shared" si="5"/>
        <v>2479.9499999999998</v>
      </c>
      <c r="P343" s="275" t="str">
        <f t="shared" si="6"/>
        <v>15 Pro Max256 WHITE</v>
      </c>
      <c r="Q343">
        <v>2500</v>
      </c>
      <c r="R343" s="350"/>
    </row>
    <row r="344" spans="2:18">
      <c r="B344" s="275">
        <v>45</v>
      </c>
      <c r="C344" s="275" t="s">
        <v>930</v>
      </c>
      <c r="D344" s="275">
        <v>256</v>
      </c>
      <c r="E344" s="275" t="s">
        <v>932</v>
      </c>
      <c r="F344" s="277">
        <v>356511215694791</v>
      </c>
      <c r="G344" s="275" t="s">
        <v>919</v>
      </c>
      <c r="H344" s="275" t="s">
        <v>920</v>
      </c>
      <c r="I344" s="275" t="s">
        <v>921</v>
      </c>
      <c r="J344" s="290">
        <v>675</v>
      </c>
      <c r="K344" s="17">
        <v>3.6739999999999999</v>
      </c>
      <c r="L344" s="17">
        <f t="shared" si="4"/>
        <v>2479.9499999999998</v>
      </c>
      <c r="M344" s="48"/>
      <c r="N344" s="293">
        <f t="shared" si="5"/>
        <v>2479.9499999999998</v>
      </c>
      <c r="P344" s="275" t="str">
        <f t="shared" si="6"/>
        <v>15 Pro Max256 WHITE</v>
      </c>
      <c r="Q344">
        <v>2500</v>
      </c>
      <c r="R344" s="350"/>
    </row>
    <row r="345" spans="2:18">
      <c r="B345" s="275">
        <v>46</v>
      </c>
      <c r="C345" s="275" t="s">
        <v>930</v>
      </c>
      <c r="D345" s="275">
        <v>256</v>
      </c>
      <c r="E345" s="275" t="s">
        <v>932</v>
      </c>
      <c r="F345" s="277">
        <v>356511215521721</v>
      </c>
      <c r="G345" s="275" t="s">
        <v>919</v>
      </c>
      <c r="H345" s="275" t="s">
        <v>920</v>
      </c>
      <c r="I345" s="275" t="s">
        <v>921</v>
      </c>
      <c r="J345" s="290">
        <v>675</v>
      </c>
      <c r="K345" s="17">
        <v>3.6739999999999999</v>
      </c>
      <c r="L345" s="17">
        <f t="shared" si="4"/>
        <v>2479.9499999999998</v>
      </c>
      <c r="M345" s="48"/>
      <c r="N345" s="293">
        <f t="shared" si="5"/>
        <v>2479.9499999999998</v>
      </c>
      <c r="P345" s="275" t="str">
        <f t="shared" si="6"/>
        <v>15 Pro Max256 WHITE</v>
      </c>
      <c r="Q345">
        <v>0</v>
      </c>
      <c r="R345" s="350"/>
    </row>
    <row r="346" spans="2:18">
      <c r="B346" s="275">
        <v>47</v>
      </c>
      <c r="C346" s="275" t="s">
        <v>930</v>
      </c>
      <c r="D346" s="275">
        <v>256</v>
      </c>
      <c r="E346" s="275" t="s">
        <v>932</v>
      </c>
      <c r="F346" s="277">
        <v>351306995689847</v>
      </c>
      <c r="G346" s="275" t="s">
        <v>919</v>
      </c>
      <c r="H346" s="275" t="s">
        <v>920</v>
      </c>
      <c r="I346" s="275" t="s">
        <v>921</v>
      </c>
      <c r="J346" s="290">
        <v>675</v>
      </c>
      <c r="K346" s="17">
        <v>3.6739999999999999</v>
      </c>
      <c r="L346" s="17">
        <f t="shared" si="4"/>
        <v>2479.9499999999998</v>
      </c>
      <c r="M346" s="48"/>
      <c r="N346" s="293">
        <f t="shared" si="5"/>
        <v>2479.9499999999998</v>
      </c>
      <c r="P346" s="275" t="str">
        <f t="shared" si="6"/>
        <v>15 Pro Max256 WHITE</v>
      </c>
      <c r="Q346">
        <v>0</v>
      </c>
      <c r="R346" s="350"/>
    </row>
    <row r="347" spans="2:18">
      <c r="B347" s="275">
        <v>48</v>
      </c>
      <c r="C347" s="275" t="s">
        <v>930</v>
      </c>
      <c r="D347" s="275">
        <v>256</v>
      </c>
      <c r="E347" s="275" t="s">
        <v>932</v>
      </c>
      <c r="F347" s="277">
        <v>356964993452629</v>
      </c>
      <c r="G347" s="275" t="s">
        <v>919</v>
      </c>
      <c r="H347" s="275" t="s">
        <v>920</v>
      </c>
      <c r="I347" s="275" t="s">
        <v>921</v>
      </c>
      <c r="J347" s="290">
        <v>675</v>
      </c>
      <c r="K347" s="17">
        <v>3.6739999999999999</v>
      </c>
      <c r="L347" s="17">
        <f t="shared" si="4"/>
        <v>2479.9499999999998</v>
      </c>
      <c r="M347" s="48"/>
      <c r="N347" s="293">
        <f t="shared" si="5"/>
        <v>2479.9499999999998</v>
      </c>
      <c r="P347" s="275" t="str">
        <f t="shared" si="6"/>
        <v>15 Pro Max256 WHITE</v>
      </c>
      <c r="Q347">
        <v>0</v>
      </c>
      <c r="R347" s="350"/>
    </row>
    <row r="348" spans="2:18">
      <c r="B348" s="275">
        <v>49</v>
      </c>
      <c r="C348" s="275" t="s">
        <v>930</v>
      </c>
      <c r="D348" s="275">
        <v>256</v>
      </c>
      <c r="E348" s="275" t="s">
        <v>932</v>
      </c>
      <c r="F348" s="277">
        <v>352676523622018</v>
      </c>
      <c r="G348" s="275" t="s">
        <v>919</v>
      </c>
      <c r="H348" s="275" t="s">
        <v>920</v>
      </c>
      <c r="I348" s="275" t="s">
        <v>921</v>
      </c>
      <c r="J348" s="290">
        <v>675</v>
      </c>
      <c r="K348" s="17">
        <v>3.6739999999999999</v>
      </c>
      <c r="L348" s="17">
        <f t="shared" si="4"/>
        <v>2479.9499999999998</v>
      </c>
      <c r="M348" s="48"/>
      <c r="N348" s="293">
        <f t="shared" si="5"/>
        <v>2479.9499999999998</v>
      </c>
      <c r="P348" s="275" t="str">
        <f t="shared" si="6"/>
        <v>15 Pro Max256 WHITE</v>
      </c>
      <c r="Q348">
        <v>2560</v>
      </c>
      <c r="R348" s="350">
        <f t="shared" si="7"/>
        <v>80.050000000000182</v>
      </c>
    </row>
    <row r="349" spans="2:18">
      <c r="B349" s="275">
        <v>50</v>
      </c>
      <c r="C349" s="275" t="s">
        <v>930</v>
      </c>
      <c r="D349" s="275">
        <v>256</v>
      </c>
      <c r="E349" s="275" t="s">
        <v>932</v>
      </c>
      <c r="F349" s="277">
        <v>358606715731222</v>
      </c>
      <c r="G349" s="275" t="s">
        <v>919</v>
      </c>
      <c r="H349" s="275" t="s">
        <v>931</v>
      </c>
      <c r="I349" s="275" t="s">
        <v>921</v>
      </c>
      <c r="J349" s="290">
        <v>655</v>
      </c>
      <c r="K349" s="17">
        <v>3.6739999999999999</v>
      </c>
      <c r="L349" s="17">
        <f t="shared" si="4"/>
        <v>2406.4699999999998</v>
      </c>
      <c r="M349" s="48"/>
      <c r="N349" s="293">
        <f t="shared" si="5"/>
        <v>2406.4699999999998</v>
      </c>
      <c r="P349" s="275" t="str">
        <f t="shared" si="6"/>
        <v>15 Pro Max256 WHITE</v>
      </c>
      <c r="Q349">
        <v>2450</v>
      </c>
      <c r="R349" s="350">
        <f t="shared" si="7"/>
        <v>43.5300000000002</v>
      </c>
    </row>
    <row r="350" spans="2:18">
      <c r="B350" s="275">
        <v>51</v>
      </c>
      <c r="C350" s="275" t="s">
        <v>930</v>
      </c>
      <c r="D350" s="275">
        <v>256</v>
      </c>
      <c r="E350" s="275" t="s">
        <v>932</v>
      </c>
      <c r="F350" s="277">
        <v>355430975876665</v>
      </c>
      <c r="G350" s="275" t="s">
        <v>919</v>
      </c>
      <c r="H350" s="275" t="s">
        <v>931</v>
      </c>
      <c r="I350" s="275" t="s">
        <v>921</v>
      </c>
      <c r="J350" s="290">
        <v>655</v>
      </c>
      <c r="K350" s="17">
        <v>3.6739999999999999</v>
      </c>
      <c r="L350" s="17">
        <f t="shared" si="4"/>
        <v>2406.4699999999998</v>
      </c>
      <c r="M350" s="48"/>
      <c r="N350" s="293">
        <f t="shared" si="5"/>
        <v>2406.4699999999998</v>
      </c>
      <c r="P350" s="275" t="str">
        <f t="shared" si="6"/>
        <v>15 Pro Max256 WHITE</v>
      </c>
      <c r="Q350">
        <v>0</v>
      </c>
      <c r="R350" s="350"/>
    </row>
    <row r="351" spans="2:18">
      <c r="B351" s="275">
        <v>52</v>
      </c>
      <c r="C351" s="275" t="s">
        <v>930</v>
      </c>
      <c r="D351" s="275">
        <v>256</v>
      </c>
      <c r="E351" s="275" t="s">
        <v>932</v>
      </c>
      <c r="F351" s="277">
        <v>356964995847602</v>
      </c>
      <c r="G351" s="275" t="s">
        <v>919</v>
      </c>
      <c r="H351" s="275" t="s">
        <v>931</v>
      </c>
      <c r="I351" s="275" t="s">
        <v>921</v>
      </c>
      <c r="J351" s="290">
        <v>655</v>
      </c>
      <c r="K351" s="17">
        <v>3.6739999999999999</v>
      </c>
      <c r="L351" s="17">
        <f t="shared" si="4"/>
        <v>2406.4699999999998</v>
      </c>
      <c r="M351" s="48"/>
      <c r="N351" s="293">
        <f t="shared" si="5"/>
        <v>2406.4699999999998</v>
      </c>
      <c r="P351" s="275" t="str">
        <f t="shared" si="6"/>
        <v>15 Pro Max256 WHITE</v>
      </c>
      <c r="Q351">
        <v>0</v>
      </c>
      <c r="R351" s="350"/>
    </row>
    <row r="352" spans="2:18">
      <c r="B352" s="377">
        <v>53</v>
      </c>
      <c r="C352" s="377" t="s">
        <v>930</v>
      </c>
      <c r="D352" s="377">
        <v>512</v>
      </c>
      <c r="E352" s="377" t="s">
        <v>929</v>
      </c>
      <c r="F352" s="378">
        <v>352676524849776</v>
      </c>
      <c r="G352" s="377" t="s">
        <v>919</v>
      </c>
      <c r="H352" s="377" t="s">
        <v>920</v>
      </c>
      <c r="I352" s="377" t="s">
        <v>921</v>
      </c>
      <c r="J352" s="381">
        <v>780</v>
      </c>
      <c r="K352" s="365">
        <v>3.6739999999999999</v>
      </c>
      <c r="L352" s="365">
        <f t="shared" si="4"/>
        <v>2865.72</v>
      </c>
      <c r="M352" s="382"/>
      <c r="N352" s="383">
        <f t="shared" si="5"/>
        <v>2865.72</v>
      </c>
      <c r="O352" s="231" t="s">
        <v>1340</v>
      </c>
      <c r="P352" s="377" t="str">
        <f t="shared" si="6"/>
        <v>15 Pro Max512 NATURAL</v>
      </c>
      <c r="Q352" s="231">
        <v>2865.72</v>
      </c>
      <c r="R352" s="384">
        <f t="shared" ref="R352:R353" si="8">Q352-N352</f>
        <v>0</v>
      </c>
    </row>
    <row r="353" spans="2:18">
      <c r="B353" s="377">
        <v>54</v>
      </c>
      <c r="C353" s="377" t="s">
        <v>930</v>
      </c>
      <c r="D353" s="377" t="s">
        <v>933</v>
      </c>
      <c r="E353" s="377" t="s">
        <v>918</v>
      </c>
      <c r="F353" s="378">
        <v>354934254179205</v>
      </c>
      <c r="G353" s="377" t="s">
        <v>919</v>
      </c>
      <c r="H353" s="377" t="s">
        <v>920</v>
      </c>
      <c r="I353" s="377" t="s">
        <v>921</v>
      </c>
      <c r="J353" s="381">
        <v>820</v>
      </c>
      <c r="K353" s="365">
        <v>3.6739999999999999</v>
      </c>
      <c r="L353" s="365">
        <f t="shared" si="4"/>
        <v>3012.68</v>
      </c>
      <c r="M353" s="382"/>
      <c r="N353" s="383">
        <f t="shared" si="5"/>
        <v>3012.68</v>
      </c>
      <c r="O353" s="231" t="s">
        <v>1340</v>
      </c>
      <c r="P353" s="377" t="str">
        <f t="shared" si="6"/>
        <v>15 Pro Max1TB BLACK</v>
      </c>
      <c r="Q353" s="231">
        <v>3012.68</v>
      </c>
      <c r="R353" s="384">
        <f t="shared" si="8"/>
        <v>0</v>
      </c>
    </row>
    <row r="354" spans="2:18">
      <c r="B354" s="275">
        <v>55</v>
      </c>
      <c r="C354" s="275">
        <v>15</v>
      </c>
      <c r="D354" s="275">
        <v>128</v>
      </c>
      <c r="E354" s="275" t="s">
        <v>918</v>
      </c>
      <c r="F354" s="277">
        <v>356321254364722</v>
      </c>
      <c r="G354" s="275" t="s">
        <v>936</v>
      </c>
      <c r="H354" s="275" t="s">
        <v>931</v>
      </c>
      <c r="I354" s="275" t="s">
        <v>921</v>
      </c>
      <c r="J354" s="290">
        <v>340</v>
      </c>
      <c r="K354" s="17">
        <v>3.6739999999999999</v>
      </c>
      <c r="L354" s="17">
        <f t="shared" si="4"/>
        <v>1249.1600000000001</v>
      </c>
      <c r="M354" s="48"/>
      <c r="N354" s="293">
        <f t="shared" si="5"/>
        <v>1249.1600000000001</v>
      </c>
      <c r="O354" t="s">
        <v>1367</v>
      </c>
      <c r="P354" s="275" t="str">
        <f t="shared" si="6"/>
        <v>15128 BLACK</v>
      </c>
      <c r="Q354">
        <v>0</v>
      </c>
      <c r="R354" s="350"/>
    </row>
    <row r="355" spans="2:18">
      <c r="B355" s="275">
        <v>56</v>
      </c>
      <c r="C355" s="275">
        <v>15</v>
      </c>
      <c r="D355" s="275">
        <v>128</v>
      </c>
      <c r="E355" s="275" t="s">
        <v>918</v>
      </c>
      <c r="F355" s="277">
        <v>358892501358665</v>
      </c>
      <c r="G355" s="275" t="s">
        <v>936</v>
      </c>
      <c r="H355" s="275" t="s">
        <v>931</v>
      </c>
      <c r="I355" s="275" t="s">
        <v>921</v>
      </c>
      <c r="J355" s="290">
        <v>340</v>
      </c>
      <c r="K355" s="17">
        <v>3.6739999999999999</v>
      </c>
      <c r="L355" s="17">
        <f t="shared" si="4"/>
        <v>1249.1600000000001</v>
      </c>
      <c r="M355" s="48"/>
      <c r="N355" s="293">
        <f t="shared" si="5"/>
        <v>1249.1600000000001</v>
      </c>
      <c r="O355" t="s">
        <v>1367</v>
      </c>
      <c r="P355" s="275" t="str">
        <f t="shared" si="6"/>
        <v>15128 BLACK</v>
      </c>
      <c r="Q355">
        <v>0</v>
      </c>
      <c r="R355" s="350"/>
    </row>
    <row r="356" spans="2:18">
      <c r="B356" s="275">
        <v>57</v>
      </c>
      <c r="C356" s="275" t="s">
        <v>937</v>
      </c>
      <c r="D356" s="275">
        <v>128</v>
      </c>
      <c r="E356" s="275" t="s">
        <v>938</v>
      </c>
      <c r="F356" s="277">
        <v>358677231802482</v>
      </c>
      <c r="G356" s="275" t="s">
        <v>936</v>
      </c>
      <c r="H356" s="275" t="s">
        <v>931</v>
      </c>
      <c r="I356" s="275" t="s">
        <v>921</v>
      </c>
      <c r="J356" s="290">
        <v>380</v>
      </c>
      <c r="K356" s="17">
        <v>3.6739999999999999</v>
      </c>
      <c r="L356" s="17">
        <f t="shared" si="4"/>
        <v>1396.12</v>
      </c>
      <c r="M356" s="48"/>
      <c r="N356" s="293">
        <f t="shared" si="5"/>
        <v>1396.12</v>
      </c>
      <c r="P356" s="275" t="str">
        <f t="shared" si="6"/>
        <v>13 Pro Max128 GREEN</v>
      </c>
      <c r="Q356">
        <v>0</v>
      </c>
      <c r="R356" s="350"/>
    </row>
    <row r="357" spans="2:18">
      <c r="B357" s="275">
        <v>58</v>
      </c>
      <c r="C357" s="275" t="s">
        <v>925</v>
      </c>
      <c r="D357" s="275">
        <v>128</v>
      </c>
      <c r="E357" s="275" t="s">
        <v>939</v>
      </c>
      <c r="F357" s="277">
        <v>356752987328123</v>
      </c>
      <c r="G357" s="275" t="s">
        <v>936</v>
      </c>
      <c r="H357" s="275" t="s">
        <v>931</v>
      </c>
      <c r="I357" s="275" t="s">
        <v>921</v>
      </c>
      <c r="J357" s="290">
        <v>350</v>
      </c>
      <c r="K357" s="17">
        <v>3.6739999999999999</v>
      </c>
      <c r="L357" s="17">
        <f t="shared" si="4"/>
        <v>1285.8999999999999</v>
      </c>
      <c r="M357" s="48">
        <f>12510/76</f>
        <v>164.60526315789474</v>
      </c>
      <c r="N357" s="293">
        <f t="shared" si="5"/>
        <v>1450.5052631578947</v>
      </c>
      <c r="P357" s="275" t="str">
        <f t="shared" si="6"/>
        <v>14 Plus128 STARLIGHT</v>
      </c>
      <c r="Q357">
        <v>0</v>
      </c>
      <c r="R357" s="350"/>
    </row>
    <row r="358" spans="2:18">
      <c r="B358" s="275">
        <v>59</v>
      </c>
      <c r="C358" s="275" t="s">
        <v>930</v>
      </c>
      <c r="D358" s="275">
        <v>256</v>
      </c>
      <c r="E358" s="275" t="s">
        <v>922</v>
      </c>
      <c r="F358" s="277">
        <v>351581970656090</v>
      </c>
      <c r="G358" s="275" t="s">
        <v>936</v>
      </c>
      <c r="H358" s="275" t="s">
        <v>920</v>
      </c>
      <c r="I358" s="275" t="s">
        <v>921</v>
      </c>
      <c r="J358" s="290">
        <v>635</v>
      </c>
      <c r="K358" s="17">
        <v>3.6739999999999999</v>
      </c>
      <c r="L358" s="17">
        <f t="shared" si="4"/>
        <v>2332.9899999999998</v>
      </c>
      <c r="M358" s="48"/>
      <c r="N358" s="293">
        <f t="shared" si="5"/>
        <v>2332.9899999999998</v>
      </c>
      <c r="O358" t="s">
        <v>1368</v>
      </c>
      <c r="P358" s="275" t="str">
        <f t="shared" si="6"/>
        <v>15 Pro Max256 BLUE</v>
      </c>
      <c r="Q358">
        <v>0</v>
      </c>
      <c r="R358" s="350"/>
    </row>
    <row r="359" spans="2:18">
      <c r="B359" s="275">
        <v>60</v>
      </c>
      <c r="C359" s="275" t="s">
        <v>956</v>
      </c>
      <c r="D359" s="275">
        <v>32</v>
      </c>
      <c r="E359" s="275" t="s">
        <v>957</v>
      </c>
      <c r="F359" s="277">
        <v>355344821429563</v>
      </c>
      <c r="G359" s="275" t="s">
        <v>936</v>
      </c>
      <c r="H359" s="275" t="s">
        <v>931</v>
      </c>
      <c r="I359" s="275" t="s">
        <v>921</v>
      </c>
      <c r="J359" s="290">
        <v>25</v>
      </c>
      <c r="K359" s="17">
        <v>3.6739999999999999</v>
      </c>
      <c r="L359" s="17">
        <f t="shared" si="4"/>
        <v>91.85</v>
      </c>
      <c r="M359" s="48"/>
      <c r="N359" s="293">
        <f t="shared" si="5"/>
        <v>91.85</v>
      </c>
      <c r="P359" s="275" t="str">
        <f t="shared" si="6"/>
        <v>G-Play32 --</v>
      </c>
      <c r="Q359">
        <v>0</v>
      </c>
      <c r="R359" s="350"/>
    </row>
    <row r="360" spans="2:18">
      <c r="B360" s="275">
        <v>61</v>
      </c>
      <c r="C360" s="275" t="s">
        <v>956</v>
      </c>
      <c r="D360" s="275">
        <v>64</v>
      </c>
      <c r="E360" s="275" t="s">
        <v>957</v>
      </c>
      <c r="F360" s="277">
        <v>356891115522593</v>
      </c>
      <c r="G360" s="275" t="s">
        <v>936</v>
      </c>
      <c r="H360" s="275" t="s">
        <v>931</v>
      </c>
      <c r="I360" s="275" t="s">
        <v>921</v>
      </c>
      <c r="J360" s="290">
        <v>25</v>
      </c>
      <c r="K360" s="17">
        <v>3.6739999999999999</v>
      </c>
      <c r="L360" s="17">
        <f t="shared" si="4"/>
        <v>91.85</v>
      </c>
      <c r="M360" s="48"/>
      <c r="N360" s="293">
        <f t="shared" si="5"/>
        <v>91.85</v>
      </c>
      <c r="P360" s="275" t="str">
        <f t="shared" si="6"/>
        <v>G-Play64 --</v>
      </c>
      <c r="Q360">
        <v>0</v>
      </c>
      <c r="R360" s="350"/>
    </row>
    <row r="361" spans="2:18">
      <c r="B361" s="275">
        <v>62</v>
      </c>
      <c r="C361" s="275" t="s">
        <v>956</v>
      </c>
      <c r="D361" s="275">
        <v>128</v>
      </c>
      <c r="E361" s="275" t="s">
        <v>958</v>
      </c>
      <c r="F361" s="277">
        <v>355986600465166</v>
      </c>
      <c r="G361" s="275" t="s">
        <v>936</v>
      </c>
      <c r="H361" s="275" t="s">
        <v>920</v>
      </c>
      <c r="I361" s="275" t="s">
        <v>921</v>
      </c>
      <c r="J361" s="290">
        <v>25</v>
      </c>
      <c r="K361" s="17">
        <v>3.6739999999999999</v>
      </c>
      <c r="L361" s="17">
        <f t="shared" si="4"/>
        <v>91.85</v>
      </c>
      <c r="M361" s="48"/>
      <c r="N361" s="293">
        <f t="shared" si="5"/>
        <v>91.85</v>
      </c>
      <c r="P361" s="275" t="str">
        <f t="shared" si="6"/>
        <v>G-Play128 SILVER</v>
      </c>
      <c r="Q361">
        <v>0</v>
      </c>
      <c r="R361" s="350"/>
    </row>
    <row r="362" spans="2:18">
      <c r="B362" s="275">
        <v>63</v>
      </c>
      <c r="C362" s="275" t="s">
        <v>959</v>
      </c>
      <c r="D362" s="275" t="s">
        <v>957</v>
      </c>
      <c r="E362" s="275" t="s">
        <v>918</v>
      </c>
      <c r="F362" s="277">
        <v>351347074903527</v>
      </c>
      <c r="G362" s="275" t="s">
        <v>936</v>
      </c>
      <c r="H362" s="275" t="s">
        <v>931</v>
      </c>
      <c r="I362" s="275" t="s">
        <v>921</v>
      </c>
      <c r="J362" s="290">
        <v>25</v>
      </c>
      <c r="K362" s="17">
        <v>3.6739999999999999</v>
      </c>
      <c r="L362" s="17">
        <f t="shared" si="4"/>
        <v>91.85</v>
      </c>
      <c r="M362" s="48"/>
      <c r="N362" s="293">
        <f t="shared" si="5"/>
        <v>91.85</v>
      </c>
      <c r="P362" s="275" t="str">
        <f t="shared" si="6"/>
        <v>Galaxy A03s-- BLACK</v>
      </c>
      <c r="Q362">
        <v>0</v>
      </c>
      <c r="R362" s="350"/>
    </row>
    <row r="363" spans="2:18">
      <c r="B363" s="275">
        <v>64</v>
      </c>
      <c r="C363" s="275" t="s">
        <v>959</v>
      </c>
      <c r="D363" s="275" t="s">
        <v>957</v>
      </c>
      <c r="E363" s="275" t="s">
        <v>922</v>
      </c>
      <c r="F363" s="277">
        <v>357052525910337</v>
      </c>
      <c r="G363" s="275" t="s">
        <v>936</v>
      </c>
      <c r="H363" s="275" t="s">
        <v>931</v>
      </c>
      <c r="I363" s="275" t="s">
        <v>921</v>
      </c>
      <c r="J363" s="290">
        <v>25</v>
      </c>
      <c r="K363" s="17">
        <v>3.6739999999999999</v>
      </c>
      <c r="L363" s="17">
        <f t="shared" si="4"/>
        <v>91.85</v>
      </c>
      <c r="M363" s="48"/>
      <c r="N363" s="293">
        <f t="shared" si="5"/>
        <v>91.85</v>
      </c>
      <c r="P363" s="275" t="str">
        <f t="shared" si="6"/>
        <v>Galaxy A03s-- BLUE</v>
      </c>
      <c r="Q363">
        <v>0</v>
      </c>
      <c r="R363" s="350"/>
    </row>
    <row r="364" spans="2:18">
      <c r="B364" s="275">
        <v>65</v>
      </c>
      <c r="C364" s="275" t="s">
        <v>959</v>
      </c>
      <c r="D364" s="275" t="s">
        <v>957</v>
      </c>
      <c r="E364" s="275" t="s">
        <v>922</v>
      </c>
      <c r="F364" s="277">
        <v>355151133996449</v>
      </c>
      <c r="G364" s="275" t="s">
        <v>936</v>
      </c>
      <c r="H364" s="275" t="s">
        <v>931</v>
      </c>
      <c r="I364" s="275" t="s">
        <v>921</v>
      </c>
      <c r="J364" s="290">
        <v>25</v>
      </c>
      <c r="K364" s="17">
        <v>3.6739999999999999</v>
      </c>
      <c r="L364" s="17">
        <f t="shared" si="4"/>
        <v>91.85</v>
      </c>
      <c r="M364" s="48"/>
      <c r="N364" s="293">
        <f t="shared" si="5"/>
        <v>91.85</v>
      </c>
      <c r="P364" s="275" t="str">
        <f t="shared" si="6"/>
        <v>Galaxy A03s-- BLUE</v>
      </c>
      <c r="Q364">
        <v>0</v>
      </c>
      <c r="R364" s="350"/>
    </row>
    <row r="365" spans="2:18">
      <c r="B365" s="275">
        <v>66</v>
      </c>
      <c r="C365" s="275" t="s">
        <v>960</v>
      </c>
      <c r="D365" s="275">
        <v>32</v>
      </c>
      <c r="E365" s="275" t="s">
        <v>918</v>
      </c>
      <c r="F365" s="277">
        <v>355250371594336</v>
      </c>
      <c r="G365" s="275" t="s">
        <v>936</v>
      </c>
      <c r="H365" s="275" t="s">
        <v>931</v>
      </c>
      <c r="I365" s="275" t="s">
        <v>921</v>
      </c>
      <c r="J365" s="290">
        <v>25</v>
      </c>
      <c r="K365" s="17">
        <v>3.6739999999999999</v>
      </c>
      <c r="L365" s="17">
        <f t="shared" ref="L365:L380" si="9">J365*K365</f>
        <v>91.85</v>
      </c>
      <c r="M365" s="48"/>
      <c r="N365" s="293">
        <f t="shared" ref="N365:N380" si="10">L365+M365</f>
        <v>91.85</v>
      </c>
      <c r="P365" s="275" t="str">
        <f t="shared" ref="P365:P379" si="11">CONCATENATE(C365,D365," ",E365)</f>
        <v>Galaxy A1132 BLACK</v>
      </c>
      <c r="Q365">
        <v>0</v>
      </c>
      <c r="R365" s="350"/>
    </row>
    <row r="366" spans="2:18">
      <c r="B366" s="275">
        <v>67</v>
      </c>
      <c r="C366" s="275" t="s">
        <v>961</v>
      </c>
      <c r="D366" s="275" t="s">
        <v>957</v>
      </c>
      <c r="E366" s="275" t="s">
        <v>918</v>
      </c>
      <c r="F366" s="277">
        <v>355069177416605</v>
      </c>
      <c r="G366" s="275" t="s">
        <v>936</v>
      </c>
      <c r="H366" s="275" t="s">
        <v>931</v>
      </c>
      <c r="I366" s="275" t="s">
        <v>921</v>
      </c>
      <c r="J366" s="290">
        <v>25</v>
      </c>
      <c r="K366" s="17">
        <v>3.6739999999999999</v>
      </c>
      <c r="L366" s="17">
        <f t="shared" si="9"/>
        <v>91.85</v>
      </c>
      <c r="M366" s="48"/>
      <c r="N366" s="293">
        <f t="shared" si="10"/>
        <v>91.85</v>
      </c>
      <c r="P366" s="275" t="str">
        <f t="shared" si="11"/>
        <v>Galaxy A12-- BLACK</v>
      </c>
      <c r="Q366">
        <v>0</v>
      </c>
      <c r="R366" s="350"/>
    </row>
    <row r="367" spans="2:18">
      <c r="B367" s="275">
        <v>68</v>
      </c>
      <c r="C367" s="275" t="s">
        <v>961</v>
      </c>
      <c r="D367" s="275" t="s">
        <v>957</v>
      </c>
      <c r="E367" s="275" t="s">
        <v>918</v>
      </c>
      <c r="F367" s="277">
        <v>355069178166431</v>
      </c>
      <c r="G367" s="275" t="s">
        <v>936</v>
      </c>
      <c r="H367" s="275" t="s">
        <v>931</v>
      </c>
      <c r="I367" s="275" t="s">
        <v>921</v>
      </c>
      <c r="J367" s="290">
        <v>25</v>
      </c>
      <c r="K367" s="17">
        <v>3.6739999999999999</v>
      </c>
      <c r="L367" s="17">
        <f t="shared" si="9"/>
        <v>91.85</v>
      </c>
      <c r="M367" s="48"/>
      <c r="N367" s="293">
        <f t="shared" si="10"/>
        <v>91.85</v>
      </c>
      <c r="P367" s="275" t="str">
        <f t="shared" si="11"/>
        <v>Galaxy A12-- BLACK</v>
      </c>
      <c r="Q367">
        <v>0</v>
      </c>
      <c r="R367" s="350"/>
    </row>
    <row r="368" spans="2:18">
      <c r="B368" s="275">
        <v>69</v>
      </c>
      <c r="C368" s="275" t="s">
        <v>962</v>
      </c>
      <c r="D368" s="275">
        <v>32</v>
      </c>
      <c r="E368" s="275" t="s">
        <v>918</v>
      </c>
      <c r="F368" s="277">
        <v>358226400555123</v>
      </c>
      <c r="G368" s="275" t="s">
        <v>936</v>
      </c>
      <c r="H368" s="275" t="s">
        <v>931</v>
      </c>
      <c r="I368" s="275" t="s">
        <v>921</v>
      </c>
      <c r="J368" s="290">
        <v>25</v>
      </c>
      <c r="K368" s="17">
        <v>3.6739999999999999</v>
      </c>
      <c r="L368" s="17">
        <f t="shared" si="9"/>
        <v>91.85</v>
      </c>
      <c r="M368" s="48"/>
      <c r="N368" s="293">
        <f t="shared" si="10"/>
        <v>91.85</v>
      </c>
      <c r="P368" s="275" t="str">
        <f t="shared" si="11"/>
        <v>Galaxy A1332 BLACK</v>
      </c>
      <c r="Q368">
        <v>0</v>
      </c>
      <c r="R368" s="350"/>
    </row>
    <row r="369" spans="1:18">
      <c r="B369" s="275">
        <v>70</v>
      </c>
      <c r="C369" s="275" t="s">
        <v>962</v>
      </c>
      <c r="D369" s="275" t="s">
        <v>957</v>
      </c>
      <c r="E369" s="275" t="s">
        <v>918</v>
      </c>
      <c r="F369" s="277">
        <v>358997693099389</v>
      </c>
      <c r="G369" s="275" t="s">
        <v>936</v>
      </c>
      <c r="H369" s="275" t="s">
        <v>931</v>
      </c>
      <c r="I369" s="275" t="s">
        <v>921</v>
      </c>
      <c r="J369" s="290">
        <v>25</v>
      </c>
      <c r="K369" s="17">
        <v>3.6739999999999999</v>
      </c>
      <c r="L369" s="17">
        <f t="shared" si="9"/>
        <v>91.85</v>
      </c>
      <c r="M369" s="48"/>
      <c r="N369" s="293">
        <f t="shared" si="10"/>
        <v>91.85</v>
      </c>
      <c r="P369" s="275" t="str">
        <f t="shared" si="11"/>
        <v>Galaxy A13-- BLACK</v>
      </c>
      <c r="Q369">
        <v>0</v>
      </c>
      <c r="R369" s="350"/>
    </row>
    <row r="370" spans="1:18">
      <c r="B370" s="275">
        <v>71</v>
      </c>
      <c r="C370" s="275" t="s">
        <v>963</v>
      </c>
      <c r="D370" s="275">
        <v>64</v>
      </c>
      <c r="E370" s="275" t="s">
        <v>918</v>
      </c>
      <c r="F370" s="277">
        <v>352958242330788</v>
      </c>
      <c r="G370" s="275" t="s">
        <v>936</v>
      </c>
      <c r="H370" s="275" t="s">
        <v>931</v>
      </c>
      <c r="I370" s="275" t="s">
        <v>921</v>
      </c>
      <c r="J370" s="290">
        <v>40</v>
      </c>
      <c r="K370" s="17">
        <v>3.6739999999999999</v>
      </c>
      <c r="L370" s="17">
        <f t="shared" si="9"/>
        <v>146.96</v>
      </c>
      <c r="M370" s="48"/>
      <c r="N370" s="293">
        <f t="shared" si="10"/>
        <v>146.96</v>
      </c>
      <c r="P370" s="275" t="str">
        <f t="shared" si="11"/>
        <v>Galaxy A1464 BLACK</v>
      </c>
      <c r="Q370">
        <v>0</v>
      </c>
      <c r="R370" s="350"/>
    </row>
    <row r="371" spans="1:18">
      <c r="B371" s="275">
        <v>72</v>
      </c>
      <c r="C371" s="275" t="s">
        <v>964</v>
      </c>
      <c r="D371" s="282" t="s">
        <v>957</v>
      </c>
      <c r="E371" s="275" t="s">
        <v>918</v>
      </c>
      <c r="F371" s="285">
        <v>354232112295895</v>
      </c>
      <c r="G371" s="275" t="s">
        <v>936</v>
      </c>
      <c r="H371" s="275" t="s">
        <v>931</v>
      </c>
      <c r="I371" s="275" t="s">
        <v>921</v>
      </c>
      <c r="J371" s="290">
        <v>25</v>
      </c>
      <c r="K371" s="17">
        <v>3.6739999999999999</v>
      </c>
      <c r="L371" s="17">
        <f t="shared" si="9"/>
        <v>91.85</v>
      </c>
      <c r="M371" s="48"/>
      <c r="N371" s="293">
        <f t="shared" si="10"/>
        <v>91.85</v>
      </c>
      <c r="P371" s="275" t="str">
        <f t="shared" si="11"/>
        <v>Galaxy A20-- BLACK</v>
      </c>
      <c r="Q371">
        <v>0</v>
      </c>
      <c r="R371" s="350"/>
    </row>
    <row r="372" spans="1:18">
      <c r="B372" s="275">
        <v>73</v>
      </c>
      <c r="C372" s="275" t="s">
        <v>965</v>
      </c>
      <c r="D372" s="283"/>
      <c r="E372" s="275" t="s">
        <v>918</v>
      </c>
      <c r="F372" s="285"/>
      <c r="G372" s="275" t="s">
        <v>936</v>
      </c>
      <c r="H372" s="275" t="s">
        <v>931</v>
      </c>
      <c r="I372" s="275" t="s">
        <v>921</v>
      </c>
      <c r="J372" s="290">
        <v>25</v>
      </c>
      <c r="K372" s="17">
        <v>3.6739999999999999</v>
      </c>
      <c r="L372" s="17">
        <f t="shared" si="9"/>
        <v>91.85</v>
      </c>
      <c r="M372" s="48"/>
      <c r="N372" s="293">
        <f t="shared" si="10"/>
        <v>91.85</v>
      </c>
      <c r="P372" s="275" t="str">
        <f t="shared" si="11"/>
        <v>Galaxy A21` BLACK</v>
      </c>
      <c r="Q372">
        <v>0</v>
      </c>
      <c r="R372" s="350"/>
    </row>
    <row r="373" spans="1:18">
      <c r="B373" s="275">
        <v>74</v>
      </c>
      <c r="C373" s="275" t="s">
        <v>966</v>
      </c>
      <c r="D373" s="275">
        <v>128</v>
      </c>
      <c r="E373" s="275" t="s">
        <v>918</v>
      </c>
      <c r="F373" s="277">
        <v>350323100459751</v>
      </c>
      <c r="G373" s="275" t="s">
        <v>936</v>
      </c>
      <c r="H373" s="275" t="s">
        <v>931</v>
      </c>
      <c r="I373" s="275" t="s">
        <v>921</v>
      </c>
      <c r="J373" s="290">
        <v>80</v>
      </c>
      <c r="K373" s="17">
        <v>3.6739999999999999</v>
      </c>
      <c r="L373" s="17">
        <f t="shared" si="9"/>
        <v>293.92</v>
      </c>
      <c r="M373" s="48"/>
      <c r="N373" s="293">
        <f t="shared" si="10"/>
        <v>293.92</v>
      </c>
      <c r="P373" s="275" t="str">
        <f t="shared" si="11"/>
        <v>Galaxy A25128 BLACK</v>
      </c>
      <c r="Q373">
        <v>0</v>
      </c>
      <c r="R373" s="350"/>
    </row>
    <row r="374" spans="1:18">
      <c r="B374" s="275">
        <v>75</v>
      </c>
      <c r="C374" s="275" t="s">
        <v>966</v>
      </c>
      <c r="D374" s="275">
        <v>128</v>
      </c>
      <c r="E374" s="275" t="s">
        <v>918</v>
      </c>
      <c r="F374" s="277">
        <v>350323100475492</v>
      </c>
      <c r="G374" s="275" t="s">
        <v>936</v>
      </c>
      <c r="H374" s="275" t="s">
        <v>931</v>
      </c>
      <c r="I374" s="275" t="s">
        <v>921</v>
      </c>
      <c r="J374" s="290">
        <v>80</v>
      </c>
      <c r="K374" s="17">
        <v>3.6739999999999999</v>
      </c>
      <c r="L374" s="17">
        <f t="shared" si="9"/>
        <v>293.92</v>
      </c>
      <c r="M374" s="48"/>
      <c r="N374" s="293">
        <f t="shared" si="10"/>
        <v>293.92</v>
      </c>
      <c r="P374" s="275" t="str">
        <f t="shared" si="11"/>
        <v>Galaxy A25128 BLACK</v>
      </c>
      <c r="Q374">
        <v>0</v>
      </c>
      <c r="R374" s="350"/>
    </row>
    <row r="375" spans="1:18">
      <c r="B375" s="275">
        <v>76</v>
      </c>
      <c r="C375" s="275" t="s">
        <v>967</v>
      </c>
      <c r="D375" s="275" t="s">
        <v>957</v>
      </c>
      <c r="E375" s="275" t="s">
        <v>918</v>
      </c>
      <c r="F375" s="277">
        <v>351404591111843</v>
      </c>
      <c r="G375" s="275" t="s">
        <v>936</v>
      </c>
      <c r="H375" s="275" t="s">
        <v>931</v>
      </c>
      <c r="I375" s="275" t="s">
        <v>921</v>
      </c>
      <c r="J375" s="290">
        <v>30</v>
      </c>
      <c r="K375" s="17">
        <v>3.6739999999999999</v>
      </c>
      <c r="L375" s="17">
        <f t="shared" si="9"/>
        <v>110.22</v>
      </c>
      <c r="M375" s="48"/>
      <c r="N375" s="293">
        <f t="shared" si="10"/>
        <v>110.22</v>
      </c>
      <c r="P375" s="275" t="str">
        <f t="shared" si="11"/>
        <v>Galaxy A32-- BLACK</v>
      </c>
      <c r="Q375">
        <v>0</v>
      </c>
      <c r="R375" s="350"/>
    </row>
    <row r="376" spans="1:18">
      <c r="B376" s="275">
        <v>77</v>
      </c>
      <c r="C376" s="275" t="s">
        <v>968</v>
      </c>
      <c r="D376" s="275">
        <v>128</v>
      </c>
      <c r="E376" s="275" t="s">
        <v>922</v>
      </c>
      <c r="F376" s="277">
        <v>358622090059220</v>
      </c>
      <c r="G376" s="275" t="s">
        <v>936</v>
      </c>
      <c r="H376" s="275" t="s">
        <v>931</v>
      </c>
      <c r="I376" s="275" t="s">
        <v>921</v>
      </c>
      <c r="J376" s="290">
        <v>35</v>
      </c>
      <c r="K376" s="17">
        <v>3.6739999999999999</v>
      </c>
      <c r="L376" s="17">
        <f t="shared" si="9"/>
        <v>128.59</v>
      </c>
      <c r="M376" s="48"/>
      <c r="N376" s="293">
        <f t="shared" si="10"/>
        <v>128.59</v>
      </c>
      <c r="P376" s="275" t="str">
        <f t="shared" si="11"/>
        <v>Galaxy Note 9128 BLUE</v>
      </c>
      <c r="Q376">
        <v>0</v>
      </c>
      <c r="R376" s="350"/>
    </row>
    <row r="377" spans="1:18">
      <c r="B377" s="275">
        <v>78</v>
      </c>
      <c r="C377" s="275" t="s">
        <v>969</v>
      </c>
      <c r="D377" s="275">
        <v>128</v>
      </c>
      <c r="E377" s="275" t="s">
        <v>922</v>
      </c>
      <c r="F377" s="277">
        <v>359823618474326</v>
      </c>
      <c r="G377" s="275" t="s">
        <v>936</v>
      </c>
      <c r="H377" s="275" t="s">
        <v>931</v>
      </c>
      <c r="I377" s="275" t="s">
        <v>921</v>
      </c>
      <c r="J377" s="290">
        <v>80</v>
      </c>
      <c r="K377" s="17">
        <v>3.6739999999999999</v>
      </c>
      <c r="L377" s="17">
        <f t="shared" si="9"/>
        <v>293.92</v>
      </c>
      <c r="M377" s="48"/>
      <c r="N377" s="293">
        <f t="shared" si="10"/>
        <v>293.92</v>
      </c>
      <c r="P377" s="275" t="str">
        <f t="shared" si="11"/>
        <v>Galaxy S20FE128 BLUE</v>
      </c>
      <c r="Q377">
        <v>0</v>
      </c>
      <c r="R377" s="350"/>
    </row>
    <row r="378" spans="1:18">
      <c r="B378" s="275">
        <v>79</v>
      </c>
      <c r="C378" s="275" t="s">
        <v>970</v>
      </c>
      <c r="D378" s="275">
        <v>64</v>
      </c>
      <c r="E378" s="275" t="s">
        <v>918</v>
      </c>
      <c r="F378" s="277">
        <v>356353086065276</v>
      </c>
      <c r="G378" s="275" t="s">
        <v>936</v>
      </c>
      <c r="H378" s="275" t="s">
        <v>931</v>
      </c>
      <c r="I378" s="275" t="s">
        <v>921</v>
      </c>
      <c r="J378" s="290">
        <v>25</v>
      </c>
      <c r="K378" s="17">
        <v>3.6739999999999999</v>
      </c>
      <c r="L378" s="17">
        <f t="shared" si="9"/>
        <v>91.85</v>
      </c>
      <c r="M378" s="48"/>
      <c r="N378" s="293">
        <f t="shared" si="10"/>
        <v>91.85</v>
      </c>
      <c r="P378" s="275" t="str">
        <f t="shared" si="11"/>
        <v>Galaxy S864 BLACK</v>
      </c>
      <c r="Q378">
        <v>0</v>
      </c>
      <c r="R378" s="350"/>
    </row>
    <row r="379" spans="1:18">
      <c r="B379" s="275">
        <v>80</v>
      </c>
      <c r="C379" s="275" t="s">
        <v>970</v>
      </c>
      <c r="D379" s="284">
        <v>64</v>
      </c>
      <c r="E379" s="275" t="s">
        <v>922</v>
      </c>
      <c r="F379" s="285">
        <v>359759080153586</v>
      </c>
      <c r="G379" s="275" t="s">
        <v>936</v>
      </c>
      <c r="H379" s="275" t="s">
        <v>931</v>
      </c>
      <c r="I379" s="275" t="s">
        <v>921</v>
      </c>
      <c r="J379" s="291">
        <v>25</v>
      </c>
      <c r="K379" s="17">
        <v>3.6739999999999999</v>
      </c>
      <c r="L379" s="17">
        <f t="shared" si="9"/>
        <v>91.85</v>
      </c>
      <c r="M379" s="48"/>
      <c r="N379" s="293">
        <f t="shared" si="10"/>
        <v>91.85</v>
      </c>
      <c r="P379" s="275" t="str">
        <f t="shared" si="11"/>
        <v>Galaxy S864 BLUE</v>
      </c>
      <c r="Q379">
        <v>0</v>
      </c>
      <c r="R379" s="350"/>
    </row>
    <row r="380" spans="1:18">
      <c r="A380" s="21">
        <v>45474</v>
      </c>
      <c r="B380" s="275">
        <v>81</v>
      </c>
      <c r="C380" s="275" t="s">
        <v>635</v>
      </c>
      <c r="D380" s="284"/>
      <c r="E380" s="275"/>
      <c r="F380" s="285"/>
      <c r="G380" s="275"/>
      <c r="H380" s="275"/>
      <c r="I380" s="275"/>
      <c r="J380" s="291">
        <v>665</v>
      </c>
      <c r="K380" s="17">
        <v>3.6739999999999999</v>
      </c>
      <c r="L380" s="17">
        <f t="shared" si="9"/>
        <v>2443.21</v>
      </c>
      <c r="M380" s="385"/>
      <c r="N380" s="293">
        <f t="shared" si="10"/>
        <v>2443.21</v>
      </c>
      <c r="O380" t="s">
        <v>1369</v>
      </c>
      <c r="P380" s="275" t="s">
        <v>1371</v>
      </c>
      <c r="R380" s="350"/>
    </row>
    <row r="381" spans="1:18">
      <c r="B381" s="286"/>
      <c r="C381" s="286"/>
      <c r="D381" s="286"/>
      <c r="E381" s="286"/>
      <c r="F381" s="286"/>
      <c r="G381" s="286"/>
      <c r="H381" s="286"/>
      <c r="I381" s="286"/>
      <c r="J381" s="287">
        <f>SUM(J300:J380)</f>
        <v>35930</v>
      </c>
      <c r="L381" s="298">
        <f>SUM(L300:L379)</f>
        <v>129563.61000000007</v>
      </c>
      <c r="N381" s="294">
        <f>SUM(N300:N379)</f>
        <v>129728.21526315798</v>
      </c>
    </row>
    <row r="384" spans="1:18" ht="15.6">
      <c r="B384" s="132" t="s">
        <v>305</v>
      </c>
      <c r="C384" s="132" t="s">
        <v>451</v>
      </c>
    </row>
    <row r="385" spans="2:10" ht="15.6">
      <c r="B385" s="132" t="s">
        <v>13</v>
      </c>
      <c r="C385" s="134">
        <v>45456</v>
      </c>
    </row>
    <row r="386" spans="2:10" ht="15.6">
      <c r="B386" s="132" t="s">
        <v>452</v>
      </c>
      <c r="C386" s="132" t="s">
        <v>1110</v>
      </c>
    </row>
    <row r="387" spans="2:10" ht="15.6">
      <c r="B387" s="132"/>
      <c r="C387" s="132" t="s">
        <v>306</v>
      </c>
    </row>
    <row r="388" spans="2:10" ht="23.4">
      <c r="C388" s="310" t="s">
        <v>1011</v>
      </c>
      <c r="D388" s="310" t="s">
        <v>1012</v>
      </c>
      <c r="E388" s="310" t="s">
        <v>1013</v>
      </c>
      <c r="F388" s="310" t="s">
        <v>1014</v>
      </c>
      <c r="G388" s="302"/>
      <c r="H388" s="302"/>
      <c r="I388" s="310" t="s">
        <v>1278</v>
      </c>
    </row>
    <row r="389" spans="2:10">
      <c r="C389" s="311" t="s">
        <v>196</v>
      </c>
      <c r="D389" s="311" t="s">
        <v>316</v>
      </c>
      <c r="E389" s="311" t="s">
        <v>1015</v>
      </c>
      <c r="F389" s="312">
        <v>550</v>
      </c>
      <c r="G389" s="302">
        <v>3.6739999999999999</v>
      </c>
      <c r="H389" s="302">
        <f>F389*G389</f>
        <v>2020.7</v>
      </c>
      <c r="I389">
        <v>45.26</v>
      </c>
      <c r="J389">
        <f>H389+I389</f>
        <v>2065.96</v>
      </c>
    </row>
    <row r="390" spans="2:10">
      <c r="C390" s="311" t="s">
        <v>199</v>
      </c>
      <c r="D390" s="311" t="s">
        <v>316</v>
      </c>
      <c r="E390" s="311" t="s">
        <v>1016</v>
      </c>
      <c r="F390" s="312">
        <v>550</v>
      </c>
      <c r="G390" s="302">
        <v>3.6739999999999999</v>
      </c>
      <c r="H390" s="302">
        <f t="shared" ref="H390:H392" si="12">F390*G390</f>
        <v>2020.7</v>
      </c>
      <c r="I390">
        <v>45.26</v>
      </c>
      <c r="J390">
        <f t="shared" ref="J390:J392" si="13">H390+I390</f>
        <v>2065.96</v>
      </c>
    </row>
    <row r="391" spans="2:10">
      <c r="C391" s="311" t="s">
        <v>199</v>
      </c>
      <c r="D391" s="311" t="s">
        <v>316</v>
      </c>
      <c r="E391" s="311" t="s">
        <v>1017</v>
      </c>
      <c r="F391" s="312">
        <v>550</v>
      </c>
      <c r="G391" s="302">
        <v>3.6739999999999999</v>
      </c>
      <c r="H391" s="302">
        <f t="shared" si="12"/>
        <v>2020.7</v>
      </c>
      <c r="I391">
        <v>45.26</v>
      </c>
      <c r="J391">
        <f t="shared" si="13"/>
        <v>2065.96</v>
      </c>
    </row>
    <row r="392" spans="2:10">
      <c r="C392" s="311" t="s">
        <v>199</v>
      </c>
      <c r="D392" s="311" t="s">
        <v>316</v>
      </c>
      <c r="E392" s="311" t="s">
        <v>1018</v>
      </c>
      <c r="F392" s="312">
        <v>550</v>
      </c>
      <c r="G392" s="302">
        <v>3.6739999999999999</v>
      </c>
      <c r="H392" s="302">
        <f t="shared" si="12"/>
        <v>2020.7</v>
      </c>
      <c r="I392">
        <v>45.26</v>
      </c>
      <c r="J392">
        <f t="shared" si="13"/>
        <v>2065.96</v>
      </c>
    </row>
    <row r="393" spans="2:10">
      <c r="C393" s="302"/>
      <c r="D393" s="302"/>
      <c r="E393" s="302"/>
      <c r="F393" s="302"/>
      <c r="G393" s="302"/>
      <c r="H393" s="317"/>
      <c r="J393" s="129">
        <f>SUM(J389:J392)</f>
        <v>8263.84</v>
      </c>
    </row>
    <row r="394" spans="2:10">
      <c r="C394" s="302"/>
      <c r="D394" s="302"/>
      <c r="E394" s="302"/>
      <c r="F394" s="302"/>
      <c r="G394" s="302"/>
      <c r="H394" s="302"/>
    </row>
    <row r="395" spans="2:10" ht="23.4">
      <c r="C395" s="313" t="s">
        <v>1011</v>
      </c>
      <c r="D395" s="313" t="s">
        <v>1012</v>
      </c>
      <c r="E395" s="313" t="s">
        <v>1013</v>
      </c>
      <c r="F395" s="313" t="s">
        <v>1014</v>
      </c>
      <c r="G395" s="302"/>
      <c r="H395" s="302"/>
    </row>
    <row r="396" spans="2:10">
      <c r="C396" s="311" t="s">
        <v>1019</v>
      </c>
      <c r="D396" s="311" t="s">
        <v>1020</v>
      </c>
      <c r="E396" s="311" t="s">
        <v>1021</v>
      </c>
      <c r="F396" s="312">
        <v>241</v>
      </c>
      <c r="G396" s="302">
        <v>3.6739999999999999</v>
      </c>
      <c r="H396" s="302">
        <f t="shared" ref="H396:H401" si="14">F396*G396</f>
        <v>885.43399999999997</v>
      </c>
      <c r="I396">
        <v>45.26</v>
      </c>
      <c r="J396">
        <f t="shared" ref="J396:J401" si="15">H396+I396</f>
        <v>930.69399999999996</v>
      </c>
    </row>
    <row r="397" spans="2:10">
      <c r="C397" s="311" t="s">
        <v>1022</v>
      </c>
      <c r="D397" s="311" t="s">
        <v>316</v>
      </c>
      <c r="E397" s="311" t="s">
        <v>1023</v>
      </c>
      <c r="F397" s="312">
        <v>410</v>
      </c>
      <c r="G397" s="302">
        <v>3.6739999999999999</v>
      </c>
      <c r="H397" s="302">
        <f t="shared" si="14"/>
        <v>1506.34</v>
      </c>
      <c r="I397">
        <v>45.26</v>
      </c>
      <c r="J397">
        <f t="shared" si="15"/>
        <v>1551.6</v>
      </c>
    </row>
    <row r="398" spans="2:10">
      <c r="C398" s="311" t="s">
        <v>1022</v>
      </c>
      <c r="D398" s="311" t="s">
        <v>316</v>
      </c>
      <c r="E398" s="311" t="s">
        <v>1024</v>
      </c>
      <c r="F398" s="312">
        <v>410</v>
      </c>
      <c r="G398" s="302">
        <v>3.6739999999999999</v>
      </c>
      <c r="H398" s="302">
        <f t="shared" si="14"/>
        <v>1506.34</v>
      </c>
      <c r="I398">
        <v>45.26</v>
      </c>
      <c r="J398">
        <f t="shared" si="15"/>
        <v>1551.6</v>
      </c>
    </row>
    <row r="399" spans="2:10">
      <c r="C399" s="311" t="s">
        <v>191</v>
      </c>
      <c r="D399" s="311" t="s">
        <v>316</v>
      </c>
      <c r="E399" s="311" t="s">
        <v>1025</v>
      </c>
      <c r="F399" s="312">
        <v>436</v>
      </c>
      <c r="G399" s="302">
        <v>3.6739999999999999</v>
      </c>
      <c r="H399" s="302">
        <f t="shared" si="14"/>
        <v>1601.864</v>
      </c>
      <c r="I399">
        <v>45.26</v>
      </c>
      <c r="J399">
        <f t="shared" si="15"/>
        <v>1647.124</v>
      </c>
    </row>
    <row r="400" spans="2:10">
      <c r="C400" s="311" t="s">
        <v>191</v>
      </c>
      <c r="D400" s="311" t="s">
        <v>316</v>
      </c>
      <c r="E400" s="311" t="s">
        <v>1026</v>
      </c>
      <c r="F400" s="312">
        <v>436</v>
      </c>
      <c r="G400" s="302">
        <v>3.6739999999999999</v>
      </c>
      <c r="H400" s="302">
        <f t="shared" si="14"/>
        <v>1601.864</v>
      </c>
      <c r="I400">
        <v>45.26</v>
      </c>
      <c r="J400">
        <f t="shared" si="15"/>
        <v>1647.124</v>
      </c>
    </row>
    <row r="401" spans="3:10">
      <c r="C401" s="311" t="s">
        <v>1027</v>
      </c>
      <c r="D401" s="311" t="s">
        <v>316</v>
      </c>
      <c r="E401" s="311" t="s">
        <v>1028</v>
      </c>
      <c r="F401" s="312">
        <v>440</v>
      </c>
      <c r="G401" s="302">
        <v>3.6739999999999999</v>
      </c>
      <c r="H401" s="302">
        <f t="shared" si="14"/>
        <v>1616.56</v>
      </c>
      <c r="I401">
        <v>45.26</v>
      </c>
      <c r="J401">
        <f t="shared" si="15"/>
        <v>1661.82</v>
      </c>
    </row>
    <row r="402" spans="3:10">
      <c r="C402" s="302"/>
      <c r="D402" s="302"/>
      <c r="E402" s="302"/>
      <c r="F402" s="302"/>
      <c r="G402" s="302"/>
      <c r="H402" s="317"/>
      <c r="J402" s="129">
        <f>SUM(J396:J401)</f>
        <v>8989.9619999999995</v>
      </c>
    </row>
    <row r="403" spans="3:10">
      <c r="C403" s="302"/>
      <c r="D403" s="302"/>
      <c r="E403" s="302"/>
      <c r="F403" s="302"/>
      <c r="G403" s="302"/>
      <c r="H403" s="302"/>
    </row>
    <row r="404" spans="3:10" ht="23.4">
      <c r="C404" s="314" t="s">
        <v>1011</v>
      </c>
      <c r="D404" s="314" t="s">
        <v>1012</v>
      </c>
      <c r="E404" s="314" t="s">
        <v>1013</v>
      </c>
      <c r="F404" s="314" t="s">
        <v>1014</v>
      </c>
      <c r="G404" s="302"/>
      <c r="H404" s="302"/>
    </row>
    <row r="405" spans="3:10">
      <c r="C405" s="315" t="s">
        <v>1029</v>
      </c>
      <c r="D405" s="315" t="s">
        <v>316</v>
      </c>
      <c r="E405" s="315" t="s">
        <v>1030</v>
      </c>
      <c r="F405" s="316">
        <v>420</v>
      </c>
      <c r="G405" s="302">
        <v>3.6739999999999999</v>
      </c>
      <c r="H405" s="302">
        <f t="shared" ref="H405:H438" si="16">F405*G405</f>
        <v>1543.08</v>
      </c>
      <c r="I405">
        <v>45.26</v>
      </c>
      <c r="J405">
        <f t="shared" ref="J405:J438" si="17">H405+I405</f>
        <v>1588.34</v>
      </c>
    </row>
    <row r="406" spans="3:10">
      <c r="C406" s="315" t="s">
        <v>1031</v>
      </c>
      <c r="D406" s="315" t="s">
        <v>316</v>
      </c>
      <c r="E406" s="315" t="s">
        <v>1032</v>
      </c>
      <c r="F406" s="316">
        <v>416</v>
      </c>
      <c r="G406" s="302">
        <v>3.6739999999999999</v>
      </c>
      <c r="H406" s="302">
        <f t="shared" si="16"/>
        <v>1528.384</v>
      </c>
      <c r="I406">
        <v>45.26</v>
      </c>
      <c r="J406">
        <f t="shared" si="17"/>
        <v>1573.644</v>
      </c>
    </row>
    <row r="407" spans="3:10">
      <c r="C407" s="315" t="s">
        <v>1033</v>
      </c>
      <c r="D407" s="315" t="s">
        <v>316</v>
      </c>
      <c r="E407" s="315" t="s">
        <v>1034</v>
      </c>
      <c r="F407" s="316">
        <v>430</v>
      </c>
      <c r="G407" s="302">
        <v>3.6739999999999999</v>
      </c>
      <c r="H407" s="302">
        <f t="shared" si="16"/>
        <v>1579.82</v>
      </c>
      <c r="I407">
        <v>45.26</v>
      </c>
      <c r="J407">
        <f t="shared" si="17"/>
        <v>1625.08</v>
      </c>
    </row>
    <row r="408" spans="3:10">
      <c r="C408" s="315" t="s">
        <v>1033</v>
      </c>
      <c r="D408" s="315" t="s">
        <v>316</v>
      </c>
      <c r="E408" s="315" t="s">
        <v>1035</v>
      </c>
      <c r="F408" s="316">
        <v>430</v>
      </c>
      <c r="G408" s="302">
        <v>3.6739999999999999</v>
      </c>
      <c r="H408" s="302">
        <f t="shared" si="16"/>
        <v>1579.82</v>
      </c>
      <c r="I408">
        <v>45.26</v>
      </c>
      <c r="J408">
        <f t="shared" si="17"/>
        <v>1625.08</v>
      </c>
    </row>
    <row r="409" spans="3:10">
      <c r="C409" s="315" t="s">
        <v>1036</v>
      </c>
      <c r="D409" s="315" t="s">
        <v>316</v>
      </c>
      <c r="E409" s="315" t="s">
        <v>1037</v>
      </c>
      <c r="F409" s="316">
        <v>417</v>
      </c>
      <c r="G409" s="302">
        <v>3.6739999999999999</v>
      </c>
      <c r="H409" s="302">
        <f t="shared" si="16"/>
        <v>1532.058</v>
      </c>
      <c r="I409">
        <v>45.26</v>
      </c>
      <c r="J409">
        <f t="shared" si="17"/>
        <v>1577.318</v>
      </c>
    </row>
    <row r="410" spans="3:10">
      <c r="C410" s="315" t="s">
        <v>1038</v>
      </c>
      <c r="D410" s="315" t="s">
        <v>316</v>
      </c>
      <c r="E410" s="315" t="s">
        <v>1039</v>
      </c>
      <c r="F410" s="316">
        <v>417</v>
      </c>
      <c r="G410" s="302">
        <v>3.6739999999999999</v>
      </c>
      <c r="H410" s="302">
        <f t="shared" si="16"/>
        <v>1532.058</v>
      </c>
      <c r="I410">
        <v>45.26</v>
      </c>
      <c r="J410">
        <f t="shared" si="17"/>
        <v>1577.318</v>
      </c>
    </row>
    <row r="411" spans="3:10">
      <c r="C411" s="315" t="s">
        <v>190</v>
      </c>
      <c r="D411" s="315" t="s">
        <v>316</v>
      </c>
      <c r="E411" s="315" t="s">
        <v>1040</v>
      </c>
      <c r="F411" s="316">
        <v>436</v>
      </c>
      <c r="G411" s="302">
        <v>3.6739999999999999</v>
      </c>
      <c r="H411" s="302">
        <f t="shared" si="16"/>
        <v>1601.864</v>
      </c>
      <c r="I411">
        <v>45.26</v>
      </c>
      <c r="J411">
        <f t="shared" si="17"/>
        <v>1647.124</v>
      </c>
    </row>
    <row r="412" spans="3:10">
      <c r="C412" s="315" t="s">
        <v>539</v>
      </c>
      <c r="D412" s="315" t="s">
        <v>316</v>
      </c>
      <c r="E412" s="315" t="s">
        <v>1041</v>
      </c>
      <c r="F412" s="316">
        <v>436</v>
      </c>
      <c r="G412" s="302">
        <v>3.6739999999999999</v>
      </c>
      <c r="H412" s="302">
        <f t="shared" si="16"/>
        <v>1601.864</v>
      </c>
      <c r="I412">
        <v>45.26</v>
      </c>
      <c r="J412">
        <f t="shared" si="17"/>
        <v>1647.124</v>
      </c>
    </row>
    <row r="413" spans="3:10">
      <c r="C413" s="315" t="s">
        <v>552</v>
      </c>
      <c r="D413" s="315" t="s">
        <v>1020</v>
      </c>
      <c r="E413" s="315" t="s">
        <v>1042</v>
      </c>
      <c r="F413" s="316">
        <v>240</v>
      </c>
      <c r="G413" s="302">
        <v>3.6739999999999999</v>
      </c>
      <c r="H413" s="302">
        <f t="shared" si="16"/>
        <v>881.76</v>
      </c>
      <c r="I413">
        <v>45.26</v>
      </c>
      <c r="J413">
        <f t="shared" si="17"/>
        <v>927.02</v>
      </c>
    </row>
    <row r="414" spans="3:10">
      <c r="C414" s="315" t="s">
        <v>552</v>
      </c>
      <c r="D414" s="315" t="s">
        <v>1020</v>
      </c>
      <c r="E414" s="315" t="s">
        <v>1043</v>
      </c>
      <c r="F414" s="316">
        <v>240</v>
      </c>
      <c r="G414" s="302">
        <v>3.6739999999999999</v>
      </c>
      <c r="H414" s="302">
        <f t="shared" si="16"/>
        <v>881.76</v>
      </c>
      <c r="I414">
        <v>45.26</v>
      </c>
      <c r="J414">
        <f t="shared" si="17"/>
        <v>927.02</v>
      </c>
    </row>
    <row r="415" spans="3:10">
      <c r="C415" s="315" t="s">
        <v>552</v>
      </c>
      <c r="D415" s="315" t="s">
        <v>1020</v>
      </c>
      <c r="E415" s="315" t="s">
        <v>1044</v>
      </c>
      <c r="F415" s="316">
        <v>240</v>
      </c>
      <c r="G415" s="302">
        <v>3.6739999999999999</v>
      </c>
      <c r="H415" s="302">
        <f t="shared" si="16"/>
        <v>881.76</v>
      </c>
      <c r="I415">
        <v>45.26</v>
      </c>
      <c r="J415">
        <f t="shared" si="17"/>
        <v>927.02</v>
      </c>
    </row>
    <row r="416" spans="3:10">
      <c r="C416" s="315" t="s">
        <v>758</v>
      </c>
      <c r="D416" s="315" t="s">
        <v>316</v>
      </c>
      <c r="E416" s="315" t="s">
        <v>1045</v>
      </c>
      <c r="F416" s="316">
        <v>436</v>
      </c>
      <c r="G416" s="302">
        <v>3.6739999999999999</v>
      </c>
      <c r="H416" s="302">
        <f t="shared" si="16"/>
        <v>1601.864</v>
      </c>
      <c r="I416">
        <v>45.26</v>
      </c>
      <c r="J416">
        <f t="shared" si="17"/>
        <v>1647.124</v>
      </c>
    </row>
    <row r="417" spans="3:10">
      <c r="C417" s="315" t="s">
        <v>1046</v>
      </c>
      <c r="D417" s="315" t="s">
        <v>1020</v>
      </c>
      <c r="E417" s="315" t="s">
        <v>1047</v>
      </c>
      <c r="F417" s="316">
        <v>240</v>
      </c>
      <c r="G417" s="302">
        <v>3.6739999999999999</v>
      </c>
      <c r="H417" s="302">
        <f t="shared" si="16"/>
        <v>881.76</v>
      </c>
      <c r="I417">
        <v>45.26</v>
      </c>
      <c r="J417">
        <f t="shared" si="17"/>
        <v>927.02</v>
      </c>
    </row>
    <row r="418" spans="3:10">
      <c r="C418" s="315" t="s">
        <v>548</v>
      </c>
      <c r="D418" s="315" t="s">
        <v>318</v>
      </c>
      <c r="E418" s="315" t="s">
        <v>1048</v>
      </c>
      <c r="F418" s="316">
        <v>247</v>
      </c>
      <c r="G418" s="302">
        <v>3.6739999999999999</v>
      </c>
      <c r="H418" s="302">
        <f t="shared" si="16"/>
        <v>907.47799999999995</v>
      </c>
      <c r="I418">
        <v>45.26</v>
      </c>
      <c r="J418">
        <f t="shared" si="17"/>
        <v>952.73799999999994</v>
      </c>
    </row>
    <row r="419" spans="3:10">
      <c r="C419" s="315" t="s">
        <v>548</v>
      </c>
      <c r="D419" s="315" t="s">
        <v>318</v>
      </c>
      <c r="E419" s="315" t="s">
        <v>1049</v>
      </c>
      <c r="F419" s="316">
        <v>247</v>
      </c>
      <c r="G419" s="302">
        <v>3.6739999999999999</v>
      </c>
      <c r="H419" s="302">
        <f t="shared" si="16"/>
        <v>907.47799999999995</v>
      </c>
      <c r="I419">
        <v>45.26</v>
      </c>
      <c r="J419">
        <f t="shared" si="17"/>
        <v>952.73799999999994</v>
      </c>
    </row>
    <row r="420" spans="3:10">
      <c r="C420" s="315" t="s">
        <v>548</v>
      </c>
      <c r="D420" s="315" t="s">
        <v>318</v>
      </c>
      <c r="E420" s="315" t="s">
        <v>1050</v>
      </c>
      <c r="F420" s="316">
        <v>247</v>
      </c>
      <c r="G420" s="302">
        <v>3.6739999999999999</v>
      </c>
      <c r="H420" s="302">
        <f t="shared" si="16"/>
        <v>907.47799999999995</v>
      </c>
      <c r="I420">
        <v>45.26</v>
      </c>
      <c r="J420">
        <f t="shared" si="17"/>
        <v>952.73799999999994</v>
      </c>
    </row>
    <row r="421" spans="3:10">
      <c r="C421" s="315" t="s">
        <v>548</v>
      </c>
      <c r="D421" s="315" t="s">
        <v>318</v>
      </c>
      <c r="E421" s="315" t="s">
        <v>1051</v>
      </c>
      <c r="F421" s="316">
        <v>247</v>
      </c>
      <c r="G421" s="302">
        <v>3.6739999999999999</v>
      </c>
      <c r="H421" s="302">
        <f t="shared" si="16"/>
        <v>907.47799999999995</v>
      </c>
      <c r="I421">
        <v>45.26</v>
      </c>
      <c r="J421">
        <f t="shared" si="17"/>
        <v>952.73799999999994</v>
      </c>
    </row>
    <row r="422" spans="3:10">
      <c r="C422" s="315" t="s">
        <v>548</v>
      </c>
      <c r="D422" s="315" t="s">
        <v>318</v>
      </c>
      <c r="E422" s="315" t="s">
        <v>1052</v>
      </c>
      <c r="F422" s="316">
        <v>247</v>
      </c>
      <c r="G422" s="302">
        <v>3.6739999999999999</v>
      </c>
      <c r="H422" s="302">
        <f t="shared" si="16"/>
        <v>907.47799999999995</v>
      </c>
      <c r="I422">
        <v>45.26</v>
      </c>
      <c r="J422">
        <f t="shared" si="17"/>
        <v>952.73799999999994</v>
      </c>
    </row>
    <row r="423" spans="3:10">
      <c r="C423" s="315" t="s">
        <v>548</v>
      </c>
      <c r="D423" s="315" t="s">
        <v>318</v>
      </c>
      <c r="E423" s="315" t="s">
        <v>1053</v>
      </c>
      <c r="F423" s="316">
        <v>247</v>
      </c>
      <c r="G423" s="302">
        <v>3.6739999999999999</v>
      </c>
      <c r="H423" s="302">
        <f t="shared" si="16"/>
        <v>907.47799999999995</v>
      </c>
      <c r="I423">
        <v>45.26</v>
      </c>
      <c r="J423">
        <f t="shared" si="17"/>
        <v>952.73799999999994</v>
      </c>
    </row>
    <row r="424" spans="3:10">
      <c r="C424" s="315" t="s">
        <v>548</v>
      </c>
      <c r="D424" s="315" t="s">
        <v>318</v>
      </c>
      <c r="E424" s="315" t="s">
        <v>1054</v>
      </c>
      <c r="F424" s="316">
        <v>247</v>
      </c>
      <c r="G424" s="302">
        <v>3.6739999999999999</v>
      </c>
      <c r="H424" s="302">
        <f t="shared" si="16"/>
        <v>907.47799999999995</v>
      </c>
      <c r="I424">
        <v>45.26</v>
      </c>
      <c r="J424">
        <f t="shared" si="17"/>
        <v>952.73799999999994</v>
      </c>
    </row>
    <row r="425" spans="3:10">
      <c r="C425" s="315" t="s">
        <v>548</v>
      </c>
      <c r="D425" s="315" t="s">
        <v>318</v>
      </c>
      <c r="E425" s="315" t="s">
        <v>1055</v>
      </c>
      <c r="F425" s="316">
        <v>247</v>
      </c>
      <c r="G425" s="302">
        <v>3.6739999999999999</v>
      </c>
      <c r="H425" s="302">
        <f t="shared" si="16"/>
        <v>907.47799999999995</v>
      </c>
      <c r="I425">
        <v>45.26</v>
      </c>
      <c r="J425">
        <f t="shared" si="17"/>
        <v>952.73799999999994</v>
      </c>
    </row>
    <row r="426" spans="3:10">
      <c r="C426" s="315" t="s">
        <v>548</v>
      </c>
      <c r="D426" s="315" t="s">
        <v>318</v>
      </c>
      <c r="E426" s="315" t="s">
        <v>1056</v>
      </c>
      <c r="F426" s="316">
        <v>247</v>
      </c>
      <c r="G426" s="302">
        <v>3.6739999999999999</v>
      </c>
      <c r="H426" s="302">
        <f t="shared" si="16"/>
        <v>907.47799999999995</v>
      </c>
      <c r="I426">
        <v>45.26</v>
      </c>
      <c r="J426">
        <f t="shared" si="17"/>
        <v>952.73799999999994</v>
      </c>
    </row>
    <row r="427" spans="3:10">
      <c r="C427" s="315" t="s">
        <v>548</v>
      </c>
      <c r="D427" s="315" t="s">
        <v>318</v>
      </c>
      <c r="E427" s="315" t="s">
        <v>1057</v>
      </c>
      <c r="F427" s="316">
        <v>247</v>
      </c>
      <c r="G427" s="302">
        <v>3.6739999999999999</v>
      </c>
      <c r="H427" s="302">
        <f t="shared" si="16"/>
        <v>907.47799999999995</v>
      </c>
      <c r="I427">
        <v>45.26</v>
      </c>
      <c r="J427">
        <f t="shared" si="17"/>
        <v>952.73799999999994</v>
      </c>
    </row>
    <row r="428" spans="3:10">
      <c r="C428" s="315" t="s">
        <v>767</v>
      </c>
      <c r="D428" s="315" t="s">
        <v>318</v>
      </c>
      <c r="E428" s="315" t="s">
        <v>1058</v>
      </c>
      <c r="F428" s="316">
        <v>250</v>
      </c>
      <c r="G428" s="302">
        <v>3.6739999999999999</v>
      </c>
      <c r="H428" s="302">
        <f t="shared" si="16"/>
        <v>918.5</v>
      </c>
      <c r="I428">
        <v>45.26</v>
      </c>
      <c r="J428">
        <f t="shared" si="17"/>
        <v>963.76</v>
      </c>
    </row>
    <row r="429" spans="3:10">
      <c r="C429" s="315" t="s">
        <v>767</v>
      </c>
      <c r="D429" s="315" t="s">
        <v>318</v>
      </c>
      <c r="E429" s="315" t="s">
        <v>1059</v>
      </c>
      <c r="F429" s="316">
        <v>250</v>
      </c>
      <c r="G429" s="302">
        <v>3.6739999999999999</v>
      </c>
      <c r="H429" s="302">
        <f t="shared" si="16"/>
        <v>918.5</v>
      </c>
      <c r="I429">
        <v>45.26</v>
      </c>
      <c r="J429">
        <f t="shared" si="17"/>
        <v>963.76</v>
      </c>
    </row>
    <row r="430" spans="3:10">
      <c r="C430" s="315" t="s">
        <v>767</v>
      </c>
      <c r="D430" s="315" t="s">
        <v>318</v>
      </c>
      <c r="E430" s="315" t="s">
        <v>1060</v>
      </c>
      <c r="F430" s="316">
        <v>250</v>
      </c>
      <c r="G430" s="302">
        <v>3.6739999999999999</v>
      </c>
      <c r="H430" s="302">
        <f t="shared" si="16"/>
        <v>918.5</v>
      </c>
      <c r="I430">
        <v>45.26</v>
      </c>
      <c r="J430">
        <f t="shared" si="17"/>
        <v>963.76</v>
      </c>
    </row>
    <row r="431" spans="3:10">
      <c r="C431" s="315" t="s">
        <v>767</v>
      </c>
      <c r="D431" s="315" t="s">
        <v>318</v>
      </c>
      <c r="E431" s="315" t="s">
        <v>1061</v>
      </c>
      <c r="F431" s="316">
        <v>250</v>
      </c>
      <c r="G431" s="302">
        <v>3.6739999999999999</v>
      </c>
      <c r="H431" s="302">
        <f t="shared" si="16"/>
        <v>918.5</v>
      </c>
      <c r="I431">
        <v>45.26</v>
      </c>
      <c r="J431">
        <f t="shared" si="17"/>
        <v>963.76</v>
      </c>
    </row>
    <row r="432" spans="3:10">
      <c r="C432" s="315" t="s">
        <v>767</v>
      </c>
      <c r="D432" s="315" t="s">
        <v>318</v>
      </c>
      <c r="E432" s="315" t="s">
        <v>1062</v>
      </c>
      <c r="F432" s="316">
        <v>250</v>
      </c>
      <c r="G432" s="302">
        <v>3.6739999999999999</v>
      </c>
      <c r="H432" s="302">
        <f t="shared" si="16"/>
        <v>918.5</v>
      </c>
      <c r="I432">
        <v>45.26</v>
      </c>
      <c r="J432">
        <f t="shared" si="17"/>
        <v>963.76</v>
      </c>
    </row>
    <row r="433" spans="2:11">
      <c r="C433" s="315" t="s">
        <v>767</v>
      </c>
      <c r="D433" s="315" t="s">
        <v>318</v>
      </c>
      <c r="E433" s="315" t="s">
        <v>1063</v>
      </c>
      <c r="F433" s="316">
        <v>250</v>
      </c>
      <c r="G433" s="302">
        <v>3.6739999999999999</v>
      </c>
      <c r="H433" s="302">
        <f t="shared" si="16"/>
        <v>918.5</v>
      </c>
      <c r="I433">
        <v>45.26</v>
      </c>
      <c r="J433">
        <f t="shared" si="17"/>
        <v>963.76</v>
      </c>
    </row>
    <row r="434" spans="2:11">
      <c r="C434" s="315" t="s">
        <v>767</v>
      </c>
      <c r="D434" s="315" t="s">
        <v>318</v>
      </c>
      <c r="E434" s="315" t="s">
        <v>1064</v>
      </c>
      <c r="F434" s="316">
        <v>250</v>
      </c>
      <c r="G434" s="302">
        <v>3.6739999999999999</v>
      </c>
      <c r="H434" s="302">
        <f t="shared" si="16"/>
        <v>918.5</v>
      </c>
      <c r="I434">
        <v>45.26</v>
      </c>
      <c r="J434">
        <f t="shared" si="17"/>
        <v>963.76</v>
      </c>
    </row>
    <row r="435" spans="2:11">
      <c r="C435" s="315" t="s">
        <v>767</v>
      </c>
      <c r="D435" s="315" t="s">
        <v>318</v>
      </c>
      <c r="E435" s="315" t="s">
        <v>1065</v>
      </c>
      <c r="F435" s="316">
        <v>250</v>
      </c>
      <c r="G435" s="302">
        <v>3.6739999999999999</v>
      </c>
      <c r="H435" s="302">
        <f t="shared" si="16"/>
        <v>918.5</v>
      </c>
      <c r="I435">
        <v>45.26</v>
      </c>
      <c r="J435">
        <f t="shared" si="17"/>
        <v>963.76</v>
      </c>
    </row>
    <row r="436" spans="2:11">
      <c r="C436" s="315" t="s">
        <v>767</v>
      </c>
      <c r="D436" s="315" t="s">
        <v>318</v>
      </c>
      <c r="E436" s="315" t="s">
        <v>1066</v>
      </c>
      <c r="F436" s="316">
        <v>250</v>
      </c>
      <c r="G436" s="302">
        <v>3.6739999999999999</v>
      </c>
      <c r="H436" s="302">
        <f t="shared" si="16"/>
        <v>918.5</v>
      </c>
      <c r="I436">
        <v>45.26</v>
      </c>
      <c r="J436">
        <f t="shared" si="17"/>
        <v>963.76</v>
      </c>
    </row>
    <row r="437" spans="2:11">
      <c r="C437" s="315" t="s">
        <v>767</v>
      </c>
      <c r="D437" s="315" t="s">
        <v>318</v>
      </c>
      <c r="E437" s="315" t="s">
        <v>1067</v>
      </c>
      <c r="F437" s="316">
        <v>250</v>
      </c>
      <c r="G437" s="302">
        <v>3.6739999999999999</v>
      </c>
      <c r="H437" s="302">
        <f t="shared" si="16"/>
        <v>918.5</v>
      </c>
      <c r="I437">
        <v>45.26</v>
      </c>
      <c r="J437">
        <f t="shared" si="17"/>
        <v>963.76</v>
      </c>
    </row>
    <row r="438" spans="2:11">
      <c r="C438" s="315" t="s">
        <v>1068</v>
      </c>
      <c r="D438" s="315" t="s">
        <v>318</v>
      </c>
      <c r="E438" s="315" t="s">
        <v>1069</v>
      </c>
      <c r="F438" s="316">
        <v>247</v>
      </c>
      <c r="G438" s="302">
        <v>3.6739999999999999</v>
      </c>
      <c r="H438" s="302">
        <f t="shared" si="16"/>
        <v>907.47799999999995</v>
      </c>
      <c r="I438">
        <v>45.5</v>
      </c>
      <c r="J438">
        <f t="shared" si="17"/>
        <v>952.97799999999995</v>
      </c>
    </row>
    <row r="439" spans="2:11">
      <c r="H439" s="317"/>
      <c r="J439" s="129">
        <f>SUM(J405:J438)</f>
        <v>38334.190000000017</v>
      </c>
    </row>
    <row r="440" spans="2:11">
      <c r="K440">
        <f>J393+J402+J439</f>
        <v>55587.992000000013</v>
      </c>
    </row>
    <row r="441" spans="2:11" ht="15.6">
      <c r="B441" s="132" t="s">
        <v>305</v>
      </c>
      <c r="C441" s="132" t="s">
        <v>451</v>
      </c>
    </row>
    <row r="442" spans="2:11" ht="15.6">
      <c r="B442" s="132" t="s">
        <v>13</v>
      </c>
      <c r="C442" s="134">
        <v>45472</v>
      </c>
    </row>
    <row r="443" spans="2:11" ht="15.6">
      <c r="B443" s="132" t="s">
        <v>452</v>
      </c>
      <c r="C443" s="132" t="s">
        <v>1217</v>
      </c>
    </row>
    <row r="444" spans="2:11" ht="15.6">
      <c r="B444" s="132"/>
      <c r="C444" s="132" t="s">
        <v>306</v>
      </c>
    </row>
    <row r="445" spans="2:11" ht="23.4">
      <c r="D445" s="367" t="s">
        <v>1012</v>
      </c>
      <c r="E445" s="367" t="s">
        <v>1013</v>
      </c>
      <c r="F445" s="367" t="s">
        <v>1312</v>
      </c>
    </row>
    <row r="446" spans="2:11">
      <c r="C446" s="366" t="s">
        <v>1279</v>
      </c>
      <c r="D446" s="366" t="s">
        <v>316</v>
      </c>
      <c r="E446" s="366" t="s">
        <v>1284</v>
      </c>
      <c r="F446" s="368">
        <v>410</v>
      </c>
      <c r="G446" s="302">
        <v>3.6739999999999999</v>
      </c>
      <c r="H446" s="369">
        <f>F446*G446</f>
        <v>1506.34</v>
      </c>
      <c r="I446">
        <v>41.88</v>
      </c>
      <c r="J446" s="369">
        <f>H446+I446</f>
        <v>1548.22</v>
      </c>
    </row>
    <row r="447" spans="2:11">
      <c r="C447" s="366" t="s">
        <v>1279</v>
      </c>
      <c r="D447" s="366" t="s">
        <v>316</v>
      </c>
      <c r="E447" s="366" t="s">
        <v>1285</v>
      </c>
      <c r="F447" s="368">
        <v>410</v>
      </c>
      <c r="G447" s="302">
        <v>3.6739999999999999</v>
      </c>
      <c r="H447" s="369">
        <f t="shared" ref="H447:H473" si="18">F447*G447</f>
        <v>1506.34</v>
      </c>
      <c r="I447">
        <v>41.88</v>
      </c>
      <c r="J447" s="369">
        <f t="shared" ref="J447:J473" si="19">H447+I447</f>
        <v>1548.22</v>
      </c>
    </row>
    <row r="448" spans="2:11">
      <c r="C448" s="366" t="s">
        <v>1279</v>
      </c>
      <c r="D448" s="366" t="s">
        <v>316</v>
      </c>
      <c r="E448" s="366" t="s">
        <v>1286</v>
      </c>
      <c r="F448" s="368">
        <v>410</v>
      </c>
      <c r="G448" s="302">
        <v>3.6739999999999999</v>
      </c>
      <c r="H448" s="369">
        <f t="shared" si="18"/>
        <v>1506.34</v>
      </c>
      <c r="I448">
        <v>41.88</v>
      </c>
      <c r="J448" s="369">
        <f t="shared" si="19"/>
        <v>1548.22</v>
      </c>
    </row>
    <row r="449" spans="3:10">
      <c r="C449" s="366" t="s">
        <v>1279</v>
      </c>
      <c r="D449" s="366" t="s">
        <v>316</v>
      </c>
      <c r="E449" s="366" t="s">
        <v>1287</v>
      </c>
      <c r="F449" s="368">
        <v>410</v>
      </c>
      <c r="G449" s="302">
        <v>3.6739999999999999</v>
      </c>
      <c r="H449" s="369">
        <f t="shared" si="18"/>
        <v>1506.34</v>
      </c>
      <c r="I449">
        <v>41.88</v>
      </c>
      <c r="J449" s="369">
        <f t="shared" si="19"/>
        <v>1548.22</v>
      </c>
    </row>
    <row r="450" spans="3:10">
      <c r="C450" s="366" t="s">
        <v>1280</v>
      </c>
      <c r="D450" s="366" t="s">
        <v>316</v>
      </c>
      <c r="E450" s="366" t="s">
        <v>1288</v>
      </c>
      <c r="F450" s="368">
        <v>447</v>
      </c>
      <c r="G450" s="302">
        <v>3.6739999999999999</v>
      </c>
      <c r="H450" s="369">
        <f t="shared" si="18"/>
        <v>1642.278</v>
      </c>
      <c r="I450">
        <v>41.88</v>
      </c>
      <c r="J450" s="369">
        <f t="shared" si="19"/>
        <v>1684.1580000000001</v>
      </c>
    </row>
    <row r="451" spans="3:10">
      <c r="C451" s="366" t="s">
        <v>552</v>
      </c>
      <c r="D451" s="366" t="s">
        <v>1020</v>
      </c>
      <c r="E451" s="366" t="s">
        <v>1289</v>
      </c>
      <c r="F451" s="368">
        <v>240</v>
      </c>
      <c r="G451" s="302">
        <v>3.6739999999999999</v>
      </c>
      <c r="H451" s="369">
        <f t="shared" si="18"/>
        <v>881.76</v>
      </c>
      <c r="I451">
        <v>41.88</v>
      </c>
      <c r="J451" s="369">
        <f t="shared" si="19"/>
        <v>923.64</v>
      </c>
    </row>
    <row r="452" spans="3:10">
      <c r="C452" s="366" t="s">
        <v>552</v>
      </c>
      <c r="D452" s="366" t="s">
        <v>1020</v>
      </c>
      <c r="E452" s="366" t="s">
        <v>1290</v>
      </c>
      <c r="F452" s="368">
        <v>240</v>
      </c>
      <c r="G452" s="302">
        <v>3.6739999999999999</v>
      </c>
      <c r="H452" s="369">
        <f t="shared" si="18"/>
        <v>881.76</v>
      </c>
      <c r="I452">
        <v>41.88</v>
      </c>
      <c r="J452" s="369">
        <f t="shared" si="19"/>
        <v>923.64</v>
      </c>
    </row>
    <row r="453" spans="3:10">
      <c r="C453" s="366" t="s">
        <v>552</v>
      </c>
      <c r="D453" s="366" t="s">
        <v>1020</v>
      </c>
      <c r="E453" s="366" t="s">
        <v>1291</v>
      </c>
      <c r="F453" s="368">
        <v>240</v>
      </c>
      <c r="G453" s="302">
        <v>3.6739999999999999</v>
      </c>
      <c r="H453" s="369">
        <f t="shared" si="18"/>
        <v>881.76</v>
      </c>
      <c r="I453">
        <v>41.88</v>
      </c>
      <c r="J453" s="369">
        <f t="shared" si="19"/>
        <v>923.64</v>
      </c>
    </row>
    <row r="454" spans="3:10">
      <c r="C454" s="366" t="s">
        <v>552</v>
      </c>
      <c r="D454" s="366" t="s">
        <v>1020</v>
      </c>
      <c r="E454" s="366" t="s">
        <v>1292</v>
      </c>
      <c r="F454" s="368">
        <v>240</v>
      </c>
      <c r="G454" s="302">
        <v>3.6739999999999999</v>
      </c>
      <c r="H454" s="369">
        <f t="shared" si="18"/>
        <v>881.76</v>
      </c>
      <c r="I454">
        <v>41.88</v>
      </c>
      <c r="J454" s="369">
        <f t="shared" si="19"/>
        <v>923.64</v>
      </c>
    </row>
    <row r="455" spans="3:10">
      <c r="C455" s="366" t="s">
        <v>552</v>
      </c>
      <c r="D455" s="366" t="s">
        <v>1020</v>
      </c>
      <c r="E455" s="366" t="s">
        <v>1293</v>
      </c>
      <c r="F455" s="368">
        <v>240</v>
      </c>
      <c r="G455" s="302">
        <v>3.6739999999999999</v>
      </c>
      <c r="H455" s="369">
        <f t="shared" si="18"/>
        <v>881.76</v>
      </c>
      <c r="I455">
        <v>41.88</v>
      </c>
      <c r="J455" s="369">
        <f t="shared" si="19"/>
        <v>923.64</v>
      </c>
    </row>
    <row r="456" spans="3:10">
      <c r="C456" s="366" t="s">
        <v>552</v>
      </c>
      <c r="D456" s="366" t="s">
        <v>1020</v>
      </c>
      <c r="E456" s="366" t="s">
        <v>1294</v>
      </c>
      <c r="F456" s="368">
        <v>240</v>
      </c>
      <c r="G456" s="302">
        <v>3.6739999999999999</v>
      </c>
      <c r="H456" s="369">
        <f t="shared" si="18"/>
        <v>881.76</v>
      </c>
      <c r="I456">
        <v>41.88</v>
      </c>
      <c r="J456" s="369">
        <f t="shared" si="19"/>
        <v>923.64</v>
      </c>
    </row>
    <row r="457" spans="3:10">
      <c r="C457" s="366" t="s">
        <v>552</v>
      </c>
      <c r="D457" s="366" t="s">
        <v>1020</v>
      </c>
      <c r="E457" s="366" t="s">
        <v>1295</v>
      </c>
      <c r="F457" s="368">
        <v>240</v>
      </c>
      <c r="G457" s="302">
        <v>3.6739999999999999</v>
      </c>
      <c r="H457" s="369">
        <f t="shared" si="18"/>
        <v>881.76</v>
      </c>
      <c r="I457">
        <v>41.88</v>
      </c>
      <c r="J457" s="369">
        <f t="shared" si="19"/>
        <v>923.64</v>
      </c>
    </row>
    <row r="458" spans="3:10">
      <c r="C458" s="366" t="s">
        <v>758</v>
      </c>
      <c r="D458" s="366" t="s">
        <v>316</v>
      </c>
      <c r="E458" s="366" t="s">
        <v>1296</v>
      </c>
      <c r="F458" s="368">
        <v>435</v>
      </c>
      <c r="G458" s="302">
        <v>3.6739999999999999</v>
      </c>
      <c r="H458" s="369">
        <f t="shared" si="18"/>
        <v>1598.19</v>
      </c>
      <c r="I458">
        <v>41.88</v>
      </c>
      <c r="J458" s="369">
        <f t="shared" si="19"/>
        <v>1640.0700000000002</v>
      </c>
    </row>
    <row r="459" spans="3:10">
      <c r="C459" s="366" t="s">
        <v>759</v>
      </c>
      <c r="D459" s="366" t="s">
        <v>316</v>
      </c>
      <c r="E459" s="366" t="s">
        <v>1297</v>
      </c>
      <c r="F459" s="368">
        <v>435</v>
      </c>
      <c r="G459" s="302">
        <v>3.6739999999999999</v>
      </c>
      <c r="H459" s="369">
        <f t="shared" si="18"/>
        <v>1598.19</v>
      </c>
      <c r="I459">
        <v>41.88</v>
      </c>
      <c r="J459" s="369">
        <f t="shared" si="19"/>
        <v>1640.0700000000002</v>
      </c>
    </row>
    <row r="460" spans="3:10">
      <c r="C460" s="366" t="s">
        <v>191</v>
      </c>
      <c r="D460" s="366" t="s">
        <v>316</v>
      </c>
      <c r="E460" s="366" t="s">
        <v>1298</v>
      </c>
      <c r="F460" s="368">
        <v>435</v>
      </c>
      <c r="G460" s="302">
        <v>3.6739999999999999</v>
      </c>
      <c r="H460" s="369">
        <f t="shared" si="18"/>
        <v>1598.19</v>
      </c>
      <c r="I460">
        <v>41.88</v>
      </c>
      <c r="J460" s="369">
        <f t="shared" si="19"/>
        <v>1640.0700000000002</v>
      </c>
    </row>
    <row r="461" spans="3:10">
      <c r="C461" s="366" t="s">
        <v>542</v>
      </c>
      <c r="D461" s="366" t="s">
        <v>316</v>
      </c>
      <c r="E461" s="366" t="s">
        <v>1299</v>
      </c>
      <c r="F461" s="368">
        <v>430</v>
      </c>
      <c r="G461" s="302">
        <v>3.6739999999999999</v>
      </c>
      <c r="H461" s="369">
        <f t="shared" si="18"/>
        <v>1579.82</v>
      </c>
      <c r="I461">
        <v>41.88</v>
      </c>
      <c r="J461" s="369">
        <f t="shared" si="19"/>
        <v>1621.7</v>
      </c>
    </row>
    <row r="462" spans="3:10">
      <c r="C462" s="366" t="s">
        <v>206</v>
      </c>
      <c r="D462" s="366" t="s">
        <v>318</v>
      </c>
      <c r="E462" s="366" t="s">
        <v>1300</v>
      </c>
      <c r="F462" s="368">
        <v>250</v>
      </c>
      <c r="G462" s="302">
        <v>3.6739999999999999</v>
      </c>
      <c r="H462" s="369">
        <f t="shared" si="18"/>
        <v>918.5</v>
      </c>
      <c r="I462">
        <v>41.88</v>
      </c>
      <c r="J462" s="369">
        <f t="shared" si="19"/>
        <v>960.38</v>
      </c>
    </row>
    <row r="463" spans="3:10">
      <c r="C463" s="366" t="s">
        <v>206</v>
      </c>
      <c r="D463" s="366" t="s">
        <v>318</v>
      </c>
      <c r="E463" s="366" t="s">
        <v>1301</v>
      </c>
      <c r="F463" s="368">
        <v>250</v>
      </c>
      <c r="G463" s="302">
        <v>3.6739999999999999</v>
      </c>
      <c r="H463" s="369">
        <f t="shared" si="18"/>
        <v>918.5</v>
      </c>
      <c r="I463">
        <v>41.88</v>
      </c>
      <c r="J463" s="369">
        <f t="shared" si="19"/>
        <v>960.38</v>
      </c>
    </row>
    <row r="464" spans="3:10">
      <c r="C464" s="366" t="s">
        <v>206</v>
      </c>
      <c r="D464" s="366" t="s">
        <v>318</v>
      </c>
      <c r="E464" s="366" t="s">
        <v>1302</v>
      </c>
      <c r="F464" s="368">
        <v>250</v>
      </c>
      <c r="G464" s="302">
        <v>3.6739999999999999</v>
      </c>
      <c r="H464" s="369">
        <f t="shared" si="18"/>
        <v>918.5</v>
      </c>
      <c r="I464">
        <v>41.88</v>
      </c>
      <c r="J464" s="369">
        <f t="shared" si="19"/>
        <v>960.38</v>
      </c>
    </row>
    <row r="465" spans="2:10">
      <c r="C465" s="366" t="s">
        <v>1281</v>
      </c>
      <c r="D465" s="366" t="s">
        <v>316</v>
      </c>
      <c r="E465" s="366" t="s">
        <v>1303</v>
      </c>
      <c r="F465" s="368">
        <v>410</v>
      </c>
      <c r="G465" s="302">
        <v>3.6739999999999999</v>
      </c>
      <c r="H465" s="369">
        <f t="shared" si="18"/>
        <v>1506.34</v>
      </c>
      <c r="I465">
        <v>41.88</v>
      </c>
      <c r="J465" s="369">
        <f t="shared" si="19"/>
        <v>1548.22</v>
      </c>
    </row>
    <row r="466" spans="2:10">
      <c r="C466" s="366" t="s">
        <v>1281</v>
      </c>
      <c r="D466" s="366" t="s">
        <v>316</v>
      </c>
      <c r="E466" s="366" t="s">
        <v>1304</v>
      </c>
      <c r="F466" s="368">
        <v>410</v>
      </c>
      <c r="G466" s="302">
        <v>3.6739999999999999</v>
      </c>
      <c r="H466" s="369">
        <f t="shared" si="18"/>
        <v>1506.34</v>
      </c>
      <c r="I466">
        <v>41.88</v>
      </c>
      <c r="J466" s="369">
        <f t="shared" si="19"/>
        <v>1548.22</v>
      </c>
    </row>
    <row r="467" spans="2:10">
      <c r="C467" s="366" t="s">
        <v>1282</v>
      </c>
      <c r="D467" s="366" t="s">
        <v>316</v>
      </c>
      <c r="E467" s="366" t="s">
        <v>1305</v>
      </c>
      <c r="F467" s="368">
        <v>397</v>
      </c>
      <c r="G467" s="302">
        <v>3.6739999999999999</v>
      </c>
      <c r="H467" s="369">
        <f t="shared" si="18"/>
        <v>1458.578</v>
      </c>
      <c r="I467">
        <v>41.88</v>
      </c>
      <c r="J467" s="369">
        <f t="shared" si="19"/>
        <v>1500.4580000000001</v>
      </c>
    </row>
    <row r="468" spans="2:10">
      <c r="C468" s="366" t="s">
        <v>768</v>
      </c>
      <c r="D468" s="366" t="s">
        <v>318</v>
      </c>
      <c r="E468" s="366" t="s">
        <v>1306</v>
      </c>
      <c r="F468" s="368">
        <v>250</v>
      </c>
      <c r="G468" s="302">
        <v>3.6739999999999999</v>
      </c>
      <c r="H468" s="369">
        <f t="shared" si="18"/>
        <v>918.5</v>
      </c>
      <c r="I468">
        <v>41.88</v>
      </c>
      <c r="J468" s="369">
        <f t="shared" si="19"/>
        <v>960.38</v>
      </c>
    </row>
    <row r="469" spans="2:10">
      <c r="C469" s="366" t="s">
        <v>768</v>
      </c>
      <c r="D469" s="366" t="s">
        <v>318</v>
      </c>
      <c r="E469" s="366" t="s">
        <v>1307</v>
      </c>
      <c r="F469" s="368">
        <v>250</v>
      </c>
      <c r="G469" s="302">
        <v>3.6739999999999999</v>
      </c>
      <c r="H469" s="369">
        <f t="shared" si="18"/>
        <v>918.5</v>
      </c>
      <c r="I469">
        <v>41.88</v>
      </c>
      <c r="J469" s="369">
        <f t="shared" si="19"/>
        <v>960.38</v>
      </c>
    </row>
    <row r="470" spans="2:10">
      <c r="C470" s="366" t="s">
        <v>768</v>
      </c>
      <c r="D470" s="366" t="s">
        <v>318</v>
      </c>
      <c r="E470" s="366" t="s">
        <v>1308</v>
      </c>
      <c r="F470" s="368">
        <v>250</v>
      </c>
      <c r="G470" s="302">
        <v>3.6739999999999999</v>
      </c>
      <c r="H470" s="369">
        <f t="shared" si="18"/>
        <v>918.5</v>
      </c>
      <c r="I470">
        <v>41.88</v>
      </c>
      <c r="J470" s="369">
        <f t="shared" si="19"/>
        <v>960.38</v>
      </c>
    </row>
    <row r="471" spans="2:10">
      <c r="C471" s="366" t="s">
        <v>1283</v>
      </c>
      <c r="D471" s="366" t="s">
        <v>318</v>
      </c>
      <c r="E471" s="366" t="s">
        <v>1309</v>
      </c>
      <c r="F471" s="368">
        <v>250</v>
      </c>
      <c r="G471" s="302">
        <v>3.6739999999999999</v>
      </c>
      <c r="H471" s="369">
        <f t="shared" si="18"/>
        <v>918.5</v>
      </c>
      <c r="I471">
        <v>41.88</v>
      </c>
      <c r="J471" s="369">
        <f t="shared" si="19"/>
        <v>960.38</v>
      </c>
    </row>
    <row r="472" spans="2:10">
      <c r="C472" s="366" t="s">
        <v>1068</v>
      </c>
      <c r="D472" s="366" t="s">
        <v>318</v>
      </c>
      <c r="E472" s="366" t="s">
        <v>1310</v>
      </c>
      <c r="F472" s="368">
        <v>250</v>
      </c>
      <c r="G472" s="302">
        <v>3.6739999999999999</v>
      </c>
      <c r="H472" s="369">
        <f t="shared" si="18"/>
        <v>918.5</v>
      </c>
      <c r="I472">
        <v>41.88</v>
      </c>
      <c r="J472" s="369">
        <f t="shared" si="19"/>
        <v>960.38</v>
      </c>
    </row>
    <row r="473" spans="2:10">
      <c r="C473" s="366" t="s">
        <v>1068</v>
      </c>
      <c r="D473" s="366" t="s">
        <v>318</v>
      </c>
      <c r="E473" s="366" t="s">
        <v>1311</v>
      </c>
      <c r="F473" s="368">
        <v>250</v>
      </c>
      <c r="G473" s="302">
        <v>3.6739999999999999</v>
      </c>
      <c r="H473" s="369">
        <f t="shared" si="18"/>
        <v>918.5</v>
      </c>
      <c r="I473">
        <v>41.88</v>
      </c>
      <c r="J473" s="369">
        <f t="shared" si="19"/>
        <v>960.38</v>
      </c>
    </row>
    <row r="474" spans="2:10">
      <c r="G474" s="302"/>
      <c r="H474" s="369">
        <f>SUM(H446:H473)</f>
        <v>32952.106</v>
      </c>
      <c r="J474" s="369">
        <f>SUM(J446:J473)</f>
        <v>34124.745999999999</v>
      </c>
    </row>
    <row r="475" spans="2:10">
      <c r="G475" s="302"/>
    </row>
    <row r="476" spans="2:10">
      <c r="G476" s="302"/>
    </row>
    <row r="477" spans="2:10" ht="15.6">
      <c r="B477" s="132" t="s">
        <v>305</v>
      </c>
      <c r="C477" s="132" t="s">
        <v>1521</v>
      </c>
      <c r="G477" s="302"/>
    </row>
    <row r="478" spans="2:10" ht="15.6">
      <c r="B478" s="132" t="s">
        <v>13</v>
      </c>
      <c r="C478" s="134">
        <v>45488</v>
      </c>
    </row>
    <row r="479" spans="2:10" ht="15.6">
      <c r="B479" s="132" t="s">
        <v>452</v>
      </c>
      <c r="C479" s="132" t="s">
        <v>1522</v>
      </c>
    </row>
    <row r="480" spans="2:10" ht="15.6">
      <c r="B480" s="132"/>
      <c r="C480" s="132" t="s">
        <v>306</v>
      </c>
      <c r="D480" s="389" t="s">
        <v>9</v>
      </c>
      <c r="E480" s="395" t="s">
        <v>944</v>
      </c>
      <c r="F480" s="395" t="s">
        <v>11</v>
      </c>
    </row>
    <row r="481" spans="2:7" ht="15.6">
      <c r="B481" s="132"/>
      <c r="C481" s="132"/>
      <c r="D481" s="389"/>
      <c r="E481" s="395"/>
      <c r="F481" s="395"/>
    </row>
    <row r="482" spans="2:7" ht="15.6">
      <c r="B482" s="132"/>
      <c r="C482" s="398" t="s">
        <v>1496</v>
      </c>
      <c r="D482" s="399">
        <v>2</v>
      </c>
      <c r="E482" s="398">
        <v>620</v>
      </c>
      <c r="F482" s="398">
        <f>D482*E482</f>
        <v>1240</v>
      </c>
      <c r="G482" s="231" t="s">
        <v>1514</v>
      </c>
    </row>
    <row r="483" spans="2:7" ht="15.6">
      <c r="B483" s="132"/>
      <c r="C483" s="398" t="s">
        <v>1496</v>
      </c>
      <c r="D483" s="399">
        <v>1</v>
      </c>
      <c r="E483" s="398">
        <v>600</v>
      </c>
      <c r="F483" s="398">
        <f>D483*E483</f>
        <v>600</v>
      </c>
      <c r="G483" s="231" t="s">
        <v>1514</v>
      </c>
    </row>
    <row r="484" spans="2:7" ht="15.6">
      <c r="B484" s="132"/>
      <c r="C484" s="398" t="s">
        <v>1496</v>
      </c>
      <c r="D484" s="399">
        <v>2</v>
      </c>
      <c r="E484" s="398">
        <v>620</v>
      </c>
      <c r="F484" s="398">
        <f>D484*E484</f>
        <v>1240</v>
      </c>
      <c r="G484" s="231" t="s">
        <v>1514</v>
      </c>
    </row>
    <row r="485" spans="2:7" ht="15.6">
      <c r="B485" s="132"/>
      <c r="C485" s="132"/>
      <c r="D485" s="389"/>
      <c r="E485" s="395"/>
      <c r="F485" s="395"/>
    </row>
    <row r="486" spans="2:7">
      <c r="C486" s="1" t="s">
        <v>1503</v>
      </c>
      <c r="D486" s="226">
        <v>1</v>
      </c>
      <c r="E486" s="1">
        <v>1040</v>
      </c>
      <c r="F486" s="1">
        <f>D486*E486</f>
        <v>1040</v>
      </c>
    </row>
    <row r="487" spans="2:7" ht="15.6">
      <c r="B487" s="132"/>
      <c r="C487" s="1" t="s">
        <v>1495</v>
      </c>
      <c r="D487" s="226">
        <v>1</v>
      </c>
      <c r="E487" s="1">
        <v>1140</v>
      </c>
      <c r="F487" s="1">
        <f>D487*E487</f>
        <v>1140</v>
      </c>
      <c r="G487" t="s">
        <v>1513</v>
      </c>
    </row>
    <row r="488" spans="2:7" ht="15.6">
      <c r="B488" s="132"/>
      <c r="C488" s="1" t="s">
        <v>1501</v>
      </c>
      <c r="D488" s="226">
        <v>1</v>
      </c>
      <c r="E488" s="1">
        <v>1140</v>
      </c>
      <c r="F488" s="1">
        <f>D488*E488</f>
        <v>1140</v>
      </c>
      <c r="G488" t="s">
        <v>1513</v>
      </c>
    </row>
    <row r="490" spans="2:7">
      <c r="C490" s="1" t="s">
        <v>1498</v>
      </c>
      <c r="D490" s="226">
        <v>1</v>
      </c>
      <c r="E490" s="1">
        <v>2210</v>
      </c>
      <c r="F490" s="1">
        <f>D490*E490</f>
        <v>2210</v>
      </c>
    </row>
    <row r="491" spans="2:7">
      <c r="C491" s="1" t="s">
        <v>1499</v>
      </c>
      <c r="D491" s="226">
        <v>1</v>
      </c>
      <c r="E491" s="1">
        <v>2300</v>
      </c>
      <c r="F491" s="1">
        <f>D491*E491</f>
        <v>2300</v>
      </c>
    </row>
    <row r="492" spans="2:7">
      <c r="C492" s="1" t="s">
        <v>1500</v>
      </c>
      <c r="D492" s="226">
        <v>1</v>
      </c>
      <c r="E492" s="1">
        <v>2400</v>
      </c>
      <c r="F492" s="1">
        <f>D492*E492</f>
        <v>2400</v>
      </c>
    </row>
    <row r="494" spans="2:7">
      <c r="C494" s="1" t="s">
        <v>1497</v>
      </c>
      <c r="D494" s="226">
        <v>1</v>
      </c>
      <c r="E494" s="1">
        <v>2450</v>
      </c>
      <c r="F494" s="1">
        <f t="shared" ref="F494:F499" si="20">D494*E494</f>
        <v>2450</v>
      </c>
    </row>
    <row r="495" spans="2:7">
      <c r="C495" s="1" t="s">
        <v>1497</v>
      </c>
      <c r="D495" s="226">
        <v>1</v>
      </c>
      <c r="E495" s="1">
        <v>2450</v>
      </c>
      <c r="F495" s="1">
        <f t="shared" si="20"/>
        <v>2450</v>
      </c>
    </row>
    <row r="496" spans="2:7">
      <c r="C496" s="1" t="s">
        <v>1502</v>
      </c>
      <c r="D496" s="226">
        <v>1</v>
      </c>
      <c r="E496" s="1">
        <v>2450</v>
      </c>
      <c r="F496" s="1">
        <f t="shared" si="20"/>
        <v>2450</v>
      </c>
    </row>
    <row r="497" spans="2:10">
      <c r="C497" s="1" t="s">
        <v>1502</v>
      </c>
      <c r="D497" s="226">
        <v>1</v>
      </c>
      <c r="E497" s="1">
        <v>2200</v>
      </c>
      <c r="F497" s="1">
        <f t="shared" si="20"/>
        <v>2200</v>
      </c>
    </row>
    <row r="498" spans="2:10">
      <c r="C498" s="1" t="s">
        <v>1504</v>
      </c>
      <c r="D498" s="226">
        <v>1</v>
      </c>
      <c r="E498" s="1">
        <v>2650</v>
      </c>
      <c r="F498" s="1">
        <f t="shared" si="20"/>
        <v>2650</v>
      </c>
    </row>
    <row r="499" spans="2:10">
      <c r="C499" s="1" t="s">
        <v>1502</v>
      </c>
      <c r="D499" s="226">
        <v>1</v>
      </c>
      <c r="E499" s="1">
        <v>2470</v>
      </c>
      <c r="F499" s="1">
        <f t="shared" si="20"/>
        <v>2470</v>
      </c>
    </row>
    <row r="500" spans="2:10">
      <c r="C500" s="1"/>
    </row>
    <row r="501" spans="2:10">
      <c r="C501" s="395" t="s">
        <v>1505</v>
      </c>
      <c r="D501" s="389">
        <f>SUM(D486:D500)</f>
        <v>12</v>
      </c>
      <c r="E501" s="395"/>
      <c r="F501" s="395">
        <f>SUM(F486:F500)</f>
        <v>24900</v>
      </c>
    </row>
    <row r="505" spans="2:10" ht="15.6">
      <c r="B505" s="132" t="s">
        <v>305</v>
      </c>
      <c r="C505" s="132" t="s">
        <v>1762</v>
      </c>
    </row>
    <row r="506" spans="2:10" ht="15.6">
      <c r="B506" s="132" t="s">
        <v>13</v>
      </c>
      <c r="C506" s="134">
        <v>45517</v>
      </c>
    </row>
    <row r="507" spans="2:10" ht="15.6">
      <c r="B507" s="132" t="s">
        <v>452</v>
      </c>
      <c r="C507" s="132" t="s">
        <v>1763</v>
      </c>
    </row>
    <row r="508" spans="2:10" ht="15.6">
      <c r="B508" s="132"/>
      <c r="C508" s="132" t="s">
        <v>306</v>
      </c>
      <c r="D508" s="389" t="s">
        <v>9</v>
      </c>
      <c r="E508" s="395" t="s">
        <v>1764</v>
      </c>
      <c r="F508" s="395" t="s">
        <v>1765</v>
      </c>
      <c r="G508" s="129" t="s">
        <v>8</v>
      </c>
      <c r="H508" s="129" t="s">
        <v>1769</v>
      </c>
      <c r="I508" s="395" t="s">
        <v>1805</v>
      </c>
      <c r="J508" s="129" t="s">
        <v>1770</v>
      </c>
    </row>
    <row r="510" spans="2:10">
      <c r="C510" t="s">
        <v>1766</v>
      </c>
      <c r="D510" s="457">
        <v>2</v>
      </c>
      <c r="E510" s="1">
        <v>850</v>
      </c>
      <c r="F510" s="302">
        <f>D510*E510</f>
        <v>1700</v>
      </c>
      <c r="G510" s="302">
        <v>3.6739999999999999</v>
      </c>
      <c r="H510" s="302">
        <f>E510*G510</f>
        <v>3122.9</v>
      </c>
      <c r="I510" s="465">
        <f t="shared" ref="I510:I518" si="21">450/28</f>
        <v>16.071428571428573</v>
      </c>
      <c r="J510" s="464">
        <f>(H510+I510)*D510</f>
        <v>6277.9428571428571</v>
      </c>
    </row>
    <row r="511" spans="2:10">
      <c r="C511" t="s">
        <v>1767</v>
      </c>
      <c r="D511" s="457">
        <v>6</v>
      </c>
      <c r="E511" s="302">
        <v>780</v>
      </c>
      <c r="F511" s="302">
        <f>D511*E511</f>
        <v>4680</v>
      </c>
      <c r="G511" s="302">
        <v>3.6739999999999999</v>
      </c>
      <c r="H511" s="302">
        <f>E511*G511</f>
        <v>2865.72</v>
      </c>
      <c r="I511" s="465">
        <f t="shared" si="21"/>
        <v>16.071428571428573</v>
      </c>
      <c r="J511">
        <f>(H511+I511)*D511</f>
        <v>17290.748571428569</v>
      </c>
    </row>
    <row r="512" spans="2:10">
      <c r="C512" t="s">
        <v>1768</v>
      </c>
      <c r="D512" s="457">
        <v>1</v>
      </c>
      <c r="E512" s="302">
        <v>570</v>
      </c>
      <c r="F512" s="302">
        <f t="shared" ref="F512:F522" si="22">D512*E512</f>
        <v>570</v>
      </c>
      <c r="G512" s="302">
        <v>3.6739999999999999</v>
      </c>
      <c r="H512" s="302">
        <f t="shared" ref="H512:H522" si="23">E512*G512</f>
        <v>2094.1799999999998</v>
      </c>
      <c r="I512" s="465">
        <f t="shared" si="21"/>
        <v>16.071428571428573</v>
      </c>
      <c r="J512">
        <f t="shared" ref="J512:J522" si="24">(H512+I512)*D512</f>
        <v>2110.2514285714283</v>
      </c>
    </row>
    <row r="513" spans="3:12">
      <c r="C513" t="s">
        <v>1771</v>
      </c>
      <c r="D513" s="457">
        <v>1</v>
      </c>
      <c r="E513" s="302">
        <v>430</v>
      </c>
      <c r="F513" s="302">
        <f t="shared" si="22"/>
        <v>430</v>
      </c>
      <c r="G513" s="302">
        <v>3.6739999999999999</v>
      </c>
      <c r="H513" s="302">
        <f t="shared" si="23"/>
        <v>1579.82</v>
      </c>
      <c r="I513" s="465">
        <f t="shared" si="21"/>
        <v>16.071428571428573</v>
      </c>
      <c r="J513">
        <f t="shared" si="24"/>
        <v>1595.8914285714286</v>
      </c>
    </row>
    <row r="514" spans="3:12">
      <c r="C514" t="s">
        <v>1772</v>
      </c>
      <c r="D514" s="457">
        <v>1</v>
      </c>
      <c r="E514" s="302">
        <v>845</v>
      </c>
      <c r="F514" s="302">
        <f t="shared" si="22"/>
        <v>845</v>
      </c>
      <c r="G514" s="302">
        <v>3.6739999999999999</v>
      </c>
      <c r="H514" s="302">
        <f t="shared" si="23"/>
        <v>3104.5299999999997</v>
      </c>
      <c r="I514" s="465">
        <f t="shared" si="21"/>
        <v>16.071428571428573</v>
      </c>
      <c r="J514">
        <f t="shared" si="24"/>
        <v>3120.6014285714282</v>
      </c>
    </row>
    <row r="515" spans="3:12">
      <c r="C515" t="s">
        <v>1773</v>
      </c>
      <c r="D515" s="457">
        <v>1</v>
      </c>
      <c r="E515" s="302">
        <v>405</v>
      </c>
      <c r="F515" s="302">
        <f t="shared" si="22"/>
        <v>405</v>
      </c>
      <c r="G515" s="302">
        <v>3.6739999999999999</v>
      </c>
      <c r="H515" s="302">
        <f t="shared" si="23"/>
        <v>1487.97</v>
      </c>
      <c r="I515" s="465">
        <f t="shared" si="21"/>
        <v>16.071428571428573</v>
      </c>
      <c r="J515">
        <f t="shared" si="24"/>
        <v>1504.0414285714287</v>
      </c>
    </row>
    <row r="516" spans="3:12">
      <c r="C516" t="s">
        <v>1774</v>
      </c>
      <c r="D516" s="457">
        <v>2</v>
      </c>
      <c r="E516" s="302">
        <v>330</v>
      </c>
      <c r="F516" s="302">
        <f t="shared" si="22"/>
        <v>660</v>
      </c>
      <c r="G516" s="302">
        <v>3.6739999999999999</v>
      </c>
      <c r="H516" s="302">
        <f t="shared" si="23"/>
        <v>1212.42</v>
      </c>
      <c r="I516" s="465">
        <f t="shared" si="21"/>
        <v>16.071428571428573</v>
      </c>
      <c r="J516">
        <f t="shared" si="24"/>
        <v>2456.9828571428575</v>
      </c>
    </row>
    <row r="517" spans="3:12">
      <c r="C517" t="s">
        <v>1775</v>
      </c>
      <c r="D517" s="457">
        <v>1</v>
      </c>
      <c r="E517" s="302">
        <v>490</v>
      </c>
      <c r="F517" s="302">
        <f t="shared" si="22"/>
        <v>490</v>
      </c>
      <c r="G517" s="302">
        <v>3.6739999999999999</v>
      </c>
      <c r="H517" s="302">
        <f t="shared" si="23"/>
        <v>1800.26</v>
      </c>
      <c r="I517" s="465">
        <f t="shared" si="21"/>
        <v>16.071428571428573</v>
      </c>
      <c r="J517">
        <f t="shared" si="24"/>
        <v>1816.3314285714287</v>
      </c>
    </row>
    <row r="518" spans="3:12">
      <c r="C518" t="s">
        <v>1776</v>
      </c>
      <c r="D518" s="457">
        <v>4</v>
      </c>
      <c r="E518" s="302">
        <v>570</v>
      </c>
      <c r="F518" s="302">
        <f t="shared" si="22"/>
        <v>2280</v>
      </c>
      <c r="G518" s="302">
        <v>3.6739999999999999</v>
      </c>
      <c r="H518" s="302">
        <f t="shared" si="23"/>
        <v>2094.1799999999998</v>
      </c>
      <c r="I518" s="465">
        <f t="shared" si="21"/>
        <v>16.071428571428573</v>
      </c>
      <c r="J518">
        <f t="shared" si="24"/>
        <v>8441.0057142857131</v>
      </c>
    </row>
    <row r="519" spans="3:12">
      <c r="C519" t="s">
        <v>1777</v>
      </c>
      <c r="D519" s="457">
        <v>1</v>
      </c>
      <c r="E519" s="302">
        <v>300</v>
      </c>
      <c r="F519" s="302">
        <f t="shared" si="22"/>
        <v>300</v>
      </c>
      <c r="G519" s="302">
        <v>3.6739999999999999</v>
      </c>
      <c r="H519" s="302">
        <f t="shared" si="23"/>
        <v>1102.2</v>
      </c>
      <c r="I519" s="465">
        <f t="shared" ref="I519:I522" si="25">450/28</f>
        <v>16.071428571428573</v>
      </c>
      <c r="J519">
        <f t="shared" si="24"/>
        <v>1118.2714285714287</v>
      </c>
    </row>
    <row r="520" spans="3:12">
      <c r="C520" t="s">
        <v>1778</v>
      </c>
      <c r="D520" s="457">
        <v>5</v>
      </c>
      <c r="E520" s="302">
        <v>1060</v>
      </c>
      <c r="F520" s="302">
        <f t="shared" si="22"/>
        <v>5300</v>
      </c>
      <c r="G520" s="302">
        <v>3.6739999999999999</v>
      </c>
      <c r="H520" s="302">
        <f t="shared" si="23"/>
        <v>3894.44</v>
      </c>
      <c r="I520" s="465">
        <f t="shared" si="25"/>
        <v>16.071428571428573</v>
      </c>
      <c r="J520">
        <f t="shared" si="24"/>
        <v>19552.557142857142</v>
      </c>
    </row>
    <row r="521" spans="3:12">
      <c r="C521" t="s">
        <v>1779</v>
      </c>
      <c r="D521" s="457">
        <v>2</v>
      </c>
      <c r="E521" s="302">
        <v>1040</v>
      </c>
      <c r="F521" s="302">
        <f t="shared" si="22"/>
        <v>2080</v>
      </c>
      <c r="G521" s="302">
        <v>3.6739999999999999</v>
      </c>
      <c r="H521" s="302">
        <f t="shared" si="23"/>
        <v>3820.96</v>
      </c>
      <c r="I521" s="465">
        <f t="shared" si="25"/>
        <v>16.071428571428573</v>
      </c>
      <c r="J521">
        <f t="shared" si="24"/>
        <v>7674.062857142857</v>
      </c>
      <c r="L521">
        <f>J521/2</f>
        <v>3837.0314285714285</v>
      </c>
    </row>
    <row r="522" spans="3:12">
      <c r="C522" t="s">
        <v>1780</v>
      </c>
      <c r="D522" s="457">
        <v>1</v>
      </c>
      <c r="E522" s="302">
        <v>800</v>
      </c>
      <c r="F522" s="302">
        <f t="shared" si="22"/>
        <v>800</v>
      </c>
      <c r="G522" s="302">
        <v>3.6739999999999999</v>
      </c>
      <c r="H522" s="302">
        <f t="shared" si="23"/>
        <v>2939.2</v>
      </c>
      <c r="I522" s="465">
        <f t="shared" si="25"/>
        <v>16.071428571428573</v>
      </c>
      <c r="J522">
        <f t="shared" si="24"/>
        <v>2955.2714285714283</v>
      </c>
    </row>
    <row r="523" spans="3:12">
      <c r="D523" s="457"/>
      <c r="E523" s="302"/>
      <c r="F523" s="302"/>
      <c r="G523" s="302"/>
      <c r="H523" s="302"/>
    </row>
    <row r="524" spans="3:12">
      <c r="C524" s="458" t="s">
        <v>1781</v>
      </c>
      <c r="D524" s="459"/>
      <c r="E524" s="458"/>
      <c r="F524" s="458">
        <f>SUM(F510:F523)</f>
        <v>20540</v>
      </c>
      <c r="G524" s="458"/>
      <c r="H524" s="458"/>
      <c r="J524" s="458">
        <f>SUM(J510:J523)</f>
        <v>75913.960000000006</v>
      </c>
    </row>
    <row r="525" spans="3:12">
      <c r="D525" s="457"/>
      <c r="E525" s="302"/>
      <c r="F525" s="302"/>
      <c r="G525" s="302"/>
      <c r="H525" s="302"/>
    </row>
    <row r="526" spans="3:12">
      <c r="C526" s="369" t="s">
        <v>1809</v>
      </c>
      <c r="D526" s="131">
        <v>358472380878750</v>
      </c>
      <c r="E526" s="302"/>
      <c r="F526" s="302"/>
      <c r="G526" s="302"/>
      <c r="H526" s="302"/>
    </row>
    <row r="527" spans="3:12">
      <c r="C527" s="369" t="s">
        <v>1809</v>
      </c>
      <c r="D527" s="131">
        <v>359960732032760</v>
      </c>
      <c r="E527" s="302"/>
      <c r="F527" s="302"/>
      <c r="G527" s="302"/>
      <c r="H527" s="302"/>
    </row>
    <row r="528" spans="3:12">
      <c r="C528" s="369" t="s">
        <v>1809</v>
      </c>
      <c r="D528" s="131">
        <v>355149930591298</v>
      </c>
    </row>
    <row r="529" spans="3:5">
      <c r="C529" s="369" t="s">
        <v>1809</v>
      </c>
      <c r="D529" s="131">
        <v>356677410663731</v>
      </c>
    </row>
    <row r="530" spans="3:5">
      <c r="C530" s="563" t="s">
        <v>1809</v>
      </c>
      <c r="D530" s="564">
        <v>353134980032965</v>
      </c>
    </row>
    <row r="531" spans="3:5">
      <c r="C531" s="369" t="s">
        <v>1809</v>
      </c>
      <c r="D531" s="131">
        <v>355149932782002</v>
      </c>
    </row>
    <row r="532" spans="3:5">
      <c r="C532" s="369" t="s">
        <v>1810</v>
      </c>
      <c r="D532" s="131">
        <v>359960731197481</v>
      </c>
    </row>
    <row r="533" spans="3:5">
      <c r="C533" s="563" t="s">
        <v>1811</v>
      </c>
      <c r="D533" s="564">
        <v>356597920404410</v>
      </c>
    </row>
    <row r="534" spans="3:5">
      <c r="C534" s="369" t="s">
        <v>1812</v>
      </c>
      <c r="D534" s="131">
        <v>352218222119986</v>
      </c>
    </row>
    <row r="535" spans="3:5">
      <c r="C535" s="369" t="s">
        <v>1813</v>
      </c>
      <c r="D535" s="131">
        <v>351242965758017</v>
      </c>
    </row>
    <row r="536" spans="3:5">
      <c r="C536" s="369" t="s">
        <v>1814</v>
      </c>
      <c r="D536" s="131">
        <v>351692910687812</v>
      </c>
    </row>
    <row r="537" spans="3:5">
      <c r="C537" s="369" t="s">
        <v>1814</v>
      </c>
      <c r="D537" s="131">
        <v>350702697160478</v>
      </c>
    </row>
    <row r="538" spans="3:5">
      <c r="C538" s="511" t="s">
        <v>1815</v>
      </c>
      <c r="D538" s="131">
        <v>350197381984475</v>
      </c>
      <c r="E538" t="s">
        <v>654</v>
      </c>
    </row>
    <row r="539" spans="3:5">
      <c r="C539" s="511" t="s">
        <v>1816</v>
      </c>
      <c r="D539" s="131">
        <v>350849447328614</v>
      </c>
      <c r="E539" t="s">
        <v>654</v>
      </c>
    </row>
    <row r="540" spans="3:5">
      <c r="C540" s="511" t="s">
        <v>1816</v>
      </c>
      <c r="D540" s="131">
        <v>350849440239073</v>
      </c>
      <c r="E540" t="s">
        <v>654</v>
      </c>
    </row>
    <row r="541" spans="3:5">
      <c r="C541" s="511" t="s">
        <v>1817</v>
      </c>
      <c r="D541" s="131">
        <v>352659530125845</v>
      </c>
      <c r="E541" t="s">
        <v>654</v>
      </c>
    </row>
    <row r="542" spans="3:5">
      <c r="C542" s="511" t="s">
        <v>1817</v>
      </c>
      <c r="D542" s="131">
        <v>352659534604712</v>
      </c>
      <c r="E542" t="s">
        <v>654</v>
      </c>
    </row>
    <row r="543" spans="3:5">
      <c r="C543" s="511" t="s">
        <v>1817</v>
      </c>
      <c r="D543" s="131">
        <v>352659534457442</v>
      </c>
      <c r="E543" t="s">
        <v>654</v>
      </c>
    </row>
    <row r="544" spans="3:5">
      <c r="C544" s="511" t="s">
        <v>1817</v>
      </c>
      <c r="D544" s="131">
        <v>352659534452542</v>
      </c>
      <c r="E544" t="s">
        <v>654</v>
      </c>
    </row>
    <row r="545" spans="2:10">
      <c r="C545" s="511" t="s">
        <v>1817</v>
      </c>
      <c r="D545" s="131">
        <v>352659534450306</v>
      </c>
      <c r="E545" t="s">
        <v>654</v>
      </c>
    </row>
    <row r="546" spans="2:10">
      <c r="C546" t="s">
        <v>1818</v>
      </c>
      <c r="D546" s="131">
        <v>350229404877780</v>
      </c>
    </row>
    <row r="547" spans="2:10">
      <c r="C547" t="s">
        <v>1818</v>
      </c>
      <c r="D547" s="131">
        <v>350229404920085</v>
      </c>
      <c r="E547" t="s">
        <v>654</v>
      </c>
    </row>
    <row r="548" spans="2:10">
      <c r="C548" t="s">
        <v>1818</v>
      </c>
      <c r="D548" s="131">
        <v>350229404869696</v>
      </c>
      <c r="E548" t="s">
        <v>654</v>
      </c>
    </row>
    <row r="549" spans="2:10">
      <c r="C549" t="s">
        <v>1818</v>
      </c>
      <c r="D549" s="131">
        <v>350229404874928</v>
      </c>
      <c r="E549" t="s">
        <v>654</v>
      </c>
    </row>
    <row r="550" spans="2:10">
      <c r="C550" t="s">
        <v>1818</v>
      </c>
      <c r="D550" s="131">
        <v>350229404943541</v>
      </c>
      <c r="E550" t="s">
        <v>654</v>
      </c>
    </row>
    <row r="551" spans="2:10">
      <c r="C551" t="s">
        <v>1818</v>
      </c>
      <c r="D551" s="131">
        <v>350229400651759</v>
      </c>
      <c r="E551" t="s">
        <v>654</v>
      </c>
    </row>
    <row r="552" spans="2:10">
      <c r="C552" t="s">
        <v>1818</v>
      </c>
      <c r="D552" s="131">
        <v>350229405048027</v>
      </c>
    </row>
    <row r="553" spans="2:10">
      <c r="C553" t="s">
        <v>1818</v>
      </c>
      <c r="D553" s="131">
        <v>350229405143877</v>
      </c>
      <c r="E553" t="s">
        <v>654</v>
      </c>
    </row>
    <row r="556" spans="2:10" ht="15.6">
      <c r="B556" s="132" t="s">
        <v>305</v>
      </c>
      <c r="C556" s="132" t="s">
        <v>1973</v>
      </c>
    </row>
    <row r="557" spans="2:10" ht="15.6">
      <c r="B557" s="132" t="s">
        <v>13</v>
      </c>
      <c r="C557" s="134">
        <v>45527</v>
      </c>
    </row>
    <row r="558" spans="2:10" ht="15.6">
      <c r="B558" s="132" t="s">
        <v>452</v>
      </c>
      <c r="C558" s="132" t="s">
        <v>1924</v>
      </c>
    </row>
    <row r="559" spans="2:10" ht="15.6">
      <c r="B559" s="132"/>
      <c r="C559" s="132" t="s">
        <v>306</v>
      </c>
      <c r="D559" s="389" t="s">
        <v>1925</v>
      </c>
      <c r="E559" s="395" t="s">
        <v>9</v>
      </c>
      <c r="F559" s="395" t="s">
        <v>1927</v>
      </c>
      <c r="G559" s="395" t="s">
        <v>1926</v>
      </c>
      <c r="H559" s="129"/>
      <c r="I559" s="395" t="s">
        <v>8</v>
      </c>
      <c r="J559" s="129" t="s">
        <v>1937</v>
      </c>
    </row>
    <row r="561" spans="3:10" ht="15.6">
      <c r="C561" s="491" t="s">
        <v>1928</v>
      </c>
      <c r="D561" s="131">
        <v>356193370460860</v>
      </c>
      <c r="E561">
        <v>1</v>
      </c>
      <c r="F561">
        <v>1180</v>
      </c>
      <c r="G561">
        <f>E561*F561</f>
        <v>1180</v>
      </c>
      <c r="I561">
        <v>2.7</v>
      </c>
      <c r="J561">
        <f>G561*I561</f>
        <v>3186</v>
      </c>
    </row>
    <row r="562" spans="3:10" ht="15.6">
      <c r="C562" s="492" t="s">
        <v>1929</v>
      </c>
      <c r="D562" s="417">
        <v>350717695978333</v>
      </c>
      <c r="E562">
        <v>5</v>
      </c>
      <c r="F562">
        <v>1425</v>
      </c>
      <c r="G562">
        <f>E562*F562</f>
        <v>7125</v>
      </c>
      <c r="I562">
        <v>2.7</v>
      </c>
      <c r="J562">
        <f>G562*I562</f>
        <v>19237.5</v>
      </c>
    </row>
    <row r="563" spans="3:10" ht="15.6">
      <c r="C563" s="492"/>
      <c r="D563" s="417">
        <v>358472383692463</v>
      </c>
    </row>
    <row r="564" spans="3:10" ht="15.6">
      <c r="C564" s="492"/>
      <c r="D564" s="417">
        <v>355149935471587</v>
      </c>
    </row>
    <row r="565" spans="3:10" ht="15.6">
      <c r="C565" s="492"/>
      <c r="D565" s="417">
        <v>359960731027522</v>
      </c>
    </row>
    <row r="566" spans="3:10" ht="15.6">
      <c r="C566" s="492"/>
      <c r="D566" s="417">
        <v>354064570169209</v>
      </c>
    </row>
    <row r="567" spans="3:10" ht="15.6">
      <c r="C567" s="492" t="s">
        <v>1930</v>
      </c>
      <c r="D567" s="417">
        <v>356799730183933</v>
      </c>
      <c r="E567">
        <v>1</v>
      </c>
      <c r="F567">
        <v>1425</v>
      </c>
      <c r="G567">
        <f>E567*F567</f>
        <v>1425</v>
      </c>
      <c r="I567">
        <v>2.7</v>
      </c>
      <c r="J567">
        <f t="shared" ref="J567:J570" si="26">G567*I567</f>
        <v>3847.5000000000005</v>
      </c>
    </row>
    <row r="568" spans="3:10" ht="15.6">
      <c r="C568" s="560" t="s">
        <v>1931</v>
      </c>
      <c r="D568" s="561">
        <v>354064570660157</v>
      </c>
      <c r="E568" s="562">
        <v>1</v>
      </c>
      <c r="F568" s="562">
        <v>1640</v>
      </c>
      <c r="G568" s="562">
        <f>E568*F568</f>
        <v>1640</v>
      </c>
      <c r="H568" s="562"/>
      <c r="I568" s="562">
        <v>2.7</v>
      </c>
      <c r="J568" s="562">
        <f t="shared" si="26"/>
        <v>4428</v>
      </c>
    </row>
    <row r="569" spans="3:10" ht="15.6">
      <c r="C569" s="492" t="s">
        <v>1932</v>
      </c>
      <c r="D569" s="417">
        <v>358472384072145</v>
      </c>
      <c r="E569">
        <v>1</v>
      </c>
      <c r="F569">
        <v>1350</v>
      </c>
      <c r="G569">
        <f>E569*F569</f>
        <v>1350</v>
      </c>
      <c r="I569">
        <v>2.7</v>
      </c>
      <c r="J569">
        <f t="shared" si="26"/>
        <v>3645.0000000000005</v>
      </c>
    </row>
    <row r="570" spans="3:10" ht="15.6">
      <c r="C570" s="492" t="s">
        <v>1933</v>
      </c>
      <c r="D570" s="417">
        <v>355149935143780</v>
      </c>
      <c r="E570">
        <v>1</v>
      </c>
      <c r="F570">
        <v>1350</v>
      </c>
      <c r="G570">
        <f>E570*F570</f>
        <v>1350</v>
      </c>
      <c r="I570">
        <v>2.7</v>
      </c>
      <c r="J570">
        <f t="shared" si="26"/>
        <v>3645.0000000000005</v>
      </c>
    </row>
    <row r="571" spans="3:10" ht="15.6">
      <c r="C571" s="492"/>
    </row>
    <row r="572" spans="3:10" ht="15.6">
      <c r="C572" s="492" t="s">
        <v>1934</v>
      </c>
      <c r="D572" s="131">
        <v>351250615487861</v>
      </c>
      <c r="E572">
        <v>1</v>
      </c>
      <c r="F572">
        <v>770</v>
      </c>
      <c r="G572">
        <f>E572*F572</f>
        <v>770</v>
      </c>
      <c r="I572">
        <v>2.7</v>
      </c>
      <c r="J572">
        <f t="shared" ref="J572:J573" si="27">G572*I572</f>
        <v>2079</v>
      </c>
    </row>
    <row r="573" spans="3:10" ht="15.6">
      <c r="C573" s="492" t="s">
        <v>1935</v>
      </c>
      <c r="D573" s="417">
        <v>350229406110453</v>
      </c>
      <c r="E573">
        <v>2</v>
      </c>
      <c r="F573">
        <v>970</v>
      </c>
      <c r="G573">
        <f>E573*F573</f>
        <v>1940</v>
      </c>
      <c r="I573">
        <v>2.7</v>
      </c>
      <c r="J573">
        <f t="shared" si="27"/>
        <v>5238</v>
      </c>
    </row>
    <row r="574" spans="3:10" ht="15.6">
      <c r="C574" s="492"/>
      <c r="D574" s="417">
        <v>350229405898355</v>
      </c>
    </row>
    <row r="575" spans="3:10">
      <c r="C575" s="490"/>
      <c r="G575" s="395">
        <f>SUM(G561:G574)</f>
        <v>16780</v>
      </c>
      <c r="J575" s="129">
        <f>SUM(J561:J574)</f>
        <v>45306</v>
      </c>
    </row>
    <row r="576" spans="3:10">
      <c r="C576" s="490"/>
    </row>
    <row r="577" spans="3:7">
      <c r="C577" s="490"/>
      <c r="G577">
        <v>-11480</v>
      </c>
    </row>
    <row r="578" spans="3:7">
      <c r="C578" s="490"/>
      <c r="G578">
        <v>-3000</v>
      </c>
    </row>
    <row r="579" spans="3:7">
      <c r="C579" s="490"/>
    </row>
    <row r="580" spans="3:7">
      <c r="C580" s="490"/>
    </row>
    <row r="581" spans="3:7">
      <c r="C581" s="490"/>
    </row>
    <row r="582" spans="3:7">
      <c r="C582" s="490"/>
    </row>
    <row r="583" spans="3:7">
      <c r="C583" s="490"/>
    </row>
    <row r="584" spans="3:7">
      <c r="C584" s="490"/>
    </row>
    <row r="585" spans="3:7">
      <c r="C585" s="490"/>
    </row>
  </sheetData>
  <autoFilter ref="P299:R381" xr:uid="{00000000-0009-0000-0000-000004000000}"/>
  <conditionalFormatting sqref="D485 C381 C299:C301 D230:D293 D226 D1:D219 D382:D387 D439:D444 D474:D481 D500:D501 D505:D507 D554:D558 D560:D1048576">
    <cfRule type="duplicateValues" dxfId="5" priority="13"/>
  </conditionalFormatting>
  <conditionalFormatting sqref="P300">
    <cfRule type="duplicateValues" dxfId="4" priority="2"/>
  </conditionalFormatting>
  <conditionalFormatting sqref="P299:R299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2:M2116"/>
  <sheetViews>
    <sheetView topLeftCell="A2095" zoomScale="90" zoomScaleNormal="90" workbookViewId="0">
      <selection activeCell="K2100" sqref="K2100"/>
    </sheetView>
  </sheetViews>
  <sheetFormatPr defaultColWidth="8.77734375" defaultRowHeight="14.4"/>
  <cols>
    <col min="1" max="2" width="8.77734375" style="1"/>
    <col min="3" max="3" width="35.88671875" style="1" customWidth="1"/>
    <col min="4" max="4" width="12.21875" style="1" customWidth="1"/>
    <col min="5" max="5" width="11" style="1" bestFit="1" customWidth="1"/>
    <col min="6" max="6" width="12.5546875" style="1" customWidth="1"/>
    <col min="7" max="7" width="19.77734375" style="1" bestFit="1" customWidth="1"/>
    <col min="8" max="8" width="11.21875" style="1" bestFit="1" customWidth="1"/>
    <col min="9" max="9" width="9.33203125" style="1" bestFit="1" customWidth="1"/>
    <col min="10" max="10" width="24.77734375" style="1" customWidth="1"/>
    <col min="11" max="16384" width="8.77734375" style="1"/>
  </cols>
  <sheetData>
    <row r="2" spans="2:7" ht="15" thickBot="1"/>
    <row r="3" spans="2:7" ht="26.4" thickBot="1">
      <c r="B3" s="603" t="s">
        <v>12</v>
      </c>
      <c r="C3" s="604"/>
      <c r="D3" s="604"/>
      <c r="E3" s="604"/>
      <c r="F3" s="605"/>
      <c r="G3" s="49"/>
    </row>
    <row r="5" spans="2:7" ht="15.6">
      <c r="B5" s="3" t="s">
        <v>1</v>
      </c>
      <c r="C5" s="1" t="s">
        <v>89</v>
      </c>
    </row>
    <row r="7" spans="2:7" ht="15.6">
      <c r="B7" s="3" t="s">
        <v>2</v>
      </c>
      <c r="C7" s="34" t="s">
        <v>90</v>
      </c>
      <c r="D7" s="3" t="s">
        <v>5</v>
      </c>
      <c r="E7" s="22">
        <v>45405</v>
      </c>
    </row>
    <row r="8" spans="2:7" ht="15.6">
      <c r="B8" s="3" t="s">
        <v>3</v>
      </c>
    </row>
    <row r="9" spans="2:7" ht="15.6">
      <c r="B9" s="3" t="s">
        <v>4</v>
      </c>
    </row>
    <row r="10" spans="2:7" ht="15" thickBot="1"/>
    <row r="11" spans="2:7" ht="16.2" thickBot="1">
      <c r="B11" s="10" t="s">
        <v>6</v>
      </c>
      <c r="C11" s="10" t="s">
        <v>7</v>
      </c>
      <c r="D11" s="4" t="s">
        <v>8</v>
      </c>
      <c r="E11" s="10" t="s">
        <v>9</v>
      </c>
      <c r="F11" s="5" t="s">
        <v>10</v>
      </c>
    </row>
    <row r="12" spans="2:7" ht="15" thickBot="1">
      <c r="B12" s="54"/>
      <c r="F12" s="55"/>
    </row>
    <row r="13" spans="2:7" ht="18" thickBot="1">
      <c r="B13" s="37">
        <v>1</v>
      </c>
      <c r="C13" s="52" t="s">
        <v>96</v>
      </c>
      <c r="D13" s="37">
        <v>962.5</v>
      </c>
      <c r="E13" s="37">
        <v>4</v>
      </c>
      <c r="F13" s="37">
        <f>D13*E13</f>
        <v>3850</v>
      </c>
    </row>
    <row r="14" spans="2:7" ht="18" thickBot="1">
      <c r="B14" s="37">
        <v>2</v>
      </c>
      <c r="C14" s="53" t="s">
        <v>97</v>
      </c>
      <c r="D14" s="37">
        <v>962.5</v>
      </c>
      <c r="E14" s="37">
        <v>1</v>
      </c>
      <c r="F14" s="37">
        <f t="shared" ref="F14:F18" si="0">D14*E14</f>
        <v>962.5</v>
      </c>
    </row>
    <row r="15" spans="2:7" ht="18" thickBot="1">
      <c r="B15" s="37">
        <v>3</v>
      </c>
      <c r="C15" s="53" t="s">
        <v>98</v>
      </c>
      <c r="D15" s="37">
        <v>962.5</v>
      </c>
      <c r="E15" s="37">
        <v>3</v>
      </c>
      <c r="F15" s="37">
        <f t="shared" si="0"/>
        <v>2887.5</v>
      </c>
    </row>
    <row r="16" spans="2:7" ht="18" thickBot="1">
      <c r="B16" s="37">
        <v>4</v>
      </c>
      <c r="C16" s="53" t="s">
        <v>99</v>
      </c>
      <c r="D16" s="37">
        <v>962.5</v>
      </c>
      <c r="E16" s="37">
        <v>1</v>
      </c>
      <c r="F16" s="37">
        <f t="shared" si="0"/>
        <v>962.5</v>
      </c>
    </row>
    <row r="17" spans="2:13" ht="18" thickBot="1">
      <c r="B17" s="37">
        <v>5</v>
      </c>
      <c r="C17" s="53" t="s">
        <v>100</v>
      </c>
      <c r="D17" s="37">
        <v>962.5</v>
      </c>
      <c r="E17" s="37">
        <v>2</v>
      </c>
      <c r="F17" s="37">
        <f t="shared" si="0"/>
        <v>1925</v>
      </c>
    </row>
    <row r="18" spans="2:13" ht="18" thickBot="1">
      <c r="B18" s="37">
        <v>6</v>
      </c>
      <c r="C18" s="53" t="s">
        <v>101</v>
      </c>
      <c r="D18" s="37">
        <v>962.5</v>
      </c>
      <c r="E18" s="37">
        <v>1</v>
      </c>
      <c r="F18" s="37">
        <f t="shared" si="0"/>
        <v>962.5</v>
      </c>
    </row>
    <row r="19" spans="2:13" ht="15" thickBot="1">
      <c r="B19" s="37"/>
      <c r="C19" s="37"/>
      <c r="D19" s="37"/>
      <c r="E19" s="37"/>
      <c r="F19" s="37"/>
    </row>
    <row r="20" spans="2:13" ht="15" thickBot="1">
      <c r="B20" s="37"/>
      <c r="C20" s="37"/>
      <c r="D20" s="37"/>
      <c r="E20" s="37"/>
      <c r="F20" s="37"/>
    </row>
    <row r="21" spans="2:13" ht="15" thickBot="1">
      <c r="B21" s="37"/>
      <c r="C21" s="37"/>
      <c r="D21" s="37"/>
      <c r="E21" s="37"/>
      <c r="F21" s="37"/>
    </row>
    <row r="22" spans="2:13" ht="15" thickBot="1">
      <c r="B22" s="37"/>
      <c r="C22" s="37"/>
      <c r="D22" s="37"/>
      <c r="E22" s="37"/>
      <c r="F22" s="37"/>
    </row>
    <row r="23" spans="2:13" ht="15" thickBot="1">
      <c r="B23" s="606" t="s">
        <v>11</v>
      </c>
      <c r="C23" s="607"/>
      <c r="D23" s="593"/>
      <c r="E23" s="594"/>
      <c r="F23" s="9">
        <f>SUM(F13:F22)</f>
        <v>11550</v>
      </c>
    </row>
    <row r="25" spans="2:13" ht="15" thickBot="1">
      <c r="L25" s="1" t="s">
        <v>662</v>
      </c>
      <c r="M25" s="1" t="s">
        <v>690</v>
      </c>
    </row>
    <row r="26" spans="2:13" ht="26.4" thickBot="1">
      <c r="B26" s="603" t="s">
        <v>12</v>
      </c>
      <c r="C26" s="604"/>
      <c r="D26" s="604"/>
      <c r="E26" s="604"/>
      <c r="F26" s="605"/>
    </row>
    <row r="28" spans="2:13" ht="15.6">
      <c r="B28" s="3" t="s">
        <v>1</v>
      </c>
      <c r="C28" s="1" t="s">
        <v>91</v>
      </c>
    </row>
    <row r="30" spans="2:13" ht="15.6">
      <c r="B30" s="3" t="s">
        <v>2</v>
      </c>
      <c r="C30" s="34" t="s">
        <v>90</v>
      </c>
      <c r="D30" s="3" t="s">
        <v>5</v>
      </c>
      <c r="E30" s="22">
        <v>45405</v>
      </c>
    </row>
    <row r="31" spans="2:13" ht="15.6">
      <c r="B31" s="3" t="s">
        <v>3</v>
      </c>
    </row>
    <row r="32" spans="2:13" ht="15.6">
      <c r="B32" s="3" t="s">
        <v>4</v>
      </c>
    </row>
    <row r="33" spans="2:6" ht="15" thickBot="1"/>
    <row r="34" spans="2:6" ht="16.2" thickBot="1">
      <c r="B34" s="10" t="s">
        <v>6</v>
      </c>
      <c r="C34" s="10" t="s">
        <v>7</v>
      </c>
      <c r="D34" s="4" t="s">
        <v>8</v>
      </c>
      <c r="E34" s="10" t="s">
        <v>9</v>
      </c>
      <c r="F34" s="5" t="s">
        <v>10</v>
      </c>
    </row>
    <row r="35" spans="2:6" ht="15" thickBot="1">
      <c r="B35" s="54"/>
      <c r="F35" s="55"/>
    </row>
    <row r="36" spans="2:6" ht="18" thickBot="1">
      <c r="B36" s="37">
        <v>1</v>
      </c>
      <c r="C36" s="52" t="s">
        <v>93</v>
      </c>
      <c r="D36" s="37">
        <v>620</v>
      </c>
      <c r="E36" s="37">
        <v>5</v>
      </c>
      <c r="F36" s="37">
        <f>D36*E36</f>
        <v>3100</v>
      </c>
    </row>
    <row r="37" spans="2:6" ht="18" thickBot="1">
      <c r="B37" s="37">
        <v>2</v>
      </c>
      <c r="C37" s="53" t="s">
        <v>92</v>
      </c>
      <c r="D37" s="37">
        <v>2050</v>
      </c>
      <c r="E37" s="37">
        <v>1</v>
      </c>
      <c r="F37" s="37">
        <f t="shared" ref="F37:F39" si="1">D37*E37</f>
        <v>2050</v>
      </c>
    </row>
    <row r="38" spans="2:6" ht="18" thickBot="1">
      <c r="B38" s="37">
        <v>3</v>
      </c>
      <c r="C38" s="53" t="s">
        <v>94</v>
      </c>
      <c r="D38" s="37">
        <v>2600</v>
      </c>
      <c r="E38" s="37">
        <v>1</v>
      </c>
      <c r="F38" s="37">
        <f t="shared" si="1"/>
        <v>2600</v>
      </c>
    </row>
    <row r="39" spans="2:6" ht="18" thickBot="1">
      <c r="B39" s="37">
        <v>4</v>
      </c>
      <c r="C39" s="53" t="s">
        <v>95</v>
      </c>
      <c r="D39" s="37">
        <v>1350</v>
      </c>
      <c r="E39" s="37">
        <v>1</v>
      </c>
      <c r="F39" s="37">
        <f t="shared" si="1"/>
        <v>1350</v>
      </c>
    </row>
    <row r="40" spans="2:6" ht="15" thickBot="1">
      <c r="B40" s="37"/>
      <c r="C40" s="37"/>
      <c r="D40" s="37"/>
      <c r="E40" s="37"/>
      <c r="F40" s="37"/>
    </row>
    <row r="41" spans="2:6" ht="15" thickBot="1">
      <c r="B41" s="37"/>
      <c r="C41" s="37"/>
      <c r="D41" s="37"/>
      <c r="E41" s="37"/>
      <c r="F41" s="37"/>
    </row>
    <row r="42" spans="2:6" ht="15" thickBot="1">
      <c r="B42" s="37"/>
      <c r="C42" s="37"/>
      <c r="D42" s="37"/>
      <c r="E42" s="37"/>
      <c r="F42" s="37"/>
    </row>
    <row r="43" spans="2:6" ht="15" thickBot="1">
      <c r="B43" s="606" t="s">
        <v>11</v>
      </c>
      <c r="C43" s="607"/>
      <c r="D43" s="593"/>
      <c r="E43" s="594"/>
      <c r="F43" s="9">
        <f>SUM(F36:F42)</f>
        <v>9100</v>
      </c>
    </row>
    <row r="45" spans="2:6" ht="15" thickBot="1"/>
    <row r="46" spans="2:6" ht="26.4" thickBot="1">
      <c r="B46" s="603" t="s">
        <v>12</v>
      </c>
      <c r="C46" s="604"/>
      <c r="D46" s="604"/>
      <c r="E46" s="604"/>
      <c r="F46" s="605"/>
    </row>
    <row r="48" spans="2:6" ht="15.6">
      <c r="B48" s="3" t="s">
        <v>1</v>
      </c>
      <c r="C48" s="1" t="s">
        <v>103</v>
      </c>
    </row>
    <row r="50" spans="2:6" ht="15.6">
      <c r="B50" s="3" t="s">
        <v>2</v>
      </c>
      <c r="C50" s="34" t="s">
        <v>90</v>
      </c>
      <c r="D50" s="3" t="s">
        <v>5</v>
      </c>
      <c r="E50" s="22">
        <v>45405</v>
      </c>
    </row>
    <row r="51" spans="2:6" ht="15.6">
      <c r="B51" s="3" t="s">
        <v>3</v>
      </c>
    </row>
    <row r="52" spans="2:6" ht="15.6">
      <c r="B52" s="3" t="s">
        <v>4</v>
      </c>
    </row>
    <row r="53" spans="2:6" ht="15" thickBot="1"/>
    <row r="54" spans="2:6" ht="16.2" thickBot="1">
      <c r="B54" s="10" t="s">
        <v>6</v>
      </c>
      <c r="C54" s="10" t="s">
        <v>7</v>
      </c>
      <c r="D54" s="4" t="s">
        <v>8</v>
      </c>
      <c r="E54" s="10" t="s">
        <v>9</v>
      </c>
      <c r="F54" s="5" t="s">
        <v>10</v>
      </c>
    </row>
    <row r="55" spans="2:6" ht="15" thickBot="1">
      <c r="B55" s="54"/>
      <c r="F55" s="55"/>
    </row>
    <row r="56" spans="2:6" ht="18" thickBot="1">
      <c r="B56" s="37">
        <v>1</v>
      </c>
      <c r="C56" s="52" t="s">
        <v>95</v>
      </c>
      <c r="D56" s="37">
        <v>1350</v>
      </c>
      <c r="E56" s="37">
        <v>4</v>
      </c>
      <c r="F56" s="37">
        <f>D56*E56</f>
        <v>5400</v>
      </c>
    </row>
    <row r="57" spans="2:6" ht="18" thickBot="1">
      <c r="B57" s="37">
        <v>2</v>
      </c>
      <c r="C57" s="53" t="s">
        <v>94</v>
      </c>
      <c r="D57" s="37">
        <v>2600</v>
      </c>
      <c r="E57" s="37">
        <v>7</v>
      </c>
      <c r="F57" s="37">
        <f t="shared" ref="F57:F58" si="2">D57*E57</f>
        <v>18200</v>
      </c>
    </row>
    <row r="58" spans="2:6" ht="18" thickBot="1">
      <c r="B58" s="37">
        <v>3</v>
      </c>
      <c r="C58" s="53" t="s">
        <v>102</v>
      </c>
      <c r="D58" s="37">
        <v>1900</v>
      </c>
      <c r="E58" s="37">
        <v>1</v>
      </c>
      <c r="F58" s="37">
        <f t="shared" si="2"/>
        <v>1900</v>
      </c>
    </row>
    <row r="59" spans="2:6" ht="18" thickBot="1">
      <c r="B59" s="37"/>
      <c r="C59" s="53"/>
      <c r="D59" s="37"/>
      <c r="E59" s="37"/>
      <c r="F59" s="37"/>
    </row>
    <row r="60" spans="2:6" ht="15" thickBot="1">
      <c r="B60" s="37"/>
      <c r="C60" s="37"/>
      <c r="D60" s="37"/>
      <c r="E60" s="37"/>
      <c r="F60" s="37"/>
    </row>
    <row r="61" spans="2:6" ht="15" thickBot="1">
      <c r="B61" s="37"/>
      <c r="C61" s="37"/>
      <c r="D61" s="37"/>
      <c r="E61" s="37"/>
      <c r="F61" s="37"/>
    </row>
    <row r="62" spans="2:6" ht="15" thickBot="1">
      <c r="B62" s="37"/>
      <c r="C62" s="37"/>
      <c r="D62" s="37"/>
      <c r="E62" s="37"/>
      <c r="F62" s="37"/>
    </row>
    <row r="63" spans="2:6" ht="15" thickBot="1">
      <c r="B63" s="606" t="s">
        <v>11</v>
      </c>
      <c r="C63" s="607"/>
      <c r="D63" s="593"/>
      <c r="E63" s="594"/>
      <c r="F63" s="9">
        <f>SUM(F56:F62)</f>
        <v>25500</v>
      </c>
    </row>
    <row r="64" spans="2:6">
      <c r="B64" s="16"/>
      <c r="C64" s="16"/>
      <c r="F64" s="16"/>
    </row>
    <row r="65" spans="2:6" ht="15" thickBot="1"/>
    <row r="66" spans="2:6" ht="26.4" thickBot="1">
      <c r="B66" s="603" t="s">
        <v>12</v>
      </c>
      <c r="C66" s="604"/>
      <c r="D66" s="604"/>
      <c r="E66" s="604"/>
      <c r="F66" s="605"/>
    </row>
    <row r="68" spans="2:6" ht="15.6">
      <c r="B68" s="3" t="s">
        <v>1</v>
      </c>
      <c r="C68" s="1" t="s">
        <v>104</v>
      </c>
    </row>
    <row r="70" spans="2:6" ht="15.6">
      <c r="B70" s="3" t="s">
        <v>2</v>
      </c>
      <c r="C70" s="34" t="s">
        <v>90</v>
      </c>
      <c r="D70" s="3" t="s">
        <v>5</v>
      </c>
      <c r="E70" s="22">
        <v>45405</v>
      </c>
    </row>
    <row r="71" spans="2:6" ht="15.6">
      <c r="B71" s="3" t="s">
        <v>3</v>
      </c>
    </row>
    <row r="72" spans="2:6" ht="15.6">
      <c r="B72" s="3" t="s">
        <v>4</v>
      </c>
    </row>
    <row r="73" spans="2:6" ht="15" thickBot="1"/>
    <row r="74" spans="2:6" ht="16.2" thickBot="1">
      <c r="B74" s="10" t="s">
        <v>6</v>
      </c>
      <c r="C74" s="10" t="s">
        <v>7</v>
      </c>
      <c r="D74" s="4" t="s">
        <v>8</v>
      </c>
      <c r="E74" s="10" t="s">
        <v>9</v>
      </c>
      <c r="F74" s="5" t="s">
        <v>10</v>
      </c>
    </row>
    <row r="75" spans="2:6" ht="15" thickBot="1">
      <c r="B75" s="54"/>
      <c r="F75" s="55"/>
    </row>
    <row r="76" spans="2:6" ht="18" thickBot="1">
      <c r="B76" s="37">
        <v>1</v>
      </c>
      <c r="C76" s="50" t="s">
        <v>105</v>
      </c>
      <c r="D76" s="37">
        <v>450</v>
      </c>
      <c r="E76" s="37">
        <v>1</v>
      </c>
      <c r="F76" s="37">
        <f t="shared" ref="F76:F86" si="3">D76*E76</f>
        <v>450</v>
      </c>
    </row>
    <row r="77" spans="2:6" ht="18" thickBot="1">
      <c r="B77" s="37">
        <v>2</v>
      </c>
      <c r="C77" s="51" t="s">
        <v>106</v>
      </c>
      <c r="D77" s="37">
        <v>1250</v>
      </c>
      <c r="E77" s="37">
        <v>1</v>
      </c>
      <c r="F77" s="37">
        <f t="shared" si="3"/>
        <v>1250</v>
      </c>
    </row>
    <row r="78" spans="2:6" ht="18" thickBot="1">
      <c r="B78" s="37">
        <v>3</v>
      </c>
      <c r="C78" s="51" t="s">
        <v>121</v>
      </c>
      <c r="D78" s="37">
        <v>400</v>
      </c>
      <c r="E78" s="37">
        <v>1</v>
      </c>
      <c r="F78" s="37">
        <f t="shared" si="3"/>
        <v>400</v>
      </c>
    </row>
    <row r="79" spans="2:6" ht="18" thickBot="1">
      <c r="B79" s="37">
        <v>4</v>
      </c>
      <c r="C79" s="51" t="s">
        <v>107</v>
      </c>
      <c r="D79" s="37">
        <v>2100</v>
      </c>
      <c r="E79" s="37">
        <v>2</v>
      </c>
      <c r="F79" s="37">
        <f t="shared" si="3"/>
        <v>4200</v>
      </c>
    </row>
    <row r="80" spans="2:6" ht="18" thickBot="1">
      <c r="B80" s="37">
        <v>5</v>
      </c>
      <c r="C80" s="51" t="s">
        <v>108</v>
      </c>
      <c r="D80" s="37">
        <v>1250</v>
      </c>
      <c r="E80" s="37">
        <v>1</v>
      </c>
      <c r="F80" s="37">
        <f t="shared" si="3"/>
        <v>1250</v>
      </c>
    </row>
    <row r="81" spans="2:6" ht="18" thickBot="1">
      <c r="B81" s="37">
        <v>6</v>
      </c>
      <c r="C81" s="51" t="s">
        <v>109</v>
      </c>
      <c r="D81" s="37">
        <v>1600</v>
      </c>
      <c r="E81" s="37">
        <v>1</v>
      </c>
      <c r="F81" s="37">
        <f t="shared" si="3"/>
        <v>1600</v>
      </c>
    </row>
    <row r="82" spans="2:6" ht="18" thickBot="1">
      <c r="B82" s="37">
        <v>7</v>
      </c>
      <c r="C82" s="51" t="s">
        <v>110</v>
      </c>
      <c r="D82" s="37">
        <v>1500</v>
      </c>
      <c r="E82" s="37">
        <v>1</v>
      </c>
      <c r="F82" s="37">
        <f t="shared" si="3"/>
        <v>1500</v>
      </c>
    </row>
    <row r="83" spans="2:6" ht="18" thickBot="1">
      <c r="B83" s="37">
        <v>8</v>
      </c>
      <c r="C83" s="51" t="s">
        <v>111</v>
      </c>
      <c r="D83" s="37">
        <v>650</v>
      </c>
      <c r="E83" s="37">
        <v>1</v>
      </c>
      <c r="F83" s="37">
        <f t="shared" si="3"/>
        <v>650</v>
      </c>
    </row>
    <row r="84" spans="2:6" ht="18" thickBot="1">
      <c r="B84" s="37">
        <v>9</v>
      </c>
      <c r="C84" s="51" t="s">
        <v>112</v>
      </c>
      <c r="D84" s="37">
        <v>950</v>
      </c>
      <c r="E84" s="37">
        <v>2</v>
      </c>
      <c r="F84" s="37">
        <f t="shared" si="3"/>
        <v>1900</v>
      </c>
    </row>
    <row r="85" spans="2:6" ht="18" thickBot="1">
      <c r="B85" s="37">
        <v>10</v>
      </c>
      <c r="C85" s="51" t="s">
        <v>113</v>
      </c>
      <c r="D85" s="37">
        <v>1450</v>
      </c>
      <c r="E85" s="37">
        <v>1</v>
      </c>
      <c r="F85" s="37">
        <f t="shared" si="3"/>
        <v>1450</v>
      </c>
    </row>
    <row r="86" spans="2:6" ht="18" thickBot="1">
      <c r="B86" s="37">
        <v>11</v>
      </c>
      <c r="C86" s="51" t="s">
        <v>114</v>
      </c>
      <c r="D86" s="37">
        <v>1200</v>
      </c>
      <c r="E86" s="37">
        <v>1</v>
      </c>
      <c r="F86" s="37">
        <f t="shared" si="3"/>
        <v>1200</v>
      </c>
    </row>
    <row r="87" spans="2:6" ht="15" thickBot="1">
      <c r="B87" s="37"/>
      <c r="C87" s="37"/>
      <c r="D87" s="37"/>
      <c r="E87" s="37"/>
      <c r="F87" s="37"/>
    </row>
    <row r="88" spans="2:6" ht="15" thickBot="1">
      <c r="B88" s="37"/>
      <c r="C88" s="37"/>
      <c r="D88" s="37"/>
      <c r="E88" s="37"/>
      <c r="F88" s="37"/>
    </row>
    <row r="89" spans="2:6" ht="15" thickBot="1">
      <c r="B89" s="37"/>
      <c r="C89" s="37"/>
      <c r="D89" s="37"/>
      <c r="E89" s="37"/>
      <c r="F89" s="37"/>
    </row>
    <row r="90" spans="2:6" ht="15" thickBot="1">
      <c r="B90" s="606" t="s">
        <v>11</v>
      </c>
      <c r="C90" s="607"/>
      <c r="D90" s="593"/>
      <c r="E90" s="594"/>
      <c r="F90" s="9">
        <f>SUM(F76:F89)</f>
        <v>15850</v>
      </c>
    </row>
    <row r="92" spans="2:6" ht="15" thickBot="1"/>
    <row r="93" spans="2:6" ht="26.4" thickBot="1">
      <c r="B93" s="603" t="s">
        <v>12</v>
      </c>
      <c r="C93" s="604"/>
      <c r="D93" s="604"/>
      <c r="E93" s="604"/>
      <c r="F93" s="605"/>
    </row>
    <row r="95" spans="2:6" ht="15.6">
      <c r="B95" s="3" t="s">
        <v>1</v>
      </c>
      <c r="C95" s="1" t="s">
        <v>264</v>
      </c>
    </row>
    <row r="97" spans="2:7" ht="15.6">
      <c r="B97" s="3" t="s">
        <v>2</v>
      </c>
      <c r="C97" s="34" t="s">
        <v>259</v>
      </c>
      <c r="D97" s="3" t="s">
        <v>5</v>
      </c>
      <c r="E97" s="22">
        <v>45414</v>
      </c>
    </row>
    <row r="98" spans="2:7" ht="15.6">
      <c r="B98" s="3" t="s">
        <v>3</v>
      </c>
    </row>
    <row r="99" spans="2:7" ht="15.6">
      <c r="B99" s="3" t="s">
        <v>4</v>
      </c>
    </row>
    <row r="100" spans="2:7" ht="15" thickBot="1"/>
    <row r="101" spans="2:7" ht="16.2" thickBot="1">
      <c r="B101" s="10" t="s">
        <v>6</v>
      </c>
      <c r="C101" s="10" t="s">
        <v>7</v>
      </c>
      <c r="D101" s="4" t="s">
        <v>8</v>
      </c>
      <c r="E101" s="10" t="s">
        <v>9</v>
      </c>
      <c r="F101" s="5" t="s">
        <v>10</v>
      </c>
    </row>
    <row r="102" spans="2:7" ht="15" thickBot="1">
      <c r="B102" s="54"/>
      <c r="F102" s="55"/>
    </row>
    <row r="103" spans="2:7" ht="35.4" thickBot="1">
      <c r="B103" s="37">
        <v>1</v>
      </c>
      <c r="C103" s="52" t="s">
        <v>261</v>
      </c>
      <c r="D103" s="111">
        <v>360000</v>
      </c>
      <c r="E103" s="37">
        <v>1</v>
      </c>
      <c r="F103" s="37">
        <f>D103*E103</f>
        <v>360000</v>
      </c>
    </row>
    <row r="104" spans="2:7" ht="18" thickBot="1">
      <c r="B104" s="37"/>
      <c r="C104" s="53"/>
      <c r="D104" s="37"/>
      <c r="E104" s="37"/>
      <c r="F104" s="37">
        <f t="shared" ref="F104" si="4">D104*E104</f>
        <v>0</v>
      </c>
    </row>
    <row r="105" spans="2:7" ht="15" thickBot="1">
      <c r="B105" s="37"/>
      <c r="C105" s="37"/>
      <c r="D105" s="37"/>
      <c r="E105" s="37"/>
      <c r="F105" s="37"/>
    </row>
    <row r="106" spans="2:7" ht="15" thickBot="1">
      <c r="B106" s="37"/>
      <c r="C106" s="37"/>
      <c r="D106" s="37"/>
      <c r="E106" s="37"/>
      <c r="F106" s="37"/>
    </row>
    <row r="107" spans="2:7" ht="15" thickBot="1">
      <c r="B107" s="37"/>
      <c r="C107" s="37"/>
      <c r="D107" s="37"/>
      <c r="E107" s="37"/>
      <c r="F107" s="37"/>
    </row>
    <row r="108" spans="2:7" ht="15" thickBot="1">
      <c r="B108" s="606" t="s">
        <v>11</v>
      </c>
      <c r="C108" s="607"/>
      <c r="D108" s="593"/>
      <c r="E108" s="594"/>
      <c r="F108" s="9">
        <f>SUM(F103:F107)</f>
        <v>360000</v>
      </c>
      <c r="G108" s="229" t="s">
        <v>567</v>
      </c>
    </row>
    <row r="112" spans="2:7" ht="15" thickBot="1"/>
    <row r="113" spans="2:6" ht="26.4" thickBot="1">
      <c r="B113" s="603" t="s">
        <v>12</v>
      </c>
      <c r="C113" s="604"/>
      <c r="D113" s="604"/>
      <c r="E113" s="604"/>
      <c r="F113" s="605"/>
    </row>
    <row r="114" spans="2:6" ht="15.6">
      <c r="B114" s="22"/>
      <c r="C114" s="278"/>
      <c r="D114" s="3"/>
      <c r="E114" s="22"/>
    </row>
    <row r="115" spans="2:6" ht="15.6">
      <c r="B115" s="3" t="s">
        <v>1</v>
      </c>
      <c r="C115" s="1" t="s">
        <v>268</v>
      </c>
      <c r="D115" s="3"/>
      <c r="E115" s="22"/>
    </row>
    <row r="116" spans="2:6" ht="15.6">
      <c r="B116" s="279" t="s">
        <v>950</v>
      </c>
      <c r="C116" s="278" t="s">
        <v>90</v>
      </c>
      <c r="D116" s="3" t="s">
        <v>5</v>
      </c>
      <c r="E116" s="22">
        <v>45415</v>
      </c>
    </row>
    <row r="117" spans="2:6" ht="15.6">
      <c r="B117" s="3" t="s">
        <v>3</v>
      </c>
    </row>
    <row r="118" spans="2:6" ht="15.6">
      <c r="B118" s="3" t="s">
        <v>4</v>
      </c>
    </row>
    <row r="119" spans="2:6" ht="15" thickBot="1"/>
    <row r="120" spans="2:6" ht="16.2" thickBot="1">
      <c r="B120" s="10" t="s">
        <v>6</v>
      </c>
      <c r="C120" s="10" t="s">
        <v>7</v>
      </c>
      <c r="D120" s="4" t="s">
        <v>8</v>
      </c>
      <c r="E120" s="10" t="s">
        <v>9</v>
      </c>
      <c r="F120" s="5" t="s">
        <v>10</v>
      </c>
    </row>
    <row r="121" spans="2:6" ht="15" thickBot="1">
      <c r="B121" s="54"/>
      <c r="F121" s="55"/>
    </row>
    <row r="122" spans="2:6" ht="18" thickBot="1">
      <c r="B122" s="37">
        <v>1</v>
      </c>
      <c r="C122" s="52" t="s">
        <v>234</v>
      </c>
      <c r="D122" s="37">
        <v>840</v>
      </c>
      <c r="E122" s="37">
        <v>29</v>
      </c>
      <c r="F122" s="37">
        <f>D122*E122</f>
        <v>24360</v>
      </c>
    </row>
    <row r="123" spans="2:6" ht="18" thickBot="1">
      <c r="B123" s="37">
        <v>2</v>
      </c>
      <c r="C123" s="53" t="s">
        <v>37</v>
      </c>
      <c r="D123" s="37">
        <v>2070</v>
      </c>
      <c r="E123" s="37">
        <v>20</v>
      </c>
      <c r="F123" s="37">
        <f t="shared" ref="F123:F126" si="5">D123*E123</f>
        <v>41400</v>
      </c>
    </row>
    <row r="124" spans="2:6" ht="18" thickBot="1">
      <c r="B124" s="37">
        <v>3</v>
      </c>
      <c r="C124" s="53" t="s">
        <v>232</v>
      </c>
      <c r="D124" s="37">
        <v>1130</v>
      </c>
      <c r="E124" s="37">
        <v>38</v>
      </c>
      <c r="F124" s="37">
        <f t="shared" si="5"/>
        <v>42940</v>
      </c>
    </row>
    <row r="125" spans="2:6" ht="18" thickBot="1">
      <c r="B125" s="37">
        <v>4</v>
      </c>
      <c r="C125" s="53" t="s">
        <v>265</v>
      </c>
      <c r="D125" s="37">
        <v>700</v>
      </c>
      <c r="E125" s="37">
        <v>2</v>
      </c>
      <c r="F125" s="37">
        <f t="shared" si="5"/>
        <v>1400</v>
      </c>
    </row>
    <row r="126" spans="2:6" ht="18" thickBot="1">
      <c r="B126" s="37">
        <v>5</v>
      </c>
      <c r="C126" s="113" t="s">
        <v>266</v>
      </c>
      <c r="D126" s="37">
        <v>1100</v>
      </c>
      <c r="E126" s="37">
        <v>1</v>
      </c>
      <c r="F126" s="37">
        <f t="shared" si="5"/>
        <v>1100</v>
      </c>
    </row>
    <row r="127" spans="2:6" ht="15" thickBot="1">
      <c r="B127" s="37"/>
      <c r="C127" s="37"/>
      <c r="D127" s="37"/>
      <c r="E127" s="37"/>
      <c r="F127" s="37"/>
    </row>
    <row r="128" spans="2:6" ht="15" thickBot="1">
      <c r="B128" s="37"/>
      <c r="C128" s="37"/>
      <c r="D128" s="37"/>
      <c r="E128" s="37"/>
      <c r="F128" s="37"/>
    </row>
    <row r="129" spans="2:6" ht="18" thickBot="1">
      <c r="B129" s="591" t="s">
        <v>11</v>
      </c>
      <c r="C129" s="592"/>
      <c r="D129" s="593"/>
      <c r="E129" s="594"/>
      <c r="F129" s="9">
        <f>SUM(F122:F128)</f>
        <v>111200</v>
      </c>
    </row>
    <row r="131" spans="2:6" ht="15" thickBot="1"/>
    <row r="132" spans="2:6" ht="26.4" thickBot="1">
      <c r="B132" s="603" t="s">
        <v>299</v>
      </c>
      <c r="C132" s="604"/>
      <c r="D132" s="604"/>
      <c r="E132" s="604"/>
      <c r="F132" s="605"/>
    </row>
    <row r="134" spans="2:6" ht="15.6">
      <c r="B134" s="3" t="s">
        <v>1</v>
      </c>
      <c r="C134" s="1" t="s">
        <v>300</v>
      </c>
    </row>
    <row r="136" spans="2:6" ht="15.6">
      <c r="B136" s="3" t="s">
        <v>2</v>
      </c>
      <c r="C136" s="34" t="s">
        <v>90</v>
      </c>
      <c r="D136" s="3" t="s">
        <v>5</v>
      </c>
      <c r="E136" s="22">
        <v>45418</v>
      </c>
    </row>
    <row r="137" spans="2:6" ht="15.6">
      <c r="B137" s="3" t="s">
        <v>3</v>
      </c>
    </row>
    <row r="138" spans="2:6" ht="15.6">
      <c r="B138" s="3" t="s">
        <v>4</v>
      </c>
    </row>
    <row r="139" spans="2:6" ht="15" thickBot="1"/>
    <row r="140" spans="2:6" ht="16.2" thickBot="1">
      <c r="B140" s="10" t="s">
        <v>6</v>
      </c>
      <c r="C140" s="10" t="s">
        <v>7</v>
      </c>
      <c r="D140" s="4" t="s">
        <v>8</v>
      </c>
      <c r="E140" s="10" t="s">
        <v>9</v>
      </c>
      <c r="F140" s="5" t="s">
        <v>10</v>
      </c>
    </row>
    <row r="141" spans="2:6" ht="15" thickBot="1">
      <c r="B141" s="54"/>
      <c r="F141" s="55"/>
    </row>
    <row r="142" spans="2:6" ht="18" thickBot="1">
      <c r="B142" s="37">
        <v>1</v>
      </c>
      <c r="C142" s="52" t="s">
        <v>301</v>
      </c>
      <c r="D142" s="37">
        <v>-2130</v>
      </c>
      <c r="E142" s="37">
        <v>3</v>
      </c>
      <c r="F142" s="37">
        <f>D142*E142</f>
        <v>-6390</v>
      </c>
    </row>
    <row r="143" spans="2:6" ht="18" thickBot="1">
      <c r="B143" s="37"/>
      <c r="C143" s="53"/>
      <c r="D143" s="37"/>
      <c r="E143" s="37"/>
      <c r="F143" s="37">
        <f t="shared" ref="F143:F144" si="6">D143*E143</f>
        <v>0</v>
      </c>
    </row>
    <row r="144" spans="2:6" ht="18" thickBot="1">
      <c r="B144" s="37"/>
      <c r="C144" s="113"/>
      <c r="D144" s="37"/>
      <c r="E144" s="37"/>
      <c r="F144" s="37">
        <f t="shared" si="6"/>
        <v>0</v>
      </c>
    </row>
    <row r="145" spans="2:6" ht="15" thickBot="1">
      <c r="B145" s="37"/>
      <c r="C145" s="37"/>
      <c r="D145" s="37"/>
      <c r="E145" s="37"/>
      <c r="F145" s="37"/>
    </row>
    <row r="146" spans="2:6" ht="15" thickBot="1">
      <c r="B146" s="37"/>
      <c r="C146" s="37"/>
      <c r="D146" s="37"/>
      <c r="E146" s="37"/>
      <c r="F146" s="37"/>
    </row>
    <row r="147" spans="2:6" ht="18" thickBot="1">
      <c r="B147" s="591" t="s">
        <v>11</v>
      </c>
      <c r="C147" s="592"/>
      <c r="D147" s="593"/>
      <c r="E147" s="594"/>
      <c r="F147" s="9">
        <f>SUM(F142:F146)</f>
        <v>-6390</v>
      </c>
    </row>
    <row r="149" spans="2:6" ht="15" thickBot="1"/>
    <row r="150" spans="2:6" ht="26.4" thickBot="1">
      <c r="B150" s="603" t="s">
        <v>12</v>
      </c>
      <c r="C150" s="604"/>
      <c r="D150" s="604"/>
      <c r="E150" s="604"/>
      <c r="F150" s="605"/>
    </row>
    <row r="152" spans="2:6" ht="15.6">
      <c r="B152" s="3" t="s">
        <v>1</v>
      </c>
      <c r="C152" s="1" t="s">
        <v>302</v>
      </c>
    </row>
    <row r="154" spans="2:6" ht="15.6">
      <c r="B154" s="3" t="s">
        <v>2</v>
      </c>
      <c r="C154" s="34" t="s">
        <v>90</v>
      </c>
      <c r="D154" s="3" t="s">
        <v>5</v>
      </c>
      <c r="E154" s="22">
        <v>45418</v>
      </c>
    </row>
    <row r="155" spans="2:6" ht="15.6">
      <c r="B155" s="3" t="s">
        <v>3</v>
      </c>
    </row>
    <row r="156" spans="2:6" ht="15.6">
      <c r="B156" s="3" t="s">
        <v>4</v>
      </c>
    </row>
    <row r="157" spans="2:6" ht="15" thickBot="1"/>
    <row r="158" spans="2:6" ht="16.2" thickBot="1">
      <c r="B158" s="10" t="s">
        <v>6</v>
      </c>
      <c r="C158" s="10" t="s">
        <v>7</v>
      </c>
      <c r="D158" s="4" t="s">
        <v>8</v>
      </c>
      <c r="E158" s="10" t="s">
        <v>9</v>
      </c>
      <c r="F158" s="5" t="s">
        <v>10</v>
      </c>
    </row>
    <row r="159" spans="2:6" ht="15" thickBot="1">
      <c r="B159" s="54"/>
      <c r="F159" s="55"/>
    </row>
    <row r="160" spans="2:6" ht="18" thickBot="1">
      <c r="B160" s="37">
        <v>1</v>
      </c>
      <c r="C160" s="52" t="s">
        <v>301</v>
      </c>
      <c r="D160" s="37">
        <v>2100</v>
      </c>
      <c r="E160" s="37">
        <v>1</v>
      </c>
      <c r="F160" s="37">
        <f>D160*E160</f>
        <v>2100</v>
      </c>
    </row>
    <row r="161" spans="2:6" ht="18" thickBot="1">
      <c r="B161" s="37"/>
      <c r="C161" s="53"/>
      <c r="D161" s="37"/>
      <c r="E161" s="37"/>
      <c r="F161" s="37">
        <f t="shared" ref="F161:F162" si="7">D161*E161</f>
        <v>0</v>
      </c>
    </row>
    <row r="162" spans="2:6" ht="18" thickBot="1">
      <c r="B162" s="37"/>
      <c r="C162" s="113"/>
      <c r="D162" s="37"/>
      <c r="E162" s="37"/>
      <c r="F162" s="37">
        <f t="shared" si="7"/>
        <v>0</v>
      </c>
    </row>
    <row r="163" spans="2:6" ht="15" thickBot="1">
      <c r="B163" s="37"/>
      <c r="C163" s="37"/>
      <c r="D163" s="37"/>
      <c r="E163" s="37"/>
      <c r="F163" s="37"/>
    </row>
    <row r="164" spans="2:6" ht="15" thickBot="1">
      <c r="B164" s="37"/>
      <c r="C164" s="37"/>
      <c r="D164" s="37"/>
      <c r="E164" s="37"/>
      <c r="F164" s="37"/>
    </row>
    <row r="165" spans="2:6" ht="18" thickBot="1">
      <c r="B165" s="591" t="s">
        <v>11</v>
      </c>
      <c r="C165" s="592"/>
      <c r="D165" s="593"/>
      <c r="E165" s="594"/>
      <c r="F165" s="9">
        <f>SUM(F160:F164)</f>
        <v>2100</v>
      </c>
    </row>
    <row r="167" spans="2:6" ht="15" thickBot="1"/>
    <row r="168" spans="2:6" ht="26.4" thickBot="1">
      <c r="B168" s="603" t="s">
        <v>12</v>
      </c>
      <c r="C168" s="604"/>
      <c r="D168" s="604"/>
      <c r="E168" s="604"/>
      <c r="F168" s="605"/>
    </row>
    <row r="170" spans="2:6" ht="15.6">
      <c r="B170" s="3" t="s">
        <v>1</v>
      </c>
      <c r="C170" s="1" t="s">
        <v>453</v>
      </c>
    </row>
    <row r="172" spans="2:6" ht="15.6">
      <c r="B172" s="3" t="s">
        <v>2</v>
      </c>
      <c r="C172" s="34" t="s">
        <v>90</v>
      </c>
      <c r="D172" s="3" t="s">
        <v>5</v>
      </c>
      <c r="E172" s="22">
        <v>45419</v>
      </c>
    </row>
    <row r="173" spans="2:6" ht="15.6">
      <c r="B173" s="3" t="s">
        <v>3</v>
      </c>
    </row>
    <row r="174" spans="2:6" ht="15.6">
      <c r="B174" s="3" t="s">
        <v>4</v>
      </c>
    </row>
    <row r="175" spans="2:6" ht="15" thickBot="1"/>
    <row r="176" spans="2:6" ht="16.2" thickBot="1">
      <c r="B176" s="10" t="s">
        <v>6</v>
      </c>
      <c r="C176" s="10" t="s">
        <v>7</v>
      </c>
      <c r="D176" s="4" t="s">
        <v>8</v>
      </c>
      <c r="E176" s="10" t="s">
        <v>9</v>
      </c>
      <c r="F176" s="5" t="s">
        <v>10</v>
      </c>
    </row>
    <row r="177" spans="2:6" ht="15" thickBot="1">
      <c r="B177" s="54"/>
      <c r="F177" s="55"/>
    </row>
    <row r="178" spans="2:6" ht="18" thickBot="1">
      <c r="B178" s="37">
        <v>1</v>
      </c>
      <c r="C178" s="52" t="s">
        <v>454</v>
      </c>
      <c r="D178" s="37">
        <v>1790</v>
      </c>
      <c r="E178" s="37">
        <v>20</v>
      </c>
      <c r="F178" s="37">
        <f>D178*E178</f>
        <v>35800</v>
      </c>
    </row>
    <row r="179" spans="2:6" ht="18" thickBot="1">
      <c r="B179" s="37"/>
      <c r="C179" s="53"/>
      <c r="D179" s="37"/>
      <c r="E179" s="37"/>
      <c r="F179" s="37">
        <f t="shared" ref="F179:F180" si="8">D179*E179</f>
        <v>0</v>
      </c>
    </row>
    <row r="180" spans="2:6" ht="18" thickBot="1">
      <c r="B180" s="37"/>
      <c r="C180" s="113"/>
      <c r="D180" s="37"/>
      <c r="E180" s="37"/>
      <c r="F180" s="37">
        <f t="shared" si="8"/>
        <v>0</v>
      </c>
    </row>
    <row r="181" spans="2:6" ht="15" thickBot="1">
      <c r="B181" s="37"/>
      <c r="C181" s="37"/>
      <c r="D181" s="37"/>
      <c r="E181" s="37"/>
      <c r="F181" s="37"/>
    </row>
    <row r="182" spans="2:6" ht="15" thickBot="1">
      <c r="B182" s="37"/>
      <c r="C182" s="37"/>
      <c r="D182" s="37"/>
      <c r="E182" s="37"/>
      <c r="F182" s="37"/>
    </row>
    <row r="183" spans="2:6" ht="18" thickBot="1">
      <c r="B183" s="591" t="s">
        <v>11</v>
      </c>
      <c r="C183" s="592"/>
      <c r="D183" s="593"/>
      <c r="E183" s="594"/>
      <c r="F183" s="9">
        <f>SUM(F178:F182)</f>
        <v>35800</v>
      </c>
    </row>
    <row r="184" spans="2:6" ht="15" thickBot="1"/>
    <row r="185" spans="2:6" ht="26.4" thickBot="1">
      <c r="B185" s="603" t="s">
        <v>12</v>
      </c>
      <c r="C185" s="604"/>
      <c r="D185" s="604"/>
      <c r="E185" s="604"/>
      <c r="F185" s="605"/>
    </row>
    <row r="187" spans="2:6" ht="15.6">
      <c r="B187" s="3" t="s">
        <v>1</v>
      </c>
      <c r="C187" s="1" t="s">
        <v>459</v>
      </c>
    </row>
    <row r="189" spans="2:6" ht="15.6">
      <c r="B189" s="3" t="s">
        <v>2</v>
      </c>
      <c r="C189" s="34" t="s">
        <v>259</v>
      </c>
      <c r="D189" s="3" t="s">
        <v>5</v>
      </c>
      <c r="E189" s="22">
        <v>45420</v>
      </c>
    </row>
    <row r="190" spans="2:6" ht="15.6">
      <c r="B190" s="3" t="s">
        <v>3</v>
      </c>
    </row>
    <row r="191" spans="2:6" ht="15.6">
      <c r="B191" s="3" t="s">
        <v>4</v>
      </c>
    </row>
    <row r="192" spans="2:6" ht="15" thickBot="1"/>
    <row r="193" spans="2:10" ht="16.2" thickBot="1">
      <c r="B193" s="10" t="s">
        <v>6</v>
      </c>
      <c r="C193" s="10" t="s">
        <v>7</v>
      </c>
      <c r="D193" s="4" t="s">
        <v>8</v>
      </c>
      <c r="E193" s="10" t="s">
        <v>9</v>
      </c>
      <c r="F193" s="5" t="s">
        <v>10</v>
      </c>
    </row>
    <row r="194" spans="2:10" ht="15" thickBot="1">
      <c r="B194" s="54"/>
      <c r="F194" s="55"/>
    </row>
    <row r="195" spans="2:10" ht="18" thickBot="1">
      <c r="B195" s="37">
        <v>1</v>
      </c>
      <c r="C195" s="52" t="s">
        <v>460</v>
      </c>
      <c r="D195" s="37">
        <v>0</v>
      </c>
      <c r="E195" s="37">
        <v>4</v>
      </c>
      <c r="F195" s="37">
        <f>D195*E195</f>
        <v>0</v>
      </c>
      <c r="J195" s="225">
        <v>357292096635554</v>
      </c>
    </row>
    <row r="196" spans="2:10" ht="18" thickBot="1">
      <c r="B196" s="37">
        <v>2</v>
      </c>
      <c r="C196" s="53" t="s">
        <v>461</v>
      </c>
      <c r="D196" s="37">
        <v>0</v>
      </c>
      <c r="E196" s="37">
        <v>1</v>
      </c>
      <c r="F196" s="37">
        <f t="shared" ref="F196:F197" si="9">D196*E196</f>
        <v>0</v>
      </c>
      <c r="J196" s="225">
        <v>353131101185367</v>
      </c>
    </row>
    <row r="197" spans="2:10" ht="18" thickBot="1">
      <c r="B197" s="37"/>
      <c r="C197" s="113"/>
      <c r="D197" s="37"/>
      <c r="E197" s="37"/>
      <c r="F197" s="37">
        <f t="shared" si="9"/>
        <v>0</v>
      </c>
      <c r="J197" s="225">
        <v>353132101191629</v>
      </c>
    </row>
    <row r="198" spans="2:10" ht="15" thickBot="1">
      <c r="B198" s="37"/>
      <c r="C198" s="37"/>
      <c r="D198" s="37"/>
      <c r="E198" s="37"/>
      <c r="F198" s="37"/>
      <c r="J198" s="225">
        <v>353121100802401</v>
      </c>
    </row>
    <row r="199" spans="2:10" ht="15" thickBot="1">
      <c r="B199" s="37"/>
      <c r="C199" s="37"/>
      <c r="D199" s="37"/>
      <c r="E199" s="37"/>
      <c r="F199" s="37"/>
    </row>
    <row r="200" spans="2:10" ht="18" thickBot="1">
      <c r="B200" s="591" t="s">
        <v>11</v>
      </c>
      <c r="C200" s="592"/>
      <c r="D200" s="593"/>
      <c r="E200" s="594"/>
      <c r="F200" s="9">
        <f>SUM(F195:F199)</f>
        <v>0</v>
      </c>
      <c r="G200" s="229" t="s">
        <v>567</v>
      </c>
    </row>
    <row r="203" spans="2:10" ht="15.6">
      <c r="B203" s="3" t="s">
        <v>1</v>
      </c>
      <c r="C203" s="1" t="s">
        <v>466</v>
      </c>
    </row>
    <row r="205" spans="2:10" ht="15.6">
      <c r="B205" s="3" t="s">
        <v>2</v>
      </c>
      <c r="C205" s="34" t="s">
        <v>90</v>
      </c>
      <c r="D205" s="3" t="s">
        <v>5</v>
      </c>
      <c r="E205" s="22">
        <v>45420</v>
      </c>
    </row>
    <row r="206" spans="2:10" ht="15.6">
      <c r="B206" s="3" t="s">
        <v>3</v>
      </c>
    </row>
    <row r="207" spans="2:10" ht="15.6">
      <c r="B207" s="3" t="s">
        <v>4</v>
      </c>
    </row>
    <row r="208" spans="2:10" ht="15" thickBot="1"/>
    <row r="209" spans="2:6" ht="16.2" thickBot="1">
      <c r="B209" s="10" t="s">
        <v>6</v>
      </c>
      <c r="C209" s="10" t="s">
        <v>7</v>
      </c>
      <c r="D209" s="4" t="s">
        <v>8</v>
      </c>
      <c r="E209" s="10" t="s">
        <v>9</v>
      </c>
      <c r="F209" s="5" t="s">
        <v>10</v>
      </c>
    </row>
    <row r="210" spans="2:6" ht="15" thickBot="1">
      <c r="B210" s="54"/>
      <c r="F210" s="55"/>
    </row>
    <row r="211" spans="2:6" ht="18" thickBot="1">
      <c r="B211" s="37">
        <v>1</v>
      </c>
      <c r="C211" s="52" t="s">
        <v>454</v>
      </c>
      <c r="D211" s="37">
        <v>1800</v>
      </c>
      <c r="E211" s="37">
        <v>10</v>
      </c>
      <c r="F211" s="37">
        <f>D211*E211</f>
        <v>18000</v>
      </c>
    </row>
    <row r="212" spans="2:6" ht="18" thickBot="1">
      <c r="B212" s="37"/>
      <c r="C212" s="53"/>
      <c r="D212" s="37"/>
      <c r="E212" s="37"/>
      <c r="F212" s="37">
        <f t="shared" ref="F212:F213" si="10">D212*E212</f>
        <v>0</v>
      </c>
    </row>
    <row r="213" spans="2:6" ht="18" thickBot="1">
      <c r="B213" s="37"/>
      <c r="C213" s="113"/>
      <c r="D213" s="37"/>
      <c r="E213" s="37"/>
      <c r="F213" s="37">
        <f t="shared" si="10"/>
        <v>0</v>
      </c>
    </row>
    <row r="214" spans="2:6" ht="15" thickBot="1">
      <c r="B214" s="37"/>
      <c r="C214" s="37"/>
      <c r="D214" s="37"/>
      <c r="E214" s="37"/>
      <c r="F214" s="37"/>
    </row>
    <row r="215" spans="2:6" ht="15" thickBot="1">
      <c r="B215" s="37"/>
      <c r="C215" s="37"/>
      <c r="D215" s="37"/>
      <c r="E215" s="37"/>
      <c r="F215" s="37"/>
    </row>
    <row r="216" spans="2:6" ht="18" thickBot="1">
      <c r="B216" s="591" t="s">
        <v>11</v>
      </c>
      <c r="C216" s="592"/>
      <c r="D216" s="593"/>
      <c r="E216" s="594"/>
      <c r="F216" s="9">
        <f>SUM(F211:F215)</f>
        <v>18000</v>
      </c>
    </row>
    <row r="219" spans="2:6" ht="15.6">
      <c r="B219" s="3" t="s">
        <v>1</v>
      </c>
      <c r="C219" s="1" t="s">
        <v>475</v>
      </c>
    </row>
    <row r="221" spans="2:6" ht="15.6">
      <c r="B221" s="3" t="s">
        <v>2</v>
      </c>
      <c r="C221" s="34" t="s">
        <v>90</v>
      </c>
      <c r="D221" s="3" t="s">
        <v>5</v>
      </c>
      <c r="E221" s="22">
        <v>45423</v>
      </c>
    </row>
    <row r="222" spans="2:6" ht="15.6">
      <c r="B222" s="3" t="s">
        <v>3</v>
      </c>
    </row>
    <row r="223" spans="2:6" ht="15.6">
      <c r="B223" s="3" t="s">
        <v>4</v>
      </c>
    </row>
    <row r="224" spans="2:6" ht="15" thickBot="1"/>
    <row r="225" spans="2:6" ht="16.2" thickBot="1">
      <c r="B225" s="10" t="s">
        <v>6</v>
      </c>
      <c r="C225" s="10" t="s">
        <v>7</v>
      </c>
      <c r="D225" s="4" t="s">
        <v>8</v>
      </c>
      <c r="E225" s="10" t="s">
        <v>9</v>
      </c>
      <c r="F225" s="5" t="s">
        <v>10</v>
      </c>
    </row>
    <row r="226" spans="2:6" ht="15" thickBot="1">
      <c r="B226" s="54"/>
      <c r="F226" s="55"/>
    </row>
    <row r="227" spans="2:6" ht="18" thickBot="1">
      <c r="B227" s="37">
        <v>1</v>
      </c>
      <c r="C227" s="52" t="s">
        <v>716</v>
      </c>
      <c r="D227" s="37">
        <v>1020</v>
      </c>
      <c r="E227" s="37">
        <v>36</v>
      </c>
      <c r="F227" s="37">
        <f>D227*E227</f>
        <v>36720</v>
      </c>
    </row>
    <row r="228" spans="2:6" ht="18" thickBot="1">
      <c r="B228" s="37"/>
      <c r="C228" s="53"/>
      <c r="D228" s="37"/>
      <c r="E228" s="37"/>
      <c r="F228" s="37">
        <f t="shared" ref="F228:F229" si="11">D228*E228</f>
        <v>0</v>
      </c>
    </row>
    <row r="229" spans="2:6" ht="18" thickBot="1">
      <c r="B229" s="37"/>
      <c r="C229" s="113"/>
      <c r="D229" s="37"/>
      <c r="E229" s="37"/>
      <c r="F229" s="37">
        <f t="shared" si="11"/>
        <v>0</v>
      </c>
    </row>
    <row r="230" spans="2:6" ht="15" thickBot="1">
      <c r="B230" s="37"/>
      <c r="C230" s="37"/>
      <c r="D230" s="37"/>
      <c r="E230" s="37"/>
      <c r="F230" s="37"/>
    </row>
    <row r="231" spans="2:6" ht="15" thickBot="1">
      <c r="B231" s="37"/>
      <c r="C231" s="37"/>
      <c r="D231" s="37"/>
      <c r="E231" s="37"/>
      <c r="F231" s="37"/>
    </row>
    <row r="232" spans="2:6" ht="18" thickBot="1">
      <c r="B232" s="591" t="s">
        <v>11</v>
      </c>
      <c r="C232" s="592"/>
      <c r="D232" s="593"/>
      <c r="E232" s="594"/>
      <c r="F232" s="9">
        <f>SUM(F227:F231)</f>
        <v>36720</v>
      </c>
    </row>
    <row r="234" spans="2:6" ht="15.6">
      <c r="B234" s="3" t="s">
        <v>1</v>
      </c>
      <c r="C234" s="1" t="s">
        <v>616</v>
      </c>
    </row>
    <row r="236" spans="2:6" ht="15.6">
      <c r="B236" s="3" t="s">
        <v>2</v>
      </c>
      <c r="C236" s="34" t="s">
        <v>90</v>
      </c>
      <c r="D236" s="3" t="s">
        <v>5</v>
      </c>
      <c r="E236" s="22">
        <v>45429</v>
      </c>
    </row>
    <row r="237" spans="2:6" ht="15.6">
      <c r="B237" s="3" t="s">
        <v>3</v>
      </c>
    </row>
    <row r="238" spans="2:6" ht="15.6">
      <c r="B238" s="3" t="s">
        <v>4</v>
      </c>
    </row>
    <row r="239" spans="2:6" ht="15" thickBot="1"/>
    <row r="240" spans="2:6" ht="16.2" thickBot="1">
      <c r="B240" s="10" t="s">
        <v>6</v>
      </c>
      <c r="C240" s="10" t="s">
        <v>7</v>
      </c>
      <c r="D240" s="4" t="s">
        <v>8</v>
      </c>
      <c r="E240" s="10" t="s">
        <v>9</v>
      </c>
      <c r="F240" s="5" t="s">
        <v>10</v>
      </c>
    </row>
    <row r="241" spans="2:6" ht="15" thickBot="1">
      <c r="B241" s="54"/>
      <c r="F241" s="55"/>
    </row>
    <row r="242" spans="2:6" ht="18" thickBot="1">
      <c r="B242" s="37">
        <v>1</v>
      </c>
      <c r="C242" s="52" t="s">
        <v>617</v>
      </c>
      <c r="D242" s="37">
        <v>2100</v>
      </c>
      <c r="E242" s="37">
        <v>2</v>
      </c>
      <c r="F242" s="37">
        <f>D242*E242</f>
        <v>4200</v>
      </c>
    </row>
    <row r="243" spans="2:6" ht="18" thickBot="1">
      <c r="B243" s="37">
        <v>2</v>
      </c>
      <c r="C243" s="52" t="s">
        <v>618</v>
      </c>
      <c r="D243" s="37">
        <v>1470</v>
      </c>
      <c r="E243" s="37">
        <v>1</v>
      </c>
      <c r="F243" s="37">
        <f t="shared" ref="F243:F244" si="12">D243*E243</f>
        <v>1470</v>
      </c>
    </row>
    <row r="244" spans="2:6" ht="18" thickBot="1">
      <c r="B244" s="37"/>
      <c r="C244" s="113"/>
      <c r="D244" s="37"/>
      <c r="E244" s="37"/>
      <c r="F244" s="37">
        <f t="shared" si="12"/>
        <v>0</v>
      </c>
    </row>
    <row r="245" spans="2:6" ht="15" thickBot="1">
      <c r="B245" s="37"/>
      <c r="C245" s="37"/>
      <c r="D245" s="37"/>
      <c r="E245" s="37"/>
      <c r="F245" s="37"/>
    </row>
    <row r="246" spans="2:6" ht="15" thickBot="1">
      <c r="B246" s="37"/>
      <c r="C246" s="37"/>
      <c r="D246" s="37"/>
      <c r="E246" s="37"/>
      <c r="F246" s="37"/>
    </row>
    <row r="247" spans="2:6" ht="18" thickBot="1">
      <c r="B247" s="591" t="s">
        <v>11</v>
      </c>
      <c r="C247" s="592"/>
      <c r="D247" s="593"/>
      <c r="E247" s="594"/>
      <c r="F247" s="9">
        <f>SUM(F242:F246)</f>
        <v>5670</v>
      </c>
    </row>
    <row r="250" spans="2:6" ht="15.6">
      <c r="B250" s="3" t="s">
        <v>1</v>
      </c>
      <c r="C250" s="1" t="s">
        <v>619</v>
      </c>
    </row>
    <row r="252" spans="2:6" ht="15.6">
      <c r="B252" s="3" t="s">
        <v>2</v>
      </c>
      <c r="C252" s="34" t="s">
        <v>90</v>
      </c>
      <c r="D252" s="3" t="s">
        <v>5</v>
      </c>
      <c r="E252" s="22">
        <v>45430</v>
      </c>
    </row>
    <row r="253" spans="2:6" ht="15.6">
      <c r="B253" s="3" t="s">
        <v>3</v>
      </c>
    </row>
    <row r="254" spans="2:6" ht="15.6">
      <c r="B254" s="3" t="s">
        <v>4</v>
      </c>
    </row>
    <row r="255" spans="2:6" ht="15" thickBot="1"/>
    <row r="256" spans="2:6" ht="16.2" thickBot="1">
      <c r="B256" s="10" t="s">
        <v>6</v>
      </c>
      <c r="C256" s="10" t="s">
        <v>7</v>
      </c>
      <c r="D256" s="4" t="s">
        <v>8</v>
      </c>
      <c r="E256" s="10" t="s">
        <v>9</v>
      </c>
      <c r="F256" s="5" t="s">
        <v>10</v>
      </c>
    </row>
    <row r="257" spans="2:6" ht="15" thickBot="1">
      <c r="B257" s="54"/>
      <c r="F257" s="55"/>
    </row>
    <row r="258" spans="2:6" ht="18" thickBot="1">
      <c r="B258" s="37">
        <v>1</v>
      </c>
      <c r="C258" s="52" t="s">
        <v>617</v>
      </c>
      <c r="D258" s="37">
        <v>1650</v>
      </c>
      <c r="E258" s="37">
        <v>8</v>
      </c>
      <c r="F258" s="37">
        <f>D258*E258</f>
        <v>13200</v>
      </c>
    </row>
    <row r="259" spans="2:6" ht="18" thickBot="1">
      <c r="B259" s="37">
        <v>2</v>
      </c>
      <c r="C259" s="52" t="s">
        <v>620</v>
      </c>
      <c r="D259" s="37">
        <v>1550</v>
      </c>
      <c r="E259" s="37">
        <v>2</v>
      </c>
      <c r="F259" s="37">
        <f t="shared" ref="F259:F260" si="13">D259*E259</f>
        <v>3100</v>
      </c>
    </row>
    <row r="260" spans="2:6" ht="18" thickBot="1">
      <c r="B260" s="37"/>
      <c r="C260" s="113"/>
      <c r="D260" s="37"/>
      <c r="E260" s="37"/>
      <c r="F260" s="37">
        <f t="shared" si="13"/>
        <v>0</v>
      </c>
    </row>
    <row r="261" spans="2:6" ht="15" thickBot="1">
      <c r="B261" s="37"/>
      <c r="C261" s="37"/>
      <c r="D261" s="37"/>
      <c r="E261" s="37"/>
      <c r="F261" s="37"/>
    </row>
    <row r="262" spans="2:6" ht="15" thickBot="1">
      <c r="B262" s="37"/>
      <c r="C262" s="37"/>
      <c r="D262" s="37"/>
      <c r="E262" s="37"/>
      <c r="F262" s="37"/>
    </row>
    <row r="263" spans="2:6" ht="18" thickBot="1">
      <c r="B263" s="591" t="s">
        <v>11</v>
      </c>
      <c r="C263" s="592"/>
      <c r="D263" s="593"/>
      <c r="E263" s="594"/>
      <c r="F263" s="9">
        <f>SUM(F258:F262)</f>
        <v>16300</v>
      </c>
    </row>
    <row r="267" spans="2:6" ht="15.6">
      <c r="B267" s="3" t="s">
        <v>1</v>
      </c>
      <c r="C267" s="1" t="s">
        <v>623</v>
      </c>
    </row>
    <row r="269" spans="2:6" ht="15.6">
      <c r="B269" s="3" t="s">
        <v>2</v>
      </c>
      <c r="C269" s="34" t="s">
        <v>624</v>
      </c>
      <c r="D269" s="3" t="s">
        <v>5</v>
      </c>
      <c r="E269" s="22">
        <v>45430</v>
      </c>
    </row>
    <row r="270" spans="2:6" ht="15.6">
      <c r="B270" s="3" t="s">
        <v>3</v>
      </c>
    </row>
    <row r="271" spans="2:6" ht="15.6">
      <c r="B271" s="3" t="s">
        <v>4</v>
      </c>
    </row>
    <row r="272" spans="2:6" ht="15" thickBot="1"/>
    <row r="273" spans="2:6" ht="16.2" thickBot="1">
      <c r="B273" s="10" t="s">
        <v>6</v>
      </c>
      <c r="C273" s="10" t="s">
        <v>7</v>
      </c>
      <c r="D273" s="4" t="s">
        <v>8</v>
      </c>
      <c r="E273" s="10" t="s">
        <v>9</v>
      </c>
      <c r="F273" s="5" t="s">
        <v>10</v>
      </c>
    </row>
    <row r="274" spans="2:6" ht="15" thickBot="1">
      <c r="B274" s="54"/>
      <c r="F274" s="55"/>
    </row>
    <row r="275" spans="2:6" ht="18" thickBot="1">
      <c r="B275" s="37">
        <v>1</v>
      </c>
      <c r="C275" s="52" t="s">
        <v>583</v>
      </c>
      <c r="D275" s="37">
        <v>950</v>
      </c>
      <c r="E275" s="37">
        <v>10</v>
      </c>
      <c r="F275" s="37">
        <f>D275*E275</f>
        <v>9500</v>
      </c>
    </row>
    <row r="276" spans="2:6" ht="18" thickBot="1">
      <c r="B276" s="37"/>
      <c r="C276" s="52"/>
      <c r="D276" s="37"/>
      <c r="E276" s="37"/>
      <c r="F276" s="37">
        <f t="shared" ref="F276:F277" si="14">D276*E276</f>
        <v>0</v>
      </c>
    </row>
    <row r="277" spans="2:6" ht="18" thickBot="1">
      <c r="B277" s="37"/>
      <c r="C277" s="113"/>
      <c r="D277" s="37"/>
      <c r="E277" s="37"/>
      <c r="F277" s="37">
        <f t="shared" si="14"/>
        <v>0</v>
      </c>
    </row>
    <row r="278" spans="2:6" ht="15" thickBot="1">
      <c r="B278" s="37"/>
      <c r="C278" s="37"/>
      <c r="D278" s="37"/>
      <c r="E278" s="37"/>
      <c r="F278" s="37"/>
    </row>
    <row r="279" spans="2:6" ht="15" thickBot="1">
      <c r="B279" s="37"/>
      <c r="C279" s="37"/>
      <c r="D279" s="37"/>
      <c r="E279" s="37"/>
      <c r="F279" s="37"/>
    </row>
    <row r="280" spans="2:6" ht="18" thickBot="1">
      <c r="B280" s="591" t="s">
        <v>11</v>
      </c>
      <c r="C280" s="592"/>
      <c r="D280" s="593"/>
      <c r="E280" s="594"/>
      <c r="F280" s="9">
        <f>SUM(F275:F279)</f>
        <v>9500</v>
      </c>
    </row>
    <row r="281" spans="2:6" ht="18" thickBot="1">
      <c r="B281" s="591" t="s">
        <v>11</v>
      </c>
      <c r="C281" s="592"/>
      <c r="D281" s="593"/>
      <c r="E281" s="594"/>
      <c r="F281" s="9">
        <f>SUM(F276:F280)</f>
        <v>9500</v>
      </c>
    </row>
    <row r="284" spans="2:6" ht="15.6">
      <c r="B284" s="3" t="s">
        <v>1</v>
      </c>
      <c r="C284" s="1" t="s">
        <v>623</v>
      </c>
      <c r="E284" s="22"/>
    </row>
    <row r="286" spans="2:6" ht="15.6">
      <c r="B286" s="3" t="s">
        <v>2</v>
      </c>
      <c r="C286" s="34" t="s">
        <v>624</v>
      </c>
      <c r="D286" s="3" t="s">
        <v>5</v>
      </c>
      <c r="E286" s="22">
        <v>45430</v>
      </c>
    </row>
    <row r="287" spans="2:6" ht="15.6">
      <c r="B287" s="3" t="s">
        <v>3</v>
      </c>
    </row>
    <row r="288" spans="2:6" ht="15.6">
      <c r="B288" s="3" t="s">
        <v>4</v>
      </c>
    </row>
    <row r="289" spans="2:6" ht="15" thickBot="1"/>
    <row r="290" spans="2:6" ht="16.2" thickBot="1">
      <c r="B290" s="10" t="s">
        <v>6</v>
      </c>
      <c r="C290" s="10" t="s">
        <v>7</v>
      </c>
      <c r="D290" s="4" t="s">
        <v>8</v>
      </c>
      <c r="E290" s="10" t="s">
        <v>9</v>
      </c>
      <c r="F290" s="5" t="s">
        <v>10</v>
      </c>
    </row>
    <row r="291" spans="2:6" ht="15" thickBot="1">
      <c r="B291" s="54"/>
      <c r="F291" s="55"/>
    </row>
    <row r="292" spans="2:6" ht="18" thickBot="1">
      <c r="B292" s="37">
        <v>1</v>
      </c>
      <c r="C292" s="52" t="s">
        <v>583</v>
      </c>
      <c r="D292" s="37">
        <v>950</v>
      </c>
      <c r="E292" s="37">
        <v>10</v>
      </c>
      <c r="F292" s="37">
        <f>D292*E292</f>
        <v>9500</v>
      </c>
    </row>
    <row r="293" spans="2:6" ht="18" thickBot="1">
      <c r="B293" s="37"/>
      <c r="C293" s="52"/>
      <c r="D293" s="37"/>
      <c r="E293" s="37"/>
      <c r="F293" s="37">
        <f t="shared" ref="F293:F294" si="15">D293*E293</f>
        <v>0</v>
      </c>
    </row>
    <row r="294" spans="2:6" ht="18" thickBot="1">
      <c r="B294" s="37"/>
      <c r="C294" s="113"/>
      <c r="D294" s="37"/>
      <c r="E294" s="37"/>
      <c r="F294" s="37">
        <f t="shared" si="15"/>
        <v>0</v>
      </c>
    </row>
    <row r="295" spans="2:6" ht="15" thickBot="1">
      <c r="B295" s="37"/>
      <c r="C295" s="37"/>
      <c r="D295" s="37"/>
      <c r="E295" s="37"/>
      <c r="F295" s="37"/>
    </row>
    <row r="296" spans="2:6" ht="15" thickBot="1">
      <c r="B296" s="37"/>
      <c r="C296" s="37"/>
      <c r="D296" s="37"/>
      <c r="E296" s="37"/>
      <c r="F296" s="37"/>
    </row>
    <row r="297" spans="2:6" ht="15" thickBot="1"/>
    <row r="298" spans="2:6" ht="26.4" thickBot="1">
      <c r="B298" s="603" t="s">
        <v>299</v>
      </c>
      <c r="C298" s="604"/>
      <c r="D298" s="604"/>
      <c r="E298" s="604"/>
      <c r="F298" s="605"/>
    </row>
    <row r="300" spans="2:6" ht="15.6">
      <c r="B300" s="3" t="s">
        <v>1</v>
      </c>
      <c r="C300" s="1" t="s">
        <v>629</v>
      </c>
    </row>
    <row r="302" spans="2:6" ht="15.6">
      <c r="B302" s="3" t="s">
        <v>2</v>
      </c>
      <c r="C302" s="34" t="s">
        <v>90</v>
      </c>
      <c r="D302" s="3" t="s">
        <v>5</v>
      </c>
      <c r="E302" s="22">
        <v>45432</v>
      </c>
    </row>
    <row r="303" spans="2:6" ht="15.6">
      <c r="B303" s="3" t="s">
        <v>3</v>
      </c>
    </row>
    <row r="304" spans="2:6" ht="15.6">
      <c r="B304" s="3" t="s">
        <v>4</v>
      </c>
    </row>
    <row r="305" spans="2:6" ht="15" thickBot="1"/>
    <row r="306" spans="2:6" ht="16.2" thickBot="1">
      <c r="B306" s="10" t="s">
        <v>6</v>
      </c>
      <c r="C306" s="10" t="s">
        <v>7</v>
      </c>
      <c r="D306" s="4" t="s">
        <v>8</v>
      </c>
      <c r="E306" s="10" t="s">
        <v>9</v>
      </c>
      <c r="F306" s="5" t="s">
        <v>10</v>
      </c>
    </row>
    <row r="307" spans="2:6" ht="15" thickBot="1">
      <c r="B307" s="54"/>
      <c r="F307" s="55"/>
    </row>
    <row r="308" spans="2:6" ht="18" thickBot="1">
      <c r="B308" s="37">
        <v>1</v>
      </c>
      <c r="C308" s="52" t="s">
        <v>301</v>
      </c>
      <c r="D308" s="37">
        <v>-1650</v>
      </c>
      <c r="E308" s="37">
        <v>1</v>
      </c>
      <c r="F308" s="37">
        <f>D308*E308</f>
        <v>-1650</v>
      </c>
    </row>
    <row r="309" spans="2:6" ht="18" thickBot="1">
      <c r="B309" s="37"/>
      <c r="C309" s="53"/>
      <c r="D309" s="37"/>
      <c r="E309" s="37"/>
      <c r="F309" s="37">
        <f t="shared" ref="F309:F310" si="16">D309*E309</f>
        <v>0</v>
      </c>
    </row>
    <row r="310" spans="2:6" ht="18" thickBot="1">
      <c r="B310" s="37"/>
      <c r="C310" s="113"/>
      <c r="D310" s="37"/>
      <c r="E310" s="37"/>
      <c r="F310" s="37">
        <f t="shared" si="16"/>
        <v>0</v>
      </c>
    </row>
    <row r="311" spans="2:6" ht="15" thickBot="1">
      <c r="B311" s="37"/>
      <c r="C311" s="37"/>
      <c r="D311" s="37"/>
      <c r="E311" s="37"/>
      <c r="F311" s="37"/>
    </row>
    <row r="312" spans="2:6" ht="15" thickBot="1">
      <c r="B312" s="37"/>
      <c r="C312" s="37"/>
      <c r="D312" s="37"/>
      <c r="E312" s="37"/>
      <c r="F312" s="37"/>
    </row>
    <row r="313" spans="2:6" ht="18" thickBot="1">
      <c r="B313" s="591" t="s">
        <v>11</v>
      </c>
      <c r="C313" s="592"/>
      <c r="D313" s="593"/>
      <c r="E313" s="594"/>
      <c r="F313" s="9">
        <f>SUM(F308:F312)</f>
        <v>-1650</v>
      </c>
    </row>
    <row r="316" spans="2:6" ht="15.6">
      <c r="B316" s="3" t="s">
        <v>1</v>
      </c>
      <c r="C316" s="1" t="s">
        <v>652</v>
      </c>
    </row>
    <row r="318" spans="2:6" ht="15.6">
      <c r="B318" s="3" t="s">
        <v>2</v>
      </c>
      <c r="C318" s="34" t="s">
        <v>90</v>
      </c>
      <c r="D318" s="3" t="s">
        <v>5</v>
      </c>
      <c r="E318" s="22">
        <v>45435</v>
      </c>
    </row>
    <row r="319" spans="2:6" ht="15.6">
      <c r="B319" s="3" t="s">
        <v>3</v>
      </c>
    </row>
    <row r="320" spans="2:6" ht="15.6">
      <c r="B320" s="3" t="s">
        <v>4</v>
      </c>
    </row>
    <row r="321" spans="2:6" ht="15" thickBot="1"/>
    <row r="322" spans="2:6" ht="16.2" thickBot="1">
      <c r="B322" s="10" t="s">
        <v>6</v>
      </c>
      <c r="C322" s="10" t="s">
        <v>7</v>
      </c>
      <c r="D322" s="4" t="s">
        <v>8</v>
      </c>
      <c r="E322" s="10" t="s">
        <v>9</v>
      </c>
      <c r="F322" s="5" t="s">
        <v>10</v>
      </c>
    </row>
    <row r="323" spans="2:6" ht="15" thickBot="1">
      <c r="B323" s="54"/>
      <c r="F323" s="55"/>
    </row>
    <row r="324" spans="2:6" ht="18" thickBot="1">
      <c r="B324" s="37">
        <v>1</v>
      </c>
      <c r="C324" s="52" t="s">
        <v>617</v>
      </c>
      <c r="D324" s="37">
        <v>2100</v>
      </c>
      <c r="E324" s="37">
        <v>-1</v>
      </c>
      <c r="F324" s="37">
        <f>D324*E324</f>
        <v>-2100</v>
      </c>
    </row>
    <row r="325" spans="2:6" ht="18" thickBot="1">
      <c r="B325" s="37"/>
      <c r="C325" s="52"/>
      <c r="D325" s="37"/>
      <c r="E325" s="37"/>
      <c r="F325" s="37"/>
    </row>
    <row r="326" spans="2:6" ht="18" thickBot="1">
      <c r="B326" s="37"/>
      <c r="C326" s="113"/>
      <c r="D326" s="37"/>
      <c r="E326" s="37"/>
      <c r="F326" s="37"/>
    </row>
    <row r="327" spans="2:6" ht="15" thickBot="1">
      <c r="B327" s="37"/>
      <c r="C327" s="37"/>
      <c r="D327" s="37"/>
      <c r="E327" s="37"/>
      <c r="F327" s="37"/>
    </row>
    <row r="328" spans="2:6" ht="15" thickBot="1">
      <c r="B328" s="37"/>
      <c r="C328" s="37"/>
      <c r="D328" s="37"/>
      <c r="E328" s="37"/>
      <c r="F328" s="37"/>
    </row>
    <row r="329" spans="2:6" ht="18" thickBot="1">
      <c r="B329" s="591" t="s">
        <v>11</v>
      </c>
      <c r="C329" s="592"/>
      <c r="D329" s="593"/>
      <c r="E329" s="594"/>
      <c r="F329" s="9">
        <f>SUM(F324:F328)</f>
        <v>-2100</v>
      </c>
    </row>
    <row r="332" spans="2:6" ht="15.6">
      <c r="B332" s="3" t="s">
        <v>1</v>
      </c>
      <c r="C332" s="1" t="s">
        <v>655</v>
      </c>
    </row>
    <row r="334" spans="2:6" ht="15.6">
      <c r="B334" s="3" t="s">
        <v>2</v>
      </c>
      <c r="C334" s="34" t="s">
        <v>90</v>
      </c>
      <c r="D334" s="3" t="s">
        <v>5</v>
      </c>
      <c r="E334" s="22">
        <v>45437</v>
      </c>
    </row>
    <row r="335" spans="2:6" ht="15.6">
      <c r="B335" s="3" t="s">
        <v>3</v>
      </c>
    </row>
    <row r="336" spans="2:6" ht="15.6">
      <c r="B336" s="3" t="s">
        <v>4</v>
      </c>
    </row>
    <row r="337" spans="2:11" ht="15" thickBot="1"/>
    <row r="338" spans="2:11" ht="16.2" thickBot="1">
      <c r="B338" s="10" t="s">
        <v>6</v>
      </c>
      <c r="C338" s="10" t="s">
        <v>7</v>
      </c>
      <c r="D338" s="4" t="s">
        <v>8</v>
      </c>
      <c r="E338" s="10" t="s">
        <v>9</v>
      </c>
      <c r="F338" s="5" t="s">
        <v>10</v>
      </c>
    </row>
    <row r="339" spans="2:11" ht="15" thickBot="1">
      <c r="B339" s="54"/>
      <c r="F339" s="55"/>
    </row>
    <row r="340" spans="2:11" ht="18" thickBot="1">
      <c r="B340" s="37">
        <v>1</v>
      </c>
      <c r="C340" s="52" t="s">
        <v>476</v>
      </c>
      <c r="D340" s="37">
        <v>1000</v>
      </c>
      <c r="E340" s="37">
        <v>21</v>
      </c>
      <c r="F340" s="37">
        <f>D340*E340</f>
        <v>21000</v>
      </c>
    </row>
    <row r="341" spans="2:11" ht="18" thickBot="1">
      <c r="B341" s="37">
        <v>2</v>
      </c>
      <c r="C341" s="52" t="s">
        <v>476</v>
      </c>
      <c r="D341" s="37">
        <v>850</v>
      </c>
      <c r="E341" s="37">
        <v>2</v>
      </c>
      <c r="F341" s="37">
        <f>D341*E341</f>
        <v>1700</v>
      </c>
    </row>
    <row r="342" spans="2:11" ht="18" thickBot="1">
      <c r="B342" s="37"/>
      <c r="C342" s="113"/>
      <c r="D342" s="37"/>
      <c r="E342" s="37"/>
      <c r="F342" s="37"/>
    </row>
    <row r="343" spans="2:11" ht="15" thickBot="1">
      <c r="B343" s="37"/>
      <c r="C343" s="37"/>
      <c r="D343" s="37"/>
      <c r="E343" s="37"/>
      <c r="F343" s="37"/>
    </row>
    <row r="344" spans="2:11" ht="15" thickBot="1">
      <c r="B344" s="37"/>
      <c r="C344" s="37"/>
      <c r="D344" s="37"/>
      <c r="E344" s="37"/>
      <c r="F344" s="37"/>
    </row>
    <row r="345" spans="2:11" ht="18" thickBot="1">
      <c r="B345" s="591" t="s">
        <v>11</v>
      </c>
      <c r="C345" s="592"/>
      <c r="D345" s="593"/>
      <c r="E345" s="594"/>
      <c r="F345" s="9">
        <f>SUM(F340:F344)</f>
        <v>22700</v>
      </c>
    </row>
    <row r="348" spans="2:11" ht="15.6">
      <c r="B348" s="3" t="s">
        <v>1</v>
      </c>
      <c r="C348" s="1" t="s">
        <v>661</v>
      </c>
    </row>
    <row r="350" spans="2:11" ht="15.6">
      <c r="B350" s="3" t="s">
        <v>2</v>
      </c>
      <c r="C350" s="34" t="s">
        <v>662</v>
      </c>
      <c r="D350" s="3" t="s">
        <v>5</v>
      </c>
      <c r="E350" s="22">
        <v>45440</v>
      </c>
    </row>
    <row r="351" spans="2:11" ht="15.6">
      <c r="B351" s="3" t="s">
        <v>3</v>
      </c>
    </row>
    <row r="352" spans="2:11" ht="15.6">
      <c r="B352" s="3" t="s">
        <v>4</v>
      </c>
      <c r="I352" s="1" t="s">
        <v>666</v>
      </c>
      <c r="J352" s="227">
        <v>353046091353546</v>
      </c>
      <c r="K352" s="1" t="s">
        <v>665</v>
      </c>
    </row>
    <row r="353" spans="2:10" ht="15" thickBot="1">
      <c r="I353" s="1" t="s">
        <v>666</v>
      </c>
      <c r="J353" s="227">
        <v>359404087683604</v>
      </c>
    </row>
    <row r="354" spans="2:10" ht="16.2" thickBot="1">
      <c r="B354" s="10" t="s">
        <v>6</v>
      </c>
      <c r="C354" s="10" t="s">
        <v>7</v>
      </c>
      <c r="D354" s="4" t="s">
        <v>8</v>
      </c>
      <c r="E354" s="10" t="s">
        <v>9</v>
      </c>
      <c r="F354" s="5" t="s">
        <v>10</v>
      </c>
      <c r="I354" s="1" t="s">
        <v>666</v>
      </c>
      <c r="J354" s="227">
        <v>353039097229232</v>
      </c>
    </row>
    <row r="355" spans="2:10" ht="15" thickBot="1">
      <c r="B355" s="54"/>
      <c r="F355" s="55"/>
      <c r="I355" s="1" t="s">
        <v>666</v>
      </c>
      <c r="J355" s="227">
        <v>354859092453506</v>
      </c>
    </row>
    <row r="356" spans="2:10" ht="18" thickBot="1">
      <c r="B356" s="37">
        <v>1</v>
      </c>
      <c r="C356" s="52" t="s">
        <v>664</v>
      </c>
      <c r="D356" s="37">
        <v>0</v>
      </c>
      <c r="E356" s="37">
        <v>6</v>
      </c>
      <c r="F356" s="37">
        <f>D356*E356</f>
        <v>0</v>
      </c>
      <c r="I356" s="1" t="s">
        <v>666</v>
      </c>
      <c r="J356" s="227">
        <v>353043097485828</v>
      </c>
    </row>
    <row r="357" spans="2:10" ht="18" thickBot="1">
      <c r="B357" s="37">
        <v>2</v>
      </c>
      <c r="C357" s="52" t="s">
        <v>663</v>
      </c>
      <c r="D357" s="37">
        <v>0</v>
      </c>
      <c r="E357" s="37">
        <v>1</v>
      </c>
      <c r="F357" s="37">
        <f>D357*E357</f>
        <v>0</v>
      </c>
      <c r="I357" s="1" t="s">
        <v>666</v>
      </c>
      <c r="J357" s="227">
        <v>354876095249897</v>
      </c>
    </row>
    <row r="358" spans="2:10" ht="18" thickBot="1">
      <c r="B358" s="37"/>
      <c r="C358" s="113"/>
      <c r="D358" s="37"/>
      <c r="E358" s="37"/>
      <c r="F358" s="37"/>
      <c r="J358" s="227"/>
    </row>
    <row r="359" spans="2:10" ht="15" thickBot="1">
      <c r="B359" s="37"/>
      <c r="C359" s="37"/>
      <c r="D359" s="37"/>
      <c r="E359" s="37"/>
      <c r="F359" s="37"/>
      <c r="I359" s="1" t="s">
        <v>667</v>
      </c>
      <c r="J359" s="227">
        <v>359371603360993</v>
      </c>
    </row>
    <row r="360" spans="2:10" ht="15" thickBot="1">
      <c r="B360" s="37"/>
      <c r="C360" s="37"/>
      <c r="D360" s="37"/>
      <c r="E360" s="37"/>
      <c r="F360" s="37"/>
      <c r="J360" s="227"/>
    </row>
    <row r="361" spans="2:10" ht="18" thickBot="1">
      <c r="B361" s="591" t="s">
        <v>11</v>
      </c>
      <c r="C361" s="592"/>
      <c r="D361" s="593"/>
      <c r="E361" s="594"/>
      <c r="F361" s="9">
        <f>SUM(F356:F360)</f>
        <v>0</v>
      </c>
      <c r="G361" s="229" t="s">
        <v>567</v>
      </c>
      <c r="J361" s="227"/>
    </row>
    <row r="362" spans="2:10">
      <c r="J362" s="226"/>
    </row>
    <row r="363" spans="2:10">
      <c r="J363" s="226"/>
    </row>
    <row r="364" spans="2:10">
      <c r="J364" s="226"/>
    </row>
    <row r="365" spans="2:10" ht="15.6">
      <c r="B365" s="3" t="s">
        <v>1</v>
      </c>
      <c r="C365" s="1" t="s">
        <v>676</v>
      </c>
      <c r="J365" s="226"/>
    </row>
    <row r="367" spans="2:10" ht="15.6">
      <c r="B367" s="3" t="s">
        <v>2</v>
      </c>
      <c r="C367" s="34" t="s">
        <v>90</v>
      </c>
      <c r="D367" s="3" t="s">
        <v>5</v>
      </c>
      <c r="E367" s="22">
        <v>45441</v>
      </c>
    </row>
    <row r="368" spans="2:10" ht="15.6">
      <c r="B368" s="3" t="s">
        <v>3</v>
      </c>
    </row>
    <row r="369" spans="2:6" ht="15.6">
      <c r="B369" s="3" t="s">
        <v>4</v>
      </c>
    </row>
    <row r="370" spans="2:6" ht="15" thickBot="1"/>
    <row r="371" spans="2:6" ht="16.2" thickBot="1">
      <c r="B371" s="10" t="s">
        <v>6</v>
      </c>
      <c r="C371" s="10" t="s">
        <v>7</v>
      </c>
      <c r="D371" s="4" t="s">
        <v>8</v>
      </c>
      <c r="E371" s="10" t="s">
        <v>9</v>
      </c>
      <c r="F371" s="5" t="s">
        <v>10</v>
      </c>
    </row>
    <row r="372" spans="2:6" ht="15" thickBot="1">
      <c r="B372" s="54"/>
      <c r="F372" s="55"/>
    </row>
    <row r="373" spans="2:6" ht="18" thickBot="1">
      <c r="B373" s="37">
        <v>1</v>
      </c>
      <c r="C373" s="52" t="s">
        <v>571</v>
      </c>
      <c r="D373" s="37">
        <v>1100</v>
      </c>
      <c r="E373" s="37">
        <v>2</v>
      </c>
      <c r="F373" s="37">
        <f>D373*E373</f>
        <v>2200</v>
      </c>
    </row>
    <row r="374" spans="2:6" ht="18" thickBot="1">
      <c r="B374" s="37">
        <v>2</v>
      </c>
      <c r="C374" s="52" t="s">
        <v>572</v>
      </c>
      <c r="D374" s="111">
        <v>1620</v>
      </c>
      <c r="E374" s="37">
        <v>2</v>
      </c>
      <c r="F374" s="37">
        <f>D374*E374</f>
        <v>3240</v>
      </c>
    </row>
    <row r="375" spans="2:6" ht="18" thickBot="1">
      <c r="B375" s="37">
        <v>3</v>
      </c>
      <c r="C375" s="52" t="s">
        <v>572</v>
      </c>
      <c r="D375" s="37">
        <v>1640</v>
      </c>
      <c r="E375" s="37">
        <v>18</v>
      </c>
      <c r="F375" s="37">
        <f>D375*E375</f>
        <v>29520</v>
      </c>
    </row>
    <row r="376" spans="2:6" ht="15" thickBot="1">
      <c r="B376" s="37"/>
      <c r="C376" s="37"/>
      <c r="D376" s="37"/>
      <c r="E376" s="37"/>
      <c r="F376" s="37"/>
    </row>
    <row r="377" spans="2:6" ht="15" thickBot="1">
      <c r="B377" s="37"/>
      <c r="C377" s="37"/>
      <c r="D377" s="37"/>
      <c r="E377" s="37"/>
      <c r="F377" s="37"/>
    </row>
    <row r="378" spans="2:6" ht="18" thickBot="1">
      <c r="B378" s="591" t="s">
        <v>11</v>
      </c>
      <c r="C378" s="592"/>
      <c r="D378" s="593"/>
      <c r="E378" s="594"/>
      <c r="F378" s="9">
        <f>SUM(F373:F377)</f>
        <v>34960</v>
      </c>
    </row>
    <row r="381" spans="2:6" ht="15.6">
      <c r="B381" s="3" t="s">
        <v>1</v>
      </c>
      <c r="C381" s="1" t="s">
        <v>680</v>
      </c>
    </row>
    <row r="383" spans="2:6" ht="15.6">
      <c r="B383" s="3" t="s">
        <v>2</v>
      </c>
      <c r="C383" s="34" t="s">
        <v>681</v>
      </c>
      <c r="D383" s="3" t="s">
        <v>5</v>
      </c>
      <c r="E383" s="22">
        <v>45441</v>
      </c>
    </row>
    <row r="384" spans="2:6" ht="15.6">
      <c r="B384" s="3" t="s">
        <v>3</v>
      </c>
    </row>
    <row r="385" spans="2:6" ht="15.6">
      <c r="B385" s="3" t="s">
        <v>4</v>
      </c>
    </row>
    <row r="386" spans="2:6" ht="15" thickBot="1"/>
    <row r="387" spans="2:6" ht="16.2" thickBot="1">
      <c r="B387" s="10" t="s">
        <v>6</v>
      </c>
      <c r="C387" s="10" t="s">
        <v>7</v>
      </c>
      <c r="D387" s="4" t="s">
        <v>8</v>
      </c>
      <c r="E387" s="10" t="s">
        <v>9</v>
      </c>
      <c r="F387" s="5" t="s">
        <v>10</v>
      </c>
    </row>
    <row r="388" spans="2:6" ht="15" thickBot="1">
      <c r="B388" s="54"/>
      <c r="F388" s="55"/>
    </row>
    <row r="389" spans="2:6" ht="18" thickBot="1">
      <c r="B389" s="37">
        <v>1</v>
      </c>
      <c r="C389" s="52" t="s">
        <v>572</v>
      </c>
      <c r="D389" s="37">
        <v>1700</v>
      </c>
      <c r="E389" s="37">
        <v>1</v>
      </c>
      <c r="F389" s="37">
        <f>D389*E389</f>
        <v>1700</v>
      </c>
    </row>
    <row r="390" spans="2:6" ht="18" thickBot="1">
      <c r="B390" s="37">
        <v>2</v>
      </c>
      <c r="C390" s="52" t="s">
        <v>572</v>
      </c>
      <c r="D390" s="111">
        <v>1640</v>
      </c>
      <c r="E390" s="37">
        <v>15</v>
      </c>
      <c r="F390" s="37">
        <f>D390*E390</f>
        <v>24600</v>
      </c>
    </row>
    <row r="391" spans="2:6" ht="18" thickBot="1">
      <c r="B391" s="37"/>
      <c r="C391" s="52"/>
      <c r="D391" s="37"/>
      <c r="E391" s="37"/>
      <c r="F391" s="37">
        <f>D391*E391</f>
        <v>0</v>
      </c>
    </row>
    <row r="392" spans="2:6" ht="15" thickBot="1">
      <c r="B392" s="37"/>
      <c r="C392" s="37"/>
      <c r="D392" s="37"/>
      <c r="E392" s="37"/>
      <c r="F392" s="37"/>
    </row>
    <row r="393" spans="2:6" ht="15" thickBot="1">
      <c r="B393" s="37"/>
      <c r="C393" s="37"/>
      <c r="D393" s="37"/>
      <c r="E393" s="37"/>
      <c r="F393" s="37"/>
    </row>
    <row r="394" spans="2:6" ht="18" thickBot="1">
      <c r="B394" s="591" t="s">
        <v>11</v>
      </c>
      <c r="C394" s="592"/>
      <c r="D394" s="593"/>
      <c r="E394" s="594"/>
      <c r="F394" s="9">
        <f>SUM(F389:F393)</f>
        <v>26300</v>
      </c>
    </row>
    <row r="397" spans="2:6" ht="15.6">
      <c r="B397" s="3" t="s">
        <v>1</v>
      </c>
      <c r="C397" s="1" t="s">
        <v>688</v>
      </c>
    </row>
    <row r="399" spans="2:6" ht="15.6">
      <c r="B399" s="3" t="s">
        <v>2</v>
      </c>
      <c r="C399" s="34" t="s">
        <v>662</v>
      </c>
      <c r="D399" s="3" t="s">
        <v>5</v>
      </c>
      <c r="E399" s="22">
        <v>45442</v>
      </c>
    </row>
    <row r="400" spans="2:6" ht="15.6">
      <c r="B400" s="3" t="s">
        <v>3</v>
      </c>
    </row>
    <row r="401" spans="2:7" ht="15.6">
      <c r="B401" s="3" t="s">
        <v>4</v>
      </c>
    </row>
    <row r="402" spans="2:7" ht="15" thickBot="1"/>
    <row r="403" spans="2:7" ht="16.2" thickBot="1">
      <c r="B403" s="10" t="s">
        <v>6</v>
      </c>
      <c r="C403" s="10" t="s">
        <v>7</v>
      </c>
      <c r="D403" s="4" t="s">
        <v>8</v>
      </c>
      <c r="E403" s="10" t="s">
        <v>9</v>
      </c>
      <c r="F403" s="5" t="s">
        <v>10</v>
      </c>
    </row>
    <row r="404" spans="2:7" ht="15" thickBot="1">
      <c r="B404" s="54"/>
      <c r="F404" s="55"/>
    </row>
    <row r="405" spans="2:7" ht="18" thickBot="1">
      <c r="B405" s="37">
        <v>1</v>
      </c>
      <c r="C405" s="52" t="s">
        <v>689</v>
      </c>
      <c r="D405" s="37">
        <v>273000</v>
      </c>
      <c r="E405" s="37">
        <v>1</v>
      </c>
      <c r="F405" s="37">
        <f>D405*E405</f>
        <v>273000</v>
      </c>
    </row>
    <row r="406" spans="2:7" ht="18" thickBot="1">
      <c r="B406" s="37">
        <v>2</v>
      </c>
      <c r="C406" s="52" t="s">
        <v>695</v>
      </c>
      <c r="D406" s="111">
        <v>12000</v>
      </c>
      <c r="E406" s="37">
        <v>1</v>
      </c>
      <c r="F406" s="37">
        <f>D406*E406</f>
        <v>12000</v>
      </c>
    </row>
    <row r="407" spans="2:7" ht="15" thickBot="1">
      <c r="B407" s="37"/>
      <c r="C407" s="37"/>
      <c r="D407" s="37"/>
      <c r="E407" s="37"/>
      <c r="F407" s="37"/>
    </row>
    <row r="408" spans="2:7" ht="15" thickBot="1">
      <c r="B408" s="37"/>
      <c r="C408" s="37"/>
      <c r="D408" s="37"/>
      <c r="E408" s="37"/>
      <c r="F408" s="37"/>
    </row>
    <row r="409" spans="2:7" ht="18" thickBot="1">
      <c r="B409" s="591" t="s">
        <v>11</v>
      </c>
      <c r="C409" s="592"/>
      <c r="D409" s="593"/>
      <c r="E409" s="594"/>
      <c r="F409" s="9">
        <f>SUM(F405:F408)</f>
        <v>285000</v>
      </c>
      <c r="G409" s="229" t="s">
        <v>567</v>
      </c>
    </row>
    <row r="412" spans="2:7" ht="15.6">
      <c r="B412" s="3" t="s">
        <v>1</v>
      </c>
      <c r="C412" s="1" t="s">
        <v>690</v>
      </c>
    </row>
    <row r="414" spans="2:7" ht="15.6">
      <c r="B414" s="3" t="s">
        <v>2</v>
      </c>
      <c r="C414" s="34" t="s">
        <v>662</v>
      </c>
      <c r="D414" s="3" t="s">
        <v>5</v>
      </c>
      <c r="E414" s="22">
        <v>45442</v>
      </c>
    </row>
    <row r="415" spans="2:7" ht="15.6">
      <c r="B415" s="3" t="s">
        <v>3</v>
      </c>
    </row>
    <row r="416" spans="2:7" ht="15.6">
      <c r="B416" s="3" t="s">
        <v>4</v>
      </c>
    </row>
    <row r="417" spans="2:7" ht="15" thickBot="1"/>
    <row r="418" spans="2:7" ht="16.2" thickBot="1">
      <c r="B418" s="10" t="s">
        <v>6</v>
      </c>
      <c r="C418" s="10" t="s">
        <v>7</v>
      </c>
      <c r="D418" s="4" t="s">
        <v>8</v>
      </c>
      <c r="E418" s="10" t="s">
        <v>9</v>
      </c>
      <c r="F418" s="5" t="s">
        <v>10</v>
      </c>
    </row>
    <row r="419" spans="2:7" ht="15" thickBot="1">
      <c r="B419" s="54"/>
      <c r="F419" s="55"/>
    </row>
    <row r="420" spans="2:7" ht="18" thickBot="1">
      <c r="B420" s="37">
        <v>1</v>
      </c>
      <c r="C420" s="52" t="s">
        <v>691</v>
      </c>
      <c r="D420" s="37">
        <f>1660*76.8+12000</f>
        <v>139488</v>
      </c>
      <c r="E420" s="37">
        <v>3</v>
      </c>
      <c r="F420" s="37">
        <f>D420*E420</f>
        <v>418464</v>
      </c>
    </row>
    <row r="421" spans="2:7" ht="18" thickBot="1">
      <c r="B421" s="37">
        <v>2</v>
      </c>
      <c r="C421" s="52" t="s">
        <v>692</v>
      </c>
      <c r="D421" s="111">
        <v>75000</v>
      </c>
      <c r="E421" s="37">
        <v>1</v>
      </c>
      <c r="F421" s="37">
        <f>D421*E421</f>
        <v>75000</v>
      </c>
    </row>
    <row r="422" spans="2:7" ht="18" thickBot="1">
      <c r="B422" s="37">
        <v>3</v>
      </c>
      <c r="C422" s="52" t="s">
        <v>693</v>
      </c>
      <c r="D422" s="37">
        <f>2300*76.8+12000</f>
        <v>188640</v>
      </c>
      <c r="E422" s="37">
        <v>1</v>
      </c>
      <c r="F422" s="37">
        <f>D422*E422</f>
        <v>188640</v>
      </c>
    </row>
    <row r="423" spans="2:7" ht="15" thickBot="1">
      <c r="B423" s="37"/>
      <c r="C423" s="37"/>
      <c r="D423" s="37"/>
      <c r="E423" s="37"/>
      <c r="F423" s="37"/>
    </row>
    <row r="424" spans="2:7" ht="15" thickBot="1">
      <c r="B424" s="37"/>
      <c r="C424" s="37"/>
      <c r="D424" s="37"/>
      <c r="E424" s="37"/>
      <c r="F424" s="37"/>
    </row>
    <row r="425" spans="2:7" ht="18" thickBot="1">
      <c r="B425" s="591" t="s">
        <v>11</v>
      </c>
      <c r="C425" s="592"/>
      <c r="D425" s="593"/>
      <c r="E425" s="594"/>
      <c r="F425" s="9">
        <f>SUM(F420:F424)</f>
        <v>682104</v>
      </c>
      <c r="G425" s="229" t="s">
        <v>567</v>
      </c>
    </row>
    <row r="428" spans="2:7" ht="15.6">
      <c r="B428" s="3" t="s">
        <v>1</v>
      </c>
      <c r="C428" s="1" t="s">
        <v>710</v>
      </c>
    </row>
    <row r="430" spans="2:7" ht="15.6">
      <c r="B430" s="3" t="s">
        <v>2</v>
      </c>
      <c r="C430" s="34" t="s">
        <v>90</v>
      </c>
      <c r="D430" s="3" t="s">
        <v>5</v>
      </c>
      <c r="E430" s="22">
        <v>45444</v>
      </c>
    </row>
    <row r="431" spans="2:7" ht="15.6">
      <c r="B431" s="3" t="s">
        <v>3</v>
      </c>
    </row>
    <row r="432" spans="2:7" ht="15.6">
      <c r="B432" s="3" t="s">
        <v>4</v>
      </c>
    </row>
    <row r="433" spans="2:6" ht="15" thickBot="1"/>
    <row r="434" spans="2:6" ht="16.2" thickBot="1">
      <c r="B434" s="10" t="s">
        <v>6</v>
      </c>
      <c r="C434" s="10" t="s">
        <v>7</v>
      </c>
      <c r="D434" s="4" t="s">
        <v>8</v>
      </c>
      <c r="E434" s="10" t="s">
        <v>9</v>
      </c>
      <c r="F434" s="5" t="s">
        <v>10</v>
      </c>
    </row>
    <row r="435" spans="2:6" ht="15" thickBot="1">
      <c r="B435" s="54"/>
      <c r="F435" s="55"/>
    </row>
    <row r="436" spans="2:6" ht="18" thickBot="1">
      <c r="B436" s="37">
        <v>1</v>
      </c>
      <c r="C436" s="52" t="s">
        <v>711</v>
      </c>
      <c r="D436" s="37">
        <v>600</v>
      </c>
      <c r="E436" s="37">
        <v>1</v>
      </c>
      <c r="F436" s="37">
        <f>D436*E436</f>
        <v>600</v>
      </c>
    </row>
    <row r="437" spans="2:6" ht="18" thickBot="1">
      <c r="B437" s="37">
        <v>2</v>
      </c>
      <c r="C437" s="52" t="s">
        <v>712</v>
      </c>
      <c r="D437" s="111">
        <v>600</v>
      </c>
      <c r="E437" s="37">
        <v>1</v>
      </c>
      <c r="F437" s="37">
        <f>D437*E437</f>
        <v>600</v>
      </c>
    </row>
    <row r="438" spans="2:6" ht="18" thickBot="1">
      <c r="B438" s="37"/>
      <c r="C438" s="52"/>
      <c r="D438" s="37"/>
      <c r="E438" s="37"/>
      <c r="F438" s="37">
        <f>D438*E438</f>
        <v>0</v>
      </c>
    </row>
    <row r="439" spans="2:6" ht="15" thickBot="1">
      <c r="B439" s="37"/>
      <c r="C439" s="37"/>
      <c r="D439" s="37"/>
      <c r="E439" s="37"/>
      <c r="F439" s="37"/>
    </row>
    <row r="440" spans="2:6" ht="15" thickBot="1">
      <c r="B440" s="37"/>
      <c r="C440" s="37"/>
      <c r="D440" s="37"/>
      <c r="E440" s="37"/>
      <c r="F440" s="37"/>
    </row>
    <row r="441" spans="2:6" ht="18" thickBot="1">
      <c r="B441" s="591" t="s">
        <v>11</v>
      </c>
      <c r="C441" s="592"/>
      <c r="D441" s="593"/>
      <c r="E441" s="594"/>
      <c r="F441" s="9">
        <f>SUM(F436:F440)</f>
        <v>1200</v>
      </c>
    </row>
    <row r="443" spans="2:6" ht="15.6">
      <c r="B443" s="3" t="s">
        <v>1</v>
      </c>
      <c r="C443" s="1" t="s">
        <v>715</v>
      </c>
    </row>
    <row r="445" spans="2:6" ht="15.6">
      <c r="B445" s="3" t="s">
        <v>2</v>
      </c>
      <c r="C445" s="34" t="s">
        <v>716</v>
      </c>
      <c r="D445" s="3" t="s">
        <v>5</v>
      </c>
      <c r="E445" s="22">
        <v>45444</v>
      </c>
    </row>
    <row r="446" spans="2:6" ht="15.6">
      <c r="B446" s="3" t="s">
        <v>3</v>
      </c>
    </row>
    <row r="447" spans="2:6" ht="15.6">
      <c r="B447" s="3" t="s">
        <v>4</v>
      </c>
    </row>
    <row r="448" spans="2:6" ht="15" thickBot="1"/>
    <row r="449" spans="2:6" ht="16.2" thickBot="1">
      <c r="B449" s="10" t="s">
        <v>6</v>
      </c>
      <c r="C449" s="10" t="s">
        <v>7</v>
      </c>
      <c r="D449" s="4" t="s">
        <v>8</v>
      </c>
      <c r="E449" s="10" t="s">
        <v>9</v>
      </c>
      <c r="F449" s="5" t="s">
        <v>10</v>
      </c>
    </row>
    <row r="450" spans="2:6" ht="15" thickBot="1">
      <c r="B450" s="54"/>
      <c r="F450" s="55"/>
    </row>
    <row r="451" spans="2:6" ht="18" thickBot="1">
      <c r="B451" s="37">
        <v>1</v>
      </c>
      <c r="C451" s="52" t="s">
        <v>717</v>
      </c>
      <c r="D451" s="37">
        <v>2475</v>
      </c>
      <c r="E451" s="37">
        <v>2</v>
      </c>
      <c r="F451" s="37">
        <f>D451*E451</f>
        <v>4950</v>
      </c>
    </row>
    <row r="452" spans="2:6" ht="18" thickBot="1">
      <c r="B452" s="37"/>
      <c r="C452" s="52"/>
      <c r="D452" s="111"/>
      <c r="E452" s="37"/>
      <c r="F452" s="37">
        <f>D452*E452</f>
        <v>0</v>
      </c>
    </row>
    <row r="453" spans="2:6" ht="18" thickBot="1">
      <c r="B453" s="37"/>
      <c r="C453" s="52"/>
      <c r="D453" s="37"/>
      <c r="E453" s="37"/>
      <c r="F453" s="37">
        <f>D453*E453</f>
        <v>0</v>
      </c>
    </row>
    <row r="454" spans="2:6" ht="15" thickBot="1">
      <c r="B454" s="37"/>
      <c r="C454" s="37"/>
      <c r="D454" s="37"/>
      <c r="E454" s="37"/>
      <c r="F454" s="37"/>
    </row>
    <row r="455" spans="2:6" ht="15" thickBot="1">
      <c r="B455" s="37"/>
      <c r="C455" s="37"/>
      <c r="D455" s="37"/>
      <c r="E455" s="37"/>
      <c r="F455" s="37"/>
    </row>
    <row r="456" spans="2:6" ht="18" thickBot="1">
      <c r="B456" s="591" t="s">
        <v>11</v>
      </c>
      <c r="C456" s="592"/>
      <c r="D456" s="593"/>
      <c r="E456" s="594"/>
      <c r="F456" s="9">
        <f>SUM(F451:F455)</f>
        <v>4950</v>
      </c>
    </row>
    <row r="459" spans="2:6" ht="15.6">
      <c r="B459" s="3" t="s">
        <v>1</v>
      </c>
      <c r="C459" s="1" t="s">
        <v>719</v>
      </c>
    </row>
    <row r="461" spans="2:6" ht="15.6">
      <c r="B461" s="3" t="s">
        <v>2</v>
      </c>
      <c r="C461" s="34" t="s">
        <v>625</v>
      </c>
      <c r="D461" s="3" t="s">
        <v>5</v>
      </c>
      <c r="E461" s="22">
        <v>45444</v>
      </c>
    </row>
    <row r="462" spans="2:6" ht="15.6">
      <c r="B462" s="3" t="s">
        <v>3</v>
      </c>
    </row>
    <row r="463" spans="2:6" ht="15.6">
      <c r="B463" s="3" t="s">
        <v>4</v>
      </c>
    </row>
    <row r="464" spans="2:6" ht="15" thickBot="1"/>
    <row r="465" spans="2:6" ht="16.2" thickBot="1">
      <c r="B465" s="10" t="s">
        <v>6</v>
      </c>
      <c r="C465" s="10" t="s">
        <v>7</v>
      </c>
      <c r="D465" s="4" t="s">
        <v>8</v>
      </c>
      <c r="E465" s="10" t="s">
        <v>9</v>
      </c>
      <c r="F465" s="5" t="s">
        <v>10</v>
      </c>
    </row>
    <row r="466" spans="2:6" ht="15" thickBot="1">
      <c r="B466" s="54"/>
      <c r="F466" s="55"/>
    </row>
    <row r="467" spans="2:6" ht="18" thickBot="1">
      <c r="B467" s="37">
        <v>1</v>
      </c>
      <c r="C467" s="52" t="s">
        <v>720</v>
      </c>
      <c r="D467" s="37">
        <v>1660</v>
      </c>
      <c r="E467" s="37">
        <v>3</v>
      </c>
      <c r="F467" s="37">
        <f>D467*E467</f>
        <v>4980</v>
      </c>
    </row>
    <row r="468" spans="2:6" ht="18" thickBot="1">
      <c r="B468" s="37"/>
      <c r="C468" s="52"/>
      <c r="D468" s="111"/>
      <c r="E468" s="37"/>
      <c r="F468" s="37">
        <f>D468*E468</f>
        <v>0</v>
      </c>
    </row>
    <row r="469" spans="2:6" ht="18" thickBot="1">
      <c r="B469" s="37"/>
      <c r="C469" s="52"/>
      <c r="D469" s="37"/>
      <c r="E469" s="37"/>
      <c r="F469" s="37">
        <f>D469*E469</f>
        <v>0</v>
      </c>
    </row>
    <row r="470" spans="2:6" ht="15" thickBot="1">
      <c r="B470" s="37"/>
      <c r="C470" s="37"/>
      <c r="D470" s="37"/>
      <c r="E470" s="37"/>
      <c r="F470" s="37"/>
    </row>
    <row r="471" spans="2:6" ht="15" thickBot="1">
      <c r="B471" s="37"/>
      <c r="C471" s="37"/>
      <c r="D471" s="37"/>
      <c r="E471" s="37"/>
      <c r="F471" s="37"/>
    </row>
    <row r="472" spans="2:6" ht="18" thickBot="1">
      <c r="B472" s="591" t="s">
        <v>11</v>
      </c>
      <c r="C472" s="592"/>
      <c r="D472" s="593"/>
      <c r="E472" s="594"/>
      <c r="F472" s="9">
        <f>SUM(F467:F471)</f>
        <v>4980</v>
      </c>
    </row>
    <row r="475" spans="2:6" ht="15.6">
      <c r="B475" s="3" t="s">
        <v>1</v>
      </c>
      <c r="C475" s="1" t="s">
        <v>810</v>
      </c>
    </row>
    <row r="477" spans="2:6" ht="15.6">
      <c r="B477" s="3" t="s">
        <v>2</v>
      </c>
      <c r="C477" s="34" t="s">
        <v>805</v>
      </c>
      <c r="D477" s="3" t="s">
        <v>5</v>
      </c>
      <c r="E477" s="22">
        <v>45444</v>
      </c>
    </row>
    <row r="478" spans="2:6" ht="15.6">
      <c r="B478" s="3" t="s">
        <v>3</v>
      </c>
    </row>
    <row r="479" spans="2:6" ht="15.6">
      <c r="B479" s="3" t="s">
        <v>4</v>
      </c>
    </row>
    <row r="480" spans="2:6" ht="15" thickBot="1"/>
    <row r="481" spans="2:6" ht="16.2" thickBot="1">
      <c r="B481" s="10" t="s">
        <v>6</v>
      </c>
      <c r="C481" s="10" t="s">
        <v>7</v>
      </c>
      <c r="D481" s="4" t="s">
        <v>8</v>
      </c>
      <c r="E481" s="10" t="s">
        <v>9</v>
      </c>
      <c r="F481" s="5" t="s">
        <v>10</v>
      </c>
    </row>
    <row r="482" spans="2:6" ht="15" thickBot="1">
      <c r="B482" s="54"/>
      <c r="F482" s="55"/>
    </row>
    <row r="483" spans="2:6" ht="18" thickBot="1">
      <c r="B483" s="37">
        <v>1</v>
      </c>
      <c r="C483" s="52" t="s">
        <v>812</v>
      </c>
      <c r="D483" s="37">
        <v>2430</v>
      </c>
      <c r="E483" s="37">
        <v>1</v>
      </c>
      <c r="F483" s="37">
        <f>D483*E483</f>
        <v>2430</v>
      </c>
    </row>
    <row r="484" spans="2:6" ht="18" thickBot="1">
      <c r="B484" s="37"/>
      <c r="C484" s="52"/>
      <c r="D484" s="111"/>
      <c r="E484" s="37"/>
      <c r="F484" s="37">
        <f>D484*E484</f>
        <v>0</v>
      </c>
    </row>
    <row r="485" spans="2:6" ht="18" thickBot="1">
      <c r="B485" s="37"/>
      <c r="C485" s="52"/>
      <c r="D485" s="37"/>
      <c r="E485" s="37"/>
      <c r="F485" s="37">
        <f>D485*E485</f>
        <v>0</v>
      </c>
    </row>
    <row r="486" spans="2:6" ht="15" thickBot="1">
      <c r="B486" s="37"/>
      <c r="C486" s="37"/>
      <c r="D486" s="37"/>
      <c r="E486" s="37"/>
      <c r="F486" s="37"/>
    </row>
    <row r="487" spans="2:6" ht="15" thickBot="1">
      <c r="B487" s="37"/>
      <c r="C487" s="37"/>
      <c r="D487" s="37"/>
      <c r="E487" s="37"/>
      <c r="F487" s="37"/>
    </row>
    <row r="488" spans="2:6" ht="18" thickBot="1">
      <c r="B488" s="591" t="s">
        <v>11</v>
      </c>
      <c r="C488" s="592"/>
      <c r="D488" s="593"/>
      <c r="E488" s="594"/>
      <c r="F488" s="9">
        <f>SUM(F483:F487)</f>
        <v>2430</v>
      </c>
    </row>
    <row r="491" spans="2:6" ht="15.6">
      <c r="B491" s="3" t="s">
        <v>1</v>
      </c>
      <c r="C491" s="1" t="s">
        <v>822</v>
      </c>
    </row>
    <row r="493" spans="2:6" ht="15.6">
      <c r="B493" s="3" t="s">
        <v>2</v>
      </c>
      <c r="C493" s="34" t="s">
        <v>90</v>
      </c>
      <c r="D493" s="3" t="s">
        <v>5</v>
      </c>
      <c r="E493" s="22">
        <v>45448</v>
      </c>
    </row>
    <row r="494" spans="2:6" ht="15.6">
      <c r="B494" s="3" t="s">
        <v>3</v>
      </c>
    </row>
    <row r="495" spans="2:6" ht="15.6">
      <c r="B495" s="3" t="s">
        <v>4</v>
      </c>
    </row>
    <row r="496" spans="2:6" ht="15" thickBot="1"/>
    <row r="497" spans="2:6" ht="16.2" thickBot="1">
      <c r="B497" s="10" t="s">
        <v>6</v>
      </c>
      <c r="C497" s="10" t="s">
        <v>7</v>
      </c>
      <c r="D497" s="4" t="s">
        <v>8</v>
      </c>
      <c r="E497" s="10" t="s">
        <v>9</v>
      </c>
      <c r="F497" s="5" t="s">
        <v>10</v>
      </c>
    </row>
    <row r="498" spans="2:6" ht="15" thickBot="1">
      <c r="B498" s="54"/>
      <c r="F498" s="55"/>
    </row>
    <row r="499" spans="2:6" ht="18" thickBot="1">
      <c r="B499" s="37">
        <v>1</v>
      </c>
      <c r="C499" s="52" t="s">
        <v>572</v>
      </c>
      <c r="D499" s="37">
        <v>1680</v>
      </c>
      <c r="E499" s="37">
        <v>20</v>
      </c>
      <c r="F499" s="37">
        <f>D499*E499</f>
        <v>33600</v>
      </c>
    </row>
    <row r="500" spans="2:6" ht="18" thickBot="1">
      <c r="B500" s="37"/>
      <c r="C500" s="52"/>
      <c r="D500" s="111"/>
      <c r="E500" s="37"/>
      <c r="F500" s="37">
        <f>D500*E500</f>
        <v>0</v>
      </c>
    </row>
    <row r="501" spans="2:6" ht="18" thickBot="1">
      <c r="B501" s="37"/>
      <c r="C501" s="52"/>
      <c r="D501" s="37"/>
      <c r="E501" s="37"/>
      <c r="F501" s="37">
        <f>D501*E501</f>
        <v>0</v>
      </c>
    </row>
    <row r="502" spans="2:6" ht="15" thickBot="1">
      <c r="B502" s="37"/>
      <c r="C502" s="37"/>
      <c r="D502" s="37"/>
      <c r="E502" s="37"/>
      <c r="F502" s="37"/>
    </row>
    <row r="503" spans="2:6" ht="15" thickBot="1">
      <c r="B503" s="37"/>
      <c r="C503" s="37"/>
      <c r="D503" s="37"/>
      <c r="E503" s="37"/>
      <c r="F503" s="37"/>
    </row>
    <row r="504" spans="2:6" ht="18" thickBot="1">
      <c r="B504" s="591" t="s">
        <v>11</v>
      </c>
      <c r="C504" s="592"/>
      <c r="D504" s="593"/>
      <c r="E504" s="594"/>
      <c r="F504" s="9">
        <f>SUM(F499:F503)</f>
        <v>33600</v>
      </c>
    </row>
    <row r="507" spans="2:6" ht="15.6">
      <c r="B507" s="3" t="s">
        <v>1</v>
      </c>
      <c r="C507" s="1" t="s">
        <v>824</v>
      </c>
    </row>
    <row r="509" spans="2:6" ht="15.6">
      <c r="B509" s="3" t="s">
        <v>2</v>
      </c>
      <c r="C509" s="34" t="s">
        <v>90</v>
      </c>
      <c r="D509" s="3" t="s">
        <v>5</v>
      </c>
      <c r="E509" s="22">
        <v>45449</v>
      </c>
    </row>
    <row r="510" spans="2:6" ht="15.6">
      <c r="B510" s="3" t="s">
        <v>3</v>
      </c>
    </row>
    <row r="511" spans="2:6" ht="15.6">
      <c r="B511" s="3" t="s">
        <v>4</v>
      </c>
    </row>
    <row r="512" spans="2:6" ht="15" thickBot="1"/>
    <row r="513" spans="2:6" ht="16.2" thickBot="1">
      <c r="B513" s="10" t="s">
        <v>6</v>
      </c>
      <c r="C513" s="10" t="s">
        <v>7</v>
      </c>
      <c r="D513" s="4" t="s">
        <v>8</v>
      </c>
      <c r="E513" s="10" t="s">
        <v>9</v>
      </c>
      <c r="F513" s="5" t="s">
        <v>10</v>
      </c>
    </row>
    <row r="514" spans="2:6" ht="15" thickBot="1">
      <c r="B514" s="54"/>
      <c r="F514" s="55"/>
    </row>
    <row r="515" spans="2:6" ht="18" thickBot="1">
      <c r="B515" s="37">
        <v>1</v>
      </c>
      <c r="C515" s="52" t="s">
        <v>572</v>
      </c>
      <c r="D515" s="37">
        <v>1680</v>
      </c>
      <c r="E515" s="37">
        <v>30</v>
      </c>
      <c r="F515" s="37">
        <f>D515*E515</f>
        <v>50400</v>
      </c>
    </row>
    <row r="516" spans="2:6" ht="18" thickBot="1">
      <c r="B516" s="37"/>
      <c r="C516" s="52"/>
      <c r="D516" s="111"/>
      <c r="E516" s="37"/>
      <c r="F516" s="37">
        <f>D516*E516</f>
        <v>0</v>
      </c>
    </row>
    <row r="517" spans="2:6" ht="18" thickBot="1">
      <c r="B517" s="37"/>
      <c r="C517" s="52"/>
      <c r="D517" s="37"/>
      <c r="E517" s="37"/>
      <c r="F517" s="37">
        <f>D517*E517</f>
        <v>0</v>
      </c>
    </row>
    <row r="518" spans="2:6" ht="15" thickBot="1">
      <c r="B518" s="37"/>
      <c r="C518" s="37"/>
      <c r="D518" s="37"/>
      <c r="E518" s="37"/>
      <c r="F518" s="37"/>
    </row>
    <row r="519" spans="2:6" ht="15" thickBot="1">
      <c r="B519" s="37"/>
      <c r="C519" s="37"/>
      <c r="D519" s="37"/>
      <c r="E519" s="37"/>
      <c r="F519" s="37"/>
    </row>
    <row r="520" spans="2:6" ht="18" thickBot="1">
      <c r="B520" s="591" t="s">
        <v>11</v>
      </c>
      <c r="C520" s="592"/>
      <c r="D520" s="593"/>
      <c r="E520" s="594"/>
      <c r="F520" s="9">
        <f>SUM(F515:F519)</f>
        <v>50400</v>
      </c>
    </row>
    <row r="523" spans="2:6" ht="15.6">
      <c r="B523" s="3" t="s">
        <v>1</v>
      </c>
      <c r="C523" s="1" t="s">
        <v>850</v>
      </c>
    </row>
    <row r="525" spans="2:6" ht="15.6">
      <c r="B525" s="3" t="s">
        <v>2</v>
      </c>
      <c r="C525" s="34" t="s">
        <v>662</v>
      </c>
      <c r="D525" s="3" t="s">
        <v>5</v>
      </c>
      <c r="E525" s="22">
        <v>45449</v>
      </c>
    </row>
    <row r="526" spans="2:6" ht="15.6">
      <c r="B526" s="3" t="s">
        <v>3</v>
      </c>
    </row>
    <row r="527" spans="2:6" ht="15.6">
      <c r="B527" s="3" t="s">
        <v>4</v>
      </c>
    </row>
    <row r="528" spans="2:6" ht="15" thickBot="1"/>
    <row r="529" spans="2:7" ht="16.2" thickBot="1">
      <c r="B529" s="10" t="s">
        <v>6</v>
      </c>
      <c r="C529" s="10" t="s">
        <v>7</v>
      </c>
      <c r="D529" s="4" t="s">
        <v>8</v>
      </c>
      <c r="E529" s="10" t="s">
        <v>9</v>
      </c>
      <c r="F529" s="5" t="s">
        <v>10</v>
      </c>
    </row>
    <row r="530" spans="2:7" ht="15" thickBot="1">
      <c r="B530" s="54"/>
      <c r="F530" s="55"/>
    </row>
    <row r="531" spans="2:7" ht="18" thickBot="1">
      <c r="B531" s="37">
        <v>1</v>
      </c>
      <c r="C531" s="52" t="s">
        <v>851</v>
      </c>
      <c r="D531" s="37">
        <v>106500</v>
      </c>
      <c r="E531" s="37">
        <v>5</v>
      </c>
      <c r="F531" s="37">
        <f>D531*E531</f>
        <v>532500</v>
      </c>
    </row>
    <row r="532" spans="2:7" ht="18" thickBot="1">
      <c r="B532" s="37"/>
      <c r="C532" s="52"/>
      <c r="D532" s="111"/>
      <c r="E532" s="37"/>
      <c r="F532" s="37">
        <f>D532*E532</f>
        <v>0</v>
      </c>
    </row>
    <row r="533" spans="2:7" ht="18" thickBot="1">
      <c r="B533" s="37"/>
      <c r="C533" s="52"/>
      <c r="D533" s="37"/>
      <c r="E533" s="37"/>
      <c r="F533" s="37">
        <f>D533*E533</f>
        <v>0</v>
      </c>
    </row>
    <row r="534" spans="2:7" ht="15" thickBot="1">
      <c r="B534" s="37"/>
      <c r="C534" s="37"/>
      <c r="D534" s="37"/>
      <c r="E534" s="37"/>
      <c r="F534" s="37"/>
    </row>
    <row r="535" spans="2:7" ht="15" thickBot="1">
      <c r="B535" s="37"/>
      <c r="C535" s="37"/>
      <c r="D535" s="37"/>
      <c r="E535" s="37"/>
      <c r="F535" s="37"/>
    </row>
    <row r="536" spans="2:7" ht="18" thickBot="1">
      <c r="B536" s="591" t="s">
        <v>11</v>
      </c>
      <c r="C536" s="592"/>
      <c r="D536" s="593"/>
      <c r="E536" s="594"/>
      <c r="F536" s="9">
        <f>SUM(F531:F535)</f>
        <v>532500</v>
      </c>
      <c r="G536" s="229" t="s">
        <v>567</v>
      </c>
    </row>
    <row r="540" spans="2:7" ht="15.6">
      <c r="B540" s="3" t="s">
        <v>1</v>
      </c>
      <c r="C540" s="1" t="s">
        <v>872</v>
      </c>
    </row>
    <row r="542" spans="2:7" ht="15.6">
      <c r="B542" s="3" t="s">
        <v>2</v>
      </c>
      <c r="C542" s="34" t="s">
        <v>90</v>
      </c>
      <c r="D542" s="3" t="s">
        <v>5</v>
      </c>
      <c r="E542" s="22">
        <v>45453</v>
      </c>
    </row>
    <row r="543" spans="2:7" ht="15.6">
      <c r="B543" s="3" t="s">
        <v>3</v>
      </c>
    </row>
    <row r="544" spans="2:7" ht="15.6">
      <c r="B544" s="3" t="s">
        <v>4</v>
      </c>
    </row>
    <row r="545" spans="2:6" ht="15" thickBot="1"/>
    <row r="546" spans="2:6" ht="16.2" thickBot="1">
      <c r="B546" s="10" t="s">
        <v>6</v>
      </c>
      <c r="C546" s="10" t="s">
        <v>7</v>
      </c>
      <c r="D546" s="4" t="s">
        <v>8</v>
      </c>
      <c r="E546" s="10" t="s">
        <v>9</v>
      </c>
      <c r="F546" s="5" t="s">
        <v>10</v>
      </c>
    </row>
    <row r="547" spans="2:6" ht="15" thickBot="1">
      <c r="B547" s="54"/>
      <c r="F547" s="55"/>
    </row>
    <row r="548" spans="2:6" ht="18" thickBot="1">
      <c r="B548" s="37">
        <v>1</v>
      </c>
      <c r="C548" s="52" t="s">
        <v>874</v>
      </c>
      <c r="D548" s="37">
        <v>1680</v>
      </c>
      <c r="E548" s="37">
        <v>35</v>
      </c>
      <c r="F548" s="37">
        <f>D548*E548</f>
        <v>58800</v>
      </c>
    </row>
    <row r="549" spans="2:6" ht="18" thickBot="1">
      <c r="B549" s="37"/>
      <c r="C549" s="52"/>
      <c r="D549" s="111"/>
      <c r="E549" s="37"/>
      <c r="F549" s="37">
        <f>D549*E549</f>
        <v>0</v>
      </c>
    </row>
    <row r="550" spans="2:6" ht="18" thickBot="1">
      <c r="B550" s="37"/>
      <c r="C550" s="52"/>
      <c r="D550" s="37"/>
      <c r="E550" s="37"/>
      <c r="F550" s="37">
        <f>D550*E550</f>
        <v>0</v>
      </c>
    </row>
    <row r="551" spans="2:6" ht="15" thickBot="1">
      <c r="B551" s="37"/>
      <c r="C551" s="37"/>
      <c r="D551" s="37"/>
      <c r="E551" s="37"/>
      <c r="F551" s="37"/>
    </row>
    <row r="552" spans="2:6" ht="15" thickBot="1">
      <c r="B552" s="37"/>
      <c r="C552" s="37"/>
      <c r="D552" s="37"/>
      <c r="E552" s="37"/>
      <c r="F552" s="37"/>
    </row>
    <row r="553" spans="2:6" ht="18" thickBot="1">
      <c r="B553" s="591" t="s">
        <v>11</v>
      </c>
      <c r="C553" s="592"/>
      <c r="D553" s="593"/>
      <c r="E553" s="594"/>
      <c r="F553" s="9">
        <f>SUM(F548:F552)</f>
        <v>58800</v>
      </c>
    </row>
    <row r="557" spans="2:6" ht="15.6">
      <c r="B557" s="3" t="s">
        <v>1</v>
      </c>
      <c r="C557" s="1" t="s">
        <v>890</v>
      </c>
    </row>
    <row r="559" spans="2:6" ht="15.6">
      <c r="B559" s="3" t="s">
        <v>2</v>
      </c>
      <c r="C559" s="34" t="s">
        <v>873</v>
      </c>
      <c r="D559" s="3" t="s">
        <v>5</v>
      </c>
      <c r="E559" s="22">
        <v>45453</v>
      </c>
    </row>
    <row r="560" spans="2:6" ht="15.6">
      <c r="B560" s="3" t="s">
        <v>3</v>
      </c>
    </row>
    <row r="561" spans="2:6" ht="15.6">
      <c r="B561" s="3" t="s">
        <v>4</v>
      </c>
    </row>
    <row r="562" spans="2:6" ht="15" thickBot="1"/>
    <row r="563" spans="2:6" ht="16.2" thickBot="1">
      <c r="B563" s="10" t="s">
        <v>6</v>
      </c>
      <c r="C563" s="10" t="s">
        <v>7</v>
      </c>
      <c r="D563" s="4" t="s">
        <v>8</v>
      </c>
      <c r="E563" s="10" t="s">
        <v>9</v>
      </c>
      <c r="F563" s="5" t="s">
        <v>10</v>
      </c>
    </row>
    <row r="564" spans="2:6" ht="15" thickBot="1">
      <c r="B564" s="54"/>
      <c r="F564" s="55"/>
    </row>
    <row r="565" spans="2:6" ht="18" thickBot="1">
      <c r="B565" s="37">
        <v>1</v>
      </c>
      <c r="C565" s="52" t="s">
        <v>874</v>
      </c>
      <c r="D565" s="37">
        <v>1700</v>
      </c>
      <c r="E565" s="37">
        <v>2</v>
      </c>
      <c r="F565" s="37">
        <f>D565*E565</f>
        <v>3400</v>
      </c>
    </row>
    <row r="566" spans="2:6" ht="18" thickBot="1">
      <c r="B566" s="37"/>
      <c r="C566" s="52"/>
      <c r="D566" s="111"/>
      <c r="E566" s="37"/>
      <c r="F566" s="37">
        <f>D566*E566</f>
        <v>0</v>
      </c>
    </row>
    <row r="567" spans="2:6" ht="18" thickBot="1">
      <c r="B567" s="37"/>
      <c r="C567" s="52"/>
      <c r="D567" s="37"/>
      <c r="E567" s="37"/>
      <c r="F567" s="37">
        <f>D567*E567</f>
        <v>0</v>
      </c>
    </row>
    <row r="568" spans="2:6" ht="15" thickBot="1">
      <c r="B568" s="37"/>
      <c r="C568" s="37"/>
      <c r="D568" s="37"/>
      <c r="E568" s="37"/>
      <c r="F568" s="37"/>
    </row>
    <row r="569" spans="2:6" ht="15" thickBot="1">
      <c r="B569" s="37"/>
      <c r="C569" s="37"/>
      <c r="D569" s="37"/>
      <c r="E569" s="37"/>
      <c r="F569" s="37"/>
    </row>
    <row r="570" spans="2:6" ht="18" thickBot="1">
      <c r="B570" s="591" t="s">
        <v>11</v>
      </c>
      <c r="C570" s="592"/>
      <c r="D570" s="593"/>
      <c r="E570" s="594"/>
      <c r="F570" s="9">
        <f>SUM(F565:F569)</f>
        <v>3400</v>
      </c>
    </row>
    <row r="573" spans="2:6" ht="15.6">
      <c r="B573" s="3" t="s">
        <v>1</v>
      </c>
      <c r="C573" s="1" t="s">
        <v>895</v>
      </c>
    </row>
    <row r="575" spans="2:6" ht="15.6">
      <c r="B575" s="3" t="s">
        <v>2</v>
      </c>
      <c r="C575" s="34" t="s">
        <v>90</v>
      </c>
      <c r="D575" s="3" t="s">
        <v>5</v>
      </c>
      <c r="E575" s="22">
        <v>45453</v>
      </c>
    </row>
    <row r="576" spans="2:6" ht="15.6">
      <c r="B576" s="3" t="s">
        <v>3</v>
      </c>
    </row>
    <row r="577" spans="2:6" ht="15.6">
      <c r="B577" s="3" t="s">
        <v>4</v>
      </c>
    </row>
    <row r="578" spans="2:6" ht="15" thickBot="1"/>
    <row r="579" spans="2:6" ht="16.2" thickBot="1">
      <c r="B579" s="10" t="s">
        <v>6</v>
      </c>
      <c r="C579" s="10" t="s">
        <v>7</v>
      </c>
      <c r="D579" s="4" t="s">
        <v>8</v>
      </c>
      <c r="E579" s="10" t="s">
        <v>9</v>
      </c>
      <c r="F579" s="5" t="s">
        <v>10</v>
      </c>
    </row>
    <row r="580" spans="2:6" ht="15" thickBot="1">
      <c r="B580" s="54"/>
      <c r="F580" s="55"/>
    </row>
    <row r="581" spans="2:6" ht="18" thickBot="1">
      <c r="B581" s="37">
        <v>1</v>
      </c>
      <c r="C581" s="52" t="s">
        <v>617</v>
      </c>
      <c r="D581" s="37">
        <v>2150</v>
      </c>
      <c r="E581" s="37">
        <v>2</v>
      </c>
      <c r="F581" s="37">
        <f>D581*E581</f>
        <v>4300</v>
      </c>
    </row>
    <row r="582" spans="2:6" ht="18" thickBot="1">
      <c r="B582" s="37">
        <v>2</v>
      </c>
      <c r="C582" s="52" t="s">
        <v>617</v>
      </c>
      <c r="D582" s="111">
        <v>1630</v>
      </c>
      <c r="E582" s="37">
        <v>6</v>
      </c>
      <c r="F582" s="37">
        <f>D582*E582</f>
        <v>9780</v>
      </c>
    </row>
    <row r="583" spans="2:6" ht="18" thickBot="1">
      <c r="B583" s="37">
        <v>3</v>
      </c>
      <c r="C583" s="52" t="s">
        <v>617</v>
      </c>
      <c r="D583" s="37">
        <v>1500</v>
      </c>
      <c r="E583" s="37">
        <v>1</v>
      </c>
      <c r="F583" s="37">
        <f>D583*E583</f>
        <v>1500</v>
      </c>
    </row>
    <row r="584" spans="2:6" ht="18" thickBot="1">
      <c r="B584" s="37">
        <v>4</v>
      </c>
      <c r="C584" s="52" t="s">
        <v>896</v>
      </c>
      <c r="D584" s="37">
        <v>820</v>
      </c>
      <c r="E584" s="37">
        <v>7</v>
      </c>
      <c r="F584" s="37">
        <f>D584*E584</f>
        <v>5740</v>
      </c>
    </row>
    <row r="585" spans="2:6" ht="15" thickBot="1">
      <c r="B585" s="37"/>
      <c r="C585" s="37"/>
      <c r="D585" s="37"/>
      <c r="E585" s="37"/>
      <c r="F585" s="37"/>
    </row>
    <row r="586" spans="2:6" ht="18" thickBot="1">
      <c r="B586" s="591" t="s">
        <v>11</v>
      </c>
      <c r="C586" s="592"/>
      <c r="D586" s="593"/>
      <c r="E586" s="594"/>
      <c r="F586" s="9">
        <f>SUM(F581:F585)</f>
        <v>21320</v>
      </c>
    </row>
    <row r="589" spans="2:6" ht="15.6">
      <c r="B589" s="3" t="s">
        <v>1</v>
      </c>
      <c r="C589" s="1" t="s">
        <v>904</v>
      </c>
    </row>
    <row r="591" spans="2:6" ht="15.6">
      <c r="B591" s="3" t="s">
        <v>2</v>
      </c>
      <c r="C591" s="34" t="s">
        <v>973</v>
      </c>
      <c r="D591" s="3" t="s">
        <v>5</v>
      </c>
      <c r="E591" s="22">
        <v>45453</v>
      </c>
    </row>
    <row r="592" spans="2:6" ht="15.6">
      <c r="B592" s="3" t="s">
        <v>3</v>
      </c>
    </row>
    <row r="593" spans="2:8" ht="15.6">
      <c r="B593" s="3" t="s">
        <v>4</v>
      </c>
    </row>
    <row r="594" spans="2:8" ht="15" thickBot="1"/>
    <row r="595" spans="2:8" ht="16.2" thickBot="1">
      <c r="B595" s="10" t="s">
        <v>6</v>
      </c>
      <c r="C595" s="10" t="s">
        <v>7</v>
      </c>
      <c r="D595" s="4" t="s">
        <v>8</v>
      </c>
      <c r="E595" s="10" t="s">
        <v>9</v>
      </c>
      <c r="F595" s="5" t="s">
        <v>10</v>
      </c>
    </row>
    <row r="596" spans="2:8" ht="15" thickBot="1">
      <c r="B596" s="54"/>
      <c r="F596" s="55"/>
      <c r="H596" s="1" t="s">
        <v>1185</v>
      </c>
    </row>
    <row r="597" spans="2:8" ht="18" thickBot="1">
      <c r="B597" s="37">
        <v>1</v>
      </c>
      <c r="C597" s="52" t="s">
        <v>905</v>
      </c>
      <c r="D597" s="37">
        <v>2380</v>
      </c>
      <c r="E597" s="37">
        <v>1</v>
      </c>
      <c r="F597" s="37">
        <f>D597*E597</f>
        <v>2380</v>
      </c>
    </row>
    <row r="598" spans="2:8" ht="18" thickBot="1">
      <c r="B598" s="37">
        <v>2</v>
      </c>
      <c r="C598" s="52" t="s">
        <v>906</v>
      </c>
      <c r="D598" s="111">
        <v>2440</v>
      </c>
      <c r="E598" s="37">
        <v>2</v>
      </c>
      <c r="F598" s="37">
        <f>D598*E598</f>
        <v>4880</v>
      </c>
    </row>
    <row r="599" spans="2:8" ht="18" thickBot="1">
      <c r="B599" s="37">
        <v>3</v>
      </c>
      <c r="C599" s="52" t="s">
        <v>907</v>
      </c>
      <c r="D599" s="37">
        <v>1220</v>
      </c>
      <c r="E599" s="37">
        <v>1</v>
      </c>
      <c r="F599" s="37">
        <f>D599*E599</f>
        <v>1220</v>
      </c>
    </row>
    <row r="600" spans="2:8" ht="18" thickBot="1">
      <c r="B600" s="37">
        <v>4</v>
      </c>
      <c r="C600" s="52"/>
      <c r="D600" s="37"/>
      <c r="E600" s="37"/>
      <c r="F600" s="37">
        <f>D600*E600</f>
        <v>0</v>
      </c>
    </row>
    <row r="601" spans="2:8" ht="15" thickBot="1">
      <c r="B601" s="37"/>
      <c r="C601" s="37"/>
      <c r="D601" s="37"/>
      <c r="E601" s="37"/>
      <c r="F601" s="37"/>
    </row>
    <row r="602" spans="2:8" ht="18" thickBot="1">
      <c r="B602" s="591" t="s">
        <v>11</v>
      </c>
      <c r="C602" s="592"/>
      <c r="D602" s="593"/>
      <c r="E602" s="594"/>
      <c r="F602" s="9">
        <f>SUM(F597:F601)</f>
        <v>8480</v>
      </c>
    </row>
    <row r="606" spans="2:8" ht="15.6">
      <c r="B606" s="3" t="s">
        <v>1</v>
      </c>
      <c r="C606" s="1" t="s">
        <v>974</v>
      </c>
    </row>
    <row r="608" spans="2:8" ht="15.6">
      <c r="B608" s="3" t="s">
        <v>2</v>
      </c>
      <c r="C608" s="34" t="s">
        <v>90</v>
      </c>
      <c r="D608" s="3" t="s">
        <v>5</v>
      </c>
      <c r="E608" s="22">
        <v>45454</v>
      </c>
    </row>
    <row r="609" spans="2:8" ht="15.6">
      <c r="B609" s="3" t="s">
        <v>3</v>
      </c>
    </row>
    <row r="610" spans="2:8" ht="15.6">
      <c r="B610" s="3" t="s">
        <v>4</v>
      </c>
    </row>
    <row r="611" spans="2:8" ht="15" thickBot="1"/>
    <row r="612" spans="2:8" ht="16.2" thickBot="1">
      <c r="B612" s="10" t="s">
        <v>6</v>
      </c>
      <c r="C612" s="10" t="s">
        <v>7</v>
      </c>
      <c r="D612" s="4" t="s">
        <v>8</v>
      </c>
      <c r="E612" s="10" t="s">
        <v>9</v>
      </c>
      <c r="F612" s="5" t="s">
        <v>10</v>
      </c>
    </row>
    <row r="613" spans="2:8" ht="15" thickBot="1">
      <c r="B613" s="54"/>
      <c r="F613" s="55"/>
    </row>
    <row r="614" spans="2:8" ht="18" thickBot="1">
      <c r="B614" s="37">
        <v>1</v>
      </c>
      <c r="C614" s="52" t="s">
        <v>989</v>
      </c>
      <c r="D614" s="37">
        <v>2730</v>
      </c>
      <c r="E614" s="37">
        <v>5</v>
      </c>
      <c r="F614" s="37">
        <f>D614*E614</f>
        <v>13650</v>
      </c>
      <c r="H614" s="1" t="s">
        <v>1185</v>
      </c>
    </row>
    <row r="615" spans="2:8" ht="18" thickBot="1">
      <c r="B615" s="37">
        <v>2</v>
      </c>
      <c r="C615" s="52" t="s">
        <v>989</v>
      </c>
      <c r="D615" s="37">
        <v>2730</v>
      </c>
      <c r="E615" s="37">
        <v>2</v>
      </c>
      <c r="F615" s="37">
        <f>D615*E615</f>
        <v>5460</v>
      </c>
    </row>
    <row r="616" spans="2:8" ht="18" thickBot="1">
      <c r="B616" s="37"/>
      <c r="C616" s="52"/>
      <c r="D616" s="37"/>
      <c r="E616" s="37"/>
      <c r="F616" s="37">
        <f>D616*E616</f>
        <v>0</v>
      </c>
    </row>
    <row r="617" spans="2:8" ht="18" thickBot="1">
      <c r="B617" s="37"/>
      <c r="C617" s="52"/>
      <c r="D617" s="37"/>
      <c r="E617" s="37"/>
      <c r="F617" s="37">
        <f>D617*E617</f>
        <v>0</v>
      </c>
    </row>
    <row r="618" spans="2:8" ht="15" thickBot="1">
      <c r="B618" s="37"/>
      <c r="C618" s="37"/>
      <c r="D618" s="37"/>
      <c r="E618" s="37"/>
      <c r="F618" s="37"/>
    </row>
    <row r="619" spans="2:8" ht="18" thickBot="1">
      <c r="B619" s="591" t="s">
        <v>11</v>
      </c>
      <c r="C619" s="592"/>
      <c r="D619" s="593"/>
      <c r="E619" s="594"/>
      <c r="F619" s="9">
        <f>SUM(F614:F618)</f>
        <v>19110</v>
      </c>
    </row>
    <row r="622" spans="2:8" ht="15.6">
      <c r="B622" s="3" t="s">
        <v>1</v>
      </c>
      <c r="C622" s="1" t="s">
        <v>991</v>
      </c>
    </row>
    <row r="624" spans="2:8" ht="15.6">
      <c r="B624" s="3" t="s">
        <v>2</v>
      </c>
      <c r="C624" s="34" t="s">
        <v>973</v>
      </c>
      <c r="D624" s="3" t="s">
        <v>5</v>
      </c>
      <c r="E624" s="22">
        <v>45454</v>
      </c>
    </row>
    <row r="625" spans="2:8" ht="15.6">
      <c r="B625" s="3" t="s">
        <v>3</v>
      </c>
    </row>
    <row r="626" spans="2:8" ht="15.6">
      <c r="B626" s="3" t="s">
        <v>4</v>
      </c>
    </row>
    <row r="627" spans="2:8" ht="15" thickBot="1"/>
    <row r="628" spans="2:8" ht="16.2" thickBot="1">
      <c r="B628" s="10" t="s">
        <v>6</v>
      </c>
      <c r="C628" s="10" t="s">
        <v>7</v>
      </c>
      <c r="D628" s="4" t="s">
        <v>8</v>
      </c>
      <c r="E628" s="10" t="s">
        <v>9</v>
      </c>
      <c r="F628" s="5" t="s">
        <v>10</v>
      </c>
    </row>
    <row r="629" spans="2:8" ht="15" thickBot="1">
      <c r="B629" s="54"/>
      <c r="F629" s="55"/>
    </row>
    <row r="630" spans="2:8" ht="18" thickBot="1">
      <c r="B630" s="37">
        <v>1</v>
      </c>
      <c r="C630" s="52" t="s">
        <v>992</v>
      </c>
      <c r="D630" s="37">
        <v>2440</v>
      </c>
      <c r="E630" s="37">
        <v>2</v>
      </c>
      <c r="F630" s="37">
        <f>D630*E630</f>
        <v>4880</v>
      </c>
      <c r="H630" s="1" t="s">
        <v>1185</v>
      </c>
    </row>
    <row r="631" spans="2:8" ht="18" thickBot="1">
      <c r="B631" s="37">
        <v>2</v>
      </c>
      <c r="C631" s="52" t="s">
        <v>989</v>
      </c>
      <c r="D631" s="37">
        <v>2740</v>
      </c>
      <c r="E631" s="37">
        <v>3</v>
      </c>
      <c r="F631" s="37">
        <f>D631*E631</f>
        <v>8220</v>
      </c>
    </row>
    <row r="632" spans="2:8" ht="18" thickBot="1">
      <c r="B632" s="37"/>
      <c r="C632" s="52"/>
      <c r="D632" s="37"/>
      <c r="E632" s="37"/>
      <c r="F632" s="37">
        <f>D632*E632</f>
        <v>0</v>
      </c>
    </row>
    <row r="633" spans="2:8" ht="18" thickBot="1">
      <c r="B633" s="37"/>
      <c r="C633" s="52"/>
      <c r="D633" s="37"/>
      <c r="E633" s="37"/>
      <c r="F633" s="37">
        <f>D633*E633</f>
        <v>0</v>
      </c>
    </row>
    <row r="634" spans="2:8" ht="15" thickBot="1">
      <c r="B634" s="37"/>
      <c r="C634" s="37"/>
      <c r="D634" s="37"/>
      <c r="E634" s="37"/>
      <c r="F634" s="37"/>
    </row>
    <row r="635" spans="2:8" ht="18" thickBot="1">
      <c r="B635" s="591" t="s">
        <v>11</v>
      </c>
      <c r="C635" s="592"/>
      <c r="D635" s="593"/>
      <c r="E635" s="594"/>
      <c r="F635" s="9">
        <f>SUM(F630:F634)</f>
        <v>13100</v>
      </c>
    </row>
    <row r="638" spans="2:8" ht="15.6">
      <c r="B638" s="3" t="s">
        <v>1</v>
      </c>
      <c r="C638" s="1" t="s">
        <v>1002</v>
      </c>
    </row>
    <row r="640" spans="2:8" ht="15.6">
      <c r="B640" s="3" t="s">
        <v>2</v>
      </c>
      <c r="C640" s="34" t="s">
        <v>90</v>
      </c>
      <c r="D640" s="3" t="s">
        <v>5</v>
      </c>
      <c r="E640" s="22">
        <v>45455</v>
      </c>
    </row>
    <row r="641" spans="2:6" ht="15.6">
      <c r="B641" s="3" t="s">
        <v>3</v>
      </c>
    </row>
    <row r="642" spans="2:6" ht="15.6">
      <c r="B642" s="3" t="s">
        <v>4</v>
      </c>
    </row>
    <row r="643" spans="2:6" ht="15" thickBot="1"/>
    <row r="644" spans="2:6" ht="16.2" thickBot="1">
      <c r="B644" s="10" t="s">
        <v>6</v>
      </c>
      <c r="C644" s="10" t="s">
        <v>7</v>
      </c>
      <c r="D644" s="4" t="s">
        <v>8</v>
      </c>
      <c r="E644" s="10" t="s">
        <v>9</v>
      </c>
      <c r="F644" s="5" t="s">
        <v>10</v>
      </c>
    </row>
    <row r="645" spans="2:6" ht="15" thickBot="1">
      <c r="B645" s="54"/>
      <c r="F645" s="55"/>
    </row>
    <row r="646" spans="2:6" ht="18" thickBot="1">
      <c r="B646" s="37">
        <v>1</v>
      </c>
      <c r="C646" s="52" t="s">
        <v>572</v>
      </c>
      <c r="D646" s="37">
        <v>1670</v>
      </c>
      <c r="E646" s="37">
        <v>2</v>
      </c>
      <c r="F646" s="37">
        <f>D646*E646</f>
        <v>3340</v>
      </c>
    </row>
    <row r="647" spans="2:6" ht="18" thickBot="1">
      <c r="B647" s="37"/>
      <c r="C647" s="52"/>
      <c r="D647" s="37"/>
      <c r="E647" s="37"/>
      <c r="F647" s="37">
        <f>D647*E647</f>
        <v>0</v>
      </c>
    </row>
    <row r="648" spans="2:6" ht="18" thickBot="1">
      <c r="B648" s="37"/>
      <c r="C648" s="52"/>
      <c r="D648" s="37"/>
      <c r="E648" s="37"/>
      <c r="F648" s="37">
        <f>D648*E648</f>
        <v>0</v>
      </c>
    </row>
    <row r="649" spans="2:6" ht="18" thickBot="1">
      <c r="B649" s="37"/>
      <c r="C649" s="52"/>
      <c r="D649" s="37"/>
      <c r="E649" s="37"/>
      <c r="F649" s="37">
        <f>D649*E649</f>
        <v>0</v>
      </c>
    </row>
    <row r="650" spans="2:6" ht="15" thickBot="1">
      <c r="B650" s="37"/>
      <c r="C650" s="37"/>
      <c r="D650" s="37"/>
      <c r="E650" s="37"/>
      <c r="F650" s="37"/>
    </row>
    <row r="651" spans="2:6" ht="18" thickBot="1">
      <c r="B651" s="591" t="s">
        <v>11</v>
      </c>
      <c r="C651" s="592"/>
      <c r="D651" s="593"/>
      <c r="E651" s="594"/>
      <c r="F651" s="9">
        <f>SUM(F646:F650)</f>
        <v>3340</v>
      </c>
    </row>
    <row r="655" spans="2:6" ht="15.6">
      <c r="B655" s="3" t="s">
        <v>1</v>
      </c>
      <c r="C655" s="1" t="s">
        <v>1093</v>
      </c>
    </row>
    <row r="657" spans="2:6" ht="15.6">
      <c r="B657" s="3" t="s">
        <v>2</v>
      </c>
      <c r="C657" s="34" t="s">
        <v>90</v>
      </c>
      <c r="D657" s="3" t="s">
        <v>5</v>
      </c>
      <c r="E657" s="22">
        <v>45456</v>
      </c>
    </row>
    <row r="658" spans="2:6" ht="15.6">
      <c r="B658" s="3" t="s">
        <v>3</v>
      </c>
    </row>
    <row r="659" spans="2:6" ht="15.6">
      <c r="B659" s="3" t="s">
        <v>4</v>
      </c>
    </row>
    <row r="660" spans="2:6" ht="15" thickBot="1"/>
    <row r="661" spans="2:6" ht="16.2" thickBot="1">
      <c r="B661" s="10" t="s">
        <v>6</v>
      </c>
      <c r="C661" s="10" t="s">
        <v>7</v>
      </c>
      <c r="D661" s="4" t="s">
        <v>8</v>
      </c>
      <c r="E661" s="10" t="s">
        <v>9</v>
      </c>
      <c r="F661" s="5" t="s">
        <v>10</v>
      </c>
    </row>
    <row r="662" spans="2:6" ht="15" thickBot="1">
      <c r="B662" s="54"/>
      <c r="F662" s="55"/>
    </row>
    <row r="663" spans="2:6" ht="18" thickBot="1">
      <c r="B663" s="37">
        <v>1</v>
      </c>
      <c r="C663" s="52" t="s">
        <v>572</v>
      </c>
      <c r="D663" s="37">
        <v>1670</v>
      </c>
      <c r="E663" s="37">
        <v>5</v>
      </c>
      <c r="F663" s="37">
        <f>D663*E663</f>
        <v>8350</v>
      </c>
    </row>
    <row r="664" spans="2:6" ht="18" thickBot="1">
      <c r="B664" s="37"/>
      <c r="C664" s="52"/>
      <c r="D664" s="37"/>
      <c r="E664" s="37"/>
      <c r="F664" s="37">
        <f>D664*E664</f>
        <v>0</v>
      </c>
    </row>
    <row r="665" spans="2:6" ht="18" thickBot="1">
      <c r="B665" s="37"/>
      <c r="C665" s="52"/>
      <c r="D665" s="37"/>
      <c r="E665" s="37"/>
      <c r="F665" s="37">
        <f>D665*E665</f>
        <v>0</v>
      </c>
    </row>
    <row r="666" spans="2:6" ht="18" thickBot="1">
      <c r="B666" s="37"/>
      <c r="C666" s="52"/>
      <c r="D666" s="37"/>
      <c r="E666" s="37"/>
      <c r="F666" s="37">
        <f>D666*E666</f>
        <v>0</v>
      </c>
    </row>
    <row r="667" spans="2:6" ht="15" thickBot="1">
      <c r="B667" s="37"/>
      <c r="C667" s="37"/>
      <c r="D667" s="37"/>
      <c r="E667" s="37"/>
      <c r="F667" s="37"/>
    </row>
    <row r="668" spans="2:6" ht="18" thickBot="1">
      <c r="B668" s="591" t="s">
        <v>11</v>
      </c>
      <c r="C668" s="592"/>
      <c r="D668" s="593"/>
      <c r="E668" s="594"/>
      <c r="F668" s="9">
        <f>SUM(F663:F667)</f>
        <v>8350</v>
      </c>
    </row>
    <row r="671" spans="2:6" ht="15.6">
      <c r="B671" s="3" t="s">
        <v>1</v>
      </c>
      <c r="C671" s="1" t="s">
        <v>1094</v>
      </c>
    </row>
    <row r="673" spans="2:6" ht="15.6">
      <c r="B673" s="3" t="s">
        <v>2</v>
      </c>
      <c r="C673" s="34" t="s">
        <v>873</v>
      </c>
      <c r="D673" s="3" t="s">
        <v>5</v>
      </c>
      <c r="E673" s="22">
        <v>45456</v>
      </c>
    </row>
    <row r="674" spans="2:6" ht="15.6">
      <c r="B674" s="3" t="s">
        <v>3</v>
      </c>
    </row>
    <row r="675" spans="2:6" ht="15.6">
      <c r="B675" s="3" t="s">
        <v>4</v>
      </c>
    </row>
    <row r="676" spans="2:6" ht="15" thickBot="1"/>
    <row r="677" spans="2:6" ht="16.2" thickBot="1">
      <c r="B677" s="10" t="s">
        <v>6</v>
      </c>
      <c r="C677" s="10" t="s">
        <v>7</v>
      </c>
      <c r="D677" s="4" t="s">
        <v>8</v>
      </c>
      <c r="E677" s="10" t="s">
        <v>9</v>
      </c>
      <c r="F677" s="5" t="s">
        <v>10</v>
      </c>
    </row>
    <row r="678" spans="2:6" ht="15" thickBot="1">
      <c r="B678" s="54"/>
      <c r="F678" s="55"/>
    </row>
    <row r="679" spans="2:6" ht="18" thickBot="1">
      <c r="B679" s="37">
        <v>1</v>
      </c>
      <c r="C679" s="52" t="s">
        <v>572</v>
      </c>
      <c r="D679" s="37">
        <v>1665</v>
      </c>
      <c r="E679" s="37">
        <v>4</v>
      </c>
      <c r="F679" s="37">
        <f>D679*E679</f>
        <v>6660</v>
      </c>
    </row>
    <row r="680" spans="2:6" ht="18" thickBot="1">
      <c r="B680" s="37">
        <v>2</v>
      </c>
      <c r="C680" s="52" t="s">
        <v>572</v>
      </c>
      <c r="D680" s="37">
        <v>1665</v>
      </c>
      <c r="E680" s="37">
        <v>9</v>
      </c>
      <c r="F680" s="37">
        <f>D680*E680</f>
        <v>14985</v>
      </c>
    </row>
    <row r="681" spans="2:6" ht="18" thickBot="1">
      <c r="B681" s="37"/>
      <c r="C681" s="52"/>
      <c r="D681" s="37"/>
      <c r="E681" s="37"/>
      <c r="F681" s="37">
        <f>D681*E681</f>
        <v>0</v>
      </c>
    </row>
    <row r="682" spans="2:6" ht="18" thickBot="1">
      <c r="B682" s="37"/>
      <c r="C682" s="52"/>
      <c r="D682" s="37"/>
      <c r="E682" s="37"/>
      <c r="F682" s="37">
        <f>D682*E682</f>
        <v>0</v>
      </c>
    </row>
    <row r="683" spans="2:6" ht="15" thickBot="1">
      <c r="B683" s="37"/>
      <c r="C683" s="37"/>
      <c r="D683" s="37"/>
      <c r="E683" s="37"/>
      <c r="F683" s="37"/>
    </row>
    <row r="684" spans="2:6" ht="18" thickBot="1">
      <c r="B684" s="591" t="s">
        <v>11</v>
      </c>
      <c r="C684" s="592"/>
      <c r="D684" s="593"/>
      <c r="E684" s="594"/>
      <c r="F684" s="9">
        <f>SUM(F679:F683)</f>
        <v>21645</v>
      </c>
    </row>
    <row r="688" spans="2:6" ht="15.6">
      <c r="B688" s="3" t="s">
        <v>1</v>
      </c>
      <c r="C688" s="1" t="s">
        <v>1099</v>
      </c>
    </row>
    <row r="690" spans="2:6" ht="15.6">
      <c r="B690" s="3" t="s">
        <v>2</v>
      </c>
      <c r="C690" s="34" t="s">
        <v>1106</v>
      </c>
      <c r="D690" s="3" t="s">
        <v>5</v>
      </c>
      <c r="E690" s="22">
        <v>45457</v>
      </c>
    </row>
    <row r="691" spans="2:6" ht="15.6">
      <c r="B691" s="3" t="s">
        <v>3</v>
      </c>
    </row>
    <row r="692" spans="2:6" ht="15.6">
      <c r="B692" s="3" t="s">
        <v>4</v>
      </c>
    </row>
    <row r="693" spans="2:6" ht="15" thickBot="1"/>
    <row r="694" spans="2:6" ht="16.2" thickBot="1">
      <c r="B694" s="10" t="s">
        <v>6</v>
      </c>
      <c r="C694" s="10" t="s">
        <v>7</v>
      </c>
      <c r="D694" s="4" t="s">
        <v>8</v>
      </c>
      <c r="E694" s="10" t="s">
        <v>9</v>
      </c>
      <c r="F694" s="5" t="s">
        <v>10</v>
      </c>
    </row>
    <row r="695" spans="2:6" ht="15" thickBot="1">
      <c r="B695" s="54"/>
      <c r="F695" s="55"/>
    </row>
    <row r="696" spans="2:6" ht="18" thickBot="1">
      <c r="B696" s="37">
        <v>1</v>
      </c>
      <c r="C696" s="52" t="s">
        <v>40</v>
      </c>
      <c r="D696" s="37">
        <v>600</v>
      </c>
      <c r="E696" s="37">
        <v>2</v>
      </c>
      <c r="F696" s="37">
        <f>D696*E696</f>
        <v>1200</v>
      </c>
    </row>
    <row r="697" spans="2:6" ht="18" thickBot="1">
      <c r="B697" s="37">
        <v>2</v>
      </c>
      <c r="C697" s="52" t="s">
        <v>1100</v>
      </c>
      <c r="D697" s="37">
        <v>400</v>
      </c>
      <c r="E697" s="37">
        <v>3</v>
      </c>
      <c r="F697" s="37">
        <f>D697*E697</f>
        <v>1200</v>
      </c>
    </row>
    <row r="698" spans="2:6" ht="18" thickBot="1">
      <c r="B698" s="37">
        <v>3</v>
      </c>
      <c r="C698" s="52" t="s">
        <v>1101</v>
      </c>
      <c r="D698" s="37">
        <v>850</v>
      </c>
      <c r="E698" s="37">
        <v>1</v>
      </c>
      <c r="F698" s="37">
        <f t="shared" ref="F698:F702" si="17">D698*E698</f>
        <v>850</v>
      </c>
    </row>
    <row r="699" spans="2:6" ht="18" thickBot="1">
      <c r="B699" s="37">
        <v>4</v>
      </c>
      <c r="C699" s="52" t="s">
        <v>1102</v>
      </c>
      <c r="D699" s="37">
        <v>750</v>
      </c>
      <c r="E699" s="37">
        <v>1</v>
      </c>
      <c r="F699" s="37">
        <f t="shared" si="17"/>
        <v>750</v>
      </c>
    </row>
    <row r="700" spans="2:6" ht="18" thickBot="1">
      <c r="B700" s="37">
        <v>5</v>
      </c>
      <c r="C700" s="52" t="s">
        <v>1103</v>
      </c>
      <c r="D700" s="37">
        <v>1000</v>
      </c>
      <c r="E700" s="37">
        <v>1</v>
      </c>
      <c r="F700" s="37">
        <f t="shared" si="17"/>
        <v>1000</v>
      </c>
    </row>
    <row r="701" spans="2:6" ht="18" thickBot="1">
      <c r="B701" s="37">
        <v>6</v>
      </c>
      <c r="C701" s="52" t="s">
        <v>1104</v>
      </c>
      <c r="D701" s="37">
        <v>1300</v>
      </c>
      <c r="E701" s="37">
        <v>2</v>
      </c>
      <c r="F701" s="37">
        <f t="shared" si="17"/>
        <v>2600</v>
      </c>
    </row>
    <row r="702" spans="2:6" ht="18" thickBot="1">
      <c r="B702" s="37"/>
      <c r="C702" s="52"/>
      <c r="D702" s="37"/>
      <c r="E702" s="37"/>
      <c r="F702" s="37">
        <f t="shared" si="17"/>
        <v>0</v>
      </c>
    </row>
    <row r="703" spans="2:6" ht="18" thickBot="1">
      <c r="B703" s="37"/>
      <c r="C703" s="52"/>
      <c r="D703" s="37"/>
      <c r="E703" s="37"/>
      <c r="F703" s="37">
        <f>D703*E703</f>
        <v>0</v>
      </c>
    </row>
    <row r="704" spans="2:6" ht="15" thickBot="1">
      <c r="B704" s="37"/>
      <c r="C704" s="37"/>
      <c r="D704" s="37"/>
      <c r="E704" s="37"/>
      <c r="F704" s="37"/>
    </row>
    <row r="705" spans="2:6" ht="18" thickBot="1">
      <c r="B705" s="591" t="s">
        <v>11</v>
      </c>
      <c r="C705" s="592"/>
      <c r="D705" s="593"/>
      <c r="E705" s="594"/>
      <c r="F705" s="9">
        <f>SUM(F696:F704)</f>
        <v>7600</v>
      </c>
    </row>
    <row r="709" spans="2:6" ht="15.6">
      <c r="B709" s="3" t="s">
        <v>1</v>
      </c>
      <c r="C709" s="1" t="s">
        <v>1121</v>
      </c>
    </row>
    <row r="711" spans="2:6" ht="15.6">
      <c r="B711" s="3" t="s">
        <v>2</v>
      </c>
      <c r="C711" s="34" t="s">
        <v>1106</v>
      </c>
      <c r="D711" s="3" t="s">
        <v>5</v>
      </c>
      <c r="E711" s="22">
        <v>45463</v>
      </c>
    </row>
    <row r="712" spans="2:6" ht="15.6">
      <c r="B712" s="3" t="s">
        <v>3</v>
      </c>
    </row>
    <row r="713" spans="2:6" ht="15.6">
      <c r="B713" s="3" t="s">
        <v>4</v>
      </c>
    </row>
    <row r="714" spans="2:6" ht="15" thickBot="1"/>
    <row r="715" spans="2:6" ht="16.2" thickBot="1">
      <c r="B715" s="10" t="s">
        <v>6</v>
      </c>
      <c r="C715" s="10" t="s">
        <v>7</v>
      </c>
      <c r="D715" s="4" t="s">
        <v>8</v>
      </c>
      <c r="E715" s="10" t="s">
        <v>9</v>
      </c>
      <c r="F715" s="5" t="s">
        <v>10</v>
      </c>
    </row>
    <row r="716" spans="2:6" ht="15" thickBot="1">
      <c r="B716" s="54"/>
      <c r="F716" s="55"/>
    </row>
    <row r="717" spans="2:6" ht="18" thickBot="1">
      <c r="B717" s="37">
        <v>1</v>
      </c>
      <c r="C717" s="52" t="s">
        <v>1122</v>
      </c>
      <c r="D717" s="37" t="s">
        <v>942</v>
      </c>
      <c r="E717" s="37">
        <v>1</v>
      </c>
      <c r="F717" s="37" t="e">
        <f>D717*E717</f>
        <v>#VALUE!</v>
      </c>
    </row>
    <row r="718" spans="2:6" ht="18" thickBot="1">
      <c r="B718" s="37">
        <v>2</v>
      </c>
      <c r="C718" s="52"/>
      <c r="D718" s="37"/>
      <c r="E718" s="37"/>
      <c r="F718" s="37">
        <f>D718*E718</f>
        <v>0</v>
      </c>
    </row>
    <row r="719" spans="2:6" ht="18" thickBot="1">
      <c r="B719" s="37"/>
      <c r="C719" s="52"/>
      <c r="D719" s="37"/>
      <c r="E719" s="37"/>
      <c r="F719" s="37">
        <f>D719*E719</f>
        <v>0</v>
      </c>
    </row>
    <row r="720" spans="2:6" ht="15" thickBot="1">
      <c r="B720" s="37"/>
      <c r="C720" s="37"/>
      <c r="D720" s="37"/>
      <c r="E720" s="37"/>
      <c r="F720" s="37"/>
    </row>
    <row r="721" spans="2:8" ht="18" thickBot="1">
      <c r="B721" s="591" t="s">
        <v>11</v>
      </c>
      <c r="C721" s="592"/>
      <c r="D721" s="593"/>
      <c r="E721" s="594"/>
      <c r="F721" s="9" t="e">
        <f>SUM(F717:F720)</f>
        <v>#VALUE!</v>
      </c>
    </row>
    <row r="725" spans="2:8" ht="15.6">
      <c r="B725" s="3" t="s">
        <v>1</v>
      </c>
      <c r="C725" s="1" t="s">
        <v>1124</v>
      </c>
    </row>
    <row r="727" spans="2:8" ht="15.6">
      <c r="B727" s="3" t="s">
        <v>2</v>
      </c>
      <c r="C727" s="34" t="s">
        <v>90</v>
      </c>
      <c r="D727" s="3" t="s">
        <v>5</v>
      </c>
      <c r="E727" s="22">
        <v>45463</v>
      </c>
    </row>
    <row r="728" spans="2:8" ht="15.6">
      <c r="B728" s="3" t="s">
        <v>3</v>
      </c>
    </row>
    <row r="729" spans="2:8" ht="15.6">
      <c r="B729" s="3" t="s">
        <v>4</v>
      </c>
    </row>
    <row r="730" spans="2:8" ht="15" thickBot="1"/>
    <row r="731" spans="2:8" ht="16.2" thickBot="1">
      <c r="B731" s="10" t="s">
        <v>6</v>
      </c>
      <c r="C731" s="10" t="s">
        <v>7</v>
      </c>
      <c r="D731" s="4" t="s">
        <v>8</v>
      </c>
      <c r="E731" s="10" t="s">
        <v>9</v>
      </c>
      <c r="F731" s="5" t="s">
        <v>10</v>
      </c>
    </row>
    <row r="732" spans="2:8" ht="15" thickBot="1">
      <c r="B732" s="54"/>
      <c r="F732" s="55"/>
    </row>
    <row r="733" spans="2:8" ht="18" thickBot="1">
      <c r="B733" s="37">
        <v>1</v>
      </c>
      <c r="C733" s="52" t="s">
        <v>1147</v>
      </c>
      <c r="D733" s="37">
        <v>1200</v>
      </c>
      <c r="E733" s="37">
        <v>4</v>
      </c>
      <c r="F733" s="37">
        <f>D733*E733</f>
        <v>4800</v>
      </c>
      <c r="H733" s="1" t="s">
        <v>1185</v>
      </c>
    </row>
    <row r="734" spans="2:8" ht="18" thickBot="1">
      <c r="B734" s="37"/>
      <c r="C734" s="52"/>
      <c r="D734" s="37"/>
      <c r="E734" s="37"/>
      <c r="F734" s="37">
        <f>D734*E734</f>
        <v>0</v>
      </c>
    </row>
    <row r="735" spans="2:8" ht="18" thickBot="1">
      <c r="B735" s="37"/>
      <c r="C735" s="52"/>
      <c r="D735" s="37"/>
      <c r="E735" s="37"/>
      <c r="F735" s="37">
        <f>D735*E735</f>
        <v>0</v>
      </c>
    </row>
    <row r="736" spans="2:8" ht="15" thickBot="1">
      <c r="B736" s="37"/>
      <c r="C736" s="37"/>
      <c r="D736" s="37"/>
      <c r="E736" s="37"/>
      <c r="F736" s="37"/>
    </row>
    <row r="737" spans="2:8" ht="18" thickBot="1">
      <c r="B737" s="591" t="s">
        <v>11</v>
      </c>
      <c r="C737" s="592"/>
      <c r="D737" s="593"/>
      <c r="E737" s="594"/>
      <c r="F737" s="9">
        <f>SUM(F733:F736)</f>
        <v>4800</v>
      </c>
    </row>
    <row r="740" spans="2:8" ht="15.6">
      <c r="B740" s="3" t="s">
        <v>1</v>
      </c>
      <c r="C740" s="1" t="s">
        <v>1127</v>
      </c>
    </row>
    <row r="742" spans="2:8" ht="15.6">
      <c r="B742" s="3" t="s">
        <v>2</v>
      </c>
      <c r="C742" s="34" t="s">
        <v>1126</v>
      </c>
      <c r="D742" s="3" t="s">
        <v>5</v>
      </c>
      <c r="E742" s="22">
        <v>45463</v>
      </c>
    </row>
    <row r="743" spans="2:8" ht="15.6">
      <c r="B743" s="3" t="s">
        <v>3</v>
      </c>
    </row>
    <row r="744" spans="2:8" ht="15.6">
      <c r="B744" s="3" t="s">
        <v>4</v>
      </c>
    </row>
    <row r="745" spans="2:8" ht="15" thickBot="1"/>
    <row r="746" spans="2:8" ht="16.2" thickBot="1">
      <c r="B746" s="10" t="s">
        <v>6</v>
      </c>
      <c r="C746" s="10" t="s">
        <v>7</v>
      </c>
      <c r="D746" s="4" t="s">
        <v>8</v>
      </c>
      <c r="E746" s="10" t="s">
        <v>9</v>
      </c>
      <c r="F746" s="5" t="s">
        <v>10</v>
      </c>
    </row>
    <row r="747" spans="2:8" ht="15" thickBot="1">
      <c r="B747" s="54"/>
      <c r="F747" s="55"/>
    </row>
    <row r="748" spans="2:8" ht="18" thickBot="1">
      <c r="B748" s="37">
        <v>1</v>
      </c>
      <c r="C748" s="52" t="s">
        <v>1128</v>
      </c>
      <c r="D748" s="37">
        <v>2390</v>
      </c>
      <c r="E748" s="37">
        <v>1</v>
      </c>
      <c r="F748" s="37">
        <f>D748*E748</f>
        <v>2390</v>
      </c>
      <c r="H748" s="1" t="s">
        <v>1185</v>
      </c>
    </row>
    <row r="749" spans="2:8" ht="18" thickBot="1">
      <c r="B749" s="37"/>
      <c r="C749" s="52"/>
      <c r="D749" s="37"/>
      <c r="E749" s="37"/>
      <c r="F749" s="37">
        <f>D749*E749</f>
        <v>0</v>
      </c>
    </row>
    <row r="750" spans="2:8" ht="18" thickBot="1">
      <c r="B750" s="37"/>
      <c r="C750" s="52"/>
      <c r="D750" s="37"/>
      <c r="E750" s="37"/>
      <c r="F750" s="37">
        <f>D750*E750</f>
        <v>0</v>
      </c>
    </row>
    <row r="751" spans="2:8" ht="15" thickBot="1">
      <c r="B751" s="37"/>
      <c r="C751" s="37"/>
      <c r="D751" s="37"/>
      <c r="E751" s="37"/>
      <c r="F751" s="37"/>
    </row>
    <row r="752" spans="2:8" ht="18" thickBot="1">
      <c r="B752" s="591" t="s">
        <v>11</v>
      </c>
      <c r="C752" s="592"/>
      <c r="D752" s="593"/>
      <c r="E752" s="594"/>
      <c r="F752" s="9">
        <f>SUM(F748:F751)</f>
        <v>2390</v>
      </c>
    </row>
    <row r="756" spans="2:8" ht="15.6">
      <c r="B756" s="3" t="s">
        <v>1</v>
      </c>
      <c r="C756" s="1" t="s">
        <v>1168</v>
      </c>
    </row>
    <row r="758" spans="2:8" ht="15.6">
      <c r="B758" s="3" t="s">
        <v>2</v>
      </c>
      <c r="C758" s="34" t="s">
        <v>90</v>
      </c>
      <c r="D758" s="3" t="s">
        <v>5</v>
      </c>
      <c r="E758" s="22">
        <v>45465</v>
      </c>
    </row>
    <row r="759" spans="2:8" ht="15.6">
      <c r="B759" s="3" t="s">
        <v>3</v>
      </c>
    </row>
    <row r="760" spans="2:8" ht="15.6">
      <c r="B760" s="3" t="s">
        <v>4</v>
      </c>
    </row>
    <row r="761" spans="2:8" ht="15" thickBot="1"/>
    <row r="762" spans="2:8" ht="16.2" thickBot="1">
      <c r="B762" s="10" t="s">
        <v>6</v>
      </c>
      <c r="C762" s="10" t="s">
        <v>7</v>
      </c>
      <c r="D762" s="4" t="s">
        <v>8</v>
      </c>
      <c r="E762" s="10" t="s">
        <v>9</v>
      </c>
      <c r="F762" s="5" t="s">
        <v>10</v>
      </c>
    </row>
    <row r="763" spans="2:8" ht="15" thickBot="1">
      <c r="B763" s="54"/>
      <c r="F763" s="55"/>
    </row>
    <row r="764" spans="2:8" ht="18" thickBot="1">
      <c r="B764" s="37">
        <v>1</v>
      </c>
      <c r="C764" s="52" t="s">
        <v>1169</v>
      </c>
      <c r="D764" s="37">
        <v>1530</v>
      </c>
      <c r="E764" s="37">
        <v>2</v>
      </c>
      <c r="F764" s="37">
        <f>D764*E764</f>
        <v>3060</v>
      </c>
      <c r="H764" s="1" t="s">
        <v>1185</v>
      </c>
    </row>
    <row r="765" spans="2:8" ht="18" thickBot="1">
      <c r="B765" s="37"/>
      <c r="C765" s="52"/>
      <c r="D765" s="37"/>
      <c r="E765" s="37"/>
      <c r="F765" s="37">
        <f>D765*E765</f>
        <v>0</v>
      </c>
    </row>
    <row r="766" spans="2:8" ht="18" thickBot="1">
      <c r="B766" s="37"/>
      <c r="C766" s="52"/>
      <c r="D766" s="37"/>
      <c r="E766" s="37"/>
      <c r="F766" s="37">
        <f>D766*E766</f>
        <v>0</v>
      </c>
    </row>
    <row r="767" spans="2:8" ht="15" thickBot="1">
      <c r="B767" s="37"/>
      <c r="C767" s="37"/>
      <c r="D767" s="37"/>
      <c r="E767" s="37"/>
      <c r="F767" s="37"/>
    </row>
    <row r="768" spans="2:8" ht="18" thickBot="1">
      <c r="B768" s="591" t="s">
        <v>11</v>
      </c>
      <c r="C768" s="592"/>
      <c r="D768" s="593"/>
      <c r="E768" s="594"/>
      <c r="F768" s="9">
        <f>SUM(F764:F767)</f>
        <v>3060</v>
      </c>
    </row>
    <row r="772" spans="2:8" ht="15.6">
      <c r="B772" s="3" t="s">
        <v>1</v>
      </c>
      <c r="C772" s="1" t="s">
        <v>1170</v>
      </c>
    </row>
    <row r="774" spans="2:8" ht="15.6">
      <c r="B774" s="3" t="s">
        <v>2</v>
      </c>
      <c r="C774" s="34" t="s">
        <v>90</v>
      </c>
      <c r="D774" s="3" t="s">
        <v>5</v>
      </c>
      <c r="E774" s="22">
        <v>45465</v>
      </c>
    </row>
    <row r="775" spans="2:8" ht="15.6">
      <c r="B775" s="3" t="s">
        <v>3</v>
      </c>
    </row>
    <row r="776" spans="2:8" ht="15.6">
      <c r="B776" s="3" t="s">
        <v>4</v>
      </c>
    </row>
    <row r="777" spans="2:8" ht="15" thickBot="1"/>
    <row r="778" spans="2:8" ht="16.2" thickBot="1">
      <c r="B778" s="10" t="s">
        <v>6</v>
      </c>
      <c r="C778" s="10" t="s">
        <v>7</v>
      </c>
      <c r="D778" s="4" t="s">
        <v>8</v>
      </c>
      <c r="E778" s="10" t="s">
        <v>9</v>
      </c>
      <c r="F778" s="5" t="s">
        <v>10</v>
      </c>
    </row>
    <row r="779" spans="2:8" ht="15" thickBot="1">
      <c r="B779" s="54"/>
      <c r="F779" s="55"/>
    </row>
    <row r="780" spans="2:8" ht="18" thickBot="1">
      <c r="B780" s="37">
        <v>1</v>
      </c>
      <c r="C780" s="52" t="s">
        <v>1171</v>
      </c>
      <c r="D780" s="37">
        <v>2080</v>
      </c>
      <c r="E780" s="37">
        <v>2</v>
      </c>
      <c r="F780" s="37">
        <f>D780*E780</f>
        <v>4160</v>
      </c>
    </row>
    <row r="781" spans="2:8" ht="18" thickBot="1">
      <c r="B781" s="37">
        <v>2</v>
      </c>
      <c r="C781" s="52" t="s">
        <v>1172</v>
      </c>
      <c r="D781" s="37">
        <v>2400</v>
      </c>
      <c r="E781" s="37">
        <v>1</v>
      </c>
      <c r="F781" s="37">
        <f t="shared" ref="F781:F783" si="18">D781*E781</f>
        <v>2400</v>
      </c>
      <c r="H781" s="1" t="s">
        <v>1185</v>
      </c>
    </row>
    <row r="782" spans="2:8" ht="18" thickBot="1">
      <c r="B782" s="37">
        <v>3</v>
      </c>
      <c r="C782" s="52" t="s">
        <v>1173</v>
      </c>
      <c r="D782" s="37">
        <v>2080</v>
      </c>
      <c r="E782" s="37">
        <v>2</v>
      </c>
      <c r="F782" s="37">
        <f t="shared" si="18"/>
        <v>4160</v>
      </c>
    </row>
    <row r="783" spans="2:8" ht="18" thickBot="1">
      <c r="B783" s="37">
        <v>4</v>
      </c>
      <c r="C783" s="52" t="s">
        <v>1174</v>
      </c>
      <c r="D783" s="37">
        <v>1950</v>
      </c>
      <c r="E783" s="37">
        <v>1</v>
      </c>
      <c r="F783" s="37">
        <f t="shared" si="18"/>
        <v>1950</v>
      </c>
    </row>
    <row r="784" spans="2:8" ht="15" thickBot="1">
      <c r="B784" s="37"/>
      <c r="C784" s="37"/>
      <c r="D784" s="37"/>
      <c r="E784" s="37"/>
      <c r="F784" s="37"/>
    </row>
    <row r="785" spans="2:6" ht="18" thickBot="1">
      <c r="B785" s="591" t="s">
        <v>11</v>
      </c>
      <c r="C785" s="592"/>
      <c r="D785" s="593"/>
      <c r="E785" s="594"/>
      <c r="F785" s="9">
        <f>SUM(F780:F784)</f>
        <v>12670</v>
      </c>
    </row>
    <row r="790" spans="2:6" ht="15.6">
      <c r="B790" s="3" t="s">
        <v>1</v>
      </c>
      <c r="C790" s="1" t="s">
        <v>1200</v>
      </c>
    </row>
    <row r="792" spans="2:6" ht="15.6">
      <c r="B792" s="3" t="s">
        <v>2</v>
      </c>
      <c r="C792" s="34" t="s">
        <v>1577</v>
      </c>
      <c r="D792" s="3" t="s">
        <v>5</v>
      </c>
      <c r="E792" s="22">
        <v>45469</v>
      </c>
    </row>
    <row r="793" spans="2:6" ht="15.6">
      <c r="B793" s="3" t="s">
        <v>3</v>
      </c>
    </row>
    <row r="794" spans="2:6" ht="15.6">
      <c r="B794" s="3" t="s">
        <v>4</v>
      </c>
    </row>
    <row r="795" spans="2:6" ht="15" thickBot="1"/>
    <row r="796" spans="2:6" ht="16.2" thickBot="1">
      <c r="B796" s="10" t="s">
        <v>6</v>
      </c>
      <c r="C796" s="10" t="s">
        <v>7</v>
      </c>
      <c r="D796" s="4" t="s">
        <v>8</v>
      </c>
      <c r="E796" s="10" t="s">
        <v>9</v>
      </c>
      <c r="F796" s="5" t="s">
        <v>10</v>
      </c>
    </row>
    <row r="797" spans="2:6" ht="15" thickBot="1">
      <c r="B797" s="54"/>
      <c r="F797" s="55"/>
    </row>
    <row r="798" spans="2:6" ht="18" thickBot="1">
      <c r="B798" s="37">
        <v>1</v>
      </c>
      <c r="C798" s="52" t="s">
        <v>1201</v>
      </c>
      <c r="D798" s="37">
        <f>1650*76.5</f>
        <v>126225</v>
      </c>
      <c r="E798" s="37">
        <v>1</v>
      </c>
      <c r="F798" s="37">
        <f>D798*E798</f>
        <v>126225</v>
      </c>
    </row>
    <row r="799" spans="2:6" ht="18" thickBot="1">
      <c r="B799" s="37">
        <v>2</v>
      </c>
      <c r="C799" s="52" t="s">
        <v>1202</v>
      </c>
      <c r="D799" s="37">
        <f>1650*76.5</f>
        <v>126225</v>
      </c>
      <c r="E799" s="37">
        <v>2</v>
      </c>
      <c r="F799" s="37">
        <f t="shared" ref="F799:F802" si="19">D799*E799</f>
        <v>252450</v>
      </c>
    </row>
    <row r="800" spans="2:6" ht="18" thickBot="1">
      <c r="B800" s="37">
        <v>3</v>
      </c>
      <c r="C800" s="52" t="s">
        <v>1316</v>
      </c>
      <c r="D800" s="37">
        <f>1650*76.5</f>
        <v>126225</v>
      </c>
      <c r="E800" s="37">
        <v>1</v>
      </c>
      <c r="F800" s="37">
        <f t="shared" si="19"/>
        <v>126225</v>
      </c>
    </row>
    <row r="801" spans="2:7" ht="18" thickBot="1">
      <c r="B801" s="37">
        <v>4</v>
      </c>
      <c r="C801" s="52" t="s">
        <v>1203</v>
      </c>
      <c r="D801" s="37">
        <f>1550*76.5</f>
        <v>118575</v>
      </c>
      <c r="E801" s="37">
        <v>1</v>
      </c>
      <c r="F801" s="37">
        <f t="shared" si="19"/>
        <v>118575</v>
      </c>
    </row>
    <row r="802" spans="2:7" ht="18" thickBot="1">
      <c r="B802" s="37">
        <v>5</v>
      </c>
      <c r="C802" s="52" t="s">
        <v>1204</v>
      </c>
      <c r="D802" s="37">
        <f>1650*76.5</f>
        <v>126225</v>
      </c>
      <c r="E802" s="37">
        <v>3</v>
      </c>
      <c r="F802" s="37">
        <f t="shared" si="19"/>
        <v>378675</v>
      </c>
    </row>
    <row r="803" spans="2:7" ht="15" thickBot="1">
      <c r="B803" s="37"/>
      <c r="C803" s="37"/>
      <c r="D803" s="37"/>
      <c r="E803" s="37"/>
      <c r="F803" s="37"/>
    </row>
    <row r="804" spans="2:7" ht="18" thickBot="1">
      <c r="B804" s="591" t="s">
        <v>11</v>
      </c>
      <c r="C804" s="592"/>
      <c r="D804" s="593"/>
      <c r="E804" s="594"/>
      <c r="F804" s="388">
        <f>SUM(F798:F803)</f>
        <v>1002150</v>
      </c>
      <c r="G804" s="229" t="s">
        <v>567</v>
      </c>
    </row>
    <row r="808" spans="2:7" ht="15.6">
      <c r="B808" s="3" t="s">
        <v>1</v>
      </c>
      <c r="C808" s="1" t="s">
        <v>1207</v>
      </c>
    </row>
    <row r="810" spans="2:7" ht="15.6">
      <c r="B810" s="3" t="s">
        <v>2</v>
      </c>
      <c r="C810" s="34" t="s">
        <v>90</v>
      </c>
      <c r="D810" s="3" t="s">
        <v>5</v>
      </c>
      <c r="E810" s="22">
        <v>45469</v>
      </c>
    </row>
    <row r="811" spans="2:7" ht="15.6">
      <c r="B811" s="3" t="s">
        <v>3</v>
      </c>
    </row>
    <row r="812" spans="2:7" ht="15.6">
      <c r="B812" s="3" t="s">
        <v>4</v>
      </c>
    </row>
    <row r="813" spans="2:7" ht="15" thickBot="1"/>
    <row r="814" spans="2:7" ht="16.2" thickBot="1">
      <c r="B814" s="10" t="s">
        <v>6</v>
      </c>
      <c r="C814" s="10" t="s">
        <v>7</v>
      </c>
      <c r="D814" s="4" t="s">
        <v>8</v>
      </c>
      <c r="E814" s="10" t="s">
        <v>9</v>
      </c>
      <c r="F814" s="5" t="s">
        <v>10</v>
      </c>
    </row>
    <row r="815" spans="2:7" ht="15" thickBot="1">
      <c r="B815" s="54"/>
      <c r="F815" s="55"/>
    </row>
    <row r="816" spans="2:7" ht="18" thickBot="1">
      <c r="B816" s="37">
        <v>1</v>
      </c>
      <c r="C816" s="52" t="s">
        <v>572</v>
      </c>
      <c r="D816" s="37">
        <v>1580</v>
      </c>
      <c r="E816" s="37">
        <v>26</v>
      </c>
      <c r="F816" s="37">
        <f>D816*E816</f>
        <v>41080</v>
      </c>
    </row>
    <row r="817" spans="2:6" ht="18" thickBot="1">
      <c r="B817" s="37">
        <v>2</v>
      </c>
      <c r="C817" s="52"/>
      <c r="D817" s="37"/>
      <c r="E817" s="37"/>
      <c r="F817" s="37">
        <f t="shared" ref="F817:F818" si="20">D817*E817</f>
        <v>0</v>
      </c>
    </row>
    <row r="818" spans="2:6" ht="18" thickBot="1">
      <c r="B818" s="37">
        <v>3</v>
      </c>
      <c r="C818" s="52"/>
      <c r="D818" s="37"/>
      <c r="E818" s="37"/>
      <c r="F818" s="37">
        <f t="shared" si="20"/>
        <v>0</v>
      </c>
    </row>
    <row r="819" spans="2:6" ht="15" thickBot="1">
      <c r="B819" s="37"/>
      <c r="C819" s="37"/>
      <c r="D819" s="37"/>
      <c r="E819" s="37"/>
      <c r="F819" s="37"/>
    </row>
    <row r="820" spans="2:6" ht="18" thickBot="1">
      <c r="B820" s="591" t="s">
        <v>11</v>
      </c>
      <c r="C820" s="592"/>
      <c r="D820" s="593"/>
      <c r="E820" s="594"/>
      <c r="F820" s="9">
        <f>SUM(F816:F819)</f>
        <v>41080</v>
      </c>
    </row>
    <row r="824" spans="2:6" ht="15.6">
      <c r="B824" s="3" t="s">
        <v>1</v>
      </c>
      <c r="C824" s="1" t="s">
        <v>1208</v>
      </c>
    </row>
    <row r="826" spans="2:6" ht="15.6">
      <c r="B826" s="3" t="s">
        <v>2</v>
      </c>
      <c r="C826" s="34" t="s">
        <v>90</v>
      </c>
      <c r="D826" s="3" t="s">
        <v>5</v>
      </c>
      <c r="E826" s="22">
        <v>45469</v>
      </c>
    </row>
    <row r="827" spans="2:6" ht="15.6">
      <c r="B827" s="3" t="s">
        <v>3</v>
      </c>
    </row>
    <row r="828" spans="2:6" ht="15.6">
      <c r="B828" s="3" t="s">
        <v>4</v>
      </c>
    </row>
    <row r="829" spans="2:6" ht="15" thickBot="1"/>
    <row r="830" spans="2:6" ht="16.2" thickBot="1">
      <c r="B830" s="10" t="s">
        <v>6</v>
      </c>
      <c r="C830" s="10" t="s">
        <v>7</v>
      </c>
      <c r="D830" s="4" t="s">
        <v>8</v>
      </c>
      <c r="E830" s="10" t="s">
        <v>9</v>
      </c>
      <c r="F830" s="5" t="s">
        <v>10</v>
      </c>
    </row>
    <row r="831" spans="2:6" ht="15" thickBot="1">
      <c r="B831" s="54"/>
      <c r="F831" s="55"/>
    </row>
    <row r="832" spans="2:6" ht="18" thickBot="1">
      <c r="B832" s="37">
        <v>1</v>
      </c>
      <c r="C832" s="52" t="s">
        <v>1209</v>
      </c>
      <c r="D832" s="37">
        <v>2560</v>
      </c>
      <c r="E832" s="37">
        <v>1</v>
      </c>
      <c r="F832" s="37">
        <f>D832*E832</f>
        <v>2560</v>
      </c>
    </row>
    <row r="833" spans="2:6" ht="18" thickBot="1">
      <c r="B833" s="37">
        <v>2</v>
      </c>
      <c r="C833" s="52" t="s">
        <v>1210</v>
      </c>
      <c r="D833" s="37">
        <v>2450</v>
      </c>
      <c r="E833" s="37">
        <v>1</v>
      </c>
      <c r="F833" s="37">
        <f t="shared" ref="F833:F834" si="21">D833*E833</f>
        <v>2450</v>
      </c>
    </row>
    <row r="834" spans="2:6" ht="18" thickBot="1">
      <c r="B834" s="37">
        <v>3</v>
      </c>
      <c r="C834" s="52"/>
      <c r="D834" s="37"/>
      <c r="E834" s="37"/>
      <c r="F834" s="37">
        <f t="shared" si="21"/>
        <v>0</v>
      </c>
    </row>
    <row r="835" spans="2:6" ht="15" thickBot="1">
      <c r="B835" s="37"/>
      <c r="C835" s="37"/>
      <c r="D835" s="37"/>
      <c r="E835" s="37"/>
      <c r="F835" s="37"/>
    </row>
    <row r="836" spans="2:6" ht="18" thickBot="1">
      <c r="B836" s="591" t="s">
        <v>11</v>
      </c>
      <c r="C836" s="592"/>
      <c r="D836" s="593"/>
      <c r="E836" s="594"/>
      <c r="F836" s="9">
        <f>SUM(F832:F835)</f>
        <v>5010</v>
      </c>
    </row>
    <row r="841" spans="2:6" ht="15.6">
      <c r="B841" s="3" t="s">
        <v>1</v>
      </c>
      <c r="C841" s="1" t="s">
        <v>1230</v>
      </c>
    </row>
    <row r="843" spans="2:6" ht="15.6">
      <c r="B843" s="3" t="s">
        <v>2</v>
      </c>
      <c r="C843" s="34" t="s">
        <v>90</v>
      </c>
      <c r="D843" s="3" t="s">
        <v>5</v>
      </c>
      <c r="E843" s="22">
        <v>45471</v>
      </c>
    </row>
    <row r="844" spans="2:6" ht="15.6">
      <c r="B844" s="3" t="s">
        <v>3</v>
      </c>
    </row>
    <row r="845" spans="2:6" ht="15.6">
      <c r="B845" s="3" t="s">
        <v>4</v>
      </c>
    </row>
    <row r="846" spans="2:6" ht="15" thickBot="1"/>
    <row r="847" spans="2:6" ht="16.2" thickBot="1">
      <c r="B847" s="10" t="s">
        <v>6</v>
      </c>
      <c r="C847" s="10" t="s">
        <v>7</v>
      </c>
      <c r="D847" s="4" t="s">
        <v>8</v>
      </c>
      <c r="E847" s="10" t="s">
        <v>9</v>
      </c>
      <c r="F847" s="5" t="s">
        <v>10</v>
      </c>
    </row>
    <row r="848" spans="2:6" ht="15" thickBot="1">
      <c r="B848" s="54"/>
      <c r="F848" s="55"/>
    </row>
    <row r="849" spans="2:6" ht="18" thickBot="1">
      <c r="B849" s="37">
        <v>1</v>
      </c>
      <c r="C849" s="52" t="s">
        <v>572</v>
      </c>
      <c r="D849" s="37">
        <v>1575</v>
      </c>
      <c r="E849" s="37">
        <v>20</v>
      </c>
      <c r="F849" s="37">
        <f>D849*E849</f>
        <v>31500</v>
      </c>
    </row>
    <row r="850" spans="2:6" ht="18" thickBot="1">
      <c r="B850" s="37">
        <v>2</v>
      </c>
      <c r="C850" s="52"/>
      <c r="D850" s="37"/>
      <c r="E850" s="37"/>
      <c r="F850" s="37">
        <f t="shared" ref="F850:F851" si="22">D850*E850</f>
        <v>0</v>
      </c>
    </row>
    <row r="851" spans="2:6" ht="18" thickBot="1">
      <c r="B851" s="37">
        <v>3</v>
      </c>
      <c r="C851" s="52"/>
      <c r="D851" s="37"/>
      <c r="E851" s="37"/>
      <c r="F851" s="37">
        <f t="shared" si="22"/>
        <v>0</v>
      </c>
    </row>
    <row r="852" spans="2:6" ht="15" thickBot="1">
      <c r="B852" s="37"/>
      <c r="C852" s="37"/>
      <c r="D852" s="37"/>
      <c r="E852" s="37"/>
      <c r="F852" s="37"/>
    </row>
    <row r="853" spans="2:6" ht="18" thickBot="1">
      <c r="B853" s="591" t="s">
        <v>11</v>
      </c>
      <c r="C853" s="592"/>
      <c r="D853" s="593"/>
      <c r="E853" s="594"/>
      <c r="F853" s="9">
        <f>SUM(F849:F852)</f>
        <v>31500</v>
      </c>
    </row>
    <row r="856" spans="2:6" ht="15.6">
      <c r="B856" s="3" t="s">
        <v>1</v>
      </c>
      <c r="C856" s="1" t="s">
        <v>1235</v>
      </c>
    </row>
    <row r="858" spans="2:6" ht="15.6">
      <c r="B858" s="3" t="s">
        <v>2</v>
      </c>
      <c r="C858" s="34" t="s">
        <v>90</v>
      </c>
      <c r="D858" s="3" t="s">
        <v>5</v>
      </c>
      <c r="E858" s="22">
        <v>45471</v>
      </c>
    </row>
    <row r="859" spans="2:6" ht="15.6">
      <c r="B859" s="3" t="s">
        <v>3</v>
      </c>
    </row>
    <row r="860" spans="2:6" ht="15.6">
      <c r="B860" s="3" t="s">
        <v>4</v>
      </c>
    </row>
    <row r="861" spans="2:6" ht="15" thickBot="1"/>
    <row r="862" spans="2:6" ht="16.2" thickBot="1">
      <c r="B862" s="10" t="s">
        <v>6</v>
      </c>
      <c r="C862" s="10" t="s">
        <v>7</v>
      </c>
      <c r="D862" s="4" t="s">
        <v>8</v>
      </c>
      <c r="E862" s="10" t="s">
        <v>9</v>
      </c>
      <c r="F862" s="5" t="s">
        <v>10</v>
      </c>
    </row>
    <row r="863" spans="2:6" ht="15" thickBot="1">
      <c r="B863" s="54"/>
      <c r="F863" s="55"/>
    </row>
    <row r="864" spans="2:6" ht="18" thickBot="1">
      <c r="B864" s="37">
        <v>1</v>
      </c>
      <c r="C864" s="52" t="s">
        <v>947</v>
      </c>
      <c r="D864" s="37">
        <v>2720</v>
      </c>
      <c r="E864" s="37">
        <v>1</v>
      </c>
      <c r="F864" s="37">
        <f>D864*E864</f>
        <v>2720</v>
      </c>
    </row>
    <row r="865" spans="2:6" ht="18" thickBot="1">
      <c r="B865" s="37">
        <v>2</v>
      </c>
      <c r="C865" s="52"/>
      <c r="D865" s="37"/>
      <c r="E865" s="37"/>
      <c r="F865" s="37">
        <f t="shared" ref="F865:F866" si="23">D865*E865</f>
        <v>0</v>
      </c>
    </row>
    <row r="866" spans="2:6" ht="18" thickBot="1">
      <c r="B866" s="37">
        <v>3</v>
      </c>
      <c r="C866" s="52"/>
      <c r="D866" s="37"/>
      <c r="E866" s="37"/>
      <c r="F866" s="37">
        <f t="shared" si="23"/>
        <v>0</v>
      </c>
    </row>
    <row r="867" spans="2:6" ht="15" thickBot="1">
      <c r="B867" s="37"/>
      <c r="C867" s="37"/>
      <c r="D867" s="37"/>
      <c r="E867" s="37"/>
      <c r="F867" s="37"/>
    </row>
    <row r="868" spans="2:6" ht="18" thickBot="1">
      <c r="B868" s="591" t="s">
        <v>11</v>
      </c>
      <c r="C868" s="592"/>
      <c r="D868" s="593"/>
      <c r="E868" s="594"/>
      <c r="F868" s="9">
        <f>SUM(F864:F867)</f>
        <v>2720</v>
      </c>
    </row>
    <row r="872" spans="2:6" ht="15.6">
      <c r="B872" s="3" t="s">
        <v>1</v>
      </c>
      <c r="C872" s="1" t="s">
        <v>1240</v>
      </c>
    </row>
    <row r="874" spans="2:6" ht="15.6">
      <c r="B874" s="3" t="s">
        <v>2</v>
      </c>
      <c r="C874" s="34" t="s">
        <v>90</v>
      </c>
      <c r="D874" s="3" t="s">
        <v>5</v>
      </c>
      <c r="E874" s="22">
        <v>45472</v>
      </c>
    </row>
    <row r="875" spans="2:6" ht="15.6">
      <c r="B875" s="3" t="s">
        <v>3</v>
      </c>
    </row>
    <row r="876" spans="2:6" ht="15.6">
      <c r="B876" s="3" t="s">
        <v>4</v>
      </c>
    </row>
    <row r="877" spans="2:6" ht="15" thickBot="1"/>
    <row r="878" spans="2:6" ht="16.2" thickBot="1">
      <c r="B878" s="10" t="s">
        <v>6</v>
      </c>
      <c r="C878" s="10" t="s">
        <v>7</v>
      </c>
      <c r="D878" s="4" t="s">
        <v>8</v>
      </c>
      <c r="E878" s="10" t="s">
        <v>9</v>
      </c>
      <c r="F878" s="5" t="s">
        <v>10</v>
      </c>
    </row>
    <row r="879" spans="2:6" ht="15" thickBot="1">
      <c r="B879" s="54"/>
      <c r="F879" s="55"/>
    </row>
    <row r="880" spans="2:6" ht="18" thickBot="1">
      <c r="B880" s="37">
        <v>1</v>
      </c>
      <c r="C880" s="52" t="s">
        <v>1241</v>
      </c>
      <c r="D880" s="37">
        <v>2300</v>
      </c>
      <c r="E880" s="37">
        <v>1</v>
      </c>
      <c r="F880" s="37">
        <f>D880*E880</f>
        <v>2300</v>
      </c>
    </row>
    <row r="881" spans="2:6" ht="18" thickBot="1">
      <c r="B881" s="37">
        <v>2</v>
      </c>
      <c r="C881" s="52" t="s">
        <v>1242</v>
      </c>
      <c r="D881" s="37">
        <v>2500</v>
      </c>
      <c r="E881" s="37">
        <v>3</v>
      </c>
      <c r="F881" s="37">
        <f t="shared" ref="F881:F882" si="24">D881*E881</f>
        <v>7500</v>
      </c>
    </row>
    <row r="882" spans="2:6" ht="18" thickBot="1">
      <c r="B882" s="37">
        <v>3</v>
      </c>
      <c r="C882" s="52"/>
      <c r="D882" s="37"/>
      <c r="E882" s="37"/>
      <c r="F882" s="37">
        <f t="shared" si="24"/>
        <v>0</v>
      </c>
    </row>
    <row r="883" spans="2:6" ht="15" thickBot="1">
      <c r="B883" s="37"/>
      <c r="C883" s="37"/>
      <c r="D883" s="37"/>
      <c r="E883" s="37"/>
      <c r="F883" s="37"/>
    </row>
    <row r="884" spans="2:6" ht="18" thickBot="1">
      <c r="B884" s="591" t="s">
        <v>11</v>
      </c>
      <c r="C884" s="592"/>
      <c r="D884" s="593"/>
      <c r="E884" s="594"/>
      <c r="F884" s="9">
        <f>SUM(F880:F883)</f>
        <v>9800</v>
      </c>
    </row>
    <row r="888" spans="2:6" ht="15.6">
      <c r="B888" s="3" t="s">
        <v>1</v>
      </c>
      <c r="C888" s="1" t="s">
        <v>1255</v>
      </c>
    </row>
    <row r="890" spans="2:6" ht="15.6">
      <c r="B890" s="3" t="s">
        <v>2</v>
      </c>
      <c r="C890" s="34" t="s">
        <v>1256</v>
      </c>
      <c r="D890" s="3" t="s">
        <v>5</v>
      </c>
      <c r="E890" s="22">
        <v>45472</v>
      </c>
    </row>
    <row r="891" spans="2:6" ht="15.6">
      <c r="B891" s="3" t="s">
        <v>3</v>
      </c>
    </row>
    <row r="892" spans="2:6" ht="15.6">
      <c r="B892" s="3" t="s">
        <v>4</v>
      </c>
    </row>
    <row r="893" spans="2:6" ht="15" thickBot="1"/>
    <row r="894" spans="2:6" ht="16.2" thickBot="1">
      <c r="B894" s="10" t="s">
        <v>6</v>
      </c>
      <c r="C894" s="10" t="s">
        <v>7</v>
      </c>
      <c r="D894" s="4" t="s">
        <v>8</v>
      </c>
      <c r="E894" s="10" t="s">
        <v>9</v>
      </c>
      <c r="F894" s="5" t="s">
        <v>10</v>
      </c>
    </row>
    <row r="895" spans="2:6" ht="15" thickBot="1">
      <c r="B895" s="54"/>
      <c r="F895" s="55"/>
    </row>
    <row r="896" spans="2:6" ht="18" thickBot="1">
      <c r="B896" s="37">
        <v>1</v>
      </c>
      <c r="C896" s="52" t="s">
        <v>1257</v>
      </c>
      <c r="D896" s="37">
        <v>2000</v>
      </c>
      <c r="E896" s="37">
        <v>1</v>
      </c>
      <c r="F896" s="37">
        <f>D896*E896</f>
        <v>2000</v>
      </c>
    </row>
    <row r="897" spans="2:6" ht="18" thickBot="1">
      <c r="B897" s="37">
        <v>2</v>
      </c>
      <c r="C897" s="52" t="s">
        <v>601</v>
      </c>
      <c r="D897" s="37">
        <v>2950</v>
      </c>
      <c r="E897" s="37">
        <v>1</v>
      </c>
      <c r="F897" s="37">
        <f t="shared" ref="F897:F898" si="25">D897*E897</f>
        <v>2950</v>
      </c>
    </row>
    <row r="898" spans="2:6" ht="18" thickBot="1">
      <c r="B898" s="37">
        <v>3</v>
      </c>
      <c r="C898" s="52"/>
      <c r="D898" s="37"/>
      <c r="E898" s="37"/>
      <c r="F898" s="37">
        <f t="shared" si="25"/>
        <v>0</v>
      </c>
    </row>
    <row r="899" spans="2:6" ht="15" thickBot="1">
      <c r="B899" s="37"/>
      <c r="C899" s="37"/>
      <c r="D899" s="37"/>
      <c r="E899" s="37"/>
      <c r="F899" s="37"/>
    </row>
    <row r="900" spans="2:6" ht="18" thickBot="1">
      <c r="B900" s="591" t="s">
        <v>11</v>
      </c>
      <c r="C900" s="592"/>
      <c r="D900" s="593"/>
      <c r="E900" s="594"/>
      <c r="F900" s="9">
        <f>SUM(F896:F899)</f>
        <v>4950</v>
      </c>
    </row>
    <row r="905" spans="2:6" ht="15.6">
      <c r="B905" s="3" t="s">
        <v>1</v>
      </c>
      <c r="C905" s="1" t="s">
        <v>1259</v>
      </c>
    </row>
    <row r="907" spans="2:6" ht="15.6">
      <c r="B907" s="3" t="s">
        <v>2</v>
      </c>
      <c r="C907" s="34" t="s">
        <v>1260</v>
      </c>
      <c r="D907" s="3" t="s">
        <v>5</v>
      </c>
      <c r="E907" s="22">
        <v>45472</v>
      </c>
    </row>
    <row r="908" spans="2:6" ht="15.6">
      <c r="B908" s="3" t="s">
        <v>3</v>
      </c>
    </row>
    <row r="909" spans="2:6" ht="15.6">
      <c r="B909" s="3" t="s">
        <v>4</v>
      </c>
    </row>
    <row r="910" spans="2:6" ht="15" thickBot="1"/>
    <row r="911" spans="2:6" ht="16.2" thickBot="1">
      <c r="B911" s="10" t="s">
        <v>6</v>
      </c>
      <c r="C911" s="10" t="s">
        <v>7</v>
      </c>
      <c r="D911" s="4" t="s">
        <v>8</v>
      </c>
      <c r="E911" s="10" t="s">
        <v>9</v>
      </c>
      <c r="F911" s="5" t="s">
        <v>10</v>
      </c>
    </row>
    <row r="912" spans="2:6" ht="15" thickBot="1">
      <c r="B912" s="54"/>
      <c r="F912" s="55"/>
    </row>
    <row r="913" spans="2:6" ht="18" thickBot="1">
      <c r="B913" s="37">
        <v>1</v>
      </c>
      <c r="C913" s="52" t="s">
        <v>635</v>
      </c>
      <c r="D913" s="37">
        <v>2475</v>
      </c>
      <c r="E913" s="37">
        <v>5</v>
      </c>
      <c r="F913" s="37">
        <f>D913*E913</f>
        <v>12375</v>
      </c>
    </row>
    <row r="914" spans="2:6" ht="18" thickBot="1">
      <c r="B914" s="37">
        <v>2</v>
      </c>
      <c r="C914" s="52"/>
      <c r="D914" s="37"/>
      <c r="E914" s="37"/>
      <c r="F914" s="37">
        <f t="shared" ref="F914:F915" si="26">D914*E914</f>
        <v>0</v>
      </c>
    </row>
    <row r="915" spans="2:6" ht="18" thickBot="1">
      <c r="B915" s="37">
        <v>3</v>
      </c>
      <c r="C915" s="52"/>
      <c r="D915" s="37"/>
      <c r="E915" s="37"/>
      <c r="F915" s="37">
        <f t="shared" si="26"/>
        <v>0</v>
      </c>
    </row>
    <row r="916" spans="2:6" ht="15" thickBot="1">
      <c r="B916" s="37"/>
      <c r="C916" s="37"/>
      <c r="D916" s="37"/>
      <c r="E916" s="37"/>
      <c r="F916" s="37"/>
    </row>
    <row r="917" spans="2:6" ht="18" thickBot="1">
      <c r="B917" s="591" t="s">
        <v>11</v>
      </c>
      <c r="C917" s="592"/>
      <c r="D917" s="593"/>
      <c r="E917" s="594"/>
      <c r="F917" s="9">
        <f>SUM(F913:F916)</f>
        <v>12375</v>
      </c>
    </row>
    <row r="922" spans="2:6" ht="15.6">
      <c r="B922" s="3" t="s">
        <v>1</v>
      </c>
      <c r="C922" s="1" t="s">
        <v>1313</v>
      </c>
    </row>
    <row r="924" spans="2:6" ht="15.6">
      <c r="B924" s="3" t="s">
        <v>2</v>
      </c>
      <c r="C924" s="34" t="s">
        <v>1314</v>
      </c>
      <c r="D924" s="3" t="s">
        <v>5</v>
      </c>
      <c r="E924" s="22">
        <v>45474</v>
      </c>
    </row>
    <row r="925" spans="2:6" ht="15.6">
      <c r="B925" s="3" t="s">
        <v>3</v>
      </c>
    </row>
    <row r="926" spans="2:6" ht="15.6">
      <c r="B926" s="3" t="s">
        <v>4</v>
      </c>
    </row>
    <row r="927" spans="2:6" ht="15" thickBot="1"/>
    <row r="928" spans="2:6" ht="16.2" thickBot="1">
      <c r="B928" s="10" t="s">
        <v>6</v>
      </c>
      <c r="C928" s="10" t="s">
        <v>7</v>
      </c>
      <c r="D928" s="4" t="s">
        <v>8</v>
      </c>
      <c r="E928" s="10" t="s">
        <v>9</v>
      </c>
      <c r="F928" s="5" t="s">
        <v>10</v>
      </c>
    </row>
    <row r="929" spans="2:6" ht="15" thickBot="1">
      <c r="B929" s="54"/>
      <c r="F929" s="55"/>
    </row>
    <row r="930" spans="2:6" ht="18" thickBot="1">
      <c r="B930" s="37">
        <v>1</v>
      </c>
      <c r="C930" s="52" t="s">
        <v>1315</v>
      </c>
      <c r="D930" s="37">
        <v>2140</v>
      </c>
      <c r="E930" s="37">
        <v>5</v>
      </c>
      <c r="F930" s="37">
        <f>D930*E930</f>
        <v>10700</v>
      </c>
    </row>
    <row r="931" spans="2:6" ht="18" thickBot="1">
      <c r="B931" s="37">
        <v>2</v>
      </c>
      <c r="C931" s="52"/>
      <c r="D931" s="37"/>
      <c r="E931" s="37"/>
      <c r="F931" s="37">
        <f t="shared" ref="F931:F932" si="27">D931*E931</f>
        <v>0</v>
      </c>
    </row>
    <row r="932" spans="2:6" ht="18" thickBot="1">
      <c r="B932" s="37">
        <v>3</v>
      </c>
      <c r="C932" s="52"/>
      <c r="D932" s="37"/>
      <c r="E932" s="37"/>
      <c r="F932" s="37">
        <f t="shared" si="27"/>
        <v>0</v>
      </c>
    </row>
    <row r="933" spans="2:6" ht="15" thickBot="1">
      <c r="B933" s="37"/>
      <c r="C933" s="37"/>
      <c r="D933" s="37"/>
      <c r="E933" s="37"/>
      <c r="F933" s="37"/>
    </row>
    <row r="934" spans="2:6" ht="18" thickBot="1">
      <c r="B934" s="591" t="s">
        <v>11</v>
      </c>
      <c r="C934" s="592"/>
      <c r="D934" s="593"/>
      <c r="E934" s="594"/>
      <c r="F934" s="9">
        <f>SUM(F930:F933)</f>
        <v>10700</v>
      </c>
    </row>
    <row r="939" spans="2:6" ht="15.6">
      <c r="B939" s="3" t="s">
        <v>1</v>
      </c>
      <c r="C939" s="1" t="s">
        <v>1323</v>
      </c>
    </row>
    <row r="941" spans="2:6" ht="15.6">
      <c r="B941" s="3" t="s">
        <v>2</v>
      </c>
      <c r="C941" s="34" t="s">
        <v>90</v>
      </c>
      <c r="D941" s="3" t="s">
        <v>5</v>
      </c>
      <c r="E941" s="22">
        <v>45474</v>
      </c>
    </row>
    <row r="942" spans="2:6" ht="15.6">
      <c r="B942" s="3" t="s">
        <v>3</v>
      </c>
    </row>
    <row r="943" spans="2:6" ht="15.6">
      <c r="B943" s="3" t="s">
        <v>4</v>
      </c>
    </row>
    <row r="944" spans="2:6" ht="15" thickBot="1"/>
    <row r="945" spans="2:6" ht="16.2" thickBot="1">
      <c r="B945" s="10" t="s">
        <v>6</v>
      </c>
      <c r="C945" s="10" t="s">
        <v>7</v>
      </c>
      <c r="D945" s="4" t="s">
        <v>8</v>
      </c>
      <c r="E945" s="10" t="s">
        <v>9</v>
      </c>
      <c r="F945" s="5" t="s">
        <v>10</v>
      </c>
    </row>
    <row r="946" spans="2:6" ht="15" thickBot="1">
      <c r="B946" s="54"/>
      <c r="F946" s="55"/>
    </row>
    <row r="947" spans="2:6" ht="18" thickBot="1">
      <c r="B947" s="37">
        <v>1</v>
      </c>
      <c r="C947" s="52" t="s">
        <v>1315</v>
      </c>
      <c r="D947" s="37">
        <v>985</v>
      </c>
      <c r="E947" s="37">
        <v>50</v>
      </c>
      <c r="F947" s="37">
        <f>D947*E947</f>
        <v>49250</v>
      </c>
    </row>
    <row r="948" spans="2:6" ht="18" thickBot="1">
      <c r="B948" s="37">
        <v>2</v>
      </c>
      <c r="C948" s="52" t="s">
        <v>1324</v>
      </c>
      <c r="D948" s="37">
        <v>985</v>
      </c>
      <c r="E948" s="37">
        <v>5</v>
      </c>
      <c r="F948" s="37">
        <f t="shared" ref="F948:F949" si="28">D948*E948</f>
        <v>4925</v>
      </c>
    </row>
    <row r="949" spans="2:6" ht="18" thickBot="1">
      <c r="B949" s="37">
        <v>3</v>
      </c>
      <c r="C949" s="52"/>
      <c r="D949" s="37"/>
      <c r="E949" s="37"/>
      <c r="F949" s="37">
        <f t="shared" si="28"/>
        <v>0</v>
      </c>
    </row>
    <row r="950" spans="2:6" ht="15" thickBot="1">
      <c r="B950" s="37"/>
      <c r="C950" s="37"/>
      <c r="D950" s="37"/>
      <c r="E950" s="37"/>
      <c r="F950" s="37"/>
    </row>
    <row r="951" spans="2:6" ht="18" thickBot="1">
      <c r="B951" s="591" t="s">
        <v>11</v>
      </c>
      <c r="C951" s="592"/>
      <c r="D951" s="593"/>
      <c r="E951" s="594"/>
      <c r="F951" s="9">
        <f>SUM(F947:F950)</f>
        <v>54175</v>
      </c>
    </row>
    <row r="956" spans="2:6" ht="15.6">
      <c r="B956" s="3" t="s">
        <v>1</v>
      </c>
      <c r="C956" s="1" t="s">
        <v>1322</v>
      </c>
    </row>
    <row r="958" spans="2:6" ht="15.6">
      <c r="B958" s="3" t="s">
        <v>2</v>
      </c>
      <c r="C958" s="34" t="s">
        <v>90</v>
      </c>
      <c r="D958" s="3" t="s">
        <v>5</v>
      </c>
      <c r="E958" s="22">
        <v>45474</v>
      </c>
    </row>
    <row r="959" spans="2:6" ht="15.6">
      <c r="B959" s="3" t="s">
        <v>3</v>
      </c>
    </row>
    <row r="960" spans="2:6" ht="15.6">
      <c r="B960" s="3" t="s">
        <v>4</v>
      </c>
    </row>
    <row r="961" spans="2:6" ht="15" thickBot="1"/>
    <row r="962" spans="2:6" ht="16.2" thickBot="1">
      <c r="B962" s="10" t="s">
        <v>6</v>
      </c>
      <c r="C962" s="10" t="s">
        <v>7</v>
      </c>
      <c r="D962" s="4" t="s">
        <v>8</v>
      </c>
      <c r="E962" s="10" t="s">
        <v>9</v>
      </c>
      <c r="F962" s="5" t="s">
        <v>10</v>
      </c>
    </row>
    <row r="963" spans="2:6" ht="15" thickBot="1">
      <c r="B963" s="54"/>
      <c r="F963" s="55"/>
    </row>
    <row r="964" spans="2:6" ht="18" thickBot="1">
      <c r="B964" s="37">
        <v>1</v>
      </c>
      <c r="C964" s="52" t="s">
        <v>1325</v>
      </c>
      <c r="D964" s="37">
        <v>1530</v>
      </c>
      <c r="E964" s="37">
        <v>48</v>
      </c>
      <c r="F964" s="37">
        <f>D964*E964</f>
        <v>73440</v>
      </c>
    </row>
    <row r="965" spans="2:6" ht="18" thickBot="1">
      <c r="B965" s="37">
        <v>2</v>
      </c>
      <c r="C965" s="52" t="s">
        <v>1325</v>
      </c>
      <c r="D965" s="37">
        <v>1530</v>
      </c>
      <c r="E965" s="37">
        <v>24</v>
      </c>
      <c r="F965" s="37">
        <f t="shared" ref="F965:F966" si="29">D965*E965</f>
        <v>36720</v>
      </c>
    </row>
    <row r="966" spans="2:6" ht="18" thickBot="1">
      <c r="B966" s="37">
        <v>3</v>
      </c>
      <c r="C966" s="52"/>
      <c r="D966" s="37"/>
      <c r="E966" s="37"/>
      <c r="F966" s="37">
        <f t="shared" si="29"/>
        <v>0</v>
      </c>
    </row>
    <row r="967" spans="2:6" ht="15" thickBot="1">
      <c r="B967" s="37"/>
      <c r="C967" s="37"/>
      <c r="D967" s="37"/>
      <c r="E967" s="37"/>
      <c r="F967" s="37"/>
    </row>
    <row r="968" spans="2:6" ht="18" thickBot="1">
      <c r="B968" s="591" t="s">
        <v>11</v>
      </c>
      <c r="C968" s="592"/>
      <c r="D968" s="593"/>
      <c r="E968" s="594"/>
      <c r="F968" s="9">
        <f>SUM(F964:F967)</f>
        <v>110160</v>
      </c>
    </row>
    <row r="972" spans="2:6" ht="15.6">
      <c r="B972" s="3" t="s">
        <v>1</v>
      </c>
      <c r="C972" s="1" t="s">
        <v>1348</v>
      </c>
    </row>
    <row r="974" spans="2:6" ht="15.6">
      <c r="B974" s="3" t="s">
        <v>2</v>
      </c>
      <c r="C974" s="34" t="s">
        <v>1256</v>
      </c>
      <c r="D974" s="3" t="s">
        <v>5</v>
      </c>
      <c r="E974" s="22">
        <v>45474</v>
      </c>
    </row>
    <row r="975" spans="2:6" ht="15.6">
      <c r="B975" s="3" t="s">
        <v>3</v>
      </c>
    </row>
    <row r="976" spans="2:6" ht="15.6">
      <c r="B976" s="3" t="s">
        <v>4</v>
      </c>
    </row>
    <row r="977" spans="2:6" ht="15" thickBot="1"/>
    <row r="978" spans="2:6" ht="16.2" thickBot="1">
      <c r="B978" s="10" t="s">
        <v>6</v>
      </c>
      <c r="C978" s="10" t="s">
        <v>7</v>
      </c>
      <c r="D978" s="4" t="s">
        <v>8</v>
      </c>
      <c r="E978" s="10" t="s">
        <v>9</v>
      </c>
      <c r="F978" s="5" t="s">
        <v>10</v>
      </c>
    </row>
    <row r="979" spans="2:6" ht="15" thickBot="1">
      <c r="B979" s="54"/>
      <c r="F979" s="55"/>
    </row>
    <row r="980" spans="2:6" ht="18" thickBot="1">
      <c r="B980" s="37">
        <v>1</v>
      </c>
      <c r="C980" s="52" t="s">
        <v>1349</v>
      </c>
      <c r="D980" s="37">
        <v>2540</v>
      </c>
      <c r="E980" s="37">
        <v>3</v>
      </c>
      <c r="F980" s="37">
        <f>D980*E980</f>
        <v>7620</v>
      </c>
    </row>
    <row r="981" spans="2:6" ht="18" thickBot="1">
      <c r="B981" s="37">
        <v>2</v>
      </c>
      <c r="C981" s="52"/>
      <c r="D981" s="37"/>
      <c r="E981" s="37"/>
      <c r="F981" s="37">
        <f t="shared" ref="F981:F982" si="30">D981*E981</f>
        <v>0</v>
      </c>
    </row>
    <row r="982" spans="2:6" ht="18" thickBot="1">
      <c r="B982" s="37">
        <v>3</v>
      </c>
      <c r="C982" s="52"/>
      <c r="D982" s="37"/>
      <c r="E982" s="37"/>
      <c r="F982" s="37">
        <f t="shared" si="30"/>
        <v>0</v>
      </c>
    </row>
    <row r="983" spans="2:6" ht="15" thickBot="1">
      <c r="B983" s="37"/>
      <c r="C983" s="37"/>
      <c r="D983" s="37"/>
      <c r="E983" s="37"/>
      <c r="F983" s="37"/>
    </row>
    <row r="984" spans="2:6" ht="18" thickBot="1">
      <c r="B984" s="591" t="s">
        <v>11</v>
      </c>
      <c r="C984" s="592"/>
      <c r="D984" s="593"/>
      <c r="E984" s="594"/>
      <c r="F984" s="9">
        <f>SUM(F980:F983)</f>
        <v>7620</v>
      </c>
    </row>
    <row r="989" spans="2:6" ht="15.6">
      <c r="B989" s="3" t="s">
        <v>1</v>
      </c>
      <c r="C989" s="1" t="s">
        <v>1392</v>
      </c>
    </row>
    <row r="991" spans="2:6" ht="15.6">
      <c r="B991" s="3" t="s">
        <v>2</v>
      </c>
      <c r="C991" s="34" t="s">
        <v>90</v>
      </c>
      <c r="D991" s="3" t="s">
        <v>5</v>
      </c>
      <c r="E991" s="22">
        <v>45477</v>
      </c>
    </row>
    <row r="992" spans="2:6" ht="15.6">
      <c r="B992" s="3" t="s">
        <v>3</v>
      </c>
    </row>
    <row r="993" spans="2:9" ht="15.6">
      <c r="B993" s="3" t="s">
        <v>4</v>
      </c>
    </row>
    <row r="994" spans="2:9" ht="15" thickBot="1"/>
    <row r="995" spans="2:9" ht="16.2" thickBot="1">
      <c r="B995" s="10" t="s">
        <v>6</v>
      </c>
      <c r="C995" s="10" t="s">
        <v>7</v>
      </c>
      <c r="D995" s="4" t="s">
        <v>8</v>
      </c>
      <c r="E995" s="10" t="s">
        <v>9</v>
      </c>
      <c r="F995" s="5" t="s">
        <v>10</v>
      </c>
    </row>
    <row r="996" spans="2:9" ht="15" thickBot="1">
      <c r="B996" s="54"/>
      <c r="F996" s="55"/>
    </row>
    <row r="997" spans="2:9" ht="18" thickBot="1">
      <c r="B997" s="37">
        <v>1</v>
      </c>
      <c r="C997" s="52" t="s">
        <v>1349</v>
      </c>
      <c r="D997" s="37">
        <v>2500</v>
      </c>
      <c r="E997" s="37">
        <v>3</v>
      </c>
      <c r="F997" s="37">
        <f>D997*E997</f>
        <v>7500</v>
      </c>
      <c r="I997" s="1" t="s">
        <v>1393</v>
      </c>
    </row>
    <row r="998" spans="2:9" ht="18" thickBot="1">
      <c r="B998" s="37">
        <v>2</v>
      </c>
      <c r="C998" s="52"/>
      <c r="D998" s="37"/>
      <c r="E998" s="37"/>
      <c r="F998" s="37">
        <f t="shared" ref="F998:F999" si="31">D998*E998</f>
        <v>0</v>
      </c>
    </row>
    <row r="999" spans="2:9" ht="18" thickBot="1">
      <c r="B999" s="37">
        <v>3</v>
      </c>
      <c r="C999" s="52"/>
      <c r="D999" s="37"/>
      <c r="E999" s="37"/>
      <c r="F999" s="37">
        <f t="shared" si="31"/>
        <v>0</v>
      </c>
    </row>
    <row r="1000" spans="2:9" ht="15" thickBot="1">
      <c r="B1000" s="37"/>
      <c r="C1000" s="37"/>
      <c r="D1000" s="37"/>
      <c r="E1000" s="37"/>
      <c r="F1000" s="37"/>
    </row>
    <row r="1001" spans="2:9" ht="18" thickBot="1">
      <c r="B1001" s="591" t="s">
        <v>11</v>
      </c>
      <c r="C1001" s="592"/>
      <c r="D1001" s="593"/>
      <c r="E1001" s="594"/>
      <c r="F1001" s="9">
        <f>SUM(F997:F1000)</f>
        <v>7500</v>
      </c>
    </row>
    <row r="1004" spans="2:9" ht="15.6">
      <c r="B1004" s="3" t="s">
        <v>1</v>
      </c>
      <c r="C1004" s="1" t="s">
        <v>1414</v>
      </c>
    </row>
    <row r="1006" spans="2:9" ht="15.6">
      <c r="B1006" s="3" t="s">
        <v>2</v>
      </c>
      <c r="C1006" s="34" t="s">
        <v>1260</v>
      </c>
      <c r="D1006" s="3" t="s">
        <v>5</v>
      </c>
      <c r="E1006" s="22">
        <v>45478</v>
      </c>
    </row>
    <row r="1007" spans="2:9" ht="15.6">
      <c r="B1007" s="3" t="s">
        <v>3</v>
      </c>
    </row>
    <row r="1008" spans="2:9" ht="15.6">
      <c r="B1008" s="3" t="s">
        <v>4</v>
      </c>
    </row>
    <row r="1009" spans="2:7" ht="15" thickBot="1"/>
    <row r="1010" spans="2:7" ht="16.2" thickBot="1">
      <c r="B1010" s="10" t="s">
        <v>6</v>
      </c>
      <c r="C1010" s="10" t="s">
        <v>7</v>
      </c>
      <c r="D1010" s="4" t="s">
        <v>8</v>
      </c>
      <c r="E1010" s="10" t="s">
        <v>9</v>
      </c>
      <c r="F1010" s="5" t="s">
        <v>10</v>
      </c>
    </row>
    <row r="1011" spans="2:7" ht="15" thickBot="1">
      <c r="B1011" s="54"/>
      <c r="F1011" s="55"/>
    </row>
    <row r="1012" spans="2:7" ht="18" thickBot="1">
      <c r="B1012" s="37">
        <v>1</v>
      </c>
      <c r="C1012" s="52" t="s">
        <v>1366</v>
      </c>
      <c r="D1012" s="37">
        <v>2470</v>
      </c>
      <c r="E1012" s="37">
        <v>3</v>
      </c>
      <c r="F1012" s="37">
        <f>D1012*E1012</f>
        <v>7410</v>
      </c>
    </row>
    <row r="1013" spans="2:7" ht="18" thickBot="1">
      <c r="B1013" s="37">
        <v>2</v>
      </c>
      <c r="C1013" s="52"/>
      <c r="D1013" s="37"/>
      <c r="E1013" s="37"/>
      <c r="F1013" s="37">
        <f t="shared" ref="F1013:F1014" si="32">D1013*E1013</f>
        <v>0</v>
      </c>
    </row>
    <row r="1014" spans="2:7" ht="18" thickBot="1">
      <c r="B1014" s="37">
        <v>3</v>
      </c>
      <c r="C1014" s="52"/>
      <c r="D1014" s="37"/>
      <c r="E1014" s="37"/>
      <c r="F1014" s="37">
        <f t="shared" si="32"/>
        <v>0</v>
      </c>
    </row>
    <row r="1015" spans="2:7" ht="29.4" thickBot="1">
      <c r="B1015" s="37"/>
      <c r="C1015" s="37"/>
      <c r="D1015" s="37"/>
      <c r="E1015" s="37"/>
      <c r="F1015" s="37"/>
      <c r="G1015" s="394" t="s">
        <v>1443</v>
      </c>
    </row>
    <row r="1016" spans="2:7" ht="18" thickBot="1">
      <c r="B1016" s="591" t="s">
        <v>11</v>
      </c>
      <c r="C1016" s="592"/>
      <c r="D1016" s="593"/>
      <c r="E1016" s="594"/>
      <c r="F1016" s="9">
        <f>SUM(F1012:F1015)</f>
        <v>7410</v>
      </c>
    </row>
    <row r="1019" spans="2:7" ht="15.6">
      <c r="B1019" s="3" t="s">
        <v>1</v>
      </c>
      <c r="C1019" s="1" t="s">
        <v>1416</v>
      </c>
    </row>
    <row r="1021" spans="2:7" ht="15.6">
      <c r="B1021" s="3" t="s">
        <v>2</v>
      </c>
      <c r="C1021" s="34" t="s">
        <v>90</v>
      </c>
      <c r="D1021" s="3" t="s">
        <v>5</v>
      </c>
      <c r="E1021" s="22">
        <v>45478</v>
      </c>
    </row>
    <row r="1022" spans="2:7" ht="15.6">
      <c r="B1022" s="3" t="s">
        <v>3</v>
      </c>
    </row>
    <row r="1023" spans="2:7" ht="15.6">
      <c r="B1023" s="3" t="s">
        <v>4</v>
      </c>
    </row>
    <row r="1024" spans="2:7" ht="15" thickBot="1"/>
    <row r="1025" spans="2:6" ht="16.2" thickBot="1">
      <c r="B1025" s="10" t="s">
        <v>6</v>
      </c>
      <c r="C1025" s="10" t="s">
        <v>7</v>
      </c>
      <c r="D1025" s="4" t="s">
        <v>8</v>
      </c>
      <c r="E1025" s="10" t="s">
        <v>9</v>
      </c>
      <c r="F1025" s="5" t="s">
        <v>10</v>
      </c>
    </row>
    <row r="1026" spans="2:6" ht="15" thickBot="1">
      <c r="B1026" s="54"/>
      <c r="F1026" s="55"/>
    </row>
    <row r="1027" spans="2:6" ht="18" thickBot="1">
      <c r="B1027" s="37">
        <v>1</v>
      </c>
      <c r="C1027" s="52" t="s">
        <v>572</v>
      </c>
      <c r="D1027" s="37">
        <v>1500</v>
      </c>
      <c r="E1027" s="37">
        <v>31</v>
      </c>
      <c r="F1027" s="37">
        <f>D1027*E1027</f>
        <v>46500</v>
      </c>
    </row>
    <row r="1028" spans="2:6" ht="18" thickBot="1">
      <c r="B1028" s="37">
        <v>2</v>
      </c>
      <c r="C1028" s="52"/>
      <c r="D1028" s="37"/>
      <c r="E1028" s="37"/>
      <c r="F1028" s="37">
        <f t="shared" ref="F1028:F1029" si="33">D1028*E1028</f>
        <v>0</v>
      </c>
    </row>
    <row r="1029" spans="2:6" ht="18" thickBot="1">
      <c r="B1029" s="37">
        <v>3</v>
      </c>
      <c r="C1029" s="52"/>
      <c r="D1029" s="37"/>
      <c r="E1029" s="37"/>
      <c r="F1029" s="37">
        <f t="shared" si="33"/>
        <v>0</v>
      </c>
    </row>
    <row r="1030" spans="2:6" ht="15" thickBot="1">
      <c r="B1030" s="37"/>
      <c r="C1030" s="37"/>
      <c r="D1030" s="37"/>
      <c r="E1030" s="37"/>
      <c r="F1030" s="37"/>
    </row>
    <row r="1031" spans="2:6" ht="18" thickBot="1">
      <c r="B1031" s="591" t="s">
        <v>11</v>
      </c>
      <c r="C1031" s="592"/>
      <c r="D1031" s="593"/>
      <c r="E1031" s="594"/>
      <c r="F1031" s="9">
        <f>SUM(F1027:F1030)</f>
        <v>46500</v>
      </c>
    </row>
    <row r="1034" spans="2:6" ht="15.6">
      <c r="B1034" s="3" t="s">
        <v>1</v>
      </c>
      <c r="C1034" s="1" t="s">
        <v>1417</v>
      </c>
    </row>
    <row r="1036" spans="2:6" ht="15.6">
      <c r="B1036" s="3" t="s">
        <v>2</v>
      </c>
      <c r="C1036" s="34" t="s">
        <v>90</v>
      </c>
      <c r="D1036" s="3" t="s">
        <v>5</v>
      </c>
      <c r="E1036" s="22">
        <v>45478</v>
      </c>
    </row>
    <row r="1037" spans="2:6" ht="15.6">
      <c r="B1037" s="3" t="s">
        <v>3</v>
      </c>
    </row>
    <row r="1038" spans="2:6" ht="15.6">
      <c r="B1038" s="3" t="s">
        <v>4</v>
      </c>
    </row>
    <row r="1039" spans="2:6" ht="15" thickBot="1"/>
    <row r="1040" spans="2:6" ht="16.2" thickBot="1">
      <c r="B1040" s="10" t="s">
        <v>6</v>
      </c>
      <c r="C1040" s="10" t="s">
        <v>7</v>
      </c>
      <c r="D1040" s="4" t="s">
        <v>8</v>
      </c>
      <c r="E1040" s="10" t="s">
        <v>9</v>
      </c>
      <c r="F1040" s="5" t="s">
        <v>10</v>
      </c>
    </row>
    <row r="1041" spans="2:6" ht="15" thickBot="1">
      <c r="B1041" s="54"/>
      <c r="F1041" s="55"/>
    </row>
    <row r="1042" spans="2:6" ht="18" thickBot="1">
      <c r="B1042" s="37">
        <v>1</v>
      </c>
      <c r="C1042" s="52" t="s">
        <v>1418</v>
      </c>
      <c r="D1042" s="37">
        <v>1330</v>
      </c>
      <c r="E1042" s="37">
        <v>2</v>
      </c>
      <c r="F1042" s="37">
        <f>D1042*E1042</f>
        <v>2660</v>
      </c>
    </row>
    <row r="1043" spans="2:6" ht="18" thickBot="1">
      <c r="B1043" s="37"/>
      <c r="C1043" s="52"/>
      <c r="D1043" s="37"/>
      <c r="E1043" s="37"/>
      <c r="F1043" s="37">
        <f t="shared" ref="F1043:F1044" si="34">D1043*E1043</f>
        <v>0</v>
      </c>
    </row>
    <row r="1044" spans="2:6" ht="18" thickBot="1">
      <c r="B1044" s="37"/>
      <c r="C1044" s="52"/>
      <c r="D1044" s="37"/>
      <c r="E1044" s="37"/>
      <c r="F1044" s="37">
        <f t="shared" si="34"/>
        <v>0</v>
      </c>
    </row>
    <row r="1045" spans="2:6" ht="15" thickBot="1">
      <c r="B1045" s="37"/>
      <c r="C1045" s="37"/>
      <c r="D1045" s="37"/>
      <c r="E1045" s="37"/>
      <c r="F1045" s="37"/>
    </row>
    <row r="1046" spans="2:6" ht="18" thickBot="1">
      <c r="B1046" s="591" t="s">
        <v>11</v>
      </c>
      <c r="C1046" s="592"/>
      <c r="D1046" s="593"/>
      <c r="E1046" s="594"/>
      <c r="F1046" s="9">
        <f>SUM(F1042:F1045)</f>
        <v>2660</v>
      </c>
    </row>
    <row r="1051" spans="2:6" ht="15.6">
      <c r="B1051" s="3" t="s">
        <v>1</v>
      </c>
      <c r="C1051" s="1" t="s">
        <v>1433</v>
      </c>
    </row>
    <row r="1053" spans="2:6" ht="15.6">
      <c r="B1053" s="3" t="s">
        <v>2</v>
      </c>
      <c r="C1053" s="34" t="s">
        <v>90</v>
      </c>
      <c r="D1053" s="3" t="s">
        <v>5</v>
      </c>
      <c r="E1053" s="22">
        <v>45479</v>
      </c>
    </row>
    <row r="1054" spans="2:6" ht="15.6">
      <c r="B1054" s="3" t="s">
        <v>3</v>
      </c>
    </row>
    <row r="1055" spans="2:6" ht="15.6">
      <c r="B1055" s="3" t="s">
        <v>4</v>
      </c>
    </row>
    <row r="1056" spans="2:6" ht="15" thickBot="1"/>
    <row r="1057" spans="2:6" ht="16.2" thickBot="1">
      <c r="B1057" s="10" t="s">
        <v>6</v>
      </c>
      <c r="C1057" s="10" t="s">
        <v>7</v>
      </c>
      <c r="D1057" s="4" t="s">
        <v>8</v>
      </c>
      <c r="E1057" s="10" t="s">
        <v>9</v>
      </c>
      <c r="F1057" s="5" t="s">
        <v>10</v>
      </c>
    </row>
    <row r="1058" spans="2:6" ht="15" thickBot="1">
      <c r="B1058" s="54"/>
      <c r="F1058" s="55"/>
    </row>
    <row r="1059" spans="2:6" ht="18" thickBot="1">
      <c r="B1059" s="37">
        <v>1</v>
      </c>
      <c r="C1059" s="52" t="s">
        <v>1434</v>
      </c>
      <c r="D1059" s="37">
        <v>2600</v>
      </c>
      <c r="E1059" s="37">
        <v>2</v>
      </c>
      <c r="F1059" s="37">
        <f>D1059*E1059</f>
        <v>5200</v>
      </c>
    </row>
    <row r="1060" spans="2:6" ht="18" thickBot="1">
      <c r="B1060" s="37">
        <v>2</v>
      </c>
      <c r="C1060" s="52" t="s">
        <v>1435</v>
      </c>
      <c r="D1060" s="37">
        <v>2420</v>
      </c>
      <c r="E1060" s="37">
        <v>2</v>
      </c>
      <c r="F1060" s="37">
        <f t="shared" ref="F1060:F1061" si="35">D1060*E1060</f>
        <v>4840</v>
      </c>
    </row>
    <row r="1061" spans="2:6" ht="18" thickBot="1">
      <c r="B1061" s="37">
        <v>3</v>
      </c>
      <c r="C1061" s="52" t="s">
        <v>1173</v>
      </c>
      <c r="D1061" s="37">
        <v>2300</v>
      </c>
      <c r="E1061" s="37">
        <v>1</v>
      </c>
      <c r="F1061" s="37">
        <f t="shared" si="35"/>
        <v>2300</v>
      </c>
    </row>
    <row r="1062" spans="2:6" ht="18" thickBot="1">
      <c r="B1062" s="37">
        <v>4</v>
      </c>
      <c r="C1062" s="52" t="s">
        <v>1436</v>
      </c>
      <c r="D1062" s="37">
        <v>1600</v>
      </c>
      <c r="E1062" s="37">
        <v>10</v>
      </c>
      <c r="F1062" s="37">
        <f t="shared" ref="F1062:F1064" si="36">D1062*E1062</f>
        <v>16000</v>
      </c>
    </row>
    <row r="1063" spans="2:6" ht="18" thickBot="1">
      <c r="B1063" s="37">
        <v>5</v>
      </c>
      <c r="C1063" s="52" t="s">
        <v>1437</v>
      </c>
      <c r="D1063" s="37">
        <v>1040</v>
      </c>
      <c r="E1063" s="37">
        <v>1</v>
      </c>
      <c r="F1063" s="37">
        <f t="shared" si="36"/>
        <v>1040</v>
      </c>
    </row>
    <row r="1064" spans="2:6" ht="18" thickBot="1">
      <c r="B1064" s="37"/>
      <c r="C1064" s="52"/>
      <c r="D1064" s="37"/>
      <c r="E1064" s="37"/>
      <c r="F1064" s="37">
        <f t="shared" si="36"/>
        <v>0</v>
      </c>
    </row>
    <row r="1065" spans="2:6" ht="15" thickBot="1">
      <c r="B1065" s="37"/>
      <c r="C1065" s="37"/>
      <c r="D1065" s="37"/>
      <c r="E1065" s="37"/>
      <c r="F1065" s="37"/>
    </row>
    <row r="1066" spans="2:6" ht="18" thickBot="1">
      <c r="B1066" s="591" t="s">
        <v>11</v>
      </c>
      <c r="C1066" s="592"/>
      <c r="D1066" s="593"/>
      <c r="E1066" s="594"/>
      <c r="F1066" s="9">
        <f>SUM(F1059:F1065)</f>
        <v>29380</v>
      </c>
    </row>
    <row r="1071" spans="2:6" ht="15.6">
      <c r="B1071" s="3" t="s">
        <v>1</v>
      </c>
      <c r="C1071" s="1" t="s">
        <v>1439</v>
      </c>
    </row>
    <row r="1073" spans="2:6" ht="15.6">
      <c r="B1073" s="3" t="s">
        <v>2</v>
      </c>
      <c r="C1073" s="34" t="s">
        <v>90</v>
      </c>
      <c r="D1073" s="3" t="s">
        <v>5</v>
      </c>
      <c r="E1073" s="22">
        <v>45482</v>
      </c>
    </row>
    <row r="1074" spans="2:6" ht="15.6">
      <c r="B1074" s="3" t="s">
        <v>3</v>
      </c>
    </row>
    <row r="1075" spans="2:6" ht="15.6">
      <c r="B1075" s="3" t="s">
        <v>4</v>
      </c>
    </row>
    <row r="1076" spans="2:6" ht="15" thickBot="1"/>
    <row r="1077" spans="2:6" ht="16.2" thickBot="1">
      <c r="B1077" s="10" t="s">
        <v>6</v>
      </c>
      <c r="C1077" s="10" t="s">
        <v>7</v>
      </c>
      <c r="D1077" s="4" t="s">
        <v>8</v>
      </c>
      <c r="E1077" s="10" t="s">
        <v>9</v>
      </c>
      <c r="F1077" s="5" t="s">
        <v>10</v>
      </c>
    </row>
    <row r="1078" spans="2:6" ht="15" thickBot="1">
      <c r="B1078" s="54"/>
      <c r="F1078" s="55"/>
    </row>
    <row r="1079" spans="2:6" ht="18" thickBot="1">
      <c r="B1079" s="37">
        <v>1</v>
      </c>
      <c r="C1079" s="52" t="s">
        <v>572</v>
      </c>
      <c r="D1079" s="37">
        <v>1425</v>
      </c>
      <c r="E1079" s="37">
        <v>23</v>
      </c>
      <c r="F1079" s="37">
        <f>D1079*E1079</f>
        <v>32775</v>
      </c>
    </row>
    <row r="1080" spans="2:6" ht="18" thickBot="1">
      <c r="B1080" s="37">
        <v>2</v>
      </c>
      <c r="C1080" s="52" t="s">
        <v>572</v>
      </c>
      <c r="D1080" s="37">
        <v>1470</v>
      </c>
      <c r="E1080" s="37">
        <v>5</v>
      </c>
      <c r="F1080" s="37">
        <f t="shared" ref="F1080:F1081" si="37">D1080*E1080</f>
        <v>7350</v>
      </c>
    </row>
    <row r="1081" spans="2:6" ht="18" thickBot="1">
      <c r="B1081" s="37"/>
      <c r="C1081" s="52"/>
      <c r="D1081" s="37"/>
      <c r="E1081" s="37"/>
      <c r="F1081" s="37">
        <f t="shared" si="37"/>
        <v>0</v>
      </c>
    </row>
    <row r="1082" spans="2:6" ht="15" thickBot="1">
      <c r="B1082" s="37"/>
      <c r="C1082" s="37"/>
      <c r="D1082" s="37"/>
      <c r="E1082" s="37"/>
      <c r="F1082" s="37"/>
    </row>
    <row r="1083" spans="2:6" ht="18" thickBot="1">
      <c r="B1083" s="591" t="s">
        <v>11</v>
      </c>
      <c r="C1083" s="592"/>
      <c r="D1083" s="593"/>
      <c r="E1083" s="594"/>
      <c r="F1083" s="9">
        <f>SUM(F1079:F1082)</f>
        <v>40125</v>
      </c>
    </row>
    <row r="1087" spans="2:6" ht="15.6">
      <c r="B1087" s="3" t="s">
        <v>1</v>
      </c>
      <c r="C1087" s="1" t="s">
        <v>1447</v>
      </c>
    </row>
    <row r="1089" spans="2:6" ht="15.6">
      <c r="B1089" s="3" t="s">
        <v>2</v>
      </c>
      <c r="C1089" s="34" t="s">
        <v>805</v>
      </c>
      <c r="D1089" s="3" t="s">
        <v>5</v>
      </c>
      <c r="E1089" s="22">
        <v>45482</v>
      </c>
    </row>
    <row r="1090" spans="2:6" ht="15.6">
      <c r="B1090" s="3" t="s">
        <v>3</v>
      </c>
    </row>
    <row r="1091" spans="2:6" ht="15.6">
      <c r="B1091" s="3" t="s">
        <v>4</v>
      </c>
    </row>
    <row r="1092" spans="2:6" ht="15" thickBot="1"/>
    <row r="1093" spans="2:6" ht="16.2" thickBot="1">
      <c r="B1093" s="10" t="s">
        <v>6</v>
      </c>
      <c r="C1093" s="10" t="s">
        <v>7</v>
      </c>
      <c r="D1093" s="4" t="s">
        <v>8</v>
      </c>
      <c r="E1093" s="10" t="s">
        <v>9</v>
      </c>
      <c r="F1093" s="5" t="s">
        <v>10</v>
      </c>
    </row>
    <row r="1094" spans="2:6" ht="15" thickBot="1">
      <c r="B1094" s="54"/>
      <c r="F1094" s="55"/>
    </row>
    <row r="1095" spans="2:6" ht="18" thickBot="1">
      <c r="B1095" s="37">
        <v>1</v>
      </c>
      <c r="C1095" s="52" t="s">
        <v>1448</v>
      </c>
      <c r="D1095" s="37">
        <v>1480</v>
      </c>
      <c r="E1095" s="37">
        <v>7</v>
      </c>
      <c r="F1095" s="37">
        <f>D1095*E1095</f>
        <v>10360</v>
      </c>
    </row>
    <row r="1096" spans="2:6" ht="18" thickBot="1">
      <c r="B1096" s="37"/>
      <c r="C1096" s="52"/>
      <c r="D1096" s="37"/>
      <c r="E1096" s="37"/>
      <c r="F1096" s="37">
        <f t="shared" ref="F1096:F1097" si="38">D1096*E1096</f>
        <v>0</v>
      </c>
    </row>
    <row r="1097" spans="2:6" ht="18" thickBot="1">
      <c r="B1097" s="37"/>
      <c r="C1097" s="52"/>
      <c r="D1097" s="37"/>
      <c r="E1097" s="37"/>
      <c r="F1097" s="37">
        <f t="shared" si="38"/>
        <v>0</v>
      </c>
    </row>
    <row r="1098" spans="2:6" ht="15" thickBot="1">
      <c r="B1098" s="37"/>
      <c r="C1098" s="37"/>
      <c r="D1098" s="37"/>
      <c r="E1098" s="37"/>
      <c r="F1098" s="37"/>
    </row>
    <row r="1099" spans="2:6" ht="18" thickBot="1">
      <c r="B1099" s="591" t="s">
        <v>11</v>
      </c>
      <c r="C1099" s="592"/>
      <c r="D1099" s="593"/>
      <c r="E1099" s="594"/>
      <c r="F1099" s="9">
        <f>SUM(F1095:F1098)</f>
        <v>10360</v>
      </c>
    </row>
    <row r="1103" spans="2:6" ht="15.6">
      <c r="B1103" s="3" t="s">
        <v>1</v>
      </c>
      <c r="C1103" s="1" t="s">
        <v>1450</v>
      </c>
    </row>
    <row r="1105" spans="2:6" ht="15.6">
      <c r="B1105" s="3" t="s">
        <v>2</v>
      </c>
      <c r="C1105" s="34" t="s">
        <v>90</v>
      </c>
      <c r="D1105" s="3" t="s">
        <v>5</v>
      </c>
      <c r="E1105" s="22">
        <v>45484</v>
      </c>
    </row>
    <row r="1106" spans="2:6" ht="15.6">
      <c r="B1106" s="3" t="s">
        <v>3</v>
      </c>
    </row>
    <row r="1107" spans="2:6" ht="15.6">
      <c r="B1107" s="3" t="s">
        <v>4</v>
      </c>
    </row>
    <row r="1108" spans="2:6" ht="15" thickBot="1"/>
    <row r="1109" spans="2:6" ht="16.2" thickBot="1">
      <c r="B1109" s="10" t="s">
        <v>6</v>
      </c>
      <c r="C1109" s="10" t="s">
        <v>7</v>
      </c>
      <c r="D1109" s="4" t="s">
        <v>8</v>
      </c>
      <c r="E1109" s="10" t="s">
        <v>9</v>
      </c>
      <c r="F1109" s="5" t="s">
        <v>10</v>
      </c>
    </row>
    <row r="1110" spans="2:6" ht="15" thickBot="1">
      <c r="B1110" s="54"/>
      <c r="F1110" s="55"/>
    </row>
    <row r="1111" spans="2:6" ht="18" thickBot="1">
      <c r="B1111" s="37">
        <v>1</v>
      </c>
      <c r="C1111" s="52" t="s">
        <v>572</v>
      </c>
      <c r="D1111" s="37">
        <v>1425</v>
      </c>
      <c r="E1111" s="37">
        <v>10</v>
      </c>
      <c r="F1111" s="37">
        <f>D1111*E1111</f>
        <v>14250</v>
      </c>
    </row>
    <row r="1112" spans="2:6" ht="18" thickBot="1">
      <c r="B1112" s="37">
        <v>2</v>
      </c>
      <c r="C1112" s="52" t="s">
        <v>572</v>
      </c>
      <c r="D1112" s="37">
        <v>1370</v>
      </c>
      <c r="E1112" s="37">
        <v>20</v>
      </c>
      <c r="F1112" s="37">
        <f t="shared" ref="F1112:F1113" si="39">D1112*E1112</f>
        <v>27400</v>
      </c>
    </row>
    <row r="1113" spans="2:6" ht="18" thickBot="1">
      <c r="B1113" s="37">
        <v>3</v>
      </c>
      <c r="C1113" s="52" t="s">
        <v>572</v>
      </c>
      <c r="D1113" s="37">
        <v>1390</v>
      </c>
      <c r="E1113" s="37">
        <v>37</v>
      </c>
      <c r="F1113" s="37">
        <f t="shared" si="39"/>
        <v>51430</v>
      </c>
    </row>
    <row r="1114" spans="2:6" ht="15" thickBot="1">
      <c r="B1114" s="37"/>
      <c r="C1114" s="37"/>
      <c r="D1114" s="37"/>
      <c r="E1114" s="37"/>
      <c r="F1114" s="37"/>
    </row>
    <row r="1115" spans="2:6" ht="18" thickBot="1">
      <c r="B1115" s="591" t="s">
        <v>11</v>
      </c>
      <c r="C1115" s="592"/>
      <c r="D1115" s="593"/>
      <c r="E1115" s="594"/>
      <c r="F1115" s="9">
        <f>SUM(F1111:F1114)</f>
        <v>93080</v>
      </c>
    </row>
    <row r="1118" spans="2:6" ht="15.6">
      <c r="B1118" s="3" t="s">
        <v>1</v>
      </c>
      <c r="C1118" s="1" t="s">
        <v>1510</v>
      </c>
    </row>
    <row r="1120" spans="2:6" ht="15.6">
      <c r="B1120" s="3" t="s">
        <v>2</v>
      </c>
      <c r="C1120" s="34" t="s">
        <v>90</v>
      </c>
      <c r="D1120" s="3" t="s">
        <v>5</v>
      </c>
      <c r="E1120" s="22">
        <v>45487</v>
      </c>
    </row>
    <row r="1121" spans="2:6" ht="15.6">
      <c r="B1121" s="3" t="s">
        <v>3</v>
      </c>
    </row>
    <row r="1122" spans="2:6" ht="15.6">
      <c r="B1122" s="3" t="s">
        <v>4</v>
      </c>
    </row>
    <row r="1123" spans="2:6" ht="15" thickBot="1"/>
    <row r="1124" spans="2:6" ht="16.2" thickBot="1">
      <c r="B1124" s="10" t="s">
        <v>6</v>
      </c>
      <c r="C1124" s="10" t="s">
        <v>7</v>
      </c>
      <c r="D1124" s="4" t="s">
        <v>8</v>
      </c>
      <c r="E1124" s="10" t="s">
        <v>9</v>
      </c>
      <c r="F1124" s="5" t="s">
        <v>10</v>
      </c>
    </row>
    <row r="1125" spans="2:6" ht="15" thickBot="1">
      <c r="B1125" s="54"/>
      <c r="F1125" s="55"/>
    </row>
    <row r="1126" spans="2:6" ht="18" thickBot="1">
      <c r="B1126" s="37">
        <v>1</v>
      </c>
      <c r="C1126" s="52" t="s">
        <v>1530</v>
      </c>
      <c r="D1126" s="37">
        <v>2700</v>
      </c>
      <c r="E1126" s="37">
        <v>1</v>
      </c>
      <c r="F1126" s="37">
        <f>D1126*E1126</f>
        <v>2700</v>
      </c>
    </row>
    <row r="1127" spans="2:6" ht="18" thickBot="1">
      <c r="B1127" s="37">
        <v>2</v>
      </c>
      <c r="C1127" s="52" t="s">
        <v>1531</v>
      </c>
      <c r="D1127" s="37">
        <v>1900</v>
      </c>
      <c r="E1127" s="37">
        <v>2</v>
      </c>
      <c r="F1127" s="37">
        <f t="shared" ref="F1127:F1128" si="40">D1127*E1127</f>
        <v>3800</v>
      </c>
    </row>
    <row r="1128" spans="2:6" ht="18" thickBot="1">
      <c r="B1128" s="37">
        <v>3</v>
      </c>
      <c r="C1128" s="52"/>
      <c r="D1128" s="37"/>
      <c r="E1128" s="37"/>
      <c r="F1128" s="37">
        <f t="shared" si="40"/>
        <v>0</v>
      </c>
    </row>
    <row r="1129" spans="2:6" ht="15" thickBot="1">
      <c r="B1129" s="37"/>
      <c r="C1129" s="37"/>
      <c r="D1129" s="37"/>
      <c r="E1129" s="37"/>
      <c r="F1129" s="37"/>
    </row>
    <row r="1130" spans="2:6" ht="18" thickBot="1">
      <c r="B1130" s="591" t="s">
        <v>11</v>
      </c>
      <c r="C1130" s="592"/>
      <c r="D1130" s="593"/>
      <c r="E1130" s="594"/>
      <c r="F1130" s="9">
        <f>SUM(F1126:F1129)</f>
        <v>6500</v>
      </c>
    </row>
    <row r="1133" spans="2:6" ht="15.6">
      <c r="B1133" s="3" t="s">
        <v>1</v>
      </c>
      <c r="C1133" s="1" t="s">
        <v>1534</v>
      </c>
    </row>
    <row r="1135" spans="2:6" ht="15.6">
      <c r="B1135" s="3" t="s">
        <v>2</v>
      </c>
      <c r="C1135" s="34" t="s">
        <v>90</v>
      </c>
      <c r="D1135" s="3" t="s">
        <v>5</v>
      </c>
      <c r="E1135" s="22">
        <v>45491</v>
      </c>
    </row>
    <row r="1136" spans="2:6" ht="15.6">
      <c r="B1136" s="3" t="s">
        <v>3</v>
      </c>
    </row>
    <row r="1137" spans="2:6" ht="15.6">
      <c r="B1137" s="3" t="s">
        <v>4</v>
      </c>
    </row>
    <row r="1138" spans="2:6" ht="15" thickBot="1"/>
    <row r="1139" spans="2:6" ht="16.2" thickBot="1">
      <c r="B1139" s="10" t="s">
        <v>6</v>
      </c>
      <c r="C1139" s="10" t="s">
        <v>7</v>
      </c>
      <c r="D1139" s="4" t="s">
        <v>8</v>
      </c>
      <c r="E1139" s="10" t="s">
        <v>9</v>
      </c>
      <c r="F1139" s="5" t="s">
        <v>10</v>
      </c>
    </row>
    <row r="1140" spans="2:6" ht="15" thickBot="1">
      <c r="B1140" s="54"/>
      <c r="F1140" s="55"/>
    </row>
    <row r="1141" spans="2:6" ht="18" thickBot="1">
      <c r="B1141" s="37">
        <v>1</v>
      </c>
      <c r="C1141" s="52" t="s">
        <v>572</v>
      </c>
      <c r="D1141" s="37">
        <v>1240</v>
      </c>
      <c r="E1141" s="37">
        <v>30</v>
      </c>
      <c r="F1141" s="37">
        <f>D1141*E1141</f>
        <v>37200</v>
      </c>
    </row>
    <row r="1142" spans="2:6" ht="18" thickBot="1">
      <c r="B1142" s="37">
        <v>2</v>
      </c>
      <c r="C1142" s="52" t="s">
        <v>572</v>
      </c>
      <c r="D1142" s="37">
        <v>1230</v>
      </c>
      <c r="E1142" s="37">
        <v>22</v>
      </c>
      <c r="F1142" s="37">
        <f t="shared" ref="F1142:F1143" si="41">D1142*E1142</f>
        <v>27060</v>
      </c>
    </row>
    <row r="1143" spans="2:6" ht="18" thickBot="1">
      <c r="B1143" s="37">
        <v>3</v>
      </c>
      <c r="C1143" s="52" t="s">
        <v>572</v>
      </c>
      <c r="D1143" s="37">
        <v>1220</v>
      </c>
      <c r="E1143" s="37">
        <v>43</v>
      </c>
      <c r="F1143" s="37">
        <f t="shared" si="41"/>
        <v>52460</v>
      </c>
    </row>
    <row r="1144" spans="2:6" ht="15" thickBot="1">
      <c r="B1144" s="37"/>
      <c r="C1144" s="37"/>
      <c r="D1144" s="37"/>
      <c r="E1144" s="37"/>
      <c r="F1144" s="37"/>
    </row>
    <row r="1145" spans="2:6" ht="18" thickBot="1">
      <c r="B1145" s="591" t="s">
        <v>11</v>
      </c>
      <c r="C1145" s="592"/>
      <c r="D1145" s="593"/>
      <c r="E1145" s="594"/>
      <c r="F1145" s="9">
        <f>SUM(F1141:F1144)</f>
        <v>116720</v>
      </c>
    </row>
    <row r="1148" spans="2:6" ht="15.6">
      <c r="B1148" s="3" t="s">
        <v>1</v>
      </c>
      <c r="C1148" s="1" t="s">
        <v>1567</v>
      </c>
    </row>
    <row r="1150" spans="2:6" ht="15.6">
      <c r="B1150" s="3" t="s">
        <v>2</v>
      </c>
      <c r="C1150" s="34" t="s">
        <v>90</v>
      </c>
      <c r="D1150" s="3" t="s">
        <v>5</v>
      </c>
      <c r="E1150" s="22">
        <v>45492</v>
      </c>
    </row>
    <row r="1151" spans="2:6" ht="15.6">
      <c r="B1151" s="3" t="s">
        <v>3</v>
      </c>
    </row>
    <row r="1152" spans="2:6" ht="15.6">
      <c r="B1152" s="3" t="s">
        <v>4</v>
      </c>
    </row>
    <row r="1153" spans="2:6" ht="15" thickBot="1"/>
    <row r="1154" spans="2:6" ht="16.2" thickBot="1">
      <c r="B1154" s="10" t="s">
        <v>6</v>
      </c>
      <c r="C1154" s="10" t="s">
        <v>7</v>
      </c>
      <c r="D1154" s="4" t="s">
        <v>8</v>
      </c>
      <c r="E1154" s="10" t="s">
        <v>9</v>
      </c>
      <c r="F1154" s="5" t="s">
        <v>10</v>
      </c>
    </row>
    <row r="1155" spans="2:6" ht="15" thickBot="1">
      <c r="B1155" s="54"/>
      <c r="F1155" s="55"/>
    </row>
    <row r="1156" spans="2:6" ht="18" thickBot="1">
      <c r="B1156" s="37">
        <v>1</v>
      </c>
      <c r="C1156" s="52" t="s">
        <v>636</v>
      </c>
      <c r="D1156" s="37">
        <v>2450</v>
      </c>
      <c r="E1156" s="37">
        <v>7</v>
      </c>
      <c r="F1156" s="37">
        <f>D1156*E1156</f>
        <v>17150</v>
      </c>
    </row>
    <row r="1157" spans="2:6" ht="18" thickBot="1">
      <c r="B1157" s="37"/>
      <c r="C1157" s="52"/>
      <c r="D1157" s="37"/>
      <c r="E1157" s="37"/>
      <c r="F1157" s="37">
        <f t="shared" ref="F1157:F1158" si="42">D1157*E1157</f>
        <v>0</v>
      </c>
    </row>
    <row r="1158" spans="2:6" ht="18" thickBot="1">
      <c r="B1158" s="37"/>
      <c r="C1158" s="52"/>
      <c r="D1158" s="37"/>
      <c r="E1158" s="37"/>
      <c r="F1158" s="37">
        <f t="shared" si="42"/>
        <v>0</v>
      </c>
    </row>
    <row r="1159" spans="2:6" ht="15" thickBot="1">
      <c r="B1159" s="37"/>
      <c r="C1159" s="37"/>
      <c r="D1159" s="37"/>
      <c r="E1159" s="37"/>
      <c r="F1159" s="37"/>
    </row>
    <row r="1160" spans="2:6" ht="18" thickBot="1">
      <c r="B1160" s="591" t="s">
        <v>11</v>
      </c>
      <c r="C1160" s="592"/>
      <c r="D1160" s="593"/>
      <c r="E1160" s="594"/>
      <c r="F1160" s="9">
        <f>SUM(F1156:F1159)</f>
        <v>17150</v>
      </c>
    </row>
    <row r="1161" spans="2:6" ht="17.399999999999999">
      <c r="B1161" s="401"/>
      <c r="C1161" s="401"/>
      <c r="F1161" s="16"/>
    </row>
    <row r="1162" spans="2:6" ht="17.399999999999999">
      <c r="B1162" s="401"/>
      <c r="C1162" s="401"/>
      <c r="F1162" s="16"/>
    </row>
    <row r="1164" spans="2:6" ht="18">
      <c r="B1164" s="404"/>
      <c r="C1164" s="414" t="s">
        <v>1569</v>
      </c>
      <c r="D1164" s="404"/>
      <c r="E1164" s="404"/>
      <c r="F1164" s="404"/>
    </row>
    <row r="1165" spans="2:6" ht="15.6">
      <c r="B1165" s="403" t="s">
        <v>1</v>
      </c>
      <c r="C1165" s="404" t="s">
        <v>1568</v>
      </c>
      <c r="D1165" s="404"/>
      <c r="E1165" s="404"/>
      <c r="F1165" s="404"/>
    </row>
    <row r="1166" spans="2:6">
      <c r="B1166" s="404"/>
      <c r="C1166" s="404"/>
      <c r="D1166" s="404"/>
      <c r="E1166" s="404"/>
      <c r="F1166" s="404"/>
    </row>
    <row r="1167" spans="2:6" ht="15.6">
      <c r="B1167" s="403" t="s">
        <v>2</v>
      </c>
      <c r="C1167" s="405" t="s">
        <v>90</v>
      </c>
      <c r="D1167" s="403" t="s">
        <v>5</v>
      </c>
      <c r="E1167" s="406">
        <v>45492</v>
      </c>
      <c r="F1167" s="404"/>
    </row>
    <row r="1168" spans="2:6" ht="15.6">
      <c r="B1168" s="403" t="s">
        <v>3</v>
      </c>
      <c r="C1168" s="404"/>
      <c r="D1168" s="404"/>
      <c r="E1168" s="404"/>
      <c r="F1168" s="404"/>
    </row>
    <row r="1169" spans="2:6" ht="15.6">
      <c r="B1169" s="403" t="s">
        <v>4</v>
      </c>
      <c r="C1169" s="404"/>
      <c r="D1169" s="404"/>
      <c r="E1169" s="404"/>
      <c r="F1169" s="404"/>
    </row>
    <row r="1170" spans="2:6" ht="15" thickBot="1">
      <c r="B1170" s="404"/>
      <c r="C1170" s="404"/>
      <c r="D1170" s="404"/>
      <c r="E1170" s="404"/>
      <c r="F1170" s="404"/>
    </row>
    <row r="1171" spans="2:6" ht="16.2" thickBot="1">
      <c r="B1171" s="407" t="s">
        <v>6</v>
      </c>
      <c r="C1171" s="407" t="s">
        <v>7</v>
      </c>
      <c r="D1171" s="408" t="s">
        <v>8</v>
      </c>
      <c r="E1171" s="407" t="s">
        <v>9</v>
      </c>
      <c r="F1171" s="409" t="s">
        <v>10</v>
      </c>
    </row>
    <row r="1172" spans="2:6" ht="15" thickBot="1">
      <c r="B1172" s="410"/>
      <c r="C1172" s="404"/>
      <c r="D1172" s="404"/>
      <c r="E1172" s="404"/>
      <c r="F1172" s="411"/>
    </row>
    <row r="1173" spans="2:6" ht="18" thickBot="1">
      <c r="B1173" s="412">
        <v>1</v>
      </c>
      <c r="C1173" s="413" t="s">
        <v>1315</v>
      </c>
      <c r="D1173" s="412">
        <v>2150</v>
      </c>
      <c r="E1173" s="412">
        <v>-1</v>
      </c>
      <c r="F1173" s="412">
        <f>D1173*E1173</f>
        <v>-2150</v>
      </c>
    </row>
    <row r="1174" spans="2:6" ht="18" thickBot="1">
      <c r="B1174" s="412"/>
      <c r="C1174" s="413"/>
      <c r="D1174" s="412"/>
      <c r="E1174" s="412"/>
      <c r="F1174" s="412">
        <f t="shared" ref="F1174:F1175" si="43">D1174*E1174</f>
        <v>0</v>
      </c>
    </row>
    <row r="1175" spans="2:6" ht="18" thickBot="1">
      <c r="B1175" s="412"/>
      <c r="C1175" s="413"/>
      <c r="D1175" s="412"/>
      <c r="E1175" s="412"/>
      <c r="F1175" s="412">
        <f t="shared" si="43"/>
        <v>0</v>
      </c>
    </row>
    <row r="1176" spans="2:6" ht="15" thickBot="1">
      <c r="B1176" s="412"/>
      <c r="C1176" s="412"/>
      <c r="D1176" s="412"/>
      <c r="E1176" s="412"/>
      <c r="F1176" s="412"/>
    </row>
    <row r="1177" spans="2:6" ht="18" thickBot="1">
      <c r="B1177" s="599" t="s">
        <v>11</v>
      </c>
      <c r="C1177" s="600"/>
      <c r="D1177" s="601"/>
      <c r="E1177" s="602"/>
      <c r="F1177" s="415">
        <f>SUM(F1173:F1176)</f>
        <v>-2150</v>
      </c>
    </row>
    <row r="1182" spans="2:6" ht="15.6">
      <c r="B1182" s="3" t="s">
        <v>1</v>
      </c>
      <c r="C1182" s="1" t="s">
        <v>1578</v>
      </c>
    </row>
    <row r="1184" spans="2:6" ht="15.6">
      <c r="B1184" s="3" t="s">
        <v>2</v>
      </c>
      <c r="C1184" s="278" t="s">
        <v>1577</v>
      </c>
      <c r="D1184" s="3" t="s">
        <v>5</v>
      </c>
      <c r="E1184" s="22">
        <v>45495</v>
      </c>
    </row>
    <row r="1185" spans="2:7" ht="15.6">
      <c r="B1185" s="3" t="s">
        <v>3</v>
      </c>
    </row>
    <row r="1186" spans="2:7" ht="15.6">
      <c r="B1186" s="3" t="s">
        <v>4</v>
      </c>
    </row>
    <row r="1187" spans="2:7" ht="15" thickBot="1"/>
    <row r="1188" spans="2:7" ht="16.2" thickBot="1">
      <c r="B1188" s="10" t="s">
        <v>6</v>
      </c>
      <c r="C1188" s="10" t="s">
        <v>7</v>
      </c>
      <c r="D1188" s="4" t="s">
        <v>8</v>
      </c>
      <c r="E1188" s="10" t="s">
        <v>9</v>
      </c>
      <c r="F1188" s="5" t="s">
        <v>10</v>
      </c>
    </row>
    <row r="1189" spans="2:7" ht="15" thickBot="1">
      <c r="B1189" s="54"/>
      <c r="F1189" s="55"/>
    </row>
    <row r="1190" spans="2:7" ht="18" thickBot="1">
      <c r="B1190" s="37">
        <v>1</v>
      </c>
      <c r="C1190" s="52" t="s">
        <v>1579</v>
      </c>
      <c r="D1190" s="37">
        <v>100000</v>
      </c>
      <c r="E1190" s="37">
        <v>1</v>
      </c>
      <c r="F1190" s="37">
        <f>D1190*E1190</f>
        <v>100000</v>
      </c>
    </row>
    <row r="1191" spans="2:7" ht="18" thickBot="1">
      <c r="B1191" s="37">
        <v>2</v>
      </c>
      <c r="C1191" s="52" t="s">
        <v>1580</v>
      </c>
      <c r="D1191" s="37">
        <v>60000</v>
      </c>
      <c r="E1191" s="37">
        <v>1</v>
      </c>
      <c r="F1191" s="37">
        <f t="shared" ref="F1191:F1198" si="44">D1191*E1191</f>
        <v>60000</v>
      </c>
    </row>
    <row r="1192" spans="2:7" ht="18" thickBot="1">
      <c r="B1192" s="37">
        <v>3</v>
      </c>
      <c r="C1192" s="52" t="s">
        <v>1580</v>
      </c>
      <c r="D1192" s="37">
        <v>53000</v>
      </c>
      <c r="E1192" s="37">
        <v>1</v>
      </c>
      <c r="F1192" s="37">
        <f t="shared" si="44"/>
        <v>53000</v>
      </c>
    </row>
    <row r="1193" spans="2:7" ht="18" thickBot="1">
      <c r="B1193" s="37">
        <v>4</v>
      </c>
      <c r="C1193" s="52" t="s">
        <v>1580</v>
      </c>
      <c r="D1193" s="37">
        <v>56000</v>
      </c>
      <c r="E1193" s="37">
        <v>1</v>
      </c>
      <c r="F1193" s="37">
        <f t="shared" si="44"/>
        <v>56000</v>
      </c>
    </row>
    <row r="1194" spans="2:7" ht="18" thickBot="1">
      <c r="B1194" s="37">
        <v>5</v>
      </c>
      <c r="C1194" s="52" t="s">
        <v>1579</v>
      </c>
      <c r="D1194" s="37">
        <v>99000</v>
      </c>
      <c r="E1194" s="37">
        <v>1</v>
      </c>
      <c r="F1194" s="37">
        <f t="shared" si="44"/>
        <v>99000</v>
      </c>
    </row>
    <row r="1195" spans="2:7" ht="18" thickBot="1">
      <c r="B1195" s="37">
        <v>6</v>
      </c>
      <c r="C1195" s="423" t="s">
        <v>229</v>
      </c>
      <c r="D1195" s="37">
        <v>118000</v>
      </c>
      <c r="E1195" s="37">
        <v>1</v>
      </c>
      <c r="F1195" s="37">
        <f t="shared" si="44"/>
        <v>118000</v>
      </c>
    </row>
    <row r="1196" spans="2:7" ht="18" thickBot="1">
      <c r="B1196" s="37">
        <v>7</v>
      </c>
      <c r="C1196" s="52" t="s">
        <v>1580</v>
      </c>
      <c r="D1196" s="37">
        <v>42000</v>
      </c>
      <c r="E1196" s="37">
        <v>1</v>
      </c>
      <c r="F1196" s="37">
        <f t="shared" si="44"/>
        <v>42000</v>
      </c>
    </row>
    <row r="1197" spans="2:7" ht="18" thickBot="1">
      <c r="B1197" s="37">
        <v>8</v>
      </c>
      <c r="C1197" s="52" t="s">
        <v>1579</v>
      </c>
      <c r="D1197" s="37">
        <v>91000</v>
      </c>
      <c r="E1197" s="37">
        <v>1</v>
      </c>
      <c r="F1197" s="37">
        <f t="shared" si="44"/>
        <v>91000</v>
      </c>
    </row>
    <row r="1198" spans="2:7" ht="18" thickBot="1">
      <c r="B1198" s="37">
        <v>9</v>
      </c>
      <c r="C1198" s="52" t="s">
        <v>1580</v>
      </c>
      <c r="D1198" s="37">
        <v>53000</v>
      </c>
      <c r="E1198" s="37">
        <v>2</v>
      </c>
      <c r="F1198" s="37">
        <f t="shared" si="44"/>
        <v>106000</v>
      </c>
    </row>
    <row r="1199" spans="2:7" ht="15" thickBot="1">
      <c r="B1199" s="37"/>
      <c r="C1199" s="37"/>
      <c r="D1199" s="37"/>
      <c r="E1199" s="37"/>
      <c r="F1199" s="37"/>
    </row>
    <row r="1200" spans="2:7" ht="18" thickBot="1">
      <c r="B1200" s="591" t="s">
        <v>11</v>
      </c>
      <c r="C1200" s="592"/>
      <c r="D1200" s="593"/>
      <c r="E1200" s="594"/>
      <c r="F1200" s="388">
        <f>SUM(F1190:F1199)</f>
        <v>725000</v>
      </c>
      <c r="G1200" s="229" t="s">
        <v>567</v>
      </c>
    </row>
    <row r="1203" spans="2:6" ht="15.6">
      <c r="B1203" s="3" t="s">
        <v>1</v>
      </c>
      <c r="C1203" s="1" t="s">
        <v>1595</v>
      </c>
    </row>
    <row r="1205" spans="2:6" ht="15.6">
      <c r="B1205" s="3" t="s">
        <v>2</v>
      </c>
      <c r="C1205" s="34" t="s">
        <v>90</v>
      </c>
      <c r="D1205" s="3" t="s">
        <v>5</v>
      </c>
      <c r="E1205" s="22">
        <v>45497</v>
      </c>
    </row>
    <row r="1206" spans="2:6" ht="15.6">
      <c r="B1206" s="3" t="s">
        <v>3</v>
      </c>
    </row>
    <row r="1207" spans="2:6" ht="15.6">
      <c r="B1207" s="3" t="s">
        <v>4</v>
      </c>
    </row>
    <row r="1208" spans="2:6" ht="15" thickBot="1"/>
    <row r="1209" spans="2:6" ht="16.2" thickBot="1">
      <c r="B1209" s="10" t="s">
        <v>6</v>
      </c>
      <c r="C1209" s="10" t="s">
        <v>7</v>
      </c>
      <c r="D1209" s="4" t="s">
        <v>8</v>
      </c>
      <c r="E1209" s="10" t="s">
        <v>9</v>
      </c>
      <c r="F1209" s="5" t="s">
        <v>10</v>
      </c>
    </row>
    <row r="1210" spans="2:6" ht="15" thickBot="1">
      <c r="B1210" s="54"/>
      <c r="F1210" s="55"/>
    </row>
    <row r="1211" spans="2:6" ht="18" thickBot="1">
      <c r="B1211" s="37">
        <v>1</v>
      </c>
      <c r="C1211" s="52" t="s">
        <v>572</v>
      </c>
      <c r="D1211" s="37">
        <v>1180</v>
      </c>
      <c r="E1211" s="37">
        <v>8</v>
      </c>
      <c r="F1211" s="37">
        <f>D1211*E1211</f>
        <v>9440</v>
      </c>
    </row>
    <row r="1212" spans="2:6" ht="18" thickBot="1">
      <c r="B1212" s="37">
        <v>2</v>
      </c>
      <c r="C1212" s="52" t="s">
        <v>572</v>
      </c>
      <c r="D1212" s="37">
        <v>1180</v>
      </c>
      <c r="E1212" s="37">
        <v>20</v>
      </c>
      <c r="F1212" s="37">
        <f t="shared" ref="F1212:F1213" si="45">D1212*E1212</f>
        <v>23600</v>
      </c>
    </row>
    <row r="1213" spans="2:6" ht="18" thickBot="1">
      <c r="B1213" s="37">
        <v>3</v>
      </c>
      <c r="C1213" s="52" t="s">
        <v>572</v>
      </c>
      <c r="D1213" s="37">
        <v>1175</v>
      </c>
      <c r="E1213" s="37">
        <v>28</v>
      </c>
      <c r="F1213" s="37">
        <f t="shared" si="45"/>
        <v>32900</v>
      </c>
    </row>
    <row r="1214" spans="2:6" ht="15" thickBot="1">
      <c r="B1214" s="37"/>
      <c r="C1214" s="37"/>
      <c r="D1214" s="37"/>
      <c r="E1214" s="37"/>
      <c r="F1214" s="37"/>
    </row>
    <row r="1215" spans="2:6" ht="18" thickBot="1">
      <c r="B1215" s="591" t="s">
        <v>11</v>
      </c>
      <c r="C1215" s="592"/>
      <c r="D1215" s="593"/>
      <c r="E1215" s="594"/>
      <c r="F1215" s="9">
        <f>SUM(F1211:F1214)</f>
        <v>65940</v>
      </c>
    </row>
    <row r="1218" spans="2:6" ht="15.6">
      <c r="B1218" s="3" t="s">
        <v>1</v>
      </c>
      <c r="C1218" s="1" t="s">
        <v>1602</v>
      </c>
    </row>
    <row r="1220" spans="2:6" ht="15.6">
      <c r="B1220" s="3" t="s">
        <v>2</v>
      </c>
      <c r="C1220" s="34" t="s">
        <v>90</v>
      </c>
      <c r="D1220" s="3" t="s">
        <v>5</v>
      </c>
      <c r="E1220" s="22">
        <v>45497</v>
      </c>
    </row>
    <row r="1221" spans="2:6" ht="15.6">
      <c r="B1221" s="3" t="s">
        <v>3</v>
      </c>
    </row>
    <row r="1222" spans="2:6" ht="15.6">
      <c r="B1222" s="3" t="s">
        <v>4</v>
      </c>
    </row>
    <row r="1223" spans="2:6" ht="15" thickBot="1"/>
    <row r="1224" spans="2:6" ht="16.2" thickBot="1">
      <c r="B1224" s="10" t="s">
        <v>6</v>
      </c>
      <c r="C1224" s="10" t="s">
        <v>7</v>
      </c>
      <c r="D1224" s="4" t="s">
        <v>8</v>
      </c>
      <c r="E1224" s="10" t="s">
        <v>9</v>
      </c>
      <c r="F1224" s="5" t="s">
        <v>10</v>
      </c>
    </row>
    <row r="1225" spans="2:6" ht="15" thickBot="1">
      <c r="B1225" s="54"/>
      <c r="F1225" s="55"/>
    </row>
    <row r="1226" spans="2:6" ht="18" thickBot="1">
      <c r="B1226" s="37">
        <v>1</v>
      </c>
      <c r="C1226" s="52" t="s">
        <v>1603</v>
      </c>
      <c r="D1226" s="37">
        <v>1175</v>
      </c>
      <c r="E1226" s="37">
        <v>7</v>
      </c>
      <c r="F1226" s="37">
        <f>D1226*E1226</f>
        <v>8225</v>
      </c>
    </row>
    <row r="1227" spans="2:6" ht="18" thickBot="1">
      <c r="B1227" s="37">
        <v>2</v>
      </c>
      <c r="C1227" s="52"/>
      <c r="D1227" s="37"/>
      <c r="E1227" s="37"/>
      <c r="F1227" s="37">
        <f t="shared" ref="F1227:F1228" si="46">D1227*E1227</f>
        <v>0</v>
      </c>
    </row>
    <row r="1228" spans="2:6" ht="18" thickBot="1">
      <c r="B1228" s="37">
        <v>3</v>
      </c>
      <c r="C1228" s="52"/>
      <c r="D1228" s="37"/>
      <c r="E1228" s="37"/>
      <c r="F1228" s="37">
        <f t="shared" si="46"/>
        <v>0</v>
      </c>
    </row>
    <row r="1229" spans="2:6" ht="15" thickBot="1">
      <c r="B1229" s="37"/>
      <c r="C1229" s="37"/>
      <c r="D1229" s="37"/>
      <c r="E1229" s="37"/>
      <c r="F1229" s="37"/>
    </row>
    <row r="1230" spans="2:6" ht="18" thickBot="1">
      <c r="B1230" s="591" t="s">
        <v>11</v>
      </c>
      <c r="C1230" s="592"/>
      <c r="D1230" s="593"/>
      <c r="E1230" s="594"/>
      <c r="F1230" s="9">
        <f>SUM(F1226:F1229)</f>
        <v>8225</v>
      </c>
    </row>
    <row r="1233" spans="2:6" ht="15.6">
      <c r="B1233" s="3" t="s">
        <v>1</v>
      </c>
      <c r="C1233" s="1" t="s">
        <v>1606</v>
      </c>
    </row>
    <row r="1235" spans="2:6" ht="15.6">
      <c r="B1235" s="3" t="s">
        <v>2</v>
      </c>
      <c r="C1235" s="34" t="s">
        <v>565</v>
      </c>
      <c r="D1235" s="3" t="s">
        <v>5</v>
      </c>
      <c r="E1235" s="22">
        <v>45497</v>
      </c>
    </row>
    <row r="1236" spans="2:6" ht="15.6">
      <c r="B1236" s="3" t="s">
        <v>3</v>
      </c>
    </row>
    <row r="1237" spans="2:6" ht="15.6">
      <c r="B1237" s="3" t="s">
        <v>4</v>
      </c>
    </row>
    <row r="1238" spans="2:6" ht="15" thickBot="1"/>
    <row r="1239" spans="2:6" ht="16.2" thickBot="1">
      <c r="B1239" s="10" t="s">
        <v>6</v>
      </c>
      <c r="C1239" s="10" t="s">
        <v>7</v>
      </c>
      <c r="D1239" s="4" t="s">
        <v>8</v>
      </c>
      <c r="E1239" s="10" t="s">
        <v>9</v>
      </c>
      <c r="F1239" s="5" t="s">
        <v>10</v>
      </c>
    </row>
    <row r="1240" spans="2:6" ht="15" thickBot="1">
      <c r="B1240" s="54"/>
      <c r="F1240" s="55"/>
    </row>
    <row r="1241" spans="2:6" ht="18" thickBot="1">
      <c r="B1241" s="37">
        <v>1</v>
      </c>
      <c r="C1241" s="52" t="s">
        <v>1603</v>
      </c>
      <c r="D1241" s="37">
        <v>1130</v>
      </c>
      <c r="E1241" s="37">
        <v>5</v>
      </c>
      <c r="F1241" s="37">
        <f>D1241*E1241</f>
        <v>5650</v>
      </c>
    </row>
    <row r="1242" spans="2:6" ht="18" thickBot="1">
      <c r="B1242" s="37">
        <v>2</v>
      </c>
      <c r="C1242" s="52"/>
      <c r="D1242" s="37"/>
      <c r="E1242" s="37"/>
      <c r="F1242" s="37">
        <f t="shared" ref="F1242:F1243" si="47">D1242*E1242</f>
        <v>0</v>
      </c>
    </row>
    <row r="1243" spans="2:6" ht="18" thickBot="1">
      <c r="B1243" s="37">
        <v>3</v>
      </c>
      <c r="C1243" s="52"/>
      <c r="D1243" s="37"/>
      <c r="E1243" s="37"/>
      <c r="F1243" s="37">
        <f t="shared" si="47"/>
        <v>0</v>
      </c>
    </row>
    <row r="1244" spans="2:6" ht="15" thickBot="1">
      <c r="B1244" s="37"/>
      <c r="C1244" s="37"/>
      <c r="D1244" s="37"/>
      <c r="E1244" s="37"/>
      <c r="F1244" s="37"/>
    </row>
    <row r="1245" spans="2:6" ht="18" thickBot="1">
      <c r="B1245" s="591" t="s">
        <v>11</v>
      </c>
      <c r="C1245" s="592"/>
      <c r="D1245" s="593"/>
      <c r="E1245" s="594"/>
      <c r="F1245" s="9">
        <f>SUM(F1241:F1244)</f>
        <v>5650</v>
      </c>
    </row>
    <row r="1249" spans="2:6" ht="15.6">
      <c r="B1249" s="3" t="s">
        <v>1</v>
      </c>
      <c r="C1249" s="1" t="s">
        <v>1623</v>
      </c>
    </row>
    <row r="1251" spans="2:6" ht="15.6">
      <c r="B1251" s="3" t="s">
        <v>2</v>
      </c>
      <c r="C1251" s="34" t="s">
        <v>90</v>
      </c>
      <c r="D1251" s="3" t="s">
        <v>5</v>
      </c>
      <c r="E1251" s="22">
        <v>45498</v>
      </c>
    </row>
    <row r="1252" spans="2:6" ht="15.6">
      <c r="B1252" s="3" t="s">
        <v>3</v>
      </c>
    </row>
    <row r="1253" spans="2:6" ht="15.6">
      <c r="B1253" s="3" t="s">
        <v>4</v>
      </c>
    </row>
    <row r="1254" spans="2:6" ht="15" thickBot="1"/>
    <row r="1255" spans="2:6" ht="16.2" thickBot="1">
      <c r="B1255" s="10" t="s">
        <v>6</v>
      </c>
      <c r="C1255" s="10" t="s">
        <v>7</v>
      </c>
      <c r="D1255" s="4" t="s">
        <v>8</v>
      </c>
      <c r="E1255" s="10" t="s">
        <v>9</v>
      </c>
      <c r="F1255" s="5" t="s">
        <v>10</v>
      </c>
    </row>
    <row r="1256" spans="2:6" ht="15" thickBot="1">
      <c r="B1256" s="54"/>
      <c r="F1256" s="55"/>
    </row>
    <row r="1257" spans="2:6" ht="18" thickBot="1">
      <c r="B1257" s="37">
        <v>1</v>
      </c>
      <c r="C1257" s="52" t="s">
        <v>1524</v>
      </c>
      <c r="D1257" s="37">
        <v>900</v>
      </c>
      <c r="E1257" s="37">
        <v>12</v>
      </c>
      <c r="F1257" s="37">
        <f>D1257*E1257</f>
        <v>10800</v>
      </c>
    </row>
    <row r="1258" spans="2:6" ht="18" thickBot="1">
      <c r="B1258" s="37">
        <v>2</v>
      </c>
      <c r="C1258" s="52" t="s">
        <v>1624</v>
      </c>
      <c r="D1258" s="37">
        <v>1</v>
      </c>
      <c r="E1258" s="37">
        <v>2690</v>
      </c>
      <c r="F1258" s="37">
        <f t="shared" ref="F1258:F1260" si="48">D1258*E1258</f>
        <v>2690</v>
      </c>
    </row>
    <row r="1259" spans="2:6" ht="18" thickBot="1">
      <c r="B1259" s="37">
        <v>3</v>
      </c>
      <c r="C1259" s="52" t="s">
        <v>1625</v>
      </c>
      <c r="D1259" s="37">
        <v>2</v>
      </c>
      <c r="E1259" s="37">
        <v>1175</v>
      </c>
      <c r="F1259" s="37">
        <f t="shared" si="48"/>
        <v>2350</v>
      </c>
    </row>
    <row r="1260" spans="2:6" ht="15" thickBot="1">
      <c r="B1260" s="37">
        <v>4</v>
      </c>
      <c r="C1260" s="37" t="s">
        <v>1626</v>
      </c>
      <c r="D1260" s="37">
        <v>1</v>
      </c>
      <c r="E1260" s="37">
        <v>2350</v>
      </c>
      <c r="F1260" s="37">
        <f t="shared" si="48"/>
        <v>2350</v>
      </c>
    </row>
    <row r="1261" spans="2:6" ht="18" thickBot="1">
      <c r="B1261" s="591" t="s">
        <v>11</v>
      </c>
      <c r="C1261" s="592"/>
      <c r="D1261" s="593"/>
      <c r="E1261" s="594"/>
      <c r="F1261" s="9">
        <f>SUM(F1257:F1260)</f>
        <v>18190</v>
      </c>
    </row>
    <row r="1265" spans="2:6" ht="15.6">
      <c r="B1265" s="3" t="s">
        <v>1</v>
      </c>
      <c r="C1265" s="1" t="s">
        <v>1638</v>
      </c>
    </row>
    <row r="1267" spans="2:6" ht="15.6">
      <c r="B1267" s="3" t="s">
        <v>2</v>
      </c>
      <c r="C1267" s="34" t="s">
        <v>565</v>
      </c>
      <c r="D1267" s="3" t="s">
        <v>5</v>
      </c>
      <c r="E1267" s="22">
        <v>45499</v>
      </c>
    </row>
    <row r="1268" spans="2:6" ht="15.6">
      <c r="B1268" s="3" t="s">
        <v>3</v>
      </c>
    </row>
    <row r="1269" spans="2:6" ht="15.6">
      <c r="B1269" s="3" t="s">
        <v>4</v>
      </c>
    </row>
    <row r="1270" spans="2:6" ht="15" thickBot="1"/>
    <row r="1271" spans="2:6" ht="16.2" thickBot="1">
      <c r="B1271" s="10" t="s">
        <v>6</v>
      </c>
      <c r="C1271" s="10" t="s">
        <v>7</v>
      </c>
      <c r="D1271" s="4" t="s">
        <v>8</v>
      </c>
      <c r="E1271" s="10" t="s">
        <v>9</v>
      </c>
      <c r="F1271" s="5" t="s">
        <v>10</v>
      </c>
    </row>
    <row r="1272" spans="2:6" ht="15" thickBot="1">
      <c r="B1272" s="54"/>
      <c r="F1272" s="55"/>
    </row>
    <row r="1273" spans="2:6" ht="18" thickBot="1">
      <c r="B1273" s="37">
        <v>1</v>
      </c>
      <c r="C1273" s="52" t="s">
        <v>572</v>
      </c>
      <c r="D1273" s="37">
        <v>1180</v>
      </c>
      <c r="E1273" s="37">
        <v>30</v>
      </c>
      <c r="F1273" s="37">
        <f>D1273*E1273</f>
        <v>35400</v>
      </c>
    </row>
    <row r="1274" spans="2:6" ht="18" thickBot="1">
      <c r="B1274" s="37">
        <v>2</v>
      </c>
      <c r="C1274" s="52"/>
      <c r="D1274" s="37"/>
      <c r="E1274" s="37"/>
      <c r="F1274" s="37">
        <f t="shared" ref="F1274:F1275" si="49">D1274*E1274</f>
        <v>0</v>
      </c>
    </row>
    <row r="1275" spans="2:6" ht="18" thickBot="1">
      <c r="B1275" s="37">
        <v>3</v>
      </c>
      <c r="C1275" s="52"/>
      <c r="D1275" s="37"/>
      <c r="E1275" s="37"/>
      <c r="F1275" s="37">
        <f t="shared" si="49"/>
        <v>0</v>
      </c>
    </row>
    <row r="1276" spans="2:6" ht="15" thickBot="1">
      <c r="B1276" s="37"/>
      <c r="C1276" s="37"/>
      <c r="D1276" s="37"/>
      <c r="E1276" s="37"/>
      <c r="F1276" s="37"/>
    </row>
    <row r="1277" spans="2:6" ht="18" thickBot="1">
      <c r="B1277" s="591" t="s">
        <v>11</v>
      </c>
      <c r="C1277" s="592"/>
      <c r="D1277" s="593"/>
      <c r="E1277" s="594"/>
      <c r="F1277" s="9">
        <f>SUM(F1273:F1276)</f>
        <v>35400</v>
      </c>
    </row>
    <row r="1280" spans="2:6" ht="15.6">
      <c r="B1280" s="3" t="s">
        <v>1</v>
      </c>
      <c r="C1280" s="1" t="s">
        <v>1644</v>
      </c>
    </row>
    <row r="1282" spans="2:6" ht="15.6">
      <c r="B1282" s="3" t="s">
        <v>2</v>
      </c>
      <c r="C1282" s="34" t="s">
        <v>565</v>
      </c>
      <c r="D1282" s="3" t="s">
        <v>5</v>
      </c>
      <c r="E1282" s="22">
        <v>45500</v>
      </c>
    </row>
    <row r="1283" spans="2:6" ht="15.6">
      <c r="B1283" s="3" t="s">
        <v>3</v>
      </c>
    </row>
    <row r="1284" spans="2:6" ht="15.6">
      <c r="B1284" s="3" t="s">
        <v>4</v>
      </c>
    </row>
    <row r="1285" spans="2:6" ht="15" thickBot="1"/>
    <row r="1286" spans="2:6" ht="16.2" thickBot="1">
      <c r="B1286" s="10" t="s">
        <v>6</v>
      </c>
      <c r="C1286" s="10" t="s">
        <v>7</v>
      </c>
      <c r="D1286" s="4" t="s">
        <v>8</v>
      </c>
      <c r="E1286" s="10" t="s">
        <v>9</v>
      </c>
      <c r="F1286" s="5" t="s">
        <v>10</v>
      </c>
    </row>
    <row r="1287" spans="2:6" ht="15" thickBot="1">
      <c r="B1287" s="54"/>
      <c r="F1287" s="55"/>
    </row>
    <row r="1288" spans="2:6" ht="18" thickBot="1">
      <c r="B1288" s="37">
        <v>1</v>
      </c>
      <c r="C1288" s="52" t="s">
        <v>1645</v>
      </c>
      <c r="D1288" s="37">
        <v>1040</v>
      </c>
      <c r="E1288" s="37">
        <v>1</v>
      </c>
      <c r="F1288" s="37">
        <f>D1288*E1288</f>
        <v>1040</v>
      </c>
    </row>
    <row r="1289" spans="2:6" ht="18" thickBot="1">
      <c r="B1289" s="37">
        <v>2</v>
      </c>
      <c r="C1289" s="52"/>
      <c r="D1289" s="37"/>
      <c r="E1289" s="37"/>
      <c r="F1289" s="37">
        <f t="shared" ref="F1289:F1290" si="50">D1289*E1289</f>
        <v>0</v>
      </c>
    </row>
    <row r="1290" spans="2:6" ht="18" thickBot="1">
      <c r="B1290" s="37">
        <v>3</v>
      </c>
      <c r="C1290" s="52"/>
      <c r="D1290" s="37"/>
      <c r="E1290" s="37"/>
      <c r="F1290" s="37">
        <f t="shared" si="50"/>
        <v>0</v>
      </c>
    </row>
    <row r="1291" spans="2:6" ht="15" thickBot="1">
      <c r="B1291" s="37"/>
      <c r="C1291" s="37"/>
      <c r="D1291" s="37"/>
      <c r="E1291" s="37"/>
      <c r="F1291" s="37"/>
    </row>
    <row r="1292" spans="2:6" ht="18" thickBot="1">
      <c r="B1292" s="591" t="s">
        <v>11</v>
      </c>
      <c r="C1292" s="592"/>
      <c r="D1292" s="593"/>
      <c r="E1292" s="594"/>
      <c r="F1292" s="9">
        <f>SUM(F1288:F1291)</f>
        <v>1040</v>
      </c>
    </row>
    <row r="1296" spans="2:6" ht="15.6">
      <c r="B1296" s="3" t="s">
        <v>1</v>
      </c>
      <c r="C1296" s="1" t="s">
        <v>1675</v>
      </c>
    </row>
    <row r="1298" spans="2:6" ht="15.6">
      <c r="B1298" s="3" t="s">
        <v>2</v>
      </c>
      <c r="C1298" s="34" t="s">
        <v>90</v>
      </c>
      <c r="D1298" s="3" t="s">
        <v>5</v>
      </c>
      <c r="E1298" s="22">
        <v>45502</v>
      </c>
    </row>
    <row r="1299" spans="2:6" ht="15.6">
      <c r="B1299" s="3" t="s">
        <v>3</v>
      </c>
    </row>
    <row r="1300" spans="2:6" ht="15.6">
      <c r="B1300" s="3" t="s">
        <v>4</v>
      </c>
    </row>
    <row r="1301" spans="2:6" ht="15" thickBot="1"/>
    <row r="1302" spans="2:6" ht="16.2" thickBot="1">
      <c r="B1302" s="10" t="s">
        <v>6</v>
      </c>
      <c r="C1302" s="10" t="s">
        <v>7</v>
      </c>
      <c r="D1302" s="4" t="s">
        <v>8</v>
      </c>
      <c r="E1302" s="10" t="s">
        <v>9</v>
      </c>
      <c r="F1302" s="5" t="s">
        <v>10</v>
      </c>
    </row>
    <row r="1303" spans="2:6" ht="15" thickBot="1">
      <c r="B1303" s="54"/>
      <c r="F1303" s="55"/>
    </row>
    <row r="1304" spans="2:6" ht="18" thickBot="1">
      <c r="B1304" s="37">
        <v>1</v>
      </c>
      <c r="C1304" s="52" t="s">
        <v>572</v>
      </c>
      <c r="D1304" s="37">
        <v>1165</v>
      </c>
      <c r="E1304" s="37">
        <v>26</v>
      </c>
      <c r="F1304" s="37">
        <f>D1304*E1304</f>
        <v>30290</v>
      </c>
    </row>
    <row r="1305" spans="2:6" ht="18" thickBot="1">
      <c r="B1305" s="37">
        <v>2</v>
      </c>
      <c r="C1305" s="52"/>
      <c r="D1305" s="37"/>
      <c r="E1305" s="37"/>
      <c r="F1305" s="37">
        <f t="shared" ref="F1305:F1306" si="51">D1305*E1305</f>
        <v>0</v>
      </c>
    </row>
    <row r="1306" spans="2:6" ht="18" thickBot="1">
      <c r="B1306" s="37">
        <v>3</v>
      </c>
      <c r="C1306" s="52"/>
      <c r="D1306" s="37"/>
      <c r="E1306" s="37"/>
      <c r="F1306" s="37">
        <f t="shared" si="51"/>
        <v>0</v>
      </c>
    </row>
    <row r="1307" spans="2:6" ht="15" thickBot="1">
      <c r="B1307" s="37"/>
      <c r="C1307" s="37"/>
      <c r="D1307" s="37"/>
      <c r="E1307" s="37"/>
      <c r="F1307" s="37"/>
    </row>
    <row r="1308" spans="2:6" ht="18" thickBot="1">
      <c r="B1308" s="591" t="s">
        <v>11</v>
      </c>
      <c r="C1308" s="592"/>
      <c r="D1308" s="593"/>
      <c r="E1308" s="594"/>
      <c r="F1308" s="9">
        <f>SUM(F1304:F1307)</f>
        <v>30290</v>
      </c>
    </row>
    <row r="1311" spans="2:6" ht="15.6">
      <c r="B1311" s="3" t="s">
        <v>1</v>
      </c>
      <c r="C1311" s="1" t="s">
        <v>1705</v>
      </c>
    </row>
    <row r="1313" spans="2:6" ht="15.6">
      <c r="B1313" s="3" t="s">
        <v>2</v>
      </c>
      <c r="C1313" s="34" t="s">
        <v>1706</v>
      </c>
      <c r="D1313" s="3" t="s">
        <v>5</v>
      </c>
      <c r="E1313" s="22">
        <v>45504</v>
      </c>
    </row>
    <row r="1314" spans="2:6" ht="15.6">
      <c r="B1314" s="3" t="s">
        <v>3</v>
      </c>
    </row>
    <row r="1315" spans="2:6" ht="15.6">
      <c r="B1315" s="3" t="s">
        <v>4</v>
      </c>
    </row>
    <row r="1316" spans="2:6" ht="15" thickBot="1"/>
    <row r="1317" spans="2:6" ht="16.2" thickBot="1">
      <c r="B1317" s="10" t="s">
        <v>6</v>
      </c>
      <c r="C1317" s="10" t="s">
        <v>7</v>
      </c>
      <c r="D1317" s="4" t="s">
        <v>8</v>
      </c>
      <c r="E1317" s="10" t="s">
        <v>9</v>
      </c>
      <c r="F1317" s="5" t="s">
        <v>10</v>
      </c>
    </row>
    <row r="1318" spans="2:6" ht="15" thickBot="1">
      <c r="B1318" s="54"/>
      <c r="F1318" s="55"/>
    </row>
    <row r="1319" spans="2:6" ht="18" thickBot="1">
      <c r="B1319" s="37">
        <v>1</v>
      </c>
      <c r="C1319" s="52" t="s">
        <v>572</v>
      </c>
      <c r="D1319" s="37">
        <v>1160</v>
      </c>
      <c r="E1319" s="37">
        <v>150</v>
      </c>
      <c r="F1319" s="37">
        <f>D1319*E1319</f>
        <v>174000</v>
      </c>
    </row>
    <row r="1320" spans="2:6" ht="18" thickBot="1">
      <c r="B1320" s="37">
        <v>2</v>
      </c>
      <c r="C1320" s="52" t="s">
        <v>689</v>
      </c>
      <c r="D1320" s="37">
        <v>2400</v>
      </c>
      <c r="E1320" s="37">
        <v>1</v>
      </c>
      <c r="F1320" s="37">
        <f t="shared" ref="F1320:F1321" si="52">D1320*E1320</f>
        <v>2400</v>
      </c>
    </row>
    <row r="1321" spans="2:6" ht="18" thickBot="1">
      <c r="B1321" s="37">
        <v>3</v>
      </c>
      <c r="C1321" s="52" t="s">
        <v>1707</v>
      </c>
      <c r="D1321" s="37">
        <v>2350</v>
      </c>
      <c r="E1321" s="37">
        <v>1</v>
      </c>
      <c r="F1321" s="37">
        <f t="shared" si="52"/>
        <v>2350</v>
      </c>
    </row>
    <row r="1322" spans="2:6" ht="15" thickBot="1">
      <c r="B1322" s="37"/>
      <c r="C1322" s="37"/>
      <c r="D1322" s="37"/>
      <c r="E1322" s="37"/>
      <c r="F1322" s="37"/>
    </row>
    <row r="1323" spans="2:6" ht="18" thickBot="1">
      <c r="B1323" s="591" t="s">
        <v>11</v>
      </c>
      <c r="C1323" s="592"/>
      <c r="D1323" s="593"/>
      <c r="E1323" s="594"/>
      <c r="F1323" s="9">
        <f>SUM(F1319:F1322)</f>
        <v>178750</v>
      </c>
    </row>
    <row r="1327" spans="2:6" ht="15.6">
      <c r="B1327" s="3" t="s">
        <v>1</v>
      </c>
      <c r="C1327" s="1" t="s">
        <v>1710</v>
      </c>
    </row>
    <row r="1329" spans="2:6" ht="15.6">
      <c r="B1329" s="3" t="s">
        <v>2</v>
      </c>
      <c r="C1329" s="34" t="s">
        <v>90</v>
      </c>
      <c r="D1329" s="3" t="s">
        <v>5</v>
      </c>
      <c r="E1329" s="22">
        <v>45506</v>
      </c>
    </row>
    <row r="1330" spans="2:6" ht="15.6">
      <c r="B1330" s="3" t="s">
        <v>3</v>
      </c>
    </row>
    <row r="1331" spans="2:6" ht="15.6">
      <c r="B1331" s="3" t="s">
        <v>4</v>
      </c>
    </row>
    <row r="1332" spans="2:6" ht="15" thickBot="1"/>
    <row r="1333" spans="2:6" ht="16.2" thickBot="1">
      <c r="B1333" s="10" t="s">
        <v>6</v>
      </c>
      <c r="C1333" s="10" t="s">
        <v>7</v>
      </c>
      <c r="D1333" s="4" t="s">
        <v>8</v>
      </c>
      <c r="E1333" s="10" t="s">
        <v>9</v>
      </c>
      <c r="F1333" s="5" t="s">
        <v>10</v>
      </c>
    </row>
    <row r="1334" spans="2:6" ht="15" thickBot="1">
      <c r="B1334" s="54"/>
      <c r="F1334" s="55"/>
    </row>
    <row r="1335" spans="2:6" ht="18" thickBot="1">
      <c r="B1335" s="37">
        <v>1</v>
      </c>
      <c r="C1335" s="52" t="s">
        <v>689</v>
      </c>
      <c r="D1335" s="37">
        <v>2480</v>
      </c>
      <c r="E1335" s="37">
        <v>2</v>
      </c>
      <c r="F1335" s="37">
        <f>D1335*E1335</f>
        <v>4960</v>
      </c>
    </row>
    <row r="1336" spans="2:6" ht="18" thickBot="1">
      <c r="B1336" s="37">
        <v>2</v>
      </c>
      <c r="C1336" s="52" t="s">
        <v>689</v>
      </c>
      <c r="D1336" s="37">
        <v>2320</v>
      </c>
      <c r="E1336" s="37">
        <v>1</v>
      </c>
      <c r="F1336" s="37">
        <f t="shared" ref="F1336:F1338" si="53">D1336*E1336</f>
        <v>2320</v>
      </c>
    </row>
    <row r="1337" spans="2:6" ht="18" thickBot="1">
      <c r="B1337" s="37">
        <v>3</v>
      </c>
      <c r="C1337" s="52" t="s">
        <v>229</v>
      </c>
      <c r="D1337" s="37">
        <v>1200</v>
      </c>
      <c r="E1337" s="37">
        <v>2</v>
      </c>
      <c r="F1337" s="37">
        <f t="shared" si="53"/>
        <v>2400</v>
      </c>
    </row>
    <row r="1338" spans="2:6" ht="15" thickBot="1">
      <c r="B1338" s="37">
        <v>4</v>
      </c>
      <c r="C1338" s="37" t="s">
        <v>572</v>
      </c>
      <c r="D1338" s="37">
        <v>1170</v>
      </c>
      <c r="E1338" s="37">
        <v>15</v>
      </c>
      <c r="F1338" s="37">
        <f t="shared" si="53"/>
        <v>17550</v>
      </c>
    </row>
    <row r="1339" spans="2:6" ht="18" thickBot="1">
      <c r="B1339" s="591" t="s">
        <v>11</v>
      </c>
      <c r="C1339" s="592"/>
      <c r="D1339" s="593"/>
      <c r="E1339" s="594"/>
      <c r="F1339" s="9">
        <f>SUM(F1335:F1338)</f>
        <v>27230</v>
      </c>
    </row>
    <row r="1342" spans="2:6" ht="15.6">
      <c r="B1342" s="3" t="s">
        <v>1</v>
      </c>
      <c r="C1342" s="1" t="s">
        <v>1714</v>
      </c>
    </row>
    <row r="1344" spans="2:6" ht="15.6">
      <c r="B1344" s="3" t="s">
        <v>2</v>
      </c>
      <c r="C1344" s="34" t="s">
        <v>90</v>
      </c>
      <c r="D1344" s="3" t="s">
        <v>5</v>
      </c>
      <c r="E1344" s="22">
        <v>45507</v>
      </c>
    </row>
    <row r="1345" spans="2:6" ht="15.6">
      <c r="B1345" s="3" t="s">
        <v>3</v>
      </c>
    </row>
    <row r="1346" spans="2:6" ht="15.6">
      <c r="B1346" s="3" t="s">
        <v>4</v>
      </c>
    </row>
    <row r="1347" spans="2:6" ht="15" thickBot="1"/>
    <row r="1348" spans="2:6" ht="16.2" thickBot="1">
      <c r="B1348" s="10" t="s">
        <v>6</v>
      </c>
      <c r="C1348" s="10" t="s">
        <v>7</v>
      </c>
      <c r="D1348" s="4" t="s">
        <v>8</v>
      </c>
      <c r="E1348" s="10" t="s">
        <v>9</v>
      </c>
      <c r="F1348" s="5" t="s">
        <v>10</v>
      </c>
    </row>
    <row r="1349" spans="2:6" ht="15" thickBot="1">
      <c r="B1349" s="54"/>
      <c r="F1349" s="55"/>
    </row>
    <row r="1350" spans="2:6" ht="18" thickBot="1">
      <c r="B1350" s="37">
        <v>1</v>
      </c>
      <c r="C1350" s="52" t="s">
        <v>1715</v>
      </c>
      <c r="D1350" s="37">
        <v>2840</v>
      </c>
      <c r="E1350" s="37">
        <v>2</v>
      </c>
      <c r="F1350" s="37">
        <f>D1350*E1350</f>
        <v>5680</v>
      </c>
    </row>
    <row r="1351" spans="2:6" ht="18" thickBot="1">
      <c r="B1351" s="37"/>
      <c r="C1351" s="52"/>
      <c r="D1351" s="37"/>
      <c r="E1351" s="37"/>
      <c r="F1351" s="37">
        <f t="shared" ref="F1351:F1353" si="54">D1351*E1351</f>
        <v>0</v>
      </c>
    </row>
    <row r="1352" spans="2:6" ht="18" thickBot="1">
      <c r="B1352" s="37"/>
      <c r="C1352" s="52"/>
      <c r="D1352" s="37"/>
      <c r="E1352" s="37"/>
      <c r="F1352" s="37">
        <f t="shared" si="54"/>
        <v>0</v>
      </c>
    </row>
    <row r="1353" spans="2:6" ht="15" thickBot="1">
      <c r="B1353" s="37"/>
      <c r="C1353" s="37"/>
      <c r="D1353" s="37"/>
      <c r="E1353" s="37"/>
      <c r="F1353" s="37">
        <f t="shared" si="54"/>
        <v>0</v>
      </c>
    </row>
    <row r="1354" spans="2:6" ht="18" thickBot="1">
      <c r="B1354" s="591" t="s">
        <v>11</v>
      </c>
      <c r="C1354" s="592"/>
      <c r="D1354" s="593"/>
      <c r="E1354" s="594"/>
      <c r="F1354" s="9">
        <f>SUM(F1350:F1353)</f>
        <v>5680</v>
      </c>
    </row>
    <row r="1357" spans="2:6" ht="15.6">
      <c r="B1357" s="3" t="s">
        <v>1</v>
      </c>
      <c r="C1357" s="1" t="s">
        <v>1798</v>
      </c>
    </row>
    <row r="1359" spans="2:6" ht="15.6">
      <c r="B1359" s="3" t="s">
        <v>2</v>
      </c>
      <c r="C1359" s="34" t="s">
        <v>90</v>
      </c>
      <c r="D1359" s="3" t="s">
        <v>5</v>
      </c>
      <c r="E1359" s="22">
        <v>45517</v>
      </c>
    </row>
    <row r="1360" spans="2:6" ht="15.6">
      <c r="B1360" s="3" t="s">
        <v>3</v>
      </c>
    </row>
    <row r="1361" spans="2:6" ht="15.6">
      <c r="B1361" s="3" t="s">
        <v>4</v>
      </c>
    </row>
    <row r="1362" spans="2:6" ht="15" thickBot="1"/>
    <row r="1363" spans="2:6" ht="16.2" thickBot="1">
      <c r="B1363" s="10" t="s">
        <v>6</v>
      </c>
      <c r="C1363" s="10" t="s">
        <v>7</v>
      </c>
      <c r="D1363" s="4" t="s">
        <v>8</v>
      </c>
      <c r="E1363" s="10" t="s">
        <v>9</v>
      </c>
      <c r="F1363" s="5" t="s">
        <v>10</v>
      </c>
    </row>
    <row r="1364" spans="2:6" ht="15" thickBot="1">
      <c r="B1364" s="54"/>
      <c r="F1364" s="55"/>
    </row>
    <row r="1365" spans="2:6" ht="18" thickBot="1">
      <c r="B1365" s="37">
        <v>1</v>
      </c>
      <c r="C1365" s="52" t="s">
        <v>572</v>
      </c>
      <c r="D1365" s="37">
        <v>1155</v>
      </c>
      <c r="E1365" s="37">
        <v>50</v>
      </c>
      <c r="F1365" s="37">
        <f>D1365*E1365</f>
        <v>57750</v>
      </c>
    </row>
    <row r="1366" spans="2:6" ht="18" thickBot="1">
      <c r="B1366" s="37"/>
      <c r="C1366" s="52"/>
      <c r="D1366" s="37"/>
      <c r="E1366" s="37"/>
      <c r="F1366" s="37">
        <f t="shared" ref="F1366:F1368" si="55">D1366*E1366</f>
        <v>0</v>
      </c>
    </row>
    <row r="1367" spans="2:6" ht="18" thickBot="1">
      <c r="B1367" s="37"/>
      <c r="C1367" s="52"/>
      <c r="D1367" s="37"/>
      <c r="E1367" s="37"/>
      <c r="F1367" s="37">
        <f t="shared" si="55"/>
        <v>0</v>
      </c>
    </row>
    <row r="1368" spans="2:6" ht="15" thickBot="1">
      <c r="B1368" s="37"/>
      <c r="C1368" s="37"/>
      <c r="D1368" s="37"/>
      <c r="E1368" s="37"/>
      <c r="F1368" s="37">
        <f t="shared" si="55"/>
        <v>0</v>
      </c>
    </row>
    <row r="1369" spans="2:6" ht="18" thickBot="1">
      <c r="B1369" s="591" t="s">
        <v>11</v>
      </c>
      <c r="C1369" s="592"/>
      <c r="D1369" s="593"/>
      <c r="E1369" s="594"/>
      <c r="F1369" s="9">
        <f>SUM(F1365:F1368)</f>
        <v>57750</v>
      </c>
    </row>
    <row r="1372" spans="2:6" ht="15.6">
      <c r="B1372" s="3" t="s">
        <v>1</v>
      </c>
      <c r="C1372" s="1" t="s">
        <v>1806</v>
      </c>
    </row>
    <row r="1374" spans="2:6" ht="15.6">
      <c r="B1374" s="3" t="s">
        <v>2</v>
      </c>
      <c r="C1374" s="34" t="s">
        <v>90</v>
      </c>
      <c r="D1374" s="3" t="s">
        <v>5</v>
      </c>
      <c r="E1374" s="22">
        <v>45517</v>
      </c>
    </row>
    <row r="1375" spans="2:6" ht="15.6">
      <c r="B1375" s="3" t="s">
        <v>3</v>
      </c>
    </row>
    <row r="1376" spans="2:6" ht="15.6">
      <c r="B1376" s="3" t="s">
        <v>4</v>
      </c>
    </row>
    <row r="1377" spans="2:6" ht="15" thickBot="1"/>
    <row r="1378" spans="2:6" ht="16.2" thickBot="1">
      <c r="B1378" s="10" t="s">
        <v>6</v>
      </c>
      <c r="C1378" s="10" t="s">
        <v>7</v>
      </c>
      <c r="D1378" s="4" t="s">
        <v>8</v>
      </c>
      <c r="E1378" s="10" t="s">
        <v>9</v>
      </c>
      <c r="F1378" s="5" t="s">
        <v>10</v>
      </c>
    </row>
    <row r="1379" spans="2:6" ht="15" thickBot="1">
      <c r="B1379" s="54"/>
      <c r="F1379" s="55"/>
    </row>
    <row r="1380" spans="2:6" ht="18" thickBot="1">
      <c r="B1380" s="37">
        <v>1</v>
      </c>
      <c r="C1380" s="52" t="s">
        <v>1437</v>
      </c>
      <c r="D1380" s="37">
        <v>1030</v>
      </c>
      <c r="E1380" s="37">
        <v>1</v>
      </c>
      <c r="F1380" s="37">
        <f>D1380*E1380</f>
        <v>1030</v>
      </c>
    </row>
    <row r="1381" spans="2:6" ht="18" thickBot="1">
      <c r="B1381" s="37"/>
      <c r="C1381" s="52"/>
      <c r="D1381" s="37"/>
      <c r="E1381" s="37"/>
      <c r="F1381" s="37">
        <f t="shared" ref="F1381:F1383" si="56">D1381*E1381</f>
        <v>0</v>
      </c>
    </row>
    <row r="1382" spans="2:6" ht="18" thickBot="1">
      <c r="B1382" s="37"/>
      <c r="C1382" s="52"/>
      <c r="D1382" s="37"/>
      <c r="E1382" s="37"/>
      <c r="F1382" s="37">
        <f t="shared" si="56"/>
        <v>0</v>
      </c>
    </row>
    <row r="1383" spans="2:6" ht="15" thickBot="1">
      <c r="B1383" s="37"/>
      <c r="C1383" s="37"/>
      <c r="D1383" s="37"/>
      <c r="E1383" s="37"/>
      <c r="F1383" s="37">
        <f t="shared" si="56"/>
        <v>0</v>
      </c>
    </row>
    <row r="1384" spans="2:6" ht="18" thickBot="1">
      <c r="B1384" s="591" t="s">
        <v>11</v>
      </c>
      <c r="C1384" s="592"/>
      <c r="D1384" s="593"/>
      <c r="E1384" s="594"/>
      <c r="F1384" s="9">
        <f>SUM(F1380:F1383)</f>
        <v>1030</v>
      </c>
    </row>
    <row r="1388" spans="2:6" ht="15.6">
      <c r="B1388" s="3" t="s">
        <v>1</v>
      </c>
      <c r="C1388" s="1" t="s">
        <v>1863</v>
      </c>
    </row>
    <row r="1390" spans="2:6" ht="15.6">
      <c r="B1390" s="3" t="s">
        <v>2</v>
      </c>
      <c r="C1390" s="34" t="s">
        <v>90</v>
      </c>
      <c r="D1390" s="3" t="s">
        <v>5</v>
      </c>
      <c r="E1390" s="22">
        <v>45521</v>
      </c>
    </row>
    <row r="1391" spans="2:6" ht="15.6">
      <c r="B1391" s="3" t="s">
        <v>3</v>
      </c>
    </row>
    <row r="1392" spans="2:6" ht="15.6">
      <c r="B1392" s="3" t="s">
        <v>4</v>
      </c>
    </row>
    <row r="1393" spans="2:6" ht="15" thickBot="1"/>
    <row r="1394" spans="2:6" ht="16.2" thickBot="1">
      <c r="B1394" s="10" t="s">
        <v>6</v>
      </c>
      <c r="C1394" s="10" t="s">
        <v>7</v>
      </c>
      <c r="D1394" s="4" t="s">
        <v>8</v>
      </c>
      <c r="E1394" s="10" t="s">
        <v>9</v>
      </c>
      <c r="F1394" s="5" t="s">
        <v>10</v>
      </c>
    </row>
    <row r="1395" spans="2:6" ht="15" thickBot="1">
      <c r="B1395" s="54"/>
      <c r="F1395" s="55"/>
    </row>
    <row r="1396" spans="2:6" ht="18" thickBot="1">
      <c r="B1396" s="37">
        <v>1</v>
      </c>
      <c r="C1396" s="52" t="s">
        <v>1437</v>
      </c>
      <c r="D1396" s="37">
        <v>1030</v>
      </c>
      <c r="E1396" s="37">
        <v>1</v>
      </c>
      <c r="F1396" s="37">
        <f>D1396*E1396</f>
        <v>1030</v>
      </c>
    </row>
    <row r="1397" spans="2:6" ht="18" thickBot="1">
      <c r="B1397" s="37"/>
      <c r="C1397" s="52"/>
      <c r="D1397" s="37"/>
      <c r="E1397" s="37"/>
      <c r="F1397" s="37">
        <f t="shared" ref="F1397:F1399" si="57">D1397*E1397</f>
        <v>0</v>
      </c>
    </row>
    <row r="1398" spans="2:6" ht="18" thickBot="1">
      <c r="B1398" s="37"/>
      <c r="C1398" s="52"/>
      <c r="D1398" s="37"/>
      <c r="E1398" s="37"/>
      <c r="F1398" s="37">
        <f t="shared" si="57"/>
        <v>0</v>
      </c>
    </row>
    <row r="1399" spans="2:6" ht="15" thickBot="1">
      <c r="B1399" s="37"/>
      <c r="C1399" s="37"/>
      <c r="D1399" s="37"/>
      <c r="E1399" s="37"/>
      <c r="F1399" s="37">
        <f t="shared" si="57"/>
        <v>0</v>
      </c>
    </row>
    <row r="1400" spans="2:6" ht="18" thickBot="1">
      <c r="B1400" s="591" t="s">
        <v>11</v>
      </c>
      <c r="C1400" s="592"/>
      <c r="D1400" s="593"/>
      <c r="E1400" s="594"/>
      <c r="F1400" s="9">
        <f>SUM(F1396:F1399)</f>
        <v>1030</v>
      </c>
    </row>
    <row r="1403" spans="2:6" ht="15.6">
      <c r="B1403" s="3" t="s">
        <v>1</v>
      </c>
      <c r="C1403" s="1" t="s">
        <v>1864</v>
      </c>
    </row>
    <row r="1405" spans="2:6" ht="15.6">
      <c r="B1405" s="3" t="s">
        <v>2</v>
      </c>
      <c r="C1405" s="34" t="s">
        <v>90</v>
      </c>
      <c r="D1405" s="3" t="s">
        <v>5</v>
      </c>
      <c r="E1405" s="22">
        <v>45521</v>
      </c>
    </row>
    <row r="1406" spans="2:6" ht="15.6">
      <c r="B1406" s="3" t="s">
        <v>3</v>
      </c>
    </row>
    <row r="1407" spans="2:6" ht="15.6">
      <c r="B1407" s="3" t="s">
        <v>4</v>
      </c>
    </row>
    <row r="1408" spans="2:6" ht="15" thickBot="1"/>
    <row r="1409" spans="2:6" ht="16.2" thickBot="1">
      <c r="B1409" s="10" t="s">
        <v>6</v>
      </c>
      <c r="C1409" s="10" t="s">
        <v>7</v>
      </c>
      <c r="D1409" s="4" t="s">
        <v>8</v>
      </c>
      <c r="E1409" s="10" t="s">
        <v>9</v>
      </c>
      <c r="F1409" s="5" t="s">
        <v>10</v>
      </c>
    </row>
    <row r="1410" spans="2:6" ht="15" thickBot="1">
      <c r="B1410" s="54"/>
      <c r="F1410" s="55"/>
    </row>
    <row r="1411" spans="2:6" ht="18" thickBot="1">
      <c r="B1411" s="37">
        <v>1</v>
      </c>
      <c r="C1411" s="52" t="s">
        <v>1865</v>
      </c>
      <c r="D1411" s="37">
        <v>2830</v>
      </c>
      <c r="E1411" s="37">
        <v>2</v>
      </c>
      <c r="F1411" s="37">
        <f>D1411*E1411</f>
        <v>5660</v>
      </c>
    </row>
    <row r="1412" spans="2:6" ht="18" thickBot="1">
      <c r="B1412" s="37">
        <v>2</v>
      </c>
      <c r="C1412" s="52" t="s">
        <v>1866</v>
      </c>
      <c r="D1412" s="37">
        <v>2660</v>
      </c>
      <c r="E1412" s="37">
        <v>2</v>
      </c>
      <c r="F1412" s="37">
        <f t="shared" ref="F1412:F1414" si="58">D1412*E1412</f>
        <v>5320</v>
      </c>
    </row>
    <row r="1413" spans="2:6" ht="18" thickBot="1">
      <c r="B1413" s="37">
        <v>3</v>
      </c>
      <c r="C1413" s="52" t="s">
        <v>1526</v>
      </c>
      <c r="D1413" s="37">
        <v>2060</v>
      </c>
      <c r="E1413" s="37">
        <v>1</v>
      </c>
      <c r="F1413" s="37">
        <f t="shared" si="58"/>
        <v>2060</v>
      </c>
    </row>
    <row r="1414" spans="2:6" ht="15" thickBot="1">
      <c r="B1414" s="37"/>
      <c r="C1414" s="37"/>
      <c r="D1414" s="37"/>
      <c r="E1414" s="37"/>
      <c r="F1414" s="37">
        <f t="shared" si="58"/>
        <v>0</v>
      </c>
    </row>
    <row r="1415" spans="2:6" ht="18" thickBot="1">
      <c r="B1415" s="591" t="s">
        <v>11</v>
      </c>
      <c r="C1415" s="592"/>
      <c r="D1415" s="593"/>
      <c r="E1415" s="594"/>
      <c r="F1415" s="9">
        <f>SUM(F1411:F1414)</f>
        <v>13040</v>
      </c>
    </row>
    <row r="1419" spans="2:6" ht="15.6">
      <c r="B1419" s="3" t="s">
        <v>1</v>
      </c>
      <c r="C1419" s="1" t="s">
        <v>1900</v>
      </c>
    </row>
    <row r="1421" spans="2:6" ht="15.6">
      <c r="B1421" s="3" t="s">
        <v>2</v>
      </c>
      <c r="C1421" s="34" t="s">
        <v>90</v>
      </c>
      <c r="D1421" s="3" t="s">
        <v>5</v>
      </c>
      <c r="E1421" s="22">
        <v>45523</v>
      </c>
    </row>
    <row r="1422" spans="2:6" ht="15.6">
      <c r="B1422" s="3" t="s">
        <v>3</v>
      </c>
    </row>
    <row r="1423" spans="2:6" ht="15.6">
      <c r="B1423" s="3" t="s">
        <v>4</v>
      </c>
    </row>
    <row r="1424" spans="2:6" ht="15" thickBot="1"/>
    <row r="1425" spans="2:6" ht="16.2" thickBot="1">
      <c r="B1425" s="10" t="s">
        <v>6</v>
      </c>
      <c r="C1425" s="10" t="s">
        <v>7</v>
      </c>
      <c r="D1425" s="4" t="s">
        <v>8</v>
      </c>
      <c r="E1425" s="10" t="s">
        <v>9</v>
      </c>
      <c r="F1425" s="5" t="s">
        <v>10</v>
      </c>
    </row>
    <row r="1426" spans="2:6" ht="15" thickBot="1">
      <c r="B1426" s="54"/>
      <c r="F1426" s="55"/>
    </row>
    <row r="1427" spans="2:6" ht="18" thickBot="1">
      <c r="B1427" s="37">
        <v>1</v>
      </c>
      <c r="C1427" s="52" t="s">
        <v>1901</v>
      </c>
      <c r="D1427" s="37">
        <v>1270</v>
      </c>
      <c r="E1427" s="37">
        <v>2</v>
      </c>
      <c r="F1427" s="37">
        <f>D1427*E1427</f>
        <v>2540</v>
      </c>
    </row>
    <row r="1428" spans="2:6" ht="18" thickBot="1">
      <c r="B1428" s="37">
        <v>2</v>
      </c>
      <c r="C1428" s="52" t="s">
        <v>1902</v>
      </c>
      <c r="D1428" s="37">
        <v>1540</v>
      </c>
      <c r="E1428" s="37">
        <v>1</v>
      </c>
      <c r="F1428" s="37">
        <f t="shared" ref="F1428:F1430" si="59">D1428*E1428</f>
        <v>1540</v>
      </c>
    </row>
    <row r="1429" spans="2:6" ht="18" thickBot="1">
      <c r="B1429" s="37">
        <v>3</v>
      </c>
      <c r="C1429" s="52" t="s">
        <v>28</v>
      </c>
      <c r="D1429" s="37">
        <v>3944</v>
      </c>
      <c r="E1429" s="37">
        <v>5</v>
      </c>
      <c r="F1429" s="37">
        <f t="shared" si="59"/>
        <v>19720</v>
      </c>
    </row>
    <row r="1430" spans="2:6" ht="18" thickBot="1">
      <c r="B1430" s="37">
        <v>4</v>
      </c>
      <c r="C1430" s="52" t="s">
        <v>28</v>
      </c>
      <c r="D1430" s="37">
        <v>3870</v>
      </c>
      <c r="E1430" s="37">
        <v>1</v>
      </c>
      <c r="F1430" s="37">
        <f t="shared" si="59"/>
        <v>3870</v>
      </c>
    </row>
    <row r="1431" spans="2:6" ht="18" thickBot="1">
      <c r="B1431" s="591" t="s">
        <v>11</v>
      </c>
      <c r="C1431" s="592"/>
      <c r="D1431" s="593"/>
      <c r="E1431" s="594"/>
      <c r="F1431" s="9">
        <f>SUM(F1427:F1430)</f>
        <v>27670</v>
      </c>
    </row>
    <row r="1434" spans="2:6" ht="15.6">
      <c r="B1434" s="3" t="s">
        <v>1</v>
      </c>
      <c r="C1434" s="1" t="s">
        <v>1903</v>
      </c>
    </row>
    <row r="1436" spans="2:6" ht="15.6">
      <c r="B1436" s="3" t="s">
        <v>2</v>
      </c>
      <c r="C1436" s="34" t="s">
        <v>1904</v>
      </c>
      <c r="D1436" s="3" t="s">
        <v>5</v>
      </c>
      <c r="E1436" s="22">
        <v>45523</v>
      </c>
    </row>
    <row r="1437" spans="2:6" ht="15.6">
      <c r="B1437" s="3" t="s">
        <v>3</v>
      </c>
    </row>
    <row r="1438" spans="2:6" ht="15.6">
      <c r="B1438" s="3" t="s">
        <v>4</v>
      </c>
    </row>
    <row r="1439" spans="2:6" ht="15" thickBot="1"/>
    <row r="1440" spans="2:6" ht="16.2" thickBot="1">
      <c r="B1440" s="10" t="s">
        <v>6</v>
      </c>
      <c r="C1440" s="10" t="s">
        <v>7</v>
      </c>
      <c r="D1440" s="4" t="s">
        <v>8</v>
      </c>
      <c r="E1440" s="10" t="s">
        <v>9</v>
      </c>
      <c r="F1440" s="5" t="s">
        <v>10</v>
      </c>
    </row>
    <row r="1441" spans="2:6" ht="15" thickBot="1">
      <c r="B1441" s="54"/>
      <c r="F1441" s="55"/>
    </row>
    <row r="1442" spans="2:6" ht="18" thickBot="1">
      <c r="B1442" s="37">
        <v>1</v>
      </c>
      <c r="C1442" s="52" t="s">
        <v>572</v>
      </c>
      <c r="D1442" s="37">
        <v>1140</v>
      </c>
      <c r="E1442" s="37">
        <v>72</v>
      </c>
      <c r="F1442" s="37">
        <f>D1442*E1442</f>
        <v>82080</v>
      </c>
    </row>
    <row r="1443" spans="2:6" ht="18" thickBot="1">
      <c r="B1443" s="37">
        <v>2</v>
      </c>
      <c r="C1443" s="52"/>
      <c r="D1443" s="37"/>
      <c r="E1443" s="37"/>
      <c r="F1443" s="37">
        <f t="shared" ref="F1443:F1445" si="60">D1443*E1443</f>
        <v>0</v>
      </c>
    </row>
    <row r="1444" spans="2:6" ht="18" thickBot="1">
      <c r="B1444" s="37"/>
      <c r="C1444" s="52"/>
      <c r="D1444" s="37"/>
      <c r="E1444" s="37"/>
      <c r="F1444" s="37">
        <f t="shared" si="60"/>
        <v>0</v>
      </c>
    </row>
    <row r="1445" spans="2:6" ht="18" thickBot="1">
      <c r="B1445" s="37"/>
      <c r="C1445" s="52"/>
      <c r="D1445" s="37"/>
      <c r="E1445" s="37"/>
      <c r="F1445" s="37">
        <f t="shared" si="60"/>
        <v>0</v>
      </c>
    </row>
    <row r="1446" spans="2:6" ht="18" thickBot="1">
      <c r="B1446" s="591" t="s">
        <v>11</v>
      </c>
      <c r="C1446" s="592"/>
      <c r="D1446" s="593"/>
      <c r="E1446" s="594"/>
      <c r="F1446" s="9">
        <f>SUM(F1442:F1445)</f>
        <v>82080</v>
      </c>
    </row>
    <row r="1449" spans="2:6" ht="15.6">
      <c r="B1449" s="3" t="s">
        <v>1</v>
      </c>
      <c r="C1449" s="1" t="s">
        <v>1905</v>
      </c>
    </row>
    <row r="1451" spans="2:6" ht="15.6">
      <c r="B1451" s="3" t="s">
        <v>2</v>
      </c>
      <c r="C1451" s="34" t="s">
        <v>873</v>
      </c>
      <c r="D1451" s="3" t="s">
        <v>5</v>
      </c>
      <c r="E1451" s="22">
        <v>45523</v>
      </c>
    </row>
    <row r="1452" spans="2:6" ht="15.6">
      <c r="B1452" s="3" t="s">
        <v>3</v>
      </c>
    </row>
    <row r="1453" spans="2:6" ht="15.6">
      <c r="B1453" s="3" t="s">
        <v>4</v>
      </c>
    </row>
    <row r="1454" spans="2:6" ht="15" thickBot="1"/>
    <row r="1455" spans="2:6" ht="16.2" thickBot="1">
      <c r="B1455" s="10" t="s">
        <v>6</v>
      </c>
      <c r="C1455" s="10" t="s">
        <v>7</v>
      </c>
      <c r="D1455" s="4" t="s">
        <v>8</v>
      </c>
      <c r="E1455" s="10" t="s">
        <v>9</v>
      </c>
      <c r="F1455" s="5" t="s">
        <v>10</v>
      </c>
    </row>
    <row r="1456" spans="2:6" ht="15" thickBot="1">
      <c r="B1456" s="54"/>
      <c r="F1456" s="55"/>
    </row>
    <row r="1457" spans="2:7" ht="44.4" thickBot="1">
      <c r="B1457" s="37">
        <v>1</v>
      </c>
      <c r="C1457" s="52" t="s">
        <v>1908</v>
      </c>
      <c r="D1457" s="37">
        <v>2150</v>
      </c>
      <c r="E1457" s="37">
        <v>1</v>
      </c>
      <c r="F1457" s="37">
        <f>D1457*E1457</f>
        <v>2150</v>
      </c>
      <c r="G1457" s="513" t="s">
        <v>2023</v>
      </c>
    </row>
    <row r="1458" spans="2:7" ht="18" thickBot="1">
      <c r="B1458" s="37">
        <v>2</v>
      </c>
      <c r="C1458" s="52"/>
      <c r="D1458" s="37"/>
      <c r="E1458" s="37"/>
      <c r="F1458" s="37">
        <f t="shared" ref="F1458:F1460" si="61">D1458*E1458</f>
        <v>0</v>
      </c>
    </row>
    <row r="1459" spans="2:7" ht="18" thickBot="1">
      <c r="B1459" s="37"/>
      <c r="C1459" s="52"/>
      <c r="D1459" s="37"/>
      <c r="E1459" s="37"/>
      <c r="F1459" s="37">
        <f t="shared" si="61"/>
        <v>0</v>
      </c>
    </row>
    <row r="1460" spans="2:7" ht="18" thickBot="1">
      <c r="B1460" s="37"/>
      <c r="C1460" s="52"/>
      <c r="D1460" s="37"/>
      <c r="E1460" s="37"/>
      <c r="F1460" s="37">
        <f t="shared" si="61"/>
        <v>0</v>
      </c>
    </row>
    <row r="1461" spans="2:7" ht="18" thickBot="1">
      <c r="B1461" s="591" t="s">
        <v>11</v>
      </c>
      <c r="C1461" s="592"/>
      <c r="D1461" s="593"/>
      <c r="E1461" s="594"/>
      <c r="F1461" s="9">
        <f>SUM(F1457:F1460)</f>
        <v>2150</v>
      </c>
    </row>
    <row r="1465" spans="2:7" ht="15.6">
      <c r="B1465" s="3" t="s">
        <v>1</v>
      </c>
      <c r="C1465" s="1" t="s">
        <v>1911</v>
      </c>
    </row>
    <row r="1467" spans="2:7" ht="15.6">
      <c r="B1467" s="3" t="s">
        <v>2</v>
      </c>
      <c r="C1467" s="34" t="s">
        <v>90</v>
      </c>
      <c r="D1467" s="3" t="s">
        <v>5</v>
      </c>
      <c r="E1467" s="22">
        <v>45523</v>
      </c>
    </row>
    <row r="1468" spans="2:7" ht="15.6">
      <c r="B1468" s="3" t="s">
        <v>3</v>
      </c>
    </row>
    <row r="1469" spans="2:7" ht="15.6">
      <c r="B1469" s="3" t="s">
        <v>4</v>
      </c>
    </row>
    <row r="1470" spans="2:7" ht="15" thickBot="1"/>
    <row r="1471" spans="2:7" ht="16.2" thickBot="1">
      <c r="B1471" s="10" t="s">
        <v>6</v>
      </c>
      <c r="C1471" s="10" t="s">
        <v>7</v>
      </c>
      <c r="D1471" s="4" t="s">
        <v>8</v>
      </c>
      <c r="E1471" s="10" t="s">
        <v>9</v>
      </c>
      <c r="F1471" s="5" t="s">
        <v>10</v>
      </c>
    </row>
    <row r="1472" spans="2:7" ht="15" thickBot="1">
      <c r="B1472" s="54"/>
      <c r="F1472" s="55"/>
    </row>
    <row r="1473" spans="2:6" ht="18" thickBot="1">
      <c r="B1473" s="37">
        <v>1</v>
      </c>
      <c r="C1473" s="52" t="s">
        <v>1715</v>
      </c>
      <c r="D1473" s="37">
        <v>2830</v>
      </c>
      <c r="E1473" s="37">
        <v>1</v>
      </c>
      <c r="F1473" s="37">
        <f>D1473*E1473</f>
        <v>2830</v>
      </c>
    </row>
    <row r="1474" spans="2:6" ht="18" thickBot="1">
      <c r="B1474" s="37">
        <v>2</v>
      </c>
      <c r="C1474" s="52"/>
      <c r="D1474" s="37"/>
      <c r="E1474" s="37"/>
      <c r="F1474" s="37">
        <f t="shared" ref="F1474:F1476" si="62">D1474*E1474</f>
        <v>0</v>
      </c>
    </row>
    <row r="1475" spans="2:6" ht="18" thickBot="1">
      <c r="B1475" s="37"/>
      <c r="C1475" s="52"/>
      <c r="D1475" s="37"/>
      <c r="E1475" s="37"/>
      <c r="F1475" s="37">
        <f t="shared" si="62"/>
        <v>0</v>
      </c>
    </row>
    <row r="1476" spans="2:6" ht="18" thickBot="1">
      <c r="B1476" s="37"/>
      <c r="C1476" s="52"/>
      <c r="D1476" s="37"/>
      <c r="E1476" s="37"/>
      <c r="F1476" s="37">
        <f t="shared" si="62"/>
        <v>0</v>
      </c>
    </row>
    <row r="1477" spans="2:6" ht="18" thickBot="1">
      <c r="B1477" s="591" t="s">
        <v>11</v>
      </c>
      <c r="C1477" s="592"/>
      <c r="D1477" s="593"/>
      <c r="E1477" s="594"/>
      <c r="F1477" s="9">
        <f>SUM(F1473:F1476)</f>
        <v>2830</v>
      </c>
    </row>
    <row r="1480" spans="2:6" ht="15.6">
      <c r="B1480" s="3" t="s">
        <v>1</v>
      </c>
      <c r="C1480" s="1" t="s">
        <v>1961</v>
      </c>
    </row>
    <row r="1482" spans="2:6" ht="15.6">
      <c r="B1482" s="3" t="s">
        <v>2</v>
      </c>
      <c r="C1482" s="34" t="s">
        <v>662</v>
      </c>
      <c r="D1482" s="3" t="s">
        <v>5</v>
      </c>
      <c r="E1482" s="22">
        <v>45531</v>
      </c>
    </row>
    <row r="1483" spans="2:6" ht="15.6">
      <c r="B1483" s="3" t="s">
        <v>3</v>
      </c>
    </row>
    <row r="1484" spans="2:6" ht="15.6">
      <c r="B1484" s="3" t="s">
        <v>4</v>
      </c>
    </row>
    <row r="1485" spans="2:6" ht="15" thickBot="1"/>
    <row r="1486" spans="2:6" ht="16.2" thickBot="1">
      <c r="B1486" s="10" t="s">
        <v>6</v>
      </c>
      <c r="C1486" s="10" t="s">
        <v>7</v>
      </c>
      <c r="D1486" s="4" t="s">
        <v>8</v>
      </c>
      <c r="E1486" s="10" t="s">
        <v>9</v>
      </c>
      <c r="F1486" s="5" t="s">
        <v>10</v>
      </c>
    </row>
    <row r="1487" spans="2:6" ht="15" thickBot="1">
      <c r="B1487" s="54"/>
      <c r="F1487" s="55"/>
    </row>
    <row r="1488" spans="2:6" ht="18" thickBot="1">
      <c r="B1488" s="37">
        <v>1</v>
      </c>
      <c r="C1488" s="52" t="s">
        <v>1964</v>
      </c>
      <c r="D1488" s="37">
        <f>2250*77.5</f>
        <v>174375</v>
      </c>
      <c r="E1488" s="37">
        <v>2</v>
      </c>
      <c r="F1488" s="37">
        <f>D1488*E1488</f>
        <v>348750</v>
      </c>
    </row>
    <row r="1489" spans="2:6" ht="18" thickBot="1">
      <c r="B1489" s="37">
        <v>2</v>
      </c>
      <c r="C1489" s="52" t="s">
        <v>1965</v>
      </c>
      <c r="D1489" s="37">
        <f>2350*77.5</f>
        <v>182125</v>
      </c>
      <c r="E1489" s="37">
        <v>1</v>
      </c>
      <c r="F1489" s="37">
        <f t="shared" ref="F1489:F1493" si="63">D1489*E1489</f>
        <v>182125</v>
      </c>
    </row>
    <row r="1490" spans="2:6" ht="18" thickBot="1">
      <c r="B1490" s="37">
        <v>3</v>
      </c>
      <c r="C1490" s="52" t="s">
        <v>1966</v>
      </c>
      <c r="D1490" s="37">
        <f>2350*77.5</f>
        <v>182125</v>
      </c>
      <c r="E1490" s="37">
        <v>1</v>
      </c>
      <c r="F1490" s="37">
        <f t="shared" si="63"/>
        <v>182125</v>
      </c>
    </row>
    <row r="1491" spans="2:6" ht="18" thickBot="1">
      <c r="B1491" s="37">
        <v>4</v>
      </c>
      <c r="C1491" s="52" t="s">
        <v>1967</v>
      </c>
      <c r="D1491" s="37">
        <f>1600*77.5</f>
        <v>124000</v>
      </c>
      <c r="E1491" s="37">
        <v>1</v>
      </c>
      <c r="F1491" s="37">
        <f t="shared" si="63"/>
        <v>124000</v>
      </c>
    </row>
    <row r="1492" spans="2:6" ht="18" thickBot="1">
      <c r="B1492" s="37">
        <v>5</v>
      </c>
      <c r="C1492" s="52" t="s">
        <v>1962</v>
      </c>
      <c r="D1492" s="37">
        <v>12000</v>
      </c>
      <c r="E1492" s="37">
        <v>5</v>
      </c>
      <c r="F1492" s="37">
        <f t="shared" si="63"/>
        <v>60000</v>
      </c>
    </row>
    <row r="1493" spans="2:6" ht="18" thickBot="1">
      <c r="B1493" s="37"/>
      <c r="C1493" s="52"/>
      <c r="D1493" s="37"/>
      <c r="E1493" s="37"/>
      <c r="F1493" s="37">
        <f t="shared" si="63"/>
        <v>0</v>
      </c>
    </row>
    <row r="1494" spans="2:6" ht="18" thickBot="1">
      <c r="B1494" s="591" t="s">
        <v>11</v>
      </c>
      <c r="C1494" s="592"/>
      <c r="D1494" s="593"/>
      <c r="E1494" s="594"/>
      <c r="F1494" s="9">
        <f>SUM(F1488:F1493)</f>
        <v>897000</v>
      </c>
    </row>
    <row r="1498" spans="2:6" ht="15.6">
      <c r="B1498" s="3" t="s">
        <v>1</v>
      </c>
      <c r="C1498" s="1" t="s">
        <v>1968</v>
      </c>
    </row>
    <row r="1500" spans="2:6" ht="15.6">
      <c r="B1500" s="3" t="s">
        <v>2</v>
      </c>
      <c r="C1500" s="34" t="s">
        <v>90</v>
      </c>
      <c r="D1500" s="3" t="s">
        <v>5</v>
      </c>
      <c r="E1500" s="22">
        <v>45534</v>
      </c>
    </row>
    <row r="1501" spans="2:6" ht="15.6">
      <c r="B1501" s="3" t="s">
        <v>3</v>
      </c>
    </row>
    <row r="1502" spans="2:6" ht="15.6">
      <c r="B1502" s="3" t="s">
        <v>4</v>
      </c>
    </row>
    <row r="1503" spans="2:6" ht="15" thickBot="1"/>
    <row r="1504" spans="2:6" ht="16.2" thickBot="1">
      <c r="B1504" s="10" t="s">
        <v>6</v>
      </c>
      <c r="C1504" s="10" t="s">
        <v>7</v>
      </c>
      <c r="D1504" s="4" t="s">
        <v>8</v>
      </c>
      <c r="E1504" s="10" t="s">
        <v>9</v>
      </c>
      <c r="F1504" s="5" t="s">
        <v>10</v>
      </c>
    </row>
    <row r="1505" spans="2:6" ht="15" thickBot="1">
      <c r="B1505" s="54"/>
      <c r="F1505" s="55"/>
    </row>
    <row r="1506" spans="2:6" ht="18" thickBot="1">
      <c r="B1506" s="37">
        <v>1</v>
      </c>
      <c r="C1506" s="52" t="s">
        <v>1969</v>
      </c>
      <c r="D1506" s="37">
        <v>2770</v>
      </c>
      <c r="E1506" s="37">
        <v>1</v>
      </c>
      <c r="F1506" s="37">
        <f>D1506*E1506</f>
        <v>2770</v>
      </c>
    </row>
    <row r="1507" spans="2:6" ht="18" thickBot="1">
      <c r="B1507" s="37">
        <v>2</v>
      </c>
      <c r="C1507" s="52" t="s">
        <v>1970</v>
      </c>
      <c r="D1507" s="37">
        <v>3000</v>
      </c>
      <c r="E1507" s="37">
        <v>1</v>
      </c>
      <c r="F1507" s="37">
        <f t="shared" ref="F1507:F1509" si="64">D1507*E1507</f>
        <v>3000</v>
      </c>
    </row>
    <row r="1508" spans="2:6" ht="18" thickBot="1">
      <c r="B1508" s="37">
        <v>3</v>
      </c>
      <c r="C1508" s="52" t="s">
        <v>1971</v>
      </c>
      <c r="D1508" s="37">
        <v>3100</v>
      </c>
      <c r="E1508" s="37">
        <v>1</v>
      </c>
      <c r="F1508" s="37">
        <f t="shared" si="64"/>
        <v>3100</v>
      </c>
    </row>
    <row r="1509" spans="2:6" ht="18" thickBot="1">
      <c r="B1509" s="37"/>
      <c r="C1509" s="52"/>
      <c r="D1509" s="37"/>
      <c r="E1509" s="37"/>
      <c r="F1509" s="37">
        <f t="shared" si="64"/>
        <v>0</v>
      </c>
    </row>
    <row r="1510" spans="2:6" ht="18" thickBot="1">
      <c r="B1510" s="591" t="s">
        <v>11</v>
      </c>
      <c r="C1510" s="592"/>
      <c r="D1510" s="593"/>
      <c r="E1510" s="594"/>
      <c r="F1510" s="9">
        <f>SUM(F1506:F1509)</f>
        <v>8870</v>
      </c>
    </row>
    <row r="1514" spans="2:6" ht="15.6">
      <c r="B1514" s="3" t="s">
        <v>1</v>
      </c>
      <c r="C1514" s="1" t="s">
        <v>1975</v>
      </c>
    </row>
    <row r="1516" spans="2:6" ht="15.6">
      <c r="B1516" s="3" t="s">
        <v>2</v>
      </c>
      <c r="C1516" s="34" t="s">
        <v>1976</v>
      </c>
      <c r="D1516" s="3" t="s">
        <v>5</v>
      </c>
      <c r="E1516" s="22">
        <v>45534</v>
      </c>
    </row>
    <row r="1517" spans="2:6" ht="15.6">
      <c r="B1517" s="3" t="s">
        <v>3</v>
      </c>
    </row>
    <row r="1518" spans="2:6" ht="15.6">
      <c r="B1518" s="3" t="s">
        <v>4</v>
      </c>
    </row>
    <row r="1519" spans="2:6" ht="15" thickBot="1"/>
    <row r="1520" spans="2:6" ht="16.2" thickBot="1">
      <c r="B1520" s="10" t="s">
        <v>6</v>
      </c>
      <c r="C1520" s="10" t="s">
        <v>7</v>
      </c>
      <c r="D1520" s="4" t="s">
        <v>8</v>
      </c>
      <c r="E1520" s="10" t="s">
        <v>9</v>
      </c>
      <c r="F1520" s="5" t="s">
        <v>10</v>
      </c>
    </row>
    <row r="1521" spans="2:6" ht="15" thickBot="1">
      <c r="B1521" s="54"/>
      <c r="F1521" s="55"/>
    </row>
    <row r="1522" spans="2:6" ht="18" thickBot="1">
      <c r="B1522" s="37">
        <v>1</v>
      </c>
      <c r="C1522" s="52" t="s">
        <v>1977</v>
      </c>
      <c r="D1522" s="37">
        <v>3950</v>
      </c>
      <c r="E1522" s="37">
        <v>1</v>
      </c>
      <c r="F1522" s="37">
        <f>D1522*E1522</f>
        <v>3950</v>
      </c>
    </row>
    <row r="1523" spans="2:6" ht="18" thickBot="1">
      <c r="B1523" s="37">
        <v>2</v>
      </c>
      <c r="C1523" s="52" t="s">
        <v>1978</v>
      </c>
      <c r="D1523" s="37">
        <v>3990</v>
      </c>
      <c r="E1523" s="37">
        <v>5</v>
      </c>
      <c r="F1523" s="37">
        <f t="shared" ref="F1523:F1525" si="65">D1523*E1523</f>
        <v>19950</v>
      </c>
    </row>
    <row r="1524" spans="2:6" ht="35.4" thickBot="1">
      <c r="B1524" s="37">
        <v>3</v>
      </c>
      <c r="C1524" s="52" t="s">
        <v>1989</v>
      </c>
      <c r="D1524" s="37">
        <v>3800</v>
      </c>
      <c r="E1524" s="37">
        <v>1</v>
      </c>
      <c r="F1524" s="37">
        <f t="shared" si="65"/>
        <v>3800</v>
      </c>
    </row>
    <row r="1525" spans="2:6" ht="18" thickBot="1">
      <c r="B1525" s="37"/>
      <c r="C1525" s="52"/>
      <c r="D1525" s="37"/>
      <c r="E1525" s="37"/>
      <c r="F1525" s="37">
        <f t="shared" si="65"/>
        <v>0</v>
      </c>
    </row>
    <row r="1526" spans="2:6" ht="18" thickBot="1">
      <c r="B1526" s="591" t="s">
        <v>11</v>
      </c>
      <c r="C1526" s="592"/>
      <c r="D1526" s="593"/>
      <c r="E1526" s="594"/>
      <c r="F1526" s="9">
        <f>SUM(F1522:F1525)</f>
        <v>27700</v>
      </c>
    </row>
    <row r="1529" spans="2:6" ht="15.6">
      <c r="B1529" s="3" t="s">
        <v>1</v>
      </c>
      <c r="C1529" s="1" t="s">
        <v>1990</v>
      </c>
    </row>
    <row r="1531" spans="2:6" ht="15.6">
      <c r="B1531" s="3" t="s">
        <v>2</v>
      </c>
      <c r="C1531" s="34" t="s">
        <v>1976</v>
      </c>
      <c r="D1531" s="3" t="s">
        <v>5</v>
      </c>
      <c r="E1531" s="22">
        <v>45538</v>
      </c>
    </row>
    <row r="1532" spans="2:6" ht="15.6">
      <c r="B1532" s="3" t="s">
        <v>3</v>
      </c>
    </row>
    <row r="1533" spans="2:6" ht="15.6">
      <c r="B1533" s="3" t="s">
        <v>4</v>
      </c>
    </row>
    <row r="1534" spans="2:6" ht="15" thickBot="1"/>
    <row r="1535" spans="2:6" ht="16.2" thickBot="1">
      <c r="B1535" s="10" t="s">
        <v>6</v>
      </c>
      <c r="C1535" s="10" t="s">
        <v>7</v>
      </c>
      <c r="D1535" s="4" t="s">
        <v>8</v>
      </c>
      <c r="E1535" s="10" t="s">
        <v>9</v>
      </c>
      <c r="F1535" s="5" t="s">
        <v>10</v>
      </c>
    </row>
    <row r="1536" spans="2:6" ht="15" thickBot="1">
      <c r="B1536" s="54"/>
      <c r="F1536" s="55"/>
    </row>
    <row r="1537" spans="2:6" ht="18" thickBot="1">
      <c r="B1537" s="37">
        <v>1</v>
      </c>
      <c r="C1537" s="52" t="s">
        <v>689</v>
      </c>
      <c r="D1537" s="37">
        <v>3750</v>
      </c>
      <c r="E1537" s="37">
        <v>1</v>
      </c>
      <c r="F1537" s="37">
        <f>D1537*E1537</f>
        <v>3750</v>
      </c>
    </row>
    <row r="1538" spans="2:6" ht="16.2" thickBot="1">
      <c r="B1538" s="37">
        <v>2</v>
      </c>
      <c r="C1538" s="492" t="s">
        <v>1935</v>
      </c>
      <c r="D1538" s="37">
        <v>2750</v>
      </c>
      <c r="E1538" s="37">
        <v>2</v>
      </c>
      <c r="F1538" s="37">
        <f t="shared" ref="F1538:F1539" si="66">D1538*E1538</f>
        <v>5500</v>
      </c>
    </row>
    <row r="1539" spans="2:6" ht="18" thickBot="1">
      <c r="B1539" s="37">
        <v>3</v>
      </c>
      <c r="C1539" s="52" t="s">
        <v>1991</v>
      </c>
      <c r="D1539" s="37">
        <v>1450</v>
      </c>
      <c r="E1539" s="37">
        <v>1</v>
      </c>
      <c r="F1539" s="37">
        <f t="shared" si="66"/>
        <v>1450</v>
      </c>
    </row>
    <row r="1540" spans="2:6" ht="18" thickBot="1">
      <c r="B1540" s="591" t="s">
        <v>11</v>
      </c>
      <c r="C1540" s="592"/>
      <c r="D1540" s="593"/>
      <c r="E1540" s="594"/>
      <c r="F1540" s="9">
        <f>SUM(F1537:F1539)</f>
        <v>10700</v>
      </c>
    </row>
    <row r="1544" spans="2:6" ht="15.6">
      <c r="B1544" s="3" t="s">
        <v>1</v>
      </c>
      <c r="C1544" s="1" t="s">
        <v>1993</v>
      </c>
    </row>
    <row r="1546" spans="2:6" ht="15.6">
      <c r="B1546" s="3" t="s">
        <v>2</v>
      </c>
      <c r="C1546" s="34" t="s">
        <v>1994</v>
      </c>
      <c r="D1546" s="3" t="s">
        <v>5</v>
      </c>
      <c r="E1546" s="22">
        <v>45538</v>
      </c>
    </row>
    <row r="1547" spans="2:6" ht="15.6">
      <c r="B1547" s="3" t="s">
        <v>3</v>
      </c>
    </row>
    <row r="1548" spans="2:6" ht="15.6">
      <c r="B1548" s="3" t="s">
        <v>4</v>
      </c>
    </row>
    <row r="1549" spans="2:6" ht="15" thickBot="1"/>
    <row r="1550" spans="2:6" ht="16.2" thickBot="1">
      <c r="B1550" s="10" t="s">
        <v>6</v>
      </c>
      <c r="C1550" s="10" t="s">
        <v>7</v>
      </c>
      <c r="D1550" s="4" t="s">
        <v>8</v>
      </c>
      <c r="E1550" s="10" t="s">
        <v>9</v>
      </c>
      <c r="F1550" s="5" t="s">
        <v>10</v>
      </c>
    </row>
    <row r="1551" spans="2:6" ht="15" thickBot="1">
      <c r="B1551" s="54"/>
      <c r="F1551" s="55"/>
    </row>
    <row r="1552" spans="2:6" ht="18" thickBot="1">
      <c r="B1552" s="37">
        <v>1</v>
      </c>
      <c r="C1552" s="52" t="s">
        <v>572</v>
      </c>
      <c r="D1552" s="37">
        <v>1170</v>
      </c>
      <c r="E1552" s="37">
        <v>150</v>
      </c>
      <c r="F1552" s="37">
        <f>D1552*E1552</f>
        <v>175500</v>
      </c>
    </row>
    <row r="1553" spans="2:7" ht="18" thickBot="1">
      <c r="B1553" s="37">
        <v>2</v>
      </c>
      <c r="C1553" s="52" t="s">
        <v>572</v>
      </c>
      <c r="D1553" s="37">
        <v>1170</v>
      </c>
      <c r="E1553" s="37">
        <v>5</v>
      </c>
      <c r="F1553" s="37">
        <f t="shared" ref="F1553:F1555" si="67">D1553*E1553</f>
        <v>5850</v>
      </c>
    </row>
    <row r="1554" spans="2:7" ht="18" thickBot="1">
      <c r="B1554" s="37">
        <v>3</v>
      </c>
      <c r="C1554" s="52" t="s">
        <v>572</v>
      </c>
      <c r="D1554" s="37">
        <v>1190</v>
      </c>
      <c r="E1554" s="37">
        <v>6</v>
      </c>
      <c r="F1554" s="37">
        <f t="shared" si="67"/>
        <v>7140</v>
      </c>
    </row>
    <row r="1555" spans="2:7" ht="18" thickBot="1">
      <c r="B1555" s="37">
        <v>4</v>
      </c>
      <c r="C1555" s="52" t="s">
        <v>572</v>
      </c>
      <c r="D1555" s="37">
        <v>1190</v>
      </c>
      <c r="E1555" s="37">
        <v>4</v>
      </c>
      <c r="F1555" s="37">
        <f t="shared" si="67"/>
        <v>4760</v>
      </c>
    </row>
    <row r="1556" spans="2:7" ht="18" thickBot="1">
      <c r="B1556" s="591" t="s">
        <v>11</v>
      </c>
      <c r="C1556" s="592"/>
      <c r="D1556" s="593"/>
      <c r="E1556" s="594"/>
      <c r="F1556" s="9">
        <f>SUM(F1552:F1555)</f>
        <v>193250</v>
      </c>
    </row>
    <row r="1559" spans="2:7" ht="15.6">
      <c r="B1559" s="3" t="s">
        <v>1</v>
      </c>
      <c r="C1559" s="1" t="s">
        <v>1999</v>
      </c>
    </row>
    <row r="1561" spans="2:7" ht="15.6">
      <c r="B1561" s="3" t="s">
        <v>2</v>
      </c>
      <c r="C1561" s="34" t="s">
        <v>1994</v>
      </c>
      <c r="D1561" s="3" t="s">
        <v>5</v>
      </c>
      <c r="E1561" s="22">
        <v>45540</v>
      </c>
    </row>
    <row r="1562" spans="2:7" ht="15.6">
      <c r="B1562" s="3" t="s">
        <v>3</v>
      </c>
    </row>
    <row r="1563" spans="2:7" ht="15.6">
      <c r="B1563" s="3" t="s">
        <v>4</v>
      </c>
    </row>
    <row r="1564" spans="2:7" ht="15" thickBot="1"/>
    <row r="1565" spans="2:7" ht="16.2" thickBot="1">
      <c r="B1565" s="10" t="s">
        <v>6</v>
      </c>
      <c r="C1565" s="10" t="s">
        <v>7</v>
      </c>
      <c r="D1565" s="4" t="s">
        <v>8</v>
      </c>
      <c r="E1565" s="10" t="s">
        <v>9</v>
      </c>
      <c r="F1565" s="5" t="s">
        <v>10</v>
      </c>
    </row>
    <row r="1566" spans="2:7" ht="15" thickBot="1">
      <c r="B1566" s="54"/>
      <c r="F1566" s="55"/>
    </row>
    <row r="1567" spans="2:7" ht="18" thickBot="1">
      <c r="B1567" s="37">
        <v>1</v>
      </c>
      <c r="C1567" s="52" t="s">
        <v>572</v>
      </c>
      <c r="D1567" s="37">
        <v>1170</v>
      </c>
      <c r="E1567" s="37">
        <v>20</v>
      </c>
      <c r="F1567" s="37">
        <f>D1567*E1567</f>
        <v>23400</v>
      </c>
    </row>
    <row r="1568" spans="2:7" ht="18" thickBot="1">
      <c r="B1568" s="37">
        <v>2</v>
      </c>
      <c r="C1568" s="52" t="s">
        <v>572</v>
      </c>
      <c r="D1568" s="37">
        <v>1170</v>
      </c>
      <c r="E1568" s="37">
        <v>100</v>
      </c>
      <c r="F1568" s="37">
        <f t="shared" ref="F1568:F1570" si="68">D1568*E1568</f>
        <v>117000</v>
      </c>
      <c r="G1568" s="1" t="s">
        <v>2006</v>
      </c>
    </row>
    <row r="1569" spans="2:6" ht="18" thickBot="1">
      <c r="B1569" s="37">
        <v>3</v>
      </c>
      <c r="C1569" s="52" t="s">
        <v>572</v>
      </c>
      <c r="D1569" s="37">
        <v>1175</v>
      </c>
      <c r="E1569" s="37">
        <v>60</v>
      </c>
      <c r="F1569" s="37">
        <f t="shared" si="68"/>
        <v>70500</v>
      </c>
    </row>
    <row r="1570" spans="2:6" ht="18" thickBot="1">
      <c r="B1570" s="37"/>
      <c r="C1570" s="52"/>
      <c r="D1570" s="37"/>
      <c r="E1570" s="37"/>
      <c r="F1570" s="37">
        <f t="shared" si="68"/>
        <v>0</v>
      </c>
    </row>
    <row r="1571" spans="2:6" ht="18" thickBot="1">
      <c r="B1571" s="591" t="s">
        <v>11</v>
      </c>
      <c r="C1571" s="592"/>
      <c r="D1571" s="593"/>
      <c r="E1571" s="594"/>
      <c r="F1571" s="9">
        <f>SUM(F1567:F1570)</f>
        <v>210900</v>
      </c>
    </row>
    <row r="1574" spans="2:6" ht="15.6">
      <c r="B1574" s="3" t="s">
        <v>1</v>
      </c>
      <c r="C1574" s="1" t="s">
        <v>2000</v>
      </c>
    </row>
    <row r="1576" spans="2:6" ht="15.6">
      <c r="B1576" s="3" t="s">
        <v>2</v>
      </c>
      <c r="C1576" s="34" t="s">
        <v>2001</v>
      </c>
      <c r="D1576" s="3" t="s">
        <v>5</v>
      </c>
      <c r="E1576" s="22">
        <v>45540</v>
      </c>
    </row>
    <row r="1577" spans="2:6" ht="15.6">
      <c r="B1577" s="3" t="s">
        <v>3</v>
      </c>
    </row>
    <row r="1578" spans="2:6" ht="15.6">
      <c r="B1578" s="3" t="s">
        <v>4</v>
      </c>
    </row>
    <row r="1579" spans="2:6" ht="15" thickBot="1"/>
    <row r="1580" spans="2:6" ht="16.2" thickBot="1">
      <c r="B1580" s="10" t="s">
        <v>6</v>
      </c>
      <c r="C1580" s="10" t="s">
        <v>7</v>
      </c>
      <c r="D1580" s="4" t="s">
        <v>8</v>
      </c>
      <c r="E1580" s="10" t="s">
        <v>9</v>
      </c>
      <c r="F1580" s="5" t="s">
        <v>10</v>
      </c>
    </row>
    <row r="1581" spans="2:6" ht="15" thickBot="1">
      <c r="B1581" s="54"/>
      <c r="F1581" s="55"/>
    </row>
    <row r="1582" spans="2:6" ht="18" thickBot="1">
      <c r="B1582" s="37">
        <v>1</v>
      </c>
      <c r="C1582" s="52" t="s">
        <v>572</v>
      </c>
      <c r="D1582" s="37">
        <v>1170</v>
      </c>
      <c r="E1582" s="37">
        <v>5</v>
      </c>
      <c r="F1582" s="37">
        <f>D1582*E1582</f>
        <v>5850</v>
      </c>
    </row>
    <row r="1583" spans="2:6" ht="18" thickBot="1">
      <c r="B1583" s="37">
        <v>2</v>
      </c>
      <c r="C1583" s="52"/>
      <c r="D1583" s="37"/>
      <c r="E1583" s="37"/>
      <c r="F1583" s="37">
        <f t="shared" ref="F1583:F1585" si="69">D1583*E1583</f>
        <v>0</v>
      </c>
    </row>
    <row r="1584" spans="2:6" ht="18" thickBot="1">
      <c r="B1584" s="37">
        <v>3</v>
      </c>
      <c r="C1584" s="52"/>
      <c r="D1584" s="37"/>
      <c r="E1584" s="37"/>
      <c r="F1584" s="37">
        <f t="shared" si="69"/>
        <v>0</v>
      </c>
    </row>
    <row r="1585" spans="2:6" ht="18" thickBot="1">
      <c r="B1585" s="37"/>
      <c r="C1585" s="52"/>
      <c r="D1585" s="37"/>
      <c r="E1585" s="37"/>
      <c r="F1585" s="37">
        <f t="shared" si="69"/>
        <v>0</v>
      </c>
    </row>
    <row r="1586" spans="2:6" ht="18" thickBot="1">
      <c r="B1586" s="591" t="s">
        <v>11</v>
      </c>
      <c r="C1586" s="592"/>
      <c r="D1586" s="593"/>
      <c r="E1586" s="594"/>
      <c r="F1586" s="9">
        <f>SUM(F1582:F1585)</f>
        <v>5850</v>
      </c>
    </row>
    <row r="1590" spans="2:6" ht="15.6">
      <c r="B1590" s="3" t="s">
        <v>1</v>
      </c>
      <c r="C1590" s="1" t="s">
        <v>2003</v>
      </c>
    </row>
    <row r="1592" spans="2:6" ht="15.6">
      <c r="B1592" s="3" t="s">
        <v>2</v>
      </c>
      <c r="C1592" s="34" t="s">
        <v>90</v>
      </c>
      <c r="D1592" s="3" t="s">
        <v>5</v>
      </c>
      <c r="E1592" s="22">
        <v>45541</v>
      </c>
    </row>
    <row r="1593" spans="2:6" ht="15.6">
      <c r="B1593" s="3" t="s">
        <v>3</v>
      </c>
    </row>
    <row r="1594" spans="2:6" ht="15.6">
      <c r="B1594" s="3" t="s">
        <v>4</v>
      </c>
    </row>
    <row r="1595" spans="2:6" ht="15" thickBot="1"/>
    <row r="1596" spans="2:6" ht="16.2" thickBot="1">
      <c r="B1596" s="10" t="s">
        <v>6</v>
      </c>
      <c r="C1596" s="10" t="s">
        <v>7</v>
      </c>
      <c r="D1596" s="4" t="s">
        <v>8</v>
      </c>
      <c r="E1596" s="10" t="s">
        <v>9</v>
      </c>
      <c r="F1596" s="5" t="s">
        <v>10</v>
      </c>
    </row>
    <row r="1597" spans="2:6" ht="15" thickBot="1">
      <c r="B1597" s="54"/>
      <c r="F1597" s="55"/>
    </row>
    <row r="1598" spans="2:6" ht="18" thickBot="1">
      <c r="B1598" s="37">
        <v>1</v>
      </c>
      <c r="C1598" s="52" t="s">
        <v>1626</v>
      </c>
      <c r="D1598" s="37">
        <v>2280</v>
      </c>
      <c r="E1598" s="37">
        <v>1</v>
      </c>
      <c r="F1598" s="37">
        <f>D1598*E1598</f>
        <v>2280</v>
      </c>
    </row>
    <row r="1599" spans="2:6" ht="18" thickBot="1">
      <c r="B1599" s="37">
        <v>2</v>
      </c>
      <c r="C1599" s="52" t="s">
        <v>2004</v>
      </c>
      <c r="D1599" s="37">
        <v>2090</v>
      </c>
      <c r="E1599" s="37">
        <v>1</v>
      </c>
      <c r="F1599" s="37">
        <f t="shared" ref="F1599:F1601" si="70">D1599*E1599</f>
        <v>2090</v>
      </c>
    </row>
    <row r="1600" spans="2:6" ht="18" thickBot="1">
      <c r="B1600" s="37">
        <v>3</v>
      </c>
      <c r="C1600" s="52"/>
      <c r="D1600" s="37"/>
      <c r="E1600" s="37"/>
      <c r="F1600" s="37">
        <f t="shared" si="70"/>
        <v>0</v>
      </c>
    </row>
    <row r="1601" spans="2:6" ht="18" thickBot="1">
      <c r="B1601" s="37"/>
      <c r="C1601" s="52"/>
      <c r="D1601" s="37"/>
      <c r="E1601" s="37"/>
      <c r="F1601" s="37">
        <f t="shared" si="70"/>
        <v>0</v>
      </c>
    </row>
    <row r="1602" spans="2:6" ht="18" thickBot="1">
      <c r="B1602" s="591" t="s">
        <v>11</v>
      </c>
      <c r="C1602" s="592"/>
      <c r="D1602" s="593"/>
      <c r="E1602" s="594"/>
      <c r="F1602" s="9">
        <f>SUM(F1598:F1601)</f>
        <v>4370</v>
      </c>
    </row>
    <row r="1605" spans="2:6" ht="15.6">
      <c r="B1605" s="3" t="s">
        <v>1</v>
      </c>
      <c r="C1605" s="1" t="s">
        <v>2007</v>
      </c>
    </row>
    <row r="1607" spans="2:6" ht="15.6">
      <c r="B1607" s="3" t="s">
        <v>2</v>
      </c>
      <c r="C1607" s="34" t="s">
        <v>1994</v>
      </c>
      <c r="D1607" s="3" t="s">
        <v>5</v>
      </c>
      <c r="E1607" s="22">
        <v>45541</v>
      </c>
    </row>
    <row r="1608" spans="2:6" ht="15.6">
      <c r="B1608" s="3" t="s">
        <v>3</v>
      </c>
    </row>
    <row r="1609" spans="2:6" ht="15.6">
      <c r="B1609" s="3" t="s">
        <v>4</v>
      </c>
    </row>
    <row r="1610" spans="2:6" ht="15" thickBot="1"/>
    <row r="1611" spans="2:6" ht="16.2" thickBot="1">
      <c r="B1611" s="10" t="s">
        <v>6</v>
      </c>
      <c r="C1611" s="10" t="s">
        <v>7</v>
      </c>
      <c r="D1611" s="4" t="s">
        <v>8</v>
      </c>
      <c r="E1611" s="10" t="s">
        <v>9</v>
      </c>
      <c r="F1611" s="5" t="s">
        <v>10</v>
      </c>
    </row>
    <row r="1612" spans="2:6" ht="15" thickBot="1">
      <c r="B1612" s="54"/>
      <c r="F1612" s="55"/>
    </row>
    <row r="1613" spans="2:6" ht="18" thickBot="1">
      <c r="B1613" s="37">
        <v>1</v>
      </c>
      <c r="C1613" s="52" t="s">
        <v>572</v>
      </c>
      <c r="D1613" s="37">
        <v>1170</v>
      </c>
      <c r="E1613" s="37">
        <v>44</v>
      </c>
      <c r="F1613" s="37">
        <f>D1613*E1613</f>
        <v>51480</v>
      </c>
    </row>
    <row r="1614" spans="2:6" ht="18" thickBot="1">
      <c r="B1614" s="37">
        <v>2</v>
      </c>
      <c r="C1614" s="52" t="s">
        <v>572</v>
      </c>
      <c r="D1614" s="37">
        <v>1170</v>
      </c>
      <c r="E1614" s="37">
        <v>6</v>
      </c>
      <c r="F1614" s="37">
        <f t="shared" ref="F1614:F1616" si="71">D1614*E1614</f>
        <v>7020</v>
      </c>
    </row>
    <row r="1615" spans="2:6" ht="18" thickBot="1">
      <c r="B1615" s="37">
        <v>3</v>
      </c>
      <c r="C1615" s="52"/>
      <c r="D1615" s="37"/>
      <c r="E1615" s="37"/>
      <c r="F1615" s="37">
        <f t="shared" si="71"/>
        <v>0</v>
      </c>
    </row>
    <row r="1616" spans="2:6" ht="18" thickBot="1">
      <c r="B1616" s="37"/>
      <c r="C1616" s="52"/>
      <c r="D1616" s="37"/>
      <c r="E1616" s="37"/>
      <c r="F1616" s="37">
        <f t="shared" si="71"/>
        <v>0</v>
      </c>
    </row>
    <row r="1617" spans="2:6" ht="18" thickBot="1">
      <c r="B1617" s="591" t="s">
        <v>11</v>
      </c>
      <c r="C1617" s="592"/>
      <c r="D1617" s="593"/>
      <c r="E1617" s="594"/>
      <c r="F1617" s="9">
        <f>SUM(F1613:F1616)</f>
        <v>58500</v>
      </c>
    </row>
    <row r="1620" spans="2:6" ht="15.6">
      <c r="B1620" s="500" t="s">
        <v>1</v>
      </c>
      <c r="C1620" s="398" t="s">
        <v>2008</v>
      </c>
      <c r="D1620" s="398"/>
      <c r="E1620" s="398"/>
      <c r="F1620" s="398"/>
    </row>
    <row r="1621" spans="2:6">
      <c r="B1621" s="398"/>
      <c r="C1621" s="398"/>
      <c r="D1621" s="398"/>
      <c r="E1621" s="398"/>
      <c r="F1621" s="398"/>
    </row>
    <row r="1622" spans="2:6" ht="15.6">
      <c r="B1622" s="500" t="s">
        <v>2</v>
      </c>
      <c r="C1622" s="501" t="s">
        <v>873</v>
      </c>
      <c r="D1622" s="500" t="s">
        <v>5</v>
      </c>
      <c r="E1622" s="502">
        <v>45541</v>
      </c>
      <c r="F1622" s="398"/>
    </row>
    <row r="1623" spans="2:6" ht="15.6">
      <c r="B1623" s="500" t="s">
        <v>3</v>
      </c>
      <c r="C1623" s="398"/>
      <c r="D1623" s="398"/>
      <c r="E1623" s="398"/>
      <c r="F1623" s="398"/>
    </row>
    <row r="1624" spans="2:6" ht="15.6">
      <c r="B1624" s="500" t="s">
        <v>4</v>
      </c>
      <c r="C1624" s="398"/>
      <c r="D1624" s="398"/>
      <c r="E1624" s="398"/>
      <c r="F1624" s="398"/>
    </row>
    <row r="1625" spans="2:6" ht="15" thickBot="1">
      <c r="B1625" s="398"/>
      <c r="C1625" s="398"/>
      <c r="D1625" s="398"/>
      <c r="E1625" s="398"/>
      <c r="F1625" s="398"/>
    </row>
    <row r="1626" spans="2:6" ht="16.2" thickBot="1">
      <c r="B1626" s="503" t="s">
        <v>6</v>
      </c>
      <c r="C1626" s="503" t="s">
        <v>7</v>
      </c>
      <c r="D1626" s="504" t="s">
        <v>8</v>
      </c>
      <c r="E1626" s="503" t="s">
        <v>9</v>
      </c>
      <c r="F1626" s="505" t="s">
        <v>10</v>
      </c>
    </row>
    <row r="1627" spans="2:6" ht="15" thickBot="1">
      <c r="B1627" s="506"/>
      <c r="C1627" s="398"/>
      <c r="D1627" s="398"/>
      <c r="E1627" s="398"/>
      <c r="F1627" s="507"/>
    </row>
    <row r="1628" spans="2:6" ht="18" thickBot="1">
      <c r="B1628" s="508">
        <v>1</v>
      </c>
      <c r="C1628" s="509" t="s">
        <v>2024</v>
      </c>
      <c r="D1628" s="508">
        <v>0</v>
      </c>
      <c r="E1628" s="508">
        <v>1</v>
      </c>
      <c r="F1628" s="508">
        <f>D1628*E1628</f>
        <v>0</v>
      </c>
    </row>
    <row r="1629" spans="2:6" ht="18" thickBot="1">
      <c r="B1629" s="508">
        <v>2</v>
      </c>
      <c r="C1629" s="509" t="s">
        <v>122</v>
      </c>
      <c r="D1629" s="508">
        <v>0</v>
      </c>
      <c r="E1629" s="508">
        <v>1</v>
      </c>
      <c r="F1629" s="508">
        <f t="shared" ref="F1629:F1631" si="72">D1629*E1629</f>
        <v>0</v>
      </c>
    </row>
    <row r="1630" spans="2:6" ht="18" thickBot="1">
      <c r="B1630" s="508">
        <v>3</v>
      </c>
      <c r="C1630" s="509"/>
      <c r="D1630" s="508"/>
      <c r="E1630" s="508"/>
      <c r="F1630" s="508">
        <f t="shared" si="72"/>
        <v>0</v>
      </c>
    </row>
    <row r="1631" spans="2:6" ht="18" thickBot="1">
      <c r="B1631" s="508"/>
      <c r="C1631" s="509"/>
      <c r="D1631" s="508"/>
      <c r="E1631" s="508"/>
      <c r="F1631" s="508">
        <f t="shared" si="72"/>
        <v>0</v>
      </c>
    </row>
    <row r="1632" spans="2:6" ht="18" thickBot="1">
      <c r="B1632" s="595" t="s">
        <v>11</v>
      </c>
      <c r="C1632" s="596"/>
      <c r="D1632" s="597"/>
      <c r="E1632" s="598"/>
      <c r="F1632" s="510">
        <f>SUM(F1628:F1631)</f>
        <v>0</v>
      </c>
    </row>
    <row r="1636" spans="2:7" ht="15.6">
      <c r="B1636" s="3" t="s">
        <v>1</v>
      </c>
      <c r="C1636" s="1" t="s">
        <v>2026</v>
      </c>
    </row>
    <row r="1638" spans="2:7" ht="15.6">
      <c r="B1638" s="3" t="s">
        <v>2</v>
      </c>
      <c r="C1638" s="34" t="s">
        <v>1994</v>
      </c>
      <c r="D1638" s="3" t="s">
        <v>5</v>
      </c>
      <c r="E1638" s="22">
        <v>45548</v>
      </c>
    </row>
    <row r="1639" spans="2:7" ht="15.6">
      <c r="B1639" s="3" t="s">
        <v>3</v>
      </c>
    </row>
    <row r="1640" spans="2:7" ht="15.6">
      <c r="B1640" s="3" t="s">
        <v>4</v>
      </c>
    </row>
    <row r="1641" spans="2:7" ht="15" thickBot="1"/>
    <row r="1642" spans="2:7" ht="16.2" thickBot="1">
      <c r="B1642" s="10" t="s">
        <v>6</v>
      </c>
      <c r="C1642" s="10" t="s">
        <v>7</v>
      </c>
      <c r="D1642" s="4" t="s">
        <v>8</v>
      </c>
      <c r="E1642" s="10" t="s">
        <v>9</v>
      </c>
      <c r="F1642" s="5" t="s">
        <v>10</v>
      </c>
    </row>
    <row r="1643" spans="2:7" ht="15" thickBot="1">
      <c r="B1643" s="54"/>
      <c r="F1643" s="55"/>
    </row>
    <row r="1644" spans="2:7" ht="18" thickBot="1">
      <c r="B1644" s="37">
        <v>1</v>
      </c>
      <c r="C1644" s="52" t="s">
        <v>2027</v>
      </c>
      <c r="D1644" s="37">
        <v>0</v>
      </c>
      <c r="E1644" s="37">
        <v>0</v>
      </c>
      <c r="F1644" s="37">
        <f>D1644*E1644</f>
        <v>0</v>
      </c>
      <c r="G1644" s="1" t="s">
        <v>2173</v>
      </c>
    </row>
    <row r="1645" spans="2:7" ht="18" thickBot="1">
      <c r="B1645" s="37">
        <v>2</v>
      </c>
      <c r="C1645" s="52"/>
      <c r="D1645" s="37"/>
      <c r="E1645" s="37"/>
      <c r="F1645" s="37">
        <f t="shared" ref="F1645:F1647" si="73">D1645*E1645</f>
        <v>0</v>
      </c>
    </row>
    <row r="1646" spans="2:7" ht="18" thickBot="1">
      <c r="B1646" s="37">
        <v>3</v>
      </c>
      <c r="C1646" s="52"/>
      <c r="D1646" s="37"/>
      <c r="E1646" s="37"/>
      <c r="F1646" s="37">
        <f t="shared" si="73"/>
        <v>0</v>
      </c>
    </row>
    <row r="1647" spans="2:7" ht="18" thickBot="1">
      <c r="B1647" s="37"/>
      <c r="C1647" s="52"/>
      <c r="D1647" s="37"/>
      <c r="E1647" s="37"/>
      <c r="F1647" s="37">
        <f t="shared" si="73"/>
        <v>0</v>
      </c>
    </row>
    <row r="1648" spans="2:7" ht="18" thickBot="1">
      <c r="B1648" s="591" t="s">
        <v>11</v>
      </c>
      <c r="C1648" s="592"/>
      <c r="D1648" s="593"/>
      <c r="E1648" s="594"/>
      <c r="F1648" s="9">
        <f>SUM(F1644:F1647)</f>
        <v>0</v>
      </c>
    </row>
    <row r="1651" spans="2:6" ht="15.6">
      <c r="B1651" s="3" t="s">
        <v>1</v>
      </c>
      <c r="C1651" s="1" t="s">
        <v>2030</v>
      </c>
    </row>
    <row r="1653" spans="2:6" ht="15.6">
      <c r="B1653" s="3" t="s">
        <v>2</v>
      </c>
      <c r="C1653" s="34" t="s">
        <v>662</v>
      </c>
      <c r="D1653" s="3" t="s">
        <v>5</v>
      </c>
      <c r="E1653" s="22">
        <v>45552</v>
      </c>
    </row>
    <row r="1654" spans="2:6" ht="15.6">
      <c r="B1654" s="3" t="s">
        <v>3</v>
      </c>
    </row>
    <row r="1655" spans="2:6" ht="15.6">
      <c r="B1655" s="3" t="s">
        <v>4</v>
      </c>
    </row>
    <row r="1656" spans="2:6" ht="15" thickBot="1"/>
    <row r="1657" spans="2:6" ht="16.2" thickBot="1">
      <c r="B1657" s="10" t="s">
        <v>6</v>
      </c>
      <c r="C1657" s="10" t="s">
        <v>7</v>
      </c>
      <c r="D1657" s="4" t="s">
        <v>8</v>
      </c>
      <c r="E1657" s="10" t="s">
        <v>9</v>
      </c>
      <c r="F1657" s="5" t="s">
        <v>10</v>
      </c>
    </row>
    <row r="1658" spans="2:6" ht="15" thickBot="1">
      <c r="B1658" s="54"/>
      <c r="F1658" s="55"/>
    </row>
    <row r="1659" spans="2:6" ht="18" thickBot="1">
      <c r="B1659" s="37">
        <v>1</v>
      </c>
      <c r="C1659" s="52" t="s">
        <v>1830</v>
      </c>
      <c r="D1659" s="37">
        <f>2050*77.5</f>
        <v>158875</v>
      </c>
      <c r="E1659" s="37">
        <v>3</v>
      </c>
      <c r="F1659" s="37">
        <f>D1659*E1659</f>
        <v>476625</v>
      </c>
    </row>
    <row r="1660" spans="2:6" ht="18" thickBot="1">
      <c r="B1660" s="37">
        <v>2</v>
      </c>
      <c r="C1660" s="52" t="s">
        <v>2031</v>
      </c>
      <c r="D1660" s="37">
        <v>15000</v>
      </c>
      <c r="E1660" s="37">
        <v>3</v>
      </c>
      <c r="F1660" s="37">
        <f t="shared" ref="F1660:F1662" si="74">D1660*E1660</f>
        <v>45000</v>
      </c>
    </row>
    <row r="1661" spans="2:6" ht="18" thickBot="1">
      <c r="B1661" s="37">
        <v>3</v>
      </c>
      <c r="C1661" s="52"/>
      <c r="D1661" s="37"/>
      <c r="E1661" s="37"/>
      <c r="F1661" s="37">
        <f t="shared" si="74"/>
        <v>0</v>
      </c>
    </row>
    <row r="1662" spans="2:6" ht="18" thickBot="1">
      <c r="B1662" s="37"/>
      <c r="C1662" s="52"/>
      <c r="D1662" s="37"/>
      <c r="E1662" s="37"/>
      <c r="F1662" s="37">
        <f t="shared" si="74"/>
        <v>0</v>
      </c>
    </row>
    <row r="1663" spans="2:6" ht="18" thickBot="1">
      <c r="B1663" s="591" t="s">
        <v>11</v>
      </c>
      <c r="C1663" s="592"/>
      <c r="D1663" s="593"/>
      <c r="E1663" s="594"/>
      <c r="F1663" s="9">
        <f>SUM(F1659:F1662)</f>
        <v>521625</v>
      </c>
    </row>
    <row r="1666" spans="2:6" ht="15.6">
      <c r="B1666" s="3" t="s">
        <v>1</v>
      </c>
      <c r="C1666" s="1" t="s">
        <v>2033</v>
      </c>
    </row>
    <row r="1668" spans="2:6" ht="15.6">
      <c r="B1668" s="3" t="s">
        <v>2</v>
      </c>
      <c r="C1668" s="34" t="s">
        <v>2034</v>
      </c>
      <c r="D1668" s="3" t="s">
        <v>5</v>
      </c>
      <c r="E1668" s="22">
        <v>45553</v>
      </c>
    </row>
    <row r="1669" spans="2:6" ht="15.6">
      <c r="B1669" s="3" t="s">
        <v>3</v>
      </c>
    </row>
    <row r="1670" spans="2:6" ht="15.6">
      <c r="B1670" s="3" t="s">
        <v>4</v>
      </c>
    </row>
    <row r="1671" spans="2:6" ht="15" thickBot="1"/>
    <row r="1672" spans="2:6" ht="16.2" thickBot="1">
      <c r="B1672" s="10" t="s">
        <v>6</v>
      </c>
      <c r="C1672" s="10" t="s">
        <v>7</v>
      </c>
      <c r="D1672" s="4" t="s">
        <v>8</v>
      </c>
      <c r="E1672" s="10" t="s">
        <v>9</v>
      </c>
      <c r="F1672" s="5" t="s">
        <v>10</v>
      </c>
    </row>
    <row r="1673" spans="2:6" ht="15" thickBot="1">
      <c r="B1673" s="54"/>
      <c r="F1673" s="55"/>
    </row>
    <row r="1674" spans="2:6" ht="18" thickBot="1">
      <c r="B1674" s="37">
        <v>1</v>
      </c>
      <c r="C1674" s="52" t="s">
        <v>572</v>
      </c>
      <c r="D1674" s="37">
        <v>1170</v>
      </c>
      <c r="E1674" s="37">
        <v>5</v>
      </c>
      <c r="F1674" s="37">
        <f>D1674*E1674</f>
        <v>5850</v>
      </c>
    </row>
    <row r="1675" spans="2:6" ht="18" thickBot="1">
      <c r="B1675" s="37">
        <v>2</v>
      </c>
      <c r="C1675" s="52"/>
      <c r="D1675" s="37"/>
      <c r="E1675" s="37"/>
      <c r="F1675" s="37">
        <f t="shared" ref="F1675:F1677" si="75">D1675*E1675</f>
        <v>0</v>
      </c>
    </row>
    <row r="1676" spans="2:6" ht="18" thickBot="1">
      <c r="B1676" s="37">
        <v>3</v>
      </c>
      <c r="C1676" s="52"/>
      <c r="D1676" s="37"/>
      <c r="E1676" s="37"/>
      <c r="F1676" s="37">
        <f t="shared" si="75"/>
        <v>0</v>
      </c>
    </row>
    <row r="1677" spans="2:6" ht="18" thickBot="1">
      <c r="B1677" s="37"/>
      <c r="C1677" s="52"/>
      <c r="D1677" s="37"/>
      <c r="E1677" s="37"/>
      <c r="F1677" s="37">
        <f t="shared" si="75"/>
        <v>0</v>
      </c>
    </row>
    <row r="1678" spans="2:6" ht="18" thickBot="1">
      <c r="B1678" s="591" t="s">
        <v>11</v>
      </c>
      <c r="C1678" s="592"/>
      <c r="D1678" s="593"/>
      <c r="E1678" s="594"/>
      <c r="F1678" s="9">
        <f>SUM(F1674:F1677)</f>
        <v>5850</v>
      </c>
    </row>
    <row r="1681" spans="2:6" ht="15.6">
      <c r="B1681" s="3" t="s">
        <v>1</v>
      </c>
      <c r="C1681" s="1" t="s">
        <v>2095</v>
      </c>
    </row>
    <row r="1683" spans="2:6" ht="15.6">
      <c r="B1683" s="3" t="s">
        <v>2</v>
      </c>
      <c r="C1683" s="34" t="s">
        <v>2096</v>
      </c>
      <c r="D1683" s="3" t="s">
        <v>5</v>
      </c>
      <c r="E1683" s="22">
        <v>45548</v>
      </c>
    </row>
    <row r="1684" spans="2:6" ht="15.6">
      <c r="B1684" s="3" t="s">
        <v>3</v>
      </c>
    </row>
    <row r="1685" spans="2:6" ht="15.6">
      <c r="B1685" s="3" t="s">
        <v>4</v>
      </c>
    </row>
    <row r="1686" spans="2:6" ht="15" thickBot="1"/>
    <row r="1687" spans="2:6" ht="16.2" thickBot="1">
      <c r="B1687" s="10" t="s">
        <v>6</v>
      </c>
      <c r="C1687" s="10" t="s">
        <v>7</v>
      </c>
      <c r="D1687" s="4" t="s">
        <v>8</v>
      </c>
      <c r="E1687" s="10" t="s">
        <v>9</v>
      </c>
      <c r="F1687" s="5" t="s">
        <v>10</v>
      </c>
    </row>
    <row r="1688" spans="2:6" ht="15" thickBot="1">
      <c r="B1688" s="54"/>
      <c r="F1688" s="55"/>
    </row>
    <row r="1689" spans="2:6" ht="18" thickBot="1">
      <c r="B1689" s="37">
        <v>1</v>
      </c>
      <c r="C1689" s="52" t="s">
        <v>2027</v>
      </c>
      <c r="D1689" s="37">
        <v>2780</v>
      </c>
      <c r="E1689" s="37">
        <v>23</v>
      </c>
      <c r="F1689" s="37">
        <f>D1689*E1689</f>
        <v>63940</v>
      </c>
    </row>
    <row r="1690" spans="2:6" ht="18" thickBot="1">
      <c r="B1690" s="37">
        <v>2</v>
      </c>
      <c r="C1690" s="52" t="s">
        <v>2097</v>
      </c>
      <c r="D1690" s="37">
        <v>1165</v>
      </c>
      <c r="E1690" s="37">
        <v>30</v>
      </c>
      <c r="F1690" s="37">
        <f t="shared" ref="F1690:F1692" si="76">D1690*E1690</f>
        <v>34950</v>
      </c>
    </row>
    <row r="1691" spans="2:6" ht="18" thickBot="1">
      <c r="B1691" s="37">
        <v>3</v>
      </c>
      <c r="C1691" s="52"/>
      <c r="D1691" s="37"/>
      <c r="E1691" s="37"/>
      <c r="F1691" s="37">
        <f t="shared" si="76"/>
        <v>0</v>
      </c>
    </row>
    <row r="1692" spans="2:6" ht="18" thickBot="1">
      <c r="B1692" s="37"/>
      <c r="C1692" s="52"/>
      <c r="D1692" s="37"/>
      <c r="E1692" s="37"/>
      <c r="F1692" s="37">
        <f t="shared" si="76"/>
        <v>0</v>
      </c>
    </row>
    <row r="1693" spans="2:6" ht="18" thickBot="1">
      <c r="B1693" s="591" t="s">
        <v>11</v>
      </c>
      <c r="C1693" s="592"/>
      <c r="D1693" s="593"/>
      <c r="E1693" s="594"/>
      <c r="F1693" s="9">
        <f>SUM(F1689:F1692)</f>
        <v>98890</v>
      </c>
    </row>
    <row r="1696" spans="2:6" ht="15.6">
      <c r="B1696" s="3" t="s">
        <v>1</v>
      </c>
      <c r="C1696" s="1" t="s">
        <v>2098</v>
      </c>
    </row>
    <row r="1698" spans="2:6" ht="15.6">
      <c r="B1698" s="3" t="s">
        <v>2</v>
      </c>
      <c r="C1698" s="34" t="s">
        <v>2096</v>
      </c>
      <c r="D1698" s="3" t="s">
        <v>5</v>
      </c>
      <c r="E1698" s="22">
        <v>45553</v>
      </c>
    </row>
    <row r="1699" spans="2:6" ht="15.6">
      <c r="B1699" s="3" t="s">
        <v>3</v>
      </c>
    </row>
    <row r="1700" spans="2:6" ht="15.6">
      <c r="B1700" s="3" t="s">
        <v>4</v>
      </c>
    </row>
    <row r="1701" spans="2:6" ht="15" thickBot="1"/>
    <row r="1702" spans="2:6" ht="16.2" thickBot="1">
      <c r="B1702" s="10" t="s">
        <v>6</v>
      </c>
      <c r="C1702" s="10" t="s">
        <v>7</v>
      </c>
      <c r="D1702" s="4" t="s">
        <v>8</v>
      </c>
      <c r="E1702" s="10" t="s">
        <v>9</v>
      </c>
      <c r="F1702" s="5" t="s">
        <v>10</v>
      </c>
    </row>
    <row r="1703" spans="2:6" ht="15" thickBot="1">
      <c r="B1703" s="54"/>
      <c r="F1703" s="55"/>
    </row>
    <row r="1704" spans="2:6" ht="18" thickBot="1">
      <c r="B1704" s="37">
        <v>1</v>
      </c>
      <c r="C1704" s="52" t="s">
        <v>2097</v>
      </c>
      <c r="D1704" s="37">
        <v>1175</v>
      </c>
      <c r="E1704" s="37">
        <v>30</v>
      </c>
      <c r="F1704" s="37">
        <f>D1704*E1704</f>
        <v>35250</v>
      </c>
    </row>
    <row r="1705" spans="2:6" ht="18" thickBot="1">
      <c r="B1705" s="37">
        <v>2</v>
      </c>
      <c r="C1705" s="52" t="s">
        <v>2097</v>
      </c>
      <c r="D1705" s="37">
        <v>1170</v>
      </c>
      <c r="E1705" s="37">
        <v>20</v>
      </c>
      <c r="F1705" s="37">
        <f t="shared" ref="F1705:F1707" si="77">D1705*E1705</f>
        <v>23400</v>
      </c>
    </row>
    <row r="1706" spans="2:6" ht="18" thickBot="1">
      <c r="B1706" s="37">
        <v>3</v>
      </c>
      <c r="C1706" s="52" t="s">
        <v>2097</v>
      </c>
      <c r="D1706" s="37">
        <v>1170</v>
      </c>
      <c r="E1706" s="37">
        <v>10</v>
      </c>
      <c r="F1706" s="37">
        <f t="shared" si="77"/>
        <v>11700</v>
      </c>
    </row>
    <row r="1707" spans="2:6" ht="18" thickBot="1">
      <c r="B1707" s="37">
        <v>4</v>
      </c>
      <c r="C1707" s="52" t="s">
        <v>2097</v>
      </c>
      <c r="D1707" s="37">
        <v>1170</v>
      </c>
      <c r="E1707" s="37">
        <v>5</v>
      </c>
      <c r="F1707" s="37">
        <f t="shared" si="77"/>
        <v>5850</v>
      </c>
    </row>
    <row r="1708" spans="2:6" ht="18" thickBot="1">
      <c r="B1708" s="591" t="s">
        <v>11</v>
      </c>
      <c r="C1708" s="592"/>
      <c r="D1708" s="593"/>
      <c r="E1708" s="594"/>
      <c r="F1708" s="9">
        <f>SUM(F1704:F1707)</f>
        <v>76200</v>
      </c>
    </row>
    <row r="1711" spans="2:6" ht="15.6">
      <c r="B1711" s="3" t="s">
        <v>1</v>
      </c>
      <c r="C1711" s="1" t="s">
        <v>2099</v>
      </c>
    </row>
    <row r="1713" spans="2:6" ht="15.6">
      <c r="B1713" s="3" t="s">
        <v>2</v>
      </c>
      <c r="C1713" s="34" t="s">
        <v>873</v>
      </c>
      <c r="D1713" s="3" t="s">
        <v>5</v>
      </c>
      <c r="E1713" s="22">
        <v>45558</v>
      </c>
    </row>
    <row r="1714" spans="2:6" ht="15.6">
      <c r="B1714" s="3" t="s">
        <v>3</v>
      </c>
    </row>
    <row r="1715" spans="2:6" ht="15.6">
      <c r="B1715" s="3" t="s">
        <v>4</v>
      </c>
    </row>
    <row r="1716" spans="2:6" ht="15" thickBot="1"/>
    <row r="1717" spans="2:6" ht="16.2" thickBot="1">
      <c r="B1717" s="10" t="s">
        <v>6</v>
      </c>
      <c r="C1717" s="10" t="s">
        <v>7</v>
      </c>
      <c r="D1717" s="4" t="s">
        <v>8</v>
      </c>
      <c r="E1717" s="10" t="s">
        <v>9</v>
      </c>
      <c r="F1717" s="5" t="s">
        <v>10</v>
      </c>
    </row>
    <row r="1718" spans="2:6" ht="15" thickBot="1">
      <c r="B1718" s="54"/>
      <c r="F1718" s="55"/>
    </row>
    <row r="1719" spans="2:6" ht="18" thickBot="1">
      <c r="B1719" s="37">
        <v>1</v>
      </c>
      <c r="C1719" s="52" t="s">
        <v>2082</v>
      </c>
      <c r="D1719" s="37">
        <v>5720</v>
      </c>
      <c r="E1719" s="37">
        <v>21</v>
      </c>
      <c r="F1719" s="37">
        <f>D1719*E1719</f>
        <v>120120</v>
      </c>
    </row>
    <row r="1720" spans="2:6" ht="18" thickBot="1">
      <c r="B1720" s="37">
        <v>2</v>
      </c>
      <c r="C1720" s="52" t="s">
        <v>2083</v>
      </c>
      <c r="D1720" s="37">
        <v>6200</v>
      </c>
      <c r="E1720" s="37">
        <v>5</v>
      </c>
      <c r="F1720" s="37">
        <f t="shared" ref="F1720:F1723" si="78">D1720*E1720</f>
        <v>31000</v>
      </c>
    </row>
    <row r="1721" spans="2:6" ht="18" thickBot="1">
      <c r="B1721" s="37">
        <v>3</v>
      </c>
      <c r="C1721" s="52" t="s">
        <v>2084</v>
      </c>
      <c r="D1721" s="37">
        <v>7650</v>
      </c>
      <c r="E1721" s="37">
        <v>4</v>
      </c>
      <c r="F1721" s="37">
        <f t="shared" si="78"/>
        <v>30600</v>
      </c>
    </row>
    <row r="1722" spans="2:6" ht="18" thickBot="1">
      <c r="B1722" s="37">
        <v>4</v>
      </c>
      <c r="C1722" s="52" t="s">
        <v>2085</v>
      </c>
      <c r="D1722" s="37">
        <v>4600</v>
      </c>
      <c r="E1722" s="37">
        <v>3</v>
      </c>
      <c r="F1722" s="37">
        <f t="shared" si="78"/>
        <v>13800</v>
      </c>
    </row>
    <row r="1723" spans="2:6" ht="18" thickBot="1">
      <c r="B1723" s="37"/>
      <c r="C1723" s="52"/>
      <c r="D1723" s="37"/>
      <c r="E1723" s="37"/>
      <c r="F1723" s="37">
        <f t="shared" si="78"/>
        <v>0</v>
      </c>
    </row>
    <row r="1724" spans="2:6" ht="18" thickBot="1">
      <c r="B1724" s="591" t="s">
        <v>11</v>
      </c>
      <c r="C1724" s="592"/>
      <c r="D1724" s="593"/>
      <c r="E1724" s="594"/>
      <c r="F1724" s="9">
        <f>SUM(F1719:F1723)</f>
        <v>195520</v>
      </c>
    </row>
    <row r="1728" spans="2:6" ht="15.6">
      <c r="B1728" s="3" t="s">
        <v>1</v>
      </c>
      <c r="C1728" s="1" t="s">
        <v>2081</v>
      </c>
    </row>
    <row r="1730" spans="2:6" ht="15.6">
      <c r="B1730" s="3" t="s">
        <v>2</v>
      </c>
      <c r="C1730" s="34" t="s">
        <v>2100</v>
      </c>
      <c r="D1730" s="3" t="s">
        <v>5</v>
      </c>
      <c r="E1730" s="22">
        <v>45562</v>
      </c>
    </row>
    <row r="1731" spans="2:6" ht="15.6">
      <c r="B1731" s="3" t="s">
        <v>3</v>
      </c>
    </row>
    <row r="1732" spans="2:6" ht="15.6">
      <c r="B1732" s="3" t="s">
        <v>4</v>
      </c>
    </row>
    <row r="1733" spans="2:6" ht="15" thickBot="1"/>
    <row r="1734" spans="2:6" ht="16.2" thickBot="1">
      <c r="B1734" s="10" t="s">
        <v>6</v>
      </c>
      <c r="C1734" s="10" t="s">
        <v>7</v>
      </c>
      <c r="D1734" s="4" t="s">
        <v>8</v>
      </c>
      <c r="E1734" s="10" t="s">
        <v>9</v>
      </c>
      <c r="F1734" s="5" t="s">
        <v>10</v>
      </c>
    </row>
    <row r="1735" spans="2:6" ht="15" thickBot="1">
      <c r="B1735" s="54"/>
      <c r="F1735" s="55"/>
    </row>
    <row r="1736" spans="2:6" ht="18" thickBot="1">
      <c r="B1736" s="37">
        <v>1</v>
      </c>
      <c r="C1736" s="52" t="s">
        <v>2097</v>
      </c>
      <c r="D1736" s="37">
        <v>1170</v>
      </c>
      <c r="E1736" s="37">
        <v>50</v>
      </c>
      <c r="F1736" s="37">
        <f>D1736*E1736</f>
        <v>58500</v>
      </c>
    </row>
    <row r="1737" spans="2:6" ht="18" thickBot="1">
      <c r="B1737" s="37">
        <v>2</v>
      </c>
      <c r="C1737" s="52" t="s">
        <v>2027</v>
      </c>
      <c r="D1737" s="37">
        <v>2250</v>
      </c>
      <c r="E1737" s="37">
        <v>1</v>
      </c>
      <c r="F1737" s="37">
        <f t="shared" ref="F1737:F1740" si="79">D1737*E1737</f>
        <v>2250</v>
      </c>
    </row>
    <row r="1738" spans="2:6" ht="18" thickBot="1">
      <c r="B1738" s="37">
        <v>3</v>
      </c>
      <c r="C1738" s="52" t="s">
        <v>2027</v>
      </c>
      <c r="D1738" s="37">
        <v>2230</v>
      </c>
      <c r="E1738" s="37">
        <v>50</v>
      </c>
      <c r="F1738" s="37">
        <f t="shared" si="79"/>
        <v>111500</v>
      </c>
    </row>
    <row r="1739" spans="2:6" ht="18" thickBot="1">
      <c r="B1739" s="37">
        <v>4</v>
      </c>
      <c r="C1739" s="52" t="s">
        <v>2097</v>
      </c>
      <c r="D1739" s="37">
        <v>1175</v>
      </c>
      <c r="E1739" s="37">
        <v>30</v>
      </c>
      <c r="F1739" s="37">
        <f t="shared" si="79"/>
        <v>35250</v>
      </c>
    </row>
    <row r="1740" spans="2:6" ht="18" thickBot="1">
      <c r="B1740" s="37"/>
      <c r="C1740" s="52"/>
      <c r="D1740" s="37"/>
      <c r="E1740" s="37"/>
      <c r="F1740" s="37">
        <f t="shared" si="79"/>
        <v>0</v>
      </c>
    </row>
    <row r="1741" spans="2:6" ht="18" thickBot="1">
      <c r="B1741" s="591" t="s">
        <v>11</v>
      </c>
      <c r="C1741" s="592"/>
      <c r="D1741" s="593"/>
      <c r="E1741" s="594"/>
      <c r="F1741" s="9">
        <f>SUM(F1736:F1740)</f>
        <v>207500</v>
      </c>
    </row>
    <row r="1744" spans="2:6" ht="15.6">
      <c r="B1744" s="3" t="s">
        <v>1</v>
      </c>
      <c r="C1744" s="1" t="s">
        <v>2115</v>
      </c>
    </row>
    <row r="1746" spans="2:6" ht="15.6">
      <c r="B1746" s="3" t="s">
        <v>2</v>
      </c>
      <c r="C1746" s="34" t="s">
        <v>2100</v>
      </c>
      <c r="D1746" s="3" t="s">
        <v>5</v>
      </c>
      <c r="E1746" s="22">
        <v>45566</v>
      </c>
    </row>
    <row r="1747" spans="2:6" ht="15.6">
      <c r="B1747" s="3" t="s">
        <v>3</v>
      </c>
    </row>
    <row r="1748" spans="2:6" ht="15.6">
      <c r="B1748" s="3" t="s">
        <v>4</v>
      </c>
    </row>
    <row r="1749" spans="2:6" ht="15" thickBot="1"/>
    <row r="1750" spans="2:6" ht="16.2" thickBot="1">
      <c r="B1750" s="10" t="s">
        <v>6</v>
      </c>
      <c r="C1750" s="10" t="s">
        <v>7</v>
      </c>
      <c r="D1750" s="4" t="s">
        <v>8</v>
      </c>
      <c r="E1750" s="10" t="s">
        <v>9</v>
      </c>
      <c r="F1750" s="5" t="s">
        <v>10</v>
      </c>
    </row>
    <row r="1751" spans="2:6" ht="15" thickBot="1">
      <c r="B1751" s="54"/>
      <c r="F1751" s="55"/>
    </row>
    <row r="1752" spans="2:6" ht="18" thickBot="1">
      <c r="B1752" s="37">
        <v>1</v>
      </c>
      <c r="C1752" s="52" t="s">
        <v>2027</v>
      </c>
      <c r="D1752" s="37">
        <v>2200</v>
      </c>
      <c r="E1752" s="37">
        <v>33</v>
      </c>
      <c r="F1752" s="37">
        <f>D1752*E1752</f>
        <v>72600</v>
      </c>
    </row>
    <row r="1753" spans="2:6" ht="18" thickBot="1">
      <c r="B1753" s="37">
        <v>2</v>
      </c>
      <c r="C1753" s="52" t="s">
        <v>2097</v>
      </c>
      <c r="D1753" s="37">
        <v>1180</v>
      </c>
      <c r="E1753" s="37">
        <v>44</v>
      </c>
      <c r="F1753" s="37">
        <f t="shared" ref="F1753:F1756" si="80">D1753*E1753</f>
        <v>51920</v>
      </c>
    </row>
    <row r="1754" spans="2:6" ht="18" thickBot="1">
      <c r="B1754" s="37">
        <v>3</v>
      </c>
      <c r="C1754" s="52" t="s">
        <v>2097</v>
      </c>
      <c r="D1754" s="37">
        <v>1180</v>
      </c>
      <c r="E1754" s="37">
        <v>40</v>
      </c>
      <c r="F1754" s="37">
        <f t="shared" si="80"/>
        <v>47200</v>
      </c>
    </row>
    <row r="1755" spans="2:6" ht="18" thickBot="1">
      <c r="B1755" s="37">
        <v>4</v>
      </c>
      <c r="C1755" s="52"/>
      <c r="D1755" s="37"/>
      <c r="E1755" s="37"/>
      <c r="F1755" s="37">
        <f t="shared" si="80"/>
        <v>0</v>
      </c>
    </row>
    <row r="1756" spans="2:6" ht="18" thickBot="1">
      <c r="B1756" s="37"/>
      <c r="C1756" s="52"/>
      <c r="D1756" s="37"/>
      <c r="E1756" s="37"/>
      <c r="F1756" s="37">
        <f t="shared" si="80"/>
        <v>0</v>
      </c>
    </row>
    <row r="1757" spans="2:6" ht="18" thickBot="1">
      <c r="B1757" s="591" t="s">
        <v>11</v>
      </c>
      <c r="C1757" s="592"/>
      <c r="D1757" s="593"/>
      <c r="E1757" s="594"/>
      <c r="F1757" s="9">
        <f>SUM(F1752:F1756)</f>
        <v>171720</v>
      </c>
    </row>
    <row r="1760" spans="2:6" ht="15.6">
      <c r="B1760" s="3" t="s">
        <v>1</v>
      </c>
      <c r="C1760" s="1" t="s">
        <v>2166</v>
      </c>
    </row>
    <row r="1762" spans="2:6" ht="15.6">
      <c r="B1762" s="3" t="s">
        <v>2</v>
      </c>
      <c r="C1762" s="34" t="s">
        <v>2100</v>
      </c>
      <c r="D1762" s="3" t="s">
        <v>5</v>
      </c>
      <c r="E1762" s="22">
        <v>45576</v>
      </c>
    </row>
    <row r="1763" spans="2:6" ht="15.6">
      <c r="B1763" s="3" t="s">
        <v>3</v>
      </c>
    </row>
    <row r="1764" spans="2:6" ht="15.6">
      <c r="B1764" s="3" t="s">
        <v>4</v>
      </c>
    </row>
    <row r="1765" spans="2:6" ht="15" thickBot="1"/>
    <row r="1766" spans="2:6" ht="16.2" thickBot="1">
      <c r="B1766" s="10" t="s">
        <v>6</v>
      </c>
      <c r="C1766" s="10" t="s">
        <v>7</v>
      </c>
      <c r="D1766" s="4" t="s">
        <v>8</v>
      </c>
      <c r="E1766" s="10" t="s">
        <v>9</v>
      </c>
      <c r="F1766" s="5" t="s">
        <v>10</v>
      </c>
    </row>
    <row r="1767" spans="2:6" ht="15" thickBot="1">
      <c r="B1767" s="54"/>
      <c r="F1767" s="55"/>
    </row>
    <row r="1768" spans="2:6" ht="18" thickBot="1">
      <c r="B1768" s="37">
        <v>1</v>
      </c>
      <c r="C1768" s="52" t="s">
        <v>2097</v>
      </c>
      <c r="D1768" s="37">
        <v>1230</v>
      </c>
      <c r="E1768" s="37">
        <v>104</v>
      </c>
      <c r="F1768" s="37">
        <f>D1768*E1768</f>
        <v>127920</v>
      </c>
    </row>
    <row r="1769" spans="2:6" ht="18" thickBot="1">
      <c r="B1769" s="37">
        <v>2</v>
      </c>
      <c r="C1769" s="52" t="s">
        <v>2097</v>
      </c>
      <c r="D1769" s="37">
        <v>1230</v>
      </c>
      <c r="E1769" s="37">
        <v>204</v>
      </c>
      <c r="F1769" s="37">
        <f t="shared" ref="F1769:F1781" si="81">D1769*E1769</f>
        <v>250920</v>
      </c>
    </row>
    <row r="1770" spans="2:6" ht="18" thickBot="1">
      <c r="B1770" s="37">
        <v>3</v>
      </c>
      <c r="C1770" s="52" t="s">
        <v>2097</v>
      </c>
      <c r="D1770" s="37">
        <v>1235</v>
      </c>
      <c r="E1770" s="37">
        <v>150</v>
      </c>
      <c r="F1770" s="37">
        <f t="shared" si="81"/>
        <v>185250</v>
      </c>
    </row>
    <row r="1771" spans="2:6" ht="18" thickBot="1">
      <c r="B1771" s="37">
        <v>4</v>
      </c>
      <c r="C1771" s="52" t="s">
        <v>2097</v>
      </c>
      <c r="D1771" s="37">
        <v>1250</v>
      </c>
      <c r="E1771" s="37">
        <v>10</v>
      </c>
      <c r="F1771" s="37">
        <f t="shared" si="81"/>
        <v>12500</v>
      </c>
    </row>
    <row r="1772" spans="2:6" ht="18" thickBot="1">
      <c r="B1772" s="37">
        <v>5</v>
      </c>
      <c r="C1772" s="52" t="s">
        <v>2097</v>
      </c>
      <c r="D1772" s="37">
        <v>1235</v>
      </c>
      <c r="E1772" s="37">
        <v>20</v>
      </c>
      <c r="F1772" s="37">
        <f t="shared" si="81"/>
        <v>24700</v>
      </c>
    </row>
    <row r="1773" spans="2:6" ht="18" thickBot="1">
      <c r="B1773" s="37">
        <v>6</v>
      </c>
      <c r="C1773" s="52" t="s">
        <v>2097</v>
      </c>
      <c r="D1773" s="37">
        <v>1235</v>
      </c>
      <c r="E1773" s="37">
        <v>1</v>
      </c>
      <c r="F1773" s="37">
        <f t="shared" si="81"/>
        <v>1235</v>
      </c>
    </row>
    <row r="1774" spans="2:6" ht="18" thickBot="1">
      <c r="B1774" s="37">
        <v>7</v>
      </c>
      <c r="C1774" s="52" t="s">
        <v>2097</v>
      </c>
      <c r="D1774" s="37">
        <v>1240</v>
      </c>
      <c r="E1774" s="37">
        <v>50</v>
      </c>
      <c r="F1774" s="37">
        <f t="shared" si="81"/>
        <v>62000</v>
      </c>
    </row>
    <row r="1775" spans="2:6" ht="18" thickBot="1">
      <c r="B1775" s="37">
        <v>8</v>
      </c>
      <c r="C1775" s="52" t="s">
        <v>2097</v>
      </c>
      <c r="D1775" s="37">
        <v>1235</v>
      </c>
      <c r="E1775" s="37">
        <v>8</v>
      </c>
      <c r="F1775" s="37">
        <f t="shared" si="81"/>
        <v>9880</v>
      </c>
    </row>
    <row r="1776" spans="2:6" ht="18" thickBot="1">
      <c r="B1776" s="37">
        <v>9</v>
      </c>
      <c r="C1776" s="52" t="s">
        <v>2097</v>
      </c>
      <c r="D1776" s="37">
        <v>1250</v>
      </c>
      <c r="E1776" s="37">
        <v>5</v>
      </c>
      <c r="F1776" s="37">
        <f t="shared" si="81"/>
        <v>6250</v>
      </c>
    </row>
    <row r="1777" spans="2:6" ht="18" thickBot="1">
      <c r="B1777" s="37">
        <v>10</v>
      </c>
      <c r="C1777" s="52" t="s">
        <v>2097</v>
      </c>
      <c r="D1777" s="37">
        <v>1245</v>
      </c>
      <c r="E1777" s="37">
        <v>30</v>
      </c>
      <c r="F1777" s="37">
        <f t="shared" si="81"/>
        <v>37350</v>
      </c>
    </row>
    <row r="1778" spans="2:6" ht="18" thickBot="1">
      <c r="B1778" s="37">
        <v>11</v>
      </c>
      <c r="C1778" s="52" t="s">
        <v>2097</v>
      </c>
      <c r="D1778" s="37">
        <v>1250</v>
      </c>
      <c r="E1778" s="37">
        <v>1</v>
      </c>
      <c r="F1778" s="37">
        <f t="shared" si="81"/>
        <v>1250</v>
      </c>
    </row>
    <row r="1779" spans="2:6" ht="18" thickBot="1">
      <c r="B1779" s="37">
        <v>12</v>
      </c>
      <c r="C1779" s="52" t="s">
        <v>2097</v>
      </c>
      <c r="D1779" s="37">
        <v>1250</v>
      </c>
      <c r="E1779" s="37">
        <v>10</v>
      </c>
      <c r="F1779" s="37">
        <f t="shared" si="81"/>
        <v>12500</v>
      </c>
    </row>
    <row r="1780" spans="2:6" ht="18" thickBot="1">
      <c r="B1780" s="37"/>
      <c r="C1780" s="52"/>
      <c r="D1780" s="37"/>
      <c r="E1780" s="37"/>
      <c r="F1780" s="37"/>
    </row>
    <row r="1781" spans="2:6" ht="18" thickBot="1">
      <c r="B1781" s="37"/>
      <c r="C1781" s="52"/>
      <c r="D1781" s="37"/>
      <c r="E1781" s="37"/>
      <c r="F1781" s="37">
        <f t="shared" si="81"/>
        <v>0</v>
      </c>
    </row>
    <row r="1782" spans="2:6" ht="18" thickBot="1">
      <c r="B1782" s="591" t="s">
        <v>11</v>
      </c>
      <c r="C1782" s="592"/>
      <c r="D1782" s="593"/>
      <c r="E1782" s="594"/>
      <c r="F1782" s="9">
        <f>SUM(F1768:F1781)</f>
        <v>731755</v>
      </c>
    </row>
    <row r="1785" spans="2:6" ht="15.6">
      <c r="B1785" s="3" t="s">
        <v>1</v>
      </c>
      <c r="C1785" s="1" t="s">
        <v>2167</v>
      </c>
    </row>
    <row r="1787" spans="2:6" ht="15.6">
      <c r="B1787" s="3" t="s">
        <v>2</v>
      </c>
      <c r="C1787" s="34" t="s">
        <v>2100</v>
      </c>
      <c r="D1787" s="3" t="s">
        <v>5</v>
      </c>
      <c r="E1787" s="22">
        <v>45576</v>
      </c>
    </row>
    <row r="1788" spans="2:6" ht="15.6">
      <c r="B1788" s="3" t="s">
        <v>3</v>
      </c>
    </row>
    <row r="1789" spans="2:6" ht="15.6">
      <c r="B1789" s="3" t="s">
        <v>4</v>
      </c>
    </row>
    <row r="1790" spans="2:6" ht="15" thickBot="1"/>
    <row r="1791" spans="2:6" ht="16.2" thickBot="1">
      <c r="B1791" s="10" t="s">
        <v>6</v>
      </c>
      <c r="C1791" s="10" t="s">
        <v>7</v>
      </c>
      <c r="D1791" s="4" t="s">
        <v>8</v>
      </c>
      <c r="E1791" s="10" t="s">
        <v>9</v>
      </c>
      <c r="F1791" s="5" t="s">
        <v>10</v>
      </c>
    </row>
    <row r="1792" spans="2:6" ht="15" thickBot="1">
      <c r="B1792" s="54"/>
      <c r="F1792" s="55"/>
    </row>
    <row r="1793" spans="2:6" ht="18" thickBot="1">
      <c r="B1793" s="37">
        <v>1</v>
      </c>
      <c r="C1793" s="52" t="s">
        <v>2027</v>
      </c>
      <c r="D1793" s="37">
        <v>2200</v>
      </c>
      <c r="E1793" s="37">
        <v>5</v>
      </c>
      <c r="F1793" s="37">
        <f>D1793*E1793</f>
        <v>11000</v>
      </c>
    </row>
    <row r="1794" spans="2:6" ht="18" thickBot="1">
      <c r="B1794" s="37">
        <v>2</v>
      </c>
      <c r="C1794" s="52" t="s">
        <v>2027</v>
      </c>
      <c r="D1794" s="37">
        <v>2180</v>
      </c>
      <c r="E1794" s="37">
        <v>10</v>
      </c>
      <c r="F1794" s="37">
        <f t="shared" ref="F1794:F1801" si="82">D1794*E1794</f>
        <v>21800</v>
      </c>
    </row>
    <row r="1795" spans="2:6" ht="18" thickBot="1">
      <c r="B1795" s="37">
        <v>3</v>
      </c>
      <c r="C1795" s="52" t="s">
        <v>2027</v>
      </c>
      <c r="D1795" s="37">
        <v>2140</v>
      </c>
      <c r="E1795" s="37">
        <v>2</v>
      </c>
      <c r="F1795" s="37">
        <f t="shared" si="82"/>
        <v>4280</v>
      </c>
    </row>
    <row r="1796" spans="2:6" ht="18" thickBot="1">
      <c r="B1796" s="37">
        <v>4</v>
      </c>
      <c r="C1796" s="52" t="s">
        <v>2027</v>
      </c>
      <c r="D1796" s="37">
        <v>2100</v>
      </c>
      <c r="E1796" s="37">
        <v>15</v>
      </c>
      <c r="F1796" s="37">
        <f t="shared" si="82"/>
        <v>31500</v>
      </c>
    </row>
    <row r="1797" spans="2:6" ht="18" thickBot="1">
      <c r="B1797" s="37">
        <v>5</v>
      </c>
      <c r="C1797" s="52" t="s">
        <v>2027</v>
      </c>
      <c r="D1797" s="37">
        <v>2150</v>
      </c>
      <c r="E1797" s="37">
        <v>3</v>
      </c>
      <c r="F1797" s="37">
        <f t="shared" si="82"/>
        <v>6450</v>
      </c>
    </row>
    <row r="1798" spans="2:6" ht="18" thickBot="1">
      <c r="B1798" s="37">
        <v>6</v>
      </c>
      <c r="C1798" s="52" t="s">
        <v>2027</v>
      </c>
      <c r="D1798" s="37">
        <v>2200</v>
      </c>
      <c r="E1798" s="37">
        <v>10</v>
      </c>
      <c r="F1798" s="37">
        <f t="shared" si="82"/>
        <v>22000</v>
      </c>
    </row>
    <row r="1799" spans="2:6" ht="18" thickBot="1">
      <c r="B1799" s="37">
        <v>7</v>
      </c>
      <c r="C1799" s="52" t="s">
        <v>2027</v>
      </c>
      <c r="D1799" s="37">
        <v>2200</v>
      </c>
      <c r="E1799" s="37">
        <v>19</v>
      </c>
      <c r="F1799" s="37">
        <f t="shared" si="82"/>
        <v>41800</v>
      </c>
    </row>
    <row r="1800" spans="2:6" ht="18" thickBot="1">
      <c r="B1800" s="37">
        <v>8</v>
      </c>
      <c r="C1800" s="52" t="s">
        <v>2027</v>
      </c>
      <c r="D1800" s="37">
        <v>2200</v>
      </c>
      <c r="E1800" s="37">
        <v>10</v>
      </c>
      <c r="F1800" s="37">
        <f t="shared" si="82"/>
        <v>22000</v>
      </c>
    </row>
    <row r="1801" spans="2:6" ht="18" thickBot="1">
      <c r="B1801" s="37">
        <v>9</v>
      </c>
      <c r="C1801" s="52" t="s">
        <v>2027</v>
      </c>
      <c r="D1801" s="37">
        <v>2190</v>
      </c>
      <c r="E1801" s="37">
        <v>10</v>
      </c>
      <c r="F1801" s="37">
        <f t="shared" si="82"/>
        <v>21900</v>
      </c>
    </row>
    <row r="1802" spans="2:6" ht="18" thickBot="1">
      <c r="B1802" s="37"/>
      <c r="C1802" s="52"/>
      <c r="D1802" s="37"/>
      <c r="E1802" s="37"/>
      <c r="F1802" s="37"/>
    </row>
    <row r="1803" spans="2:6" ht="18" thickBot="1">
      <c r="B1803" s="37"/>
      <c r="C1803" s="52"/>
      <c r="D1803" s="37"/>
      <c r="E1803" s="37"/>
      <c r="F1803" s="37"/>
    </row>
    <row r="1804" spans="2:6" ht="18" thickBot="1">
      <c r="B1804" s="591" t="s">
        <v>11</v>
      </c>
      <c r="C1804" s="592"/>
      <c r="D1804" s="593"/>
      <c r="E1804" s="594"/>
      <c r="F1804" s="9">
        <f>SUM(F1793:F1803)</f>
        <v>182730</v>
      </c>
    </row>
    <row r="1808" spans="2:6" ht="15.6">
      <c r="B1808" s="3" t="s">
        <v>1</v>
      </c>
      <c r="C1808" s="1" t="s">
        <v>2219</v>
      </c>
    </row>
    <row r="1810" spans="2:6" ht="15.6">
      <c r="B1810" s="3" t="s">
        <v>2</v>
      </c>
      <c r="C1810" s="34" t="s">
        <v>2220</v>
      </c>
      <c r="D1810" s="3" t="s">
        <v>5</v>
      </c>
      <c r="E1810" s="22">
        <v>45580</v>
      </c>
    </row>
    <row r="1811" spans="2:6" ht="15.6">
      <c r="B1811" s="3" t="s">
        <v>3</v>
      </c>
    </row>
    <row r="1812" spans="2:6" ht="15.6">
      <c r="B1812" s="3" t="s">
        <v>4</v>
      </c>
    </row>
    <row r="1813" spans="2:6" ht="15" thickBot="1"/>
    <row r="1814" spans="2:6" ht="16.2" thickBot="1">
      <c r="B1814" s="10" t="s">
        <v>6</v>
      </c>
      <c r="C1814" s="10" t="s">
        <v>7</v>
      </c>
      <c r="D1814" s="4" t="s">
        <v>8</v>
      </c>
      <c r="E1814" s="10" t="s">
        <v>9</v>
      </c>
      <c r="F1814" s="5" t="s">
        <v>10</v>
      </c>
    </row>
    <row r="1815" spans="2:6" ht="15" thickBot="1">
      <c r="B1815" s="54"/>
      <c r="F1815" s="55"/>
    </row>
    <row r="1816" spans="2:6" ht="18" thickBot="1">
      <c r="B1816" s="37">
        <v>1</v>
      </c>
      <c r="C1816" s="52" t="s">
        <v>2221</v>
      </c>
      <c r="D1816" s="37">
        <v>5148</v>
      </c>
      <c r="E1816" s="37">
        <v>2</v>
      </c>
      <c r="F1816" s="37">
        <f>D1816*E1816</f>
        <v>10296</v>
      </c>
    </row>
    <row r="1817" spans="2:6" ht="18" thickBot="1">
      <c r="B1817" s="37">
        <v>2</v>
      </c>
      <c r="C1817" s="52"/>
      <c r="D1817" s="37"/>
      <c r="E1817" s="37"/>
      <c r="F1817" s="37">
        <f t="shared" ref="F1817:F1820" si="83">D1817*E1817</f>
        <v>0</v>
      </c>
    </row>
    <row r="1818" spans="2:6" ht="18" thickBot="1">
      <c r="B1818" s="37">
        <v>3</v>
      </c>
      <c r="C1818" s="52"/>
      <c r="D1818" s="37"/>
      <c r="E1818" s="37"/>
      <c r="F1818" s="37">
        <f t="shared" si="83"/>
        <v>0</v>
      </c>
    </row>
    <row r="1819" spans="2:6" ht="18" thickBot="1">
      <c r="B1819" s="37">
        <v>4</v>
      </c>
      <c r="C1819" s="52"/>
      <c r="D1819" s="37"/>
      <c r="E1819" s="37"/>
      <c r="F1819" s="37">
        <f t="shared" si="83"/>
        <v>0</v>
      </c>
    </row>
    <row r="1820" spans="2:6" ht="18" thickBot="1">
      <c r="B1820" s="37"/>
      <c r="C1820" s="52"/>
      <c r="D1820" s="37"/>
      <c r="E1820" s="37"/>
      <c r="F1820" s="37">
        <f t="shared" si="83"/>
        <v>0</v>
      </c>
    </row>
    <row r="1821" spans="2:6" ht="18" thickBot="1">
      <c r="B1821" s="591" t="s">
        <v>11</v>
      </c>
      <c r="C1821" s="592"/>
      <c r="D1821" s="593"/>
      <c r="E1821" s="594"/>
      <c r="F1821" s="9">
        <f>SUM(F1816:F1820)</f>
        <v>10296</v>
      </c>
    </row>
    <row r="1824" spans="2:6" ht="15.6">
      <c r="B1824" s="3" t="s">
        <v>1</v>
      </c>
      <c r="C1824" s="1" t="s">
        <v>2222</v>
      </c>
    </row>
    <row r="1826" spans="2:6" ht="15.6">
      <c r="B1826" s="3" t="s">
        <v>2</v>
      </c>
      <c r="C1826" s="34" t="s">
        <v>2223</v>
      </c>
      <c r="D1826" s="3" t="s">
        <v>5</v>
      </c>
      <c r="E1826" s="22">
        <v>45580</v>
      </c>
    </row>
    <row r="1827" spans="2:6" ht="15.6">
      <c r="B1827" s="3" t="s">
        <v>3</v>
      </c>
    </row>
    <row r="1828" spans="2:6" ht="15.6">
      <c r="B1828" s="3" t="s">
        <v>4</v>
      </c>
    </row>
    <row r="1829" spans="2:6" ht="15" thickBot="1"/>
    <row r="1830" spans="2:6" ht="16.2" thickBot="1">
      <c r="B1830" s="10" t="s">
        <v>6</v>
      </c>
      <c r="C1830" s="10" t="s">
        <v>7</v>
      </c>
      <c r="D1830" s="4" t="s">
        <v>8</v>
      </c>
      <c r="E1830" s="10" t="s">
        <v>9</v>
      </c>
      <c r="F1830" s="5" t="s">
        <v>10</v>
      </c>
    </row>
    <row r="1831" spans="2:6" ht="15" thickBot="1">
      <c r="B1831" s="54"/>
      <c r="F1831" s="55"/>
    </row>
    <row r="1832" spans="2:6" ht="18" thickBot="1">
      <c r="B1832" s="37">
        <v>1</v>
      </c>
      <c r="C1832" s="52" t="s">
        <v>2221</v>
      </c>
      <c r="D1832" s="37">
        <v>4700</v>
      </c>
      <c r="E1832" s="37">
        <v>11</v>
      </c>
      <c r="F1832" s="37">
        <f>D1832*E1832</f>
        <v>51700</v>
      </c>
    </row>
    <row r="1833" spans="2:6" ht="18" thickBot="1">
      <c r="B1833" s="37">
        <v>2</v>
      </c>
      <c r="C1833" s="52"/>
      <c r="D1833" s="37"/>
      <c r="E1833" s="37"/>
      <c r="F1833" s="37">
        <f t="shared" ref="F1833:F1836" si="84">D1833*E1833</f>
        <v>0</v>
      </c>
    </row>
    <row r="1834" spans="2:6" ht="18" thickBot="1">
      <c r="B1834" s="37">
        <v>3</v>
      </c>
      <c r="C1834" s="52"/>
      <c r="D1834" s="37"/>
      <c r="E1834" s="37"/>
      <c r="F1834" s="37">
        <f t="shared" si="84"/>
        <v>0</v>
      </c>
    </row>
    <row r="1835" spans="2:6" ht="18" thickBot="1">
      <c r="B1835" s="37">
        <v>4</v>
      </c>
      <c r="C1835" s="52"/>
      <c r="D1835" s="37"/>
      <c r="E1835" s="37"/>
      <c r="F1835" s="37">
        <f t="shared" si="84"/>
        <v>0</v>
      </c>
    </row>
    <row r="1836" spans="2:6" ht="18" thickBot="1">
      <c r="B1836" s="37"/>
      <c r="C1836" s="52"/>
      <c r="D1836" s="37"/>
      <c r="E1836" s="37"/>
      <c r="F1836" s="37">
        <f t="shared" si="84"/>
        <v>0</v>
      </c>
    </row>
    <row r="1837" spans="2:6" ht="18" thickBot="1">
      <c r="B1837" s="591" t="s">
        <v>11</v>
      </c>
      <c r="C1837" s="592"/>
      <c r="D1837" s="593"/>
      <c r="E1837" s="594"/>
      <c r="F1837" s="9">
        <f>SUM(F1832:F1836)</f>
        <v>51700</v>
      </c>
    </row>
    <row r="1839" spans="2:6" ht="15.6">
      <c r="B1839" s="3" t="s">
        <v>1</v>
      </c>
      <c r="C1839" s="1" t="s">
        <v>2231</v>
      </c>
    </row>
    <row r="1841" spans="2:6" ht="15.6">
      <c r="B1841" s="3" t="s">
        <v>2</v>
      </c>
      <c r="C1841" s="34" t="s">
        <v>2232</v>
      </c>
      <c r="D1841" s="3" t="s">
        <v>5</v>
      </c>
      <c r="E1841" s="22">
        <v>45580</v>
      </c>
    </row>
    <row r="1842" spans="2:6" ht="15.6">
      <c r="B1842" s="3" t="s">
        <v>3</v>
      </c>
    </row>
    <row r="1843" spans="2:6" ht="15.6">
      <c r="B1843" s="3" t="s">
        <v>4</v>
      </c>
    </row>
    <row r="1844" spans="2:6" ht="15" thickBot="1"/>
    <row r="1845" spans="2:6" ht="16.2" thickBot="1">
      <c r="B1845" s="10" t="s">
        <v>6</v>
      </c>
      <c r="C1845" s="10" t="s">
        <v>7</v>
      </c>
      <c r="D1845" s="4" t="s">
        <v>8</v>
      </c>
      <c r="E1845" s="10" t="s">
        <v>9</v>
      </c>
      <c r="F1845" s="5" t="s">
        <v>10</v>
      </c>
    </row>
    <row r="1846" spans="2:6" ht="15" thickBot="1">
      <c r="B1846" s="54"/>
      <c r="F1846" s="55"/>
    </row>
    <row r="1847" spans="2:6" ht="18" thickBot="1">
      <c r="B1847" s="37">
        <v>1</v>
      </c>
      <c r="C1847" s="52" t="s">
        <v>2221</v>
      </c>
      <c r="D1847" s="37">
        <v>4850</v>
      </c>
      <c r="E1847" s="37">
        <v>1</v>
      </c>
      <c r="F1847" s="37">
        <f>D1847*E1847</f>
        <v>4850</v>
      </c>
    </row>
    <row r="1848" spans="2:6" ht="18" thickBot="1">
      <c r="B1848" s="37">
        <v>2</v>
      </c>
      <c r="C1848" s="52"/>
      <c r="D1848" s="37"/>
      <c r="E1848" s="37"/>
      <c r="F1848" s="37">
        <f t="shared" ref="F1848:F1851" si="85">D1848*E1848</f>
        <v>0</v>
      </c>
    </row>
    <row r="1849" spans="2:6" ht="18" thickBot="1">
      <c r="B1849" s="37">
        <v>3</v>
      </c>
      <c r="C1849" s="52"/>
      <c r="D1849" s="37"/>
      <c r="E1849" s="37"/>
      <c r="F1849" s="37">
        <f t="shared" si="85"/>
        <v>0</v>
      </c>
    </row>
    <row r="1850" spans="2:6" ht="18" thickBot="1">
      <c r="B1850" s="37">
        <v>4</v>
      </c>
      <c r="C1850" s="52"/>
      <c r="D1850" s="37"/>
      <c r="E1850" s="37"/>
      <c r="F1850" s="37">
        <f t="shared" si="85"/>
        <v>0</v>
      </c>
    </row>
    <row r="1851" spans="2:6" ht="18" thickBot="1">
      <c r="B1851" s="37"/>
      <c r="C1851" s="52"/>
      <c r="D1851" s="37"/>
      <c r="E1851" s="37"/>
      <c r="F1851" s="37">
        <f t="shared" si="85"/>
        <v>0</v>
      </c>
    </row>
    <row r="1852" spans="2:6" ht="18" thickBot="1">
      <c r="B1852" s="591" t="s">
        <v>11</v>
      </c>
      <c r="C1852" s="592"/>
      <c r="D1852" s="593"/>
      <c r="E1852" s="594"/>
      <c r="F1852" s="9">
        <f>SUM(F1847:F1851)</f>
        <v>4850</v>
      </c>
    </row>
    <row r="1855" spans="2:6" ht="15.6">
      <c r="B1855" s="3" t="s">
        <v>1</v>
      </c>
      <c r="C1855" s="1" t="s">
        <v>2234</v>
      </c>
    </row>
    <row r="1857" spans="2:6" ht="15.6">
      <c r="B1857" s="3" t="s">
        <v>2</v>
      </c>
      <c r="C1857" s="34" t="s">
        <v>2235</v>
      </c>
      <c r="D1857" s="3" t="s">
        <v>5</v>
      </c>
      <c r="E1857" s="22">
        <v>45580</v>
      </c>
    </row>
    <row r="1858" spans="2:6" ht="15.6">
      <c r="B1858" s="3" t="s">
        <v>3</v>
      </c>
    </row>
    <row r="1859" spans="2:6" ht="15.6">
      <c r="B1859" s="3" t="s">
        <v>4</v>
      </c>
    </row>
    <row r="1860" spans="2:6" ht="15" thickBot="1"/>
    <row r="1861" spans="2:6" ht="16.2" thickBot="1">
      <c r="B1861" s="10" t="s">
        <v>6</v>
      </c>
      <c r="C1861" s="10" t="s">
        <v>7</v>
      </c>
      <c r="D1861" s="4" t="s">
        <v>8</v>
      </c>
      <c r="E1861" s="10" t="s">
        <v>9</v>
      </c>
      <c r="F1861" s="5" t="s">
        <v>10</v>
      </c>
    </row>
    <row r="1862" spans="2:6" ht="15" thickBot="1">
      <c r="B1862" s="54"/>
      <c r="F1862" s="55"/>
    </row>
    <row r="1863" spans="2:6" ht="18" thickBot="1">
      <c r="B1863" s="37">
        <v>1</v>
      </c>
      <c r="C1863" s="52" t="s">
        <v>2236</v>
      </c>
      <c r="D1863" s="37">
        <v>6130</v>
      </c>
      <c r="E1863" s="37">
        <v>2</v>
      </c>
      <c r="F1863" s="37">
        <f>D1863*E1863</f>
        <v>12260</v>
      </c>
    </row>
    <row r="1864" spans="2:6" ht="18" thickBot="1">
      <c r="B1864" s="37">
        <v>2</v>
      </c>
      <c r="C1864" s="52"/>
      <c r="D1864" s="37"/>
      <c r="E1864" s="37"/>
      <c r="F1864" s="37">
        <f t="shared" ref="F1864:F1867" si="86">D1864*E1864</f>
        <v>0</v>
      </c>
    </row>
    <row r="1865" spans="2:6" ht="18" thickBot="1">
      <c r="B1865" s="37">
        <v>3</v>
      </c>
      <c r="C1865" s="52"/>
      <c r="D1865" s="37"/>
      <c r="E1865" s="37"/>
      <c r="F1865" s="37">
        <f t="shared" si="86"/>
        <v>0</v>
      </c>
    </row>
    <row r="1866" spans="2:6" ht="18" thickBot="1">
      <c r="B1866" s="37">
        <v>4</v>
      </c>
      <c r="C1866" s="52"/>
      <c r="D1866" s="37"/>
      <c r="E1866" s="37"/>
      <c r="F1866" s="37">
        <f t="shared" si="86"/>
        <v>0</v>
      </c>
    </row>
    <row r="1867" spans="2:6" ht="18" thickBot="1">
      <c r="B1867" s="37"/>
      <c r="C1867" s="52"/>
      <c r="D1867" s="37"/>
      <c r="E1867" s="37"/>
      <c r="F1867" s="37">
        <f t="shared" si="86"/>
        <v>0</v>
      </c>
    </row>
    <row r="1868" spans="2:6" ht="18" thickBot="1">
      <c r="B1868" s="591" t="s">
        <v>11</v>
      </c>
      <c r="C1868" s="592"/>
      <c r="D1868" s="593"/>
      <c r="E1868" s="594"/>
      <c r="F1868" s="9">
        <f>SUM(F1863:F1867)</f>
        <v>12260</v>
      </c>
    </row>
    <row r="1871" spans="2:6" ht="15.6">
      <c r="B1871" s="3" t="s">
        <v>1</v>
      </c>
      <c r="C1871" s="1" t="s">
        <v>2238</v>
      </c>
    </row>
    <row r="1873" spans="2:7" ht="15.6">
      <c r="B1873" s="3" t="s">
        <v>2</v>
      </c>
      <c r="C1873" s="34" t="s">
        <v>2223</v>
      </c>
      <c r="D1873" s="3" t="s">
        <v>5</v>
      </c>
      <c r="E1873" s="22">
        <v>45580</v>
      </c>
    </row>
    <row r="1874" spans="2:7" ht="15.6">
      <c r="B1874" s="3" t="s">
        <v>3</v>
      </c>
    </row>
    <row r="1875" spans="2:7" ht="15.6">
      <c r="B1875" s="3" t="s">
        <v>4</v>
      </c>
    </row>
    <row r="1876" spans="2:7" ht="15" thickBot="1"/>
    <row r="1877" spans="2:7" ht="16.2" thickBot="1">
      <c r="B1877" s="10" t="s">
        <v>6</v>
      </c>
      <c r="C1877" s="10" t="s">
        <v>7</v>
      </c>
      <c r="D1877" s="4" t="s">
        <v>8</v>
      </c>
      <c r="E1877" s="10" t="s">
        <v>9</v>
      </c>
      <c r="F1877" s="5" t="s">
        <v>10</v>
      </c>
    </row>
    <row r="1878" spans="2:7" ht="15" thickBot="1">
      <c r="B1878" s="54"/>
      <c r="F1878" s="55"/>
    </row>
    <row r="1879" spans="2:7" ht="18" thickBot="1">
      <c r="B1879" s="37">
        <v>1</v>
      </c>
      <c r="C1879" s="52" t="s">
        <v>2097</v>
      </c>
      <c r="D1879" s="37">
        <v>1205</v>
      </c>
      <c r="E1879" s="37">
        <v>20</v>
      </c>
      <c r="F1879" s="37">
        <f>D1879*E1879</f>
        <v>24100</v>
      </c>
      <c r="G1879" s="1" t="s">
        <v>2324</v>
      </c>
    </row>
    <row r="1880" spans="2:7" ht="18" thickBot="1">
      <c r="B1880" s="37">
        <v>2</v>
      </c>
      <c r="C1880" s="52" t="s">
        <v>2027</v>
      </c>
      <c r="D1880" s="37">
        <v>2120</v>
      </c>
      <c r="E1880" s="37">
        <v>1</v>
      </c>
      <c r="F1880" s="37">
        <f t="shared" ref="F1880:F1883" si="87">D1880*E1880</f>
        <v>2120</v>
      </c>
      <c r="G1880" s="1" t="s">
        <v>2324</v>
      </c>
    </row>
    <row r="1881" spans="2:7" ht="18" thickBot="1">
      <c r="B1881" s="37">
        <v>3</v>
      </c>
      <c r="C1881" s="52" t="s">
        <v>2097</v>
      </c>
      <c r="D1881" s="37">
        <v>1192</v>
      </c>
      <c r="E1881" s="37">
        <v>40</v>
      </c>
      <c r="F1881" s="37">
        <f t="shared" si="87"/>
        <v>47680</v>
      </c>
      <c r="G1881" s="1" t="s">
        <v>2324</v>
      </c>
    </row>
    <row r="1882" spans="2:7" ht="18" thickBot="1">
      <c r="B1882" s="37">
        <v>4</v>
      </c>
      <c r="C1882" s="52" t="s">
        <v>2097</v>
      </c>
      <c r="D1882" s="37">
        <v>1210</v>
      </c>
      <c r="E1882" s="37">
        <v>20</v>
      </c>
      <c r="F1882" s="37">
        <f t="shared" si="87"/>
        <v>24200</v>
      </c>
      <c r="G1882" s="1" t="s">
        <v>2324</v>
      </c>
    </row>
    <row r="1883" spans="2:7" ht="18" thickBot="1">
      <c r="B1883" s="37"/>
      <c r="C1883" s="52"/>
      <c r="D1883" s="37"/>
      <c r="E1883" s="37"/>
      <c r="F1883" s="37">
        <f t="shared" si="87"/>
        <v>0</v>
      </c>
    </row>
    <row r="1884" spans="2:7" ht="18" thickBot="1">
      <c r="B1884" s="591" t="s">
        <v>11</v>
      </c>
      <c r="C1884" s="592"/>
      <c r="D1884" s="593"/>
      <c r="E1884" s="594"/>
      <c r="F1884" s="9">
        <f>SUM(F1879:F1883)</f>
        <v>98100</v>
      </c>
    </row>
    <row r="1887" spans="2:7" ht="15.6">
      <c r="B1887" s="3" t="s">
        <v>1</v>
      </c>
      <c r="C1887" s="1" t="s">
        <v>2278</v>
      </c>
    </row>
    <row r="1889" spans="2:7" ht="15.6">
      <c r="B1889" s="3" t="s">
        <v>2</v>
      </c>
      <c r="C1889" s="34" t="s">
        <v>2266</v>
      </c>
      <c r="D1889" s="3" t="s">
        <v>5</v>
      </c>
      <c r="E1889" s="22">
        <v>45580</v>
      </c>
    </row>
    <row r="1890" spans="2:7" ht="15.6">
      <c r="B1890" s="3" t="s">
        <v>3</v>
      </c>
    </row>
    <row r="1891" spans="2:7" ht="15.6">
      <c r="B1891" s="3" t="s">
        <v>4</v>
      </c>
    </row>
    <row r="1892" spans="2:7" ht="15" thickBot="1"/>
    <row r="1893" spans="2:7" ht="16.2" thickBot="1">
      <c r="B1893" s="10" t="s">
        <v>6</v>
      </c>
      <c r="C1893" s="10" t="s">
        <v>7</v>
      </c>
      <c r="D1893" s="4" t="s">
        <v>8</v>
      </c>
      <c r="E1893" s="10" t="s">
        <v>9</v>
      </c>
      <c r="F1893" s="5" t="s">
        <v>10</v>
      </c>
    </row>
    <row r="1894" spans="2:7" ht="15" thickBot="1">
      <c r="B1894" s="54"/>
      <c r="F1894" s="55"/>
    </row>
    <row r="1895" spans="2:7" ht="18" thickBot="1">
      <c r="B1895" s="37">
        <v>1</v>
      </c>
      <c r="C1895" s="52" t="s">
        <v>2225</v>
      </c>
      <c r="D1895" s="37">
        <v>4600</v>
      </c>
      <c r="E1895" s="37">
        <v>4</v>
      </c>
      <c r="F1895" s="37">
        <f>D1895*E1895</f>
        <v>18400</v>
      </c>
      <c r="G1895" s="1" t="s">
        <v>2324</v>
      </c>
    </row>
    <row r="1896" spans="2:7" ht="18" thickBot="1">
      <c r="B1896" s="37">
        <v>2</v>
      </c>
      <c r="C1896" s="52" t="s">
        <v>2226</v>
      </c>
      <c r="D1896" s="37">
        <v>6550</v>
      </c>
      <c r="E1896" s="37">
        <v>2</v>
      </c>
      <c r="F1896" s="37">
        <f t="shared" ref="F1896:F1899" si="88">D1896*E1896</f>
        <v>13100</v>
      </c>
      <c r="G1896" s="1" t="s">
        <v>2324</v>
      </c>
    </row>
    <row r="1897" spans="2:7" ht="18" thickBot="1">
      <c r="B1897" s="37">
        <v>3</v>
      </c>
      <c r="C1897" s="52"/>
      <c r="D1897" s="37"/>
      <c r="E1897" s="37"/>
      <c r="F1897" s="37">
        <f t="shared" si="88"/>
        <v>0</v>
      </c>
    </row>
    <row r="1898" spans="2:7" ht="18" thickBot="1">
      <c r="B1898" s="37">
        <v>4</v>
      </c>
      <c r="C1898" s="52"/>
      <c r="D1898" s="37"/>
      <c r="E1898" s="37"/>
      <c r="F1898" s="37">
        <f t="shared" si="88"/>
        <v>0</v>
      </c>
    </row>
    <row r="1899" spans="2:7" ht="18" thickBot="1">
      <c r="B1899" s="37"/>
      <c r="C1899" s="52"/>
      <c r="D1899" s="37"/>
      <c r="E1899" s="37"/>
      <c r="F1899" s="37">
        <f t="shared" si="88"/>
        <v>0</v>
      </c>
    </row>
    <row r="1900" spans="2:7" ht="18" thickBot="1">
      <c r="B1900" s="591" t="s">
        <v>11</v>
      </c>
      <c r="C1900" s="592"/>
      <c r="D1900" s="593"/>
      <c r="E1900" s="594"/>
      <c r="F1900" s="9">
        <f>SUM(F1895:F1899)</f>
        <v>31500</v>
      </c>
    </row>
    <row r="1903" spans="2:7" ht="15.6">
      <c r="B1903" s="3" t="s">
        <v>1</v>
      </c>
      <c r="C1903" s="1" t="s">
        <v>2280</v>
      </c>
    </row>
    <row r="1905" spans="2:7" ht="15.6">
      <c r="B1905" s="3" t="s">
        <v>2</v>
      </c>
      <c r="C1905" s="34" t="s">
        <v>2100</v>
      </c>
      <c r="D1905" s="3" t="s">
        <v>5</v>
      </c>
      <c r="E1905" s="22">
        <v>45582</v>
      </c>
      <c r="G1905" s="1" t="s">
        <v>2282</v>
      </c>
    </row>
    <row r="1906" spans="2:7" ht="15.6">
      <c r="B1906" s="3" t="s">
        <v>3</v>
      </c>
    </row>
    <row r="1907" spans="2:7" ht="15.6">
      <c r="B1907" s="3" t="s">
        <v>4</v>
      </c>
    </row>
    <row r="1908" spans="2:7" ht="15" thickBot="1"/>
    <row r="1909" spans="2:7" ht="16.2" thickBot="1">
      <c r="B1909" s="10" t="s">
        <v>6</v>
      </c>
      <c r="C1909" s="10" t="s">
        <v>7</v>
      </c>
      <c r="D1909" s="4" t="s">
        <v>8</v>
      </c>
      <c r="E1909" s="10" t="s">
        <v>9</v>
      </c>
      <c r="F1909" s="5" t="s">
        <v>10</v>
      </c>
    </row>
    <row r="1910" spans="2:7" ht="15" thickBot="1">
      <c r="B1910" s="54"/>
      <c r="F1910" s="55"/>
    </row>
    <row r="1911" spans="2:7" ht="18" thickBot="1">
      <c r="B1911" s="37">
        <v>1</v>
      </c>
      <c r="C1911" s="52" t="s">
        <v>2027</v>
      </c>
      <c r="D1911" s="37">
        <v>2200</v>
      </c>
      <c r="E1911" s="37">
        <v>2</v>
      </c>
      <c r="F1911" s="37">
        <f>D1911*E1911</f>
        <v>4400</v>
      </c>
      <c r="G1911" s="1" t="s">
        <v>2324</v>
      </c>
    </row>
    <row r="1912" spans="2:7" ht="18" thickBot="1">
      <c r="B1912" s="37">
        <v>2</v>
      </c>
      <c r="C1912" s="52" t="s">
        <v>2027</v>
      </c>
      <c r="D1912" s="37">
        <v>2140</v>
      </c>
      <c r="E1912" s="37">
        <v>10</v>
      </c>
      <c r="F1912" s="37">
        <f t="shared" ref="F1912:F1915" si="89">D1912*E1912</f>
        <v>21400</v>
      </c>
      <c r="G1912" s="1" t="s">
        <v>2324</v>
      </c>
    </row>
    <row r="1913" spans="2:7" ht="18" thickBot="1">
      <c r="B1913" s="37">
        <v>3</v>
      </c>
      <c r="C1913" s="52" t="s">
        <v>2281</v>
      </c>
      <c r="D1913" s="37">
        <v>-130</v>
      </c>
      <c r="E1913" s="37">
        <v>1</v>
      </c>
      <c r="F1913" s="37">
        <f t="shared" si="89"/>
        <v>-130</v>
      </c>
    </row>
    <row r="1914" spans="2:7" ht="18" thickBot="1">
      <c r="B1914" s="37"/>
      <c r="C1914" s="52"/>
      <c r="D1914" s="37"/>
      <c r="E1914" s="37"/>
      <c r="F1914" s="37">
        <f t="shared" si="89"/>
        <v>0</v>
      </c>
    </row>
    <row r="1915" spans="2:7" ht="18" thickBot="1">
      <c r="B1915" s="37"/>
      <c r="C1915" s="52"/>
      <c r="D1915" s="37"/>
      <c r="E1915" s="37"/>
      <c r="F1915" s="37">
        <f t="shared" si="89"/>
        <v>0</v>
      </c>
    </row>
    <row r="1916" spans="2:7" ht="18" thickBot="1">
      <c r="B1916" s="591" t="s">
        <v>11</v>
      </c>
      <c r="C1916" s="592"/>
      <c r="D1916" s="593"/>
      <c r="E1916" s="594"/>
      <c r="F1916" s="9">
        <f>SUM(F1911:F1915)</f>
        <v>25670</v>
      </c>
    </row>
    <row r="1919" spans="2:7" ht="15.6">
      <c r="B1919" s="3" t="s">
        <v>1</v>
      </c>
      <c r="C1919" s="1" t="s">
        <v>2286</v>
      </c>
    </row>
    <row r="1921" spans="2:7" ht="15.6">
      <c r="B1921" s="3" t="s">
        <v>2</v>
      </c>
      <c r="C1921" s="34" t="s">
        <v>2287</v>
      </c>
      <c r="D1921" s="3" t="s">
        <v>5</v>
      </c>
      <c r="E1921" s="22">
        <v>45584</v>
      </c>
    </row>
    <row r="1922" spans="2:7" ht="15.6">
      <c r="B1922" s="3" t="s">
        <v>3</v>
      </c>
    </row>
    <row r="1923" spans="2:7" ht="15.6">
      <c r="B1923" s="3" t="s">
        <v>4</v>
      </c>
    </row>
    <row r="1924" spans="2:7" ht="15" thickBot="1"/>
    <row r="1925" spans="2:7" ht="16.2" thickBot="1">
      <c r="B1925" s="10" t="s">
        <v>6</v>
      </c>
      <c r="C1925" s="10" t="s">
        <v>7</v>
      </c>
      <c r="D1925" s="4" t="s">
        <v>8</v>
      </c>
      <c r="E1925" s="10" t="s">
        <v>9</v>
      </c>
      <c r="F1925" s="5" t="s">
        <v>10</v>
      </c>
    </row>
    <row r="1926" spans="2:7" ht="15" thickBot="1">
      <c r="B1926" s="54"/>
      <c r="F1926" s="55"/>
    </row>
    <row r="1927" spans="2:7" ht="18" thickBot="1">
      <c r="B1927" s="37">
        <v>1</v>
      </c>
      <c r="C1927" s="52" t="s">
        <v>689</v>
      </c>
      <c r="D1927" s="37">
        <v>2650</v>
      </c>
      <c r="E1927" s="37">
        <v>2</v>
      </c>
      <c r="F1927" s="37">
        <f>D1927*E1927</f>
        <v>5300</v>
      </c>
      <c r="G1927" s="1" t="s">
        <v>2324</v>
      </c>
    </row>
    <row r="1928" spans="2:7" ht="18" thickBot="1">
      <c r="B1928" s="37">
        <v>2</v>
      </c>
      <c r="C1928" s="52"/>
      <c r="D1928" s="37"/>
      <c r="E1928" s="37"/>
      <c r="F1928" s="37">
        <f t="shared" ref="F1928:F1931" si="90">D1928*E1928</f>
        <v>0</v>
      </c>
    </row>
    <row r="1929" spans="2:7" ht="18" thickBot="1">
      <c r="B1929" s="37">
        <v>3</v>
      </c>
      <c r="C1929" s="52"/>
      <c r="D1929" s="37"/>
      <c r="E1929" s="37"/>
      <c r="F1929" s="37">
        <f t="shared" si="90"/>
        <v>0</v>
      </c>
    </row>
    <row r="1930" spans="2:7" ht="18" thickBot="1">
      <c r="B1930" s="37"/>
      <c r="C1930" s="52"/>
      <c r="D1930" s="37"/>
      <c r="E1930" s="37"/>
      <c r="F1930" s="37">
        <f t="shared" si="90"/>
        <v>0</v>
      </c>
    </row>
    <row r="1931" spans="2:7" ht="18" thickBot="1">
      <c r="B1931" s="37"/>
      <c r="C1931" s="52"/>
      <c r="D1931" s="37"/>
      <c r="E1931" s="37"/>
      <c r="F1931" s="37">
        <f t="shared" si="90"/>
        <v>0</v>
      </c>
    </row>
    <row r="1932" spans="2:7" ht="18" thickBot="1">
      <c r="B1932" s="591" t="s">
        <v>11</v>
      </c>
      <c r="C1932" s="592"/>
      <c r="D1932" s="593"/>
      <c r="E1932" s="594"/>
      <c r="F1932" s="9">
        <f>SUM(F1927:F1931)</f>
        <v>5300</v>
      </c>
    </row>
    <row r="1935" spans="2:7" ht="15.6">
      <c r="B1935" s="3" t="s">
        <v>1</v>
      </c>
      <c r="C1935" s="1" t="s">
        <v>2289</v>
      </c>
    </row>
    <row r="1937" spans="2:7" ht="15.6">
      <c r="B1937" s="3" t="s">
        <v>2</v>
      </c>
      <c r="C1937" s="34" t="s">
        <v>2290</v>
      </c>
      <c r="D1937" s="3" t="s">
        <v>5</v>
      </c>
      <c r="E1937" s="22">
        <v>45586</v>
      </c>
    </row>
    <row r="1938" spans="2:7" ht="15.6">
      <c r="B1938" s="3" t="s">
        <v>3</v>
      </c>
    </row>
    <row r="1939" spans="2:7" ht="15.6">
      <c r="B1939" s="3" t="s">
        <v>4</v>
      </c>
    </row>
    <row r="1940" spans="2:7" ht="15" thickBot="1"/>
    <row r="1941" spans="2:7" ht="16.2" thickBot="1">
      <c r="B1941" s="10" t="s">
        <v>6</v>
      </c>
      <c r="C1941" s="10" t="s">
        <v>7</v>
      </c>
      <c r="D1941" s="4" t="s">
        <v>8</v>
      </c>
      <c r="E1941" s="10" t="s">
        <v>9</v>
      </c>
      <c r="F1941" s="5" t="s">
        <v>10</v>
      </c>
    </row>
    <row r="1942" spans="2:7" ht="15" thickBot="1">
      <c r="B1942" s="54"/>
      <c r="F1942" s="55"/>
    </row>
    <row r="1943" spans="2:7" ht="18" thickBot="1">
      <c r="B1943" s="37">
        <v>1</v>
      </c>
      <c r="C1943" s="52" t="s">
        <v>2097</v>
      </c>
      <c r="D1943" s="37">
        <v>1170</v>
      </c>
      <c r="E1943" s="37">
        <v>20</v>
      </c>
      <c r="F1943" s="37">
        <f>D1943*E1943</f>
        <v>23400</v>
      </c>
      <c r="G1943" s="1" t="s">
        <v>2324</v>
      </c>
    </row>
    <row r="1944" spans="2:7" ht="18" thickBot="1">
      <c r="B1944" s="37">
        <v>2</v>
      </c>
      <c r="C1944" s="52" t="s">
        <v>2027</v>
      </c>
      <c r="D1944" s="37">
        <v>1870</v>
      </c>
      <c r="E1944" s="37">
        <v>10</v>
      </c>
      <c r="F1944" s="37">
        <f t="shared" ref="F1944:F1949" si="91">D1944*E1944</f>
        <v>18700</v>
      </c>
      <c r="G1944" s="1" t="s">
        <v>2324</v>
      </c>
    </row>
    <row r="1945" spans="2:7" ht="18" thickBot="1">
      <c r="B1945" s="37">
        <v>3</v>
      </c>
      <c r="C1945" s="52" t="s">
        <v>2027</v>
      </c>
      <c r="D1945" s="37">
        <v>1950</v>
      </c>
      <c r="E1945" s="37">
        <v>8</v>
      </c>
      <c r="F1945" s="37">
        <f t="shared" si="91"/>
        <v>15600</v>
      </c>
      <c r="G1945" s="1" t="s">
        <v>2324</v>
      </c>
    </row>
    <row r="1946" spans="2:7" ht="18" thickBot="1">
      <c r="B1946" s="37">
        <v>4</v>
      </c>
      <c r="C1946" s="52" t="s">
        <v>2097</v>
      </c>
      <c r="D1946" s="37">
        <v>1150</v>
      </c>
      <c r="E1946" s="37">
        <v>10</v>
      </c>
      <c r="F1946" s="37">
        <f t="shared" si="91"/>
        <v>11500</v>
      </c>
      <c r="G1946" s="1" t="s">
        <v>2324</v>
      </c>
    </row>
    <row r="1947" spans="2:7" ht="18" thickBot="1">
      <c r="B1947" s="37">
        <v>5</v>
      </c>
      <c r="C1947" s="52" t="s">
        <v>2027</v>
      </c>
      <c r="D1947" s="37">
        <v>1900</v>
      </c>
      <c r="E1947" s="37">
        <v>1</v>
      </c>
      <c r="F1947" s="37">
        <f t="shared" si="91"/>
        <v>1900</v>
      </c>
      <c r="G1947" s="1" t="s">
        <v>2324</v>
      </c>
    </row>
    <row r="1948" spans="2:7" ht="18" thickBot="1">
      <c r="B1948" s="37">
        <v>6</v>
      </c>
      <c r="C1948" s="52" t="s">
        <v>2097</v>
      </c>
      <c r="D1948" s="37">
        <v>1200</v>
      </c>
      <c r="E1948" s="37">
        <v>2</v>
      </c>
      <c r="F1948" s="37">
        <f t="shared" si="91"/>
        <v>2400</v>
      </c>
      <c r="G1948" s="1" t="s">
        <v>2324</v>
      </c>
    </row>
    <row r="1949" spans="2:7" ht="18" thickBot="1">
      <c r="B1949" s="37"/>
      <c r="C1949" s="52"/>
      <c r="D1949" s="37"/>
      <c r="E1949" s="37"/>
      <c r="F1949" s="37">
        <f t="shared" si="91"/>
        <v>0</v>
      </c>
    </row>
    <row r="1950" spans="2:7" ht="18" thickBot="1">
      <c r="B1950" s="591" t="s">
        <v>11</v>
      </c>
      <c r="C1950" s="592"/>
      <c r="D1950" s="593"/>
      <c r="E1950" s="594"/>
      <c r="F1950" s="9">
        <f>SUM(F1943:F1949)</f>
        <v>73500</v>
      </c>
    </row>
    <row r="1953" spans="2:6" ht="15.6">
      <c r="B1953" s="3" t="s">
        <v>1</v>
      </c>
      <c r="C1953" s="1" t="s">
        <v>2291</v>
      </c>
    </row>
    <row r="1955" spans="2:6" ht="15.6">
      <c r="B1955" s="3" t="s">
        <v>2</v>
      </c>
      <c r="C1955" s="34" t="s">
        <v>2292</v>
      </c>
      <c r="D1955" s="3" t="s">
        <v>5</v>
      </c>
      <c r="E1955" s="22">
        <v>45586</v>
      </c>
    </row>
    <row r="1956" spans="2:6" ht="15.6">
      <c r="B1956" s="3" t="s">
        <v>3</v>
      </c>
    </row>
    <row r="1957" spans="2:6" ht="15.6">
      <c r="B1957" s="3" t="s">
        <v>4</v>
      </c>
    </row>
    <row r="1958" spans="2:6" ht="15" thickBot="1"/>
    <row r="1959" spans="2:6" ht="16.2" thickBot="1">
      <c r="B1959" s="10" t="s">
        <v>6</v>
      </c>
      <c r="C1959" s="10" t="s">
        <v>7</v>
      </c>
      <c r="D1959" s="4" t="s">
        <v>8</v>
      </c>
      <c r="E1959" s="10" t="s">
        <v>9</v>
      </c>
      <c r="F1959" s="5" t="s">
        <v>10</v>
      </c>
    </row>
    <row r="1960" spans="2:6" ht="15" thickBot="1">
      <c r="B1960" s="54"/>
      <c r="F1960" s="55"/>
    </row>
    <row r="1961" spans="2:6" ht="18" thickBot="1">
      <c r="B1961" s="37">
        <v>1</v>
      </c>
      <c r="C1961" s="52" t="s">
        <v>2097</v>
      </c>
      <c r="D1961" s="37">
        <v>1170</v>
      </c>
      <c r="E1961" s="37">
        <v>20</v>
      </c>
      <c r="F1961" s="37">
        <f>D1961*E1961</f>
        <v>23400</v>
      </c>
    </row>
    <row r="1962" spans="2:6" ht="18" thickBot="1">
      <c r="B1962" s="37"/>
      <c r="C1962" s="52"/>
      <c r="D1962" s="37"/>
      <c r="E1962" s="37"/>
      <c r="F1962" s="37">
        <f t="shared" ref="F1962:F1963" si="92">D1962*E1962</f>
        <v>0</v>
      </c>
    </row>
    <row r="1963" spans="2:6" ht="18" thickBot="1">
      <c r="B1963" s="37"/>
      <c r="C1963" s="52"/>
      <c r="D1963" s="37"/>
      <c r="E1963" s="37"/>
      <c r="F1963" s="37">
        <f t="shared" si="92"/>
        <v>0</v>
      </c>
    </row>
    <row r="1964" spans="2:6" ht="18" thickBot="1">
      <c r="B1964" s="591" t="s">
        <v>11</v>
      </c>
      <c r="C1964" s="592"/>
      <c r="D1964" s="593"/>
      <c r="E1964" s="594"/>
      <c r="F1964" s="9">
        <f>SUM(F1961:F1963)</f>
        <v>23400</v>
      </c>
    </row>
    <row r="1967" spans="2:6" ht="15.6">
      <c r="B1967" s="3" t="s">
        <v>1</v>
      </c>
      <c r="C1967" s="1" t="s">
        <v>2295</v>
      </c>
    </row>
    <row r="1969" spans="2:6" ht="15.6">
      <c r="B1969" s="3" t="s">
        <v>2</v>
      </c>
      <c r="C1969" s="34" t="s">
        <v>2290</v>
      </c>
      <c r="D1969" s="3" t="s">
        <v>5</v>
      </c>
      <c r="E1969" s="22">
        <v>45586</v>
      </c>
    </row>
    <row r="1970" spans="2:6" ht="15.6">
      <c r="B1970" s="3" t="s">
        <v>3</v>
      </c>
    </row>
    <row r="1971" spans="2:6" ht="15.6">
      <c r="B1971" s="3" t="s">
        <v>4</v>
      </c>
    </row>
    <row r="1972" spans="2:6" ht="15" thickBot="1"/>
    <row r="1973" spans="2:6" ht="16.2" thickBot="1">
      <c r="B1973" s="10" t="s">
        <v>6</v>
      </c>
      <c r="C1973" s="10" t="s">
        <v>7</v>
      </c>
      <c r="D1973" s="4" t="s">
        <v>8</v>
      </c>
      <c r="E1973" s="10" t="s">
        <v>9</v>
      </c>
      <c r="F1973" s="5" t="s">
        <v>10</v>
      </c>
    </row>
    <row r="1974" spans="2:6" ht="15" thickBot="1">
      <c r="B1974" s="54"/>
      <c r="F1974" s="55"/>
    </row>
    <row r="1975" spans="2:6" ht="18" thickBot="1">
      <c r="B1975" s="37">
        <v>1</v>
      </c>
      <c r="C1975" s="52" t="s">
        <v>2097</v>
      </c>
      <c r="D1975" s="37">
        <v>1170</v>
      </c>
      <c r="E1975" s="37">
        <v>20</v>
      </c>
      <c r="F1975" s="37">
        <f>D1975*E1975</f>
        <v>23400</v>
      </c>
    </row>
    <row r="1976" spans="2:6" ht="18" thickBot="1">
      <c r="B1976" s="37"/>
      <c r="C1976" s="52"/>
      <c r="D1976" s="37"/>
      <c r="E1976" s="37"/>
      <c r="F1976" s="37">
        <f t="shared" ref="F1976:F1977" si="93">D1976*E1976</f>
        <v>0</v>
      </c>
    </row>
    <row r="1977" spans="2:6" ht="18" thickBot="1">
      <c r="B1977" s="37"/>
      <c r="C1977" s="52"/>
      <c r="D1977" s="37"/>
      <c r="E1977" s="37"/>
      <c r="F1977" s="37">
        <f t="shared" si="93"/>
        <v>0</v>
      </c>
    </row>
    <row r="1978" spans="2:6" ht="18" thickBot="1">
      <c r="B1978" s="591" t="s">
        <v>11</v>
      </c>
      <c r="C1978" s="592"/>
      <c r="D1978" s="593"/>
      <c r="E1978" s="594"/>
      <c r="F1978" s="9">
        <f>SUM(F1975:F1977)</f>
        <v>23400</v>
      </c>
    </row>
    <row r="1981" spans="2:6" ht="15.6">
      <c r="B1981" s="3" t="s">
        <v>1</v>
      </c>
      <c r="C1981" s="1" t="s">
        <v>2296</v>
      </c>
    </row>
    <row r="1983" spans="2:6" ht="15.6">
      <c r="B1983" s="3" t="s">
        <v>2</v>
      </c>
      <c r="C1983" s="34" t="s">
        <v>2290</v>
      </c>
      <c r="D1983" s="3" t="s">
        <v>5</v>
      </c>
      <c r="E1983" s="22">
        <v>45586</v>
      </c>
    </row>
    <row r="1984" spans="2:6" ht="15.6">
      <c r="B1984" s="3" t="s">
        <v>3</v>
      </c>
    </row>
    <row r="1985" spans="2:6" ht="15.6">
      <c r="B1985" s="3" t="s">
        <v>4</v>
      </c>
    </row>
    <row r="1986" spans="2:6" ht="15" thickBot="1"/>
    <row r="1987" spans="2:6" ht="16.2" thickBot="1">
      <c r="B1987" s="10" t="s">
        <v>6</v>
      </c>
      <c r="C1987" s="10" t="s">
        <v>7</v>
      </c>
      <c r="D1987" s="4" t="s">
        <v>8</v>
      </c>
      <c r="E1987" s="10" t="s">
        <v>9</v>
      </c>
      <c r="F1987" s="5" t="s">
        <v>10</v>
      </c>
    </row>
    <row r="1988" spans="2:6" ht="15" thickBot="1">
      <c r="B1988" s="54"/>
      <c r="F1988" s="55"/>
    </row>
    <row r="1989" spans="2:6" ht="18" thickBot="1">
      <c r="B1989" s="37">
        <v>1</v>
      </c>
      <c r="C1989" s="52" t="s">
        <v>2027</v>
      </c>
      <c r="D1989" s="37">
        <v>1870</v>
      </c>
      <c r="E1989" s="37">
        <v>48</v>
      </c>
      <c r="F1989" s="37">
        <f>D1989*E1989</f>
        <v>89760</v>
      </c>
    </row>
    <row r="1990" spans="2:6" ht="18" thickBot="1">
      <c r="B1990" s="37">
        <v>2</v>
      </c>
      <c r="C1990" s="52" t="s">
        <v>2027</v>
      </c>
      <c r="D1990" s="37">
        <v>1860</v>
      </c>
      <c r="E1990" s="37">
        <v>10</v>
      </c>
      <c r="F1990" s="37">
        <f t="shared" ref="F1990:F1992" si="94">D1990*E1990</f>
        <v>18600</v>
      </c>
    </row>
    <row r="1991" spans="2:6" ht="18" thickBot="1">
      <c r="B1991" s="37">
        <v>3</v>
      </c>
      <c r="C1991" s="52" t="s">
        <v>2097</v>
      </c>
      <c r="D1991" s="37">
        <v>1175</v>
      </c>
      <c r="E1991" s="37">
        <v>1</v>
      </c>
      <c r="F1991" s="37">
        <f t="shared" si="94"/>
        <v>1175</v>
      </c>
    </row>
    <row r="1992" spans="2:6" ht="18" thickBot="1">
      <c r="B1992" s="37">
        <v>4</v>
      </c>
      <c r="C1992" s="52" t="s">
        <v>2097</v>
      </c>
      <c r="D1992" s="37">
        <v>1175</v>
      </c>
      <c r="E1992" s="37">
        <v>3</v>
      </c>
      <c r="F1992" s="37">
        <f t="shared" si="94"/>
        <v>3525</v>
      </c>
    </row>
    <row r="1993" spans="2:6" ht="18" thickBot="1">
      <c r="B1993" s="591" t="s">
        <v>11</v>
      </c>
      <c r="C1993" s="592"/>
      <c r="D1993" s="593"/>
      <c r="E1993" s="594"/>
      <c r="F1993" s="9">
        <f>SUM(F1989:F1992)</f>
        <v>113060</v>
      </c>
    </row>
    <row r="1996" spans="2:6" ht="15.6">
      <c r="B1996" s="3" t="s">
        <v>1</v>
      </c>
      <c r="C1996" s="1" t="s">
        <v>2308</v>
      </c>
    </row>
    <row r="1998" spans="2:6" ht="15.6">
      <c r="B1998" s="3" t="s">
        <v>2</v>
      </c>
      <c r="C1998" s="34" t="s">
        <v>2290</v>
      </c>
      <c r="D1998" s="3" t="s">
        <v>5</v>
      </c>
      <c r="E1998" s="22">
        <v>45587</v>
      </c>
    </row>
    <row r="1999" spans="2:6" ht="15.6">
      <c r="B1999" s="3" t="s">
        <v>3</v>
      </c>
    </row>
    <row r="2000" spans="2:6" ht="15.6">
      <c r="B2000" s="3" t="s">
        <v>4</v>
      </c>
    </row>
    <row r="2001" spans="2:6" ht="15" thickBot="1"/>
    <row r="2002" spans="2:6" ht="16.2" thickBot="1">
      <c r="B2002" s="10" t="s">
        <v>6</v>
      </c>
      <c r="C2002" s="10" t="s">
        <v>7</v>
      </c>
      <c r="D2002" s="4" t="s">
        <v>8</v>
      </c>
      <c r="E2002" s="10" t="s">
        <v>9</v>
      </c>
      <c r="F2002" s="5" t="s">
        <v>10</v>
      </c>
    </row>
    <row r="2003" spans="2:6" ht="15" thickBot="1">
      <c r="B2003" s="54"/>
      <c r="F2003" s="55"/>
    </row>
    <row r="2004" spans="2:6" ht="18" thickBot="1">
      <c r="B2004" s="37">
        <v>1</v>
      </c>
      <c r="C2004" s="52" t="s">
        <v>2097</v>
      </c>
      <c r="D2004" s="37">
        <v>1190</v>
      </c>
      <c r="E2004" s="37">
        <v>30</v>
      </c>
      <c r="F2004" s="37">
        <f>D2004*E2004</f>
        <v>35700</v>
      </c>
    </row>
    <row r="2005" spans="2:6" ht="18" thickBot="1">
      <c r="B2005" s="37"/>
      <c r="C2005" s="52"/>
      <c r="D2005" s="37"/>
      <c r="E2005" s="37"/>
      <c r="F2005" s="37">
        <f t="shared" ref="F2005:F2006" si="95">D2005*E2005</f>
        <v>0</v>
      </c>
    </row>
    <row r="2006" spans="2:6" ht="18" thickBot="1">
      <c r="B2006" s="37"/>
      <c r="C2006" s="52"/>
      <c r="D2006" s="37"/>
      <c r="E2006" s="37"/>
      <c r="F2006" s="37">
        <f t="shared" si="95"/>
        <v>0</v>
      </c>
    </row>
    <row r="2007" spans="2:6" ht="18" thickBot="1">
      <c r="B2007" s="591" t="s">
        <v>11</v>
      </c>
      <c r="C2007" s="592"/>
      <c r="D2007" s="593"/>
      <c r="E2007" s="594"/>
      <c r="F2007" s="9">
        <f>SUM(F2004:F2006)</f>
        <v>35700</v>
      </c>
    </row>
    <row r="2009" spans="2:6" ht="15.6">
      <c r="B2009" s="3" t="s">
        <v>1</v>
      </c>
      <c r="C2009" s="1" t="s">
        <v>2309</v>
      </c>
    </row>
    <row r="2011" spans="2:6" ht="15.6">
      <c r="B2011" s="3" t="s">
        <v>2</v>
      </c>
      <c r="C2011" s="34" t="s">
        <v>2290</v>
      </c>
      <c r="D2011" s="3" t="s">
        <v>5</v>
      </c>
      <c r="E2011" s="22">
        <v>45587</v>
      </c>
    </row>
    <row r="2012" spans="2:6" ht="15.6">
      <c r="B2012" s="3" t="s">
        <v>3</v>
      </c>
    </row>
    <row r="2013" spans="2:6" ht="15.6">
      <c r="B2013" s="3" t="s">
        <v>4</v>
      </c>
    </row>
    <row r="2014" spans="2:6" ht="15" thickBot="1"/>
    <row r="2015" spans="2:6" ht="16.2" thickBot="1">
      <c r="B2015" s="10" t="s">
        <v>6</v>
      </c>
      <c r="C2015" s="10" t="s">
        <v>7</v>
      </c>
      <c r="D2015" s="4" t="s">
        <v>8</v>
      </c>
      <c r="E2015" s="10" t="s">
        <v>9</v>
      </c>
      <c r="F2015" s="5" t="s">
        <v>10</v>
      </c>
    </row>
    <row r="2016" spans="2:6" ht="15" thickBot="1">
      <c r="B2016" s="54"/>
      <c r="F2016" s="55"/>
    </row>
    <row r="2017" spans="2:6" ht="18" thickBot="1">
      <c r="B2017" s="37">
        <v>1</v>
      </c>
      <c r="C2017" s="52" t="s">
        <v>2027</v>
      </c>
      <c r="D2017" s="37">
        <v>1860</v>
      </c>
      <c r="E2017" s="37">
        <v>63</v>
      </c>
      <c r="F2017" s="37">
        <f>D2017*E2017</f>
        <v>117180</v>
      </c>
    </row>
    <row r="2018" spans="2:6" ht="18" thickBot="1">
      <c r="B2018" s="37"/>
      <c r="C2018" s="52"/>
      <c r="D2018" s="37"/>
      <c r="E2018" s="37"/>
      <c r="F2018" s="37">
        <f t="shared" ref="F2018:F2019" si="96">D2018*E2018</f>
        <v>0</v>
      </c>
    </row>
    <row r="2019" spans="2:6" ht="18" thickBot="1">
      <c r="B2019" s="37"/>
      <c r="C2019" s="52"/>
      <c r="D2019" s="37"/>
      <c r="E2019" s="37"/>
      <c r="F2019" s="37">
        <f t="shared" si="96"/>
        <v>0</v>
      </c>
    </row>
    <row r="2020" spans="2:6" ht="18" thickBot="1">
      <c r="B2020" s="591" t="s">
        <v>11</v>
      </c>
      <c r="C2020" s="592"/>
      <c r="D2020" s="593"/>
      <c r="E2020" s="594"/>
      <c r="F2020" s="9">
        <f>SUM(F2017:F2019)</f>
        <v>117180</v>
      </c>
    </row>
    <row r="2023" spans="2:6" ht="15.6">
      <c r="B2023" s="3" t="s">
        <v>1</v>
      </c>
      <c r="C2023" s="1" t="s">
        <v>2310</v>
      </c>
    </row>
    <row r="2025" spans="2:6" ht="15.6">
      <c r="B2025" s="3" t="s">
        <v>2</v>
      </c>
      <c r="C2025" s="34" t="s">
        <v>2311</v>
      </c>
      <c r="D2025" s="3" t="s">
        <v>5</v>
      </c>
      <c r="E2025" s="22">
        <v>45587</v>
      </c>
    </row>
    <row r="2026" spans="2:6" ht="15.6">
      <c r="B2026" s="3" t="s">
        <v>3</v>
      </c>
    </row>
    <row r="2027" spans="2:6" ht="15.6">
      <c r="B2027" s="3" t="s">
        <v>4</v>
      </c>
    </row>
    <row r="2028" spans="2:6" ht="15" thickBot="1"/>
    <row r="2029" spans="2:6" ht="16.2" thickBot="1">
      <c r="B2029" s="10" t="s">
        <v>6</v>
      </c>
      <c r="C2029" s="10" t="s">
        <v>7</v>
      </c>
      <c r="D2029" s="4" t="s">
        <v>8</v>
      </c>
      <c r="E2029" s="10" t="s">
        <v>9</v>
      </c>
      <c r="F2029" s="5" t="s">
        <v>10</v>
      </c>
    </row>
    <row r="2030" spans="2:6" ht="15" thickBot="1">
      <c r="B2030" s="54"/>
      <c r="F2030" s="55"/>
    </row>
    <row r="2031" spans="2:6" ht="18" thickBot="1">
      <c r="B2031" s="37">
        <v>1</v>
      </c>
      <c r="C2031" s="52" t="s">
        <v>2027</v>
      </c>
      <c r="D2031" s="37">
        <v>1875</v>
      </c>
      <c r="E2031" s="37">
        <v>1</v>
      </c>
      <c r="F2031" s="37">
        <f>D2031*E2031</f>
        <v>1875</v>
      </c>
    </row>
    <row r="2032" spans="2:6" ht="18" thickBot="1">
      <c r="B2032" s="37"/>
      <c r="C2032" s="52"/>
      <c r="D2032" s="37"/>
      <c r="E2032" s="37"/>
      <c r="F2032" s="37">
        <f t="shared" ref="F2032:F2033" si="97">D2032*E2032</f>
        <v>0</v>
      </c>
    </row>
    <row r="2033" spans="2:6" ht="18" thickBot="1">
      <c r="B2033" s="37"/>
      <c r="C2033" s="52"/>
      <c r="D2033" s="37"/>
      <c r="E2033" s="37"/>
      <c r="F2033" s="37">
        <f t="shared" si="97"/>
        <v>0</v>
      </c>
    </row>
    <row r="2034" spans="2:6" ht="18" thickBot="1">
      <c r="B2034" s="591" t="s">
        <v>11</v>
      </c>
      <c r="C2034" s="592"/>
      <c r="D2034" s="593"/>
      <c r="E2034" s="594"/>
      <c r="F2034" s="9">
        <f>SUM(F2031:F2033)</f>
        <v>1875</v>
      </c>
    </row>
    <row r="2038" spans="2:6" ht="15.6">
      <c r="B2038" s="3" t="s">
        <v>1</v>
      </c>
      <c r="C2038" s="1" t="s">
        <v>2327</v>
      </c>
    </row>
    <row r="2040" spans="2:6" ht="15.6">
      <c r="B2040" s="3" t="s">
        <v>2</v>
      </c>
      <c r="C2040" s="34" t="s">
        <v>873</v>
      </c>
      <c r="D2040" s="3" t="s">
        <v>5</v>
      </c>
      <c r="E2040" s="22">
        <v>45588</v>
      </c>
    </row>
    <row r="2041" spans="2:6" ht="15.6">
      <c r="B2041" s="3" t="s">
        <v>3</v>
      </c>
    </row>
    <row r="2042" spans="2:6" ht="15.6">
      <c r="B2042" s="3" t="s">
        <v>4</v>
      </c>
    </row>
    <row r="2043" spans="2:6" ht="15" thickBot="1"/>
    <row r="2044" spans="2:6" ht="16.2" thickBot="1">
      <c r="B2044" s="10" t="s">
        <v>6</v>
      </c>
      <c r="C2044" s="10" t="s">
        <v>7</v>
      </c>
      <c r="D2044" s="4" t="s">
        <v>8</v>
      </c>
      <c r="E2044" s="10" t="s">
        <v>9</v>
      </c>
      <c r="F2044" s="5" t="s">
        <v>10</v>
      </c>
    </row>
    <row r="2045" spans="2:6" ht="15" thickBot="1">
      <c r="B2045" s="54"/>
      <c r="F2045" s="55"/>
    </row>
    <row r="2046" spans="2:6" ht="18" thickBot="1">
      <c r="B2046" s="37">
        <v>1</v>
      </c>
      <c r="C2046" s="52" t="s">
        <v>2328</v>
      </c>
      <c r="D2046" s="37">
        <v>343</v>
      </c>
      <c r="E2046" s="37">
        <v>18</v>
      </c>
      <c r="F2046" s="37">
        <f>D2046*E2046</f>
        <v>6174</v>
      </c>
    </row>
    <row r="2047" spans="2:6" ht="18" thickBot="1">
      <c r="B2047" s="37">
        <v>2</v>
      </c>
      <c r="C2047" s="52" t="s">
        <v>2329</v>
      </c>
      <c r="D2047" s="37">
        <v>180</v>
      </c>
      <c r="E2047" s="37">
        <v>16</v>
      </c>
      <c r="F2047" s="37">
        <f t="shared" ref="F2047:F2050" si="98">D2047*E2047</f>
        <v>2880</v>
      </c>
    </row>
    <row r="2048" spans="2:6" ht="18" thickBot="1">
      <c r="B2048" s="37"/>
      <c r="C2048" s="52"/>
      <c r="D2048" s="37"/>
      <c r="E2048" s="37"/>
      <c r="F2048" s="37">
        <f t="shared" si="98"/>
        <v>0</v>
      </c>
    </row>
    <row r="2049" spans="2:6" ht="18" thickBot="1">
      <c r="B2049" s="37"/>
      <c r="C2049" s="52"/>
      <c r="D2049" s="37"/>
      <c r="E2049" s="37"/>
      <c r="F2049" s="37">
        <f t="shared" si="98"/>
        <v>0</v>
      </c>
    </row>
    <row r="2050" spans="2:6" ht="18" thickBot="1">
      <c r="B2050" s="37"/>
      <c r="C2050" s="52"/>
      <c r="D2050" s="37"/>
      <c r="E2050" s="37"/>
      <c r="F2050" s="37">
        <f t="shared" si="98"/>
        <v>0</v>
      </c>
    </row>
    <row r="2051" spans="2:6" ht="18" thickBot="1">
      <c r="B2051" s="591" t="s">
        <v>11</v>
      </c>
      <c r="C2051" s="592"/>
      <c r="D2051" s="593"/>
      <c r="E2051" s="594"/>
      <c r="F2051" s="9">
        <f>SUM(F2046:F2050)</f>
        <v>9054</v>
      </c>
    </row>
    <row r="2054" spans="2:6" ht="15.6">
      <c r="B2054" s="500" t="s">
        <v>1</v>
      </c>
      <c r="C2054" s="398" t="s">
        <v>2353</v>
      </c>
      <c r="D2054" s="398"/>
      <c r="E2054" s="398"/>
      <c r="F2054" s="398"/>
    </row>
    <row r="2055" spans="2:6">
      <c r="B2055" s="398"/>
      <c r="C2055" s="398"/>
      <c r="D2055" s="398"/>
      <c r="E2055" s="398"/>
      <c r="F2055" s="398"/>
    </row>
    <row r="2056" spans="2:6" ht="15.6">
      <c r="B2056" s="500" t="s">
        <v>2</v>
      </c>
      <c r="C2056" s="501" t="s">
        <v>2354</v>
      </c>
      <c r="D2056" s="500" t="s">
        <v>5</v>
      </c>
      <c r="E2056" s="502">
        <v>45588</v>
      </c>
      <c r="F2056" s="398"/>
    </row>
    <row r="2057" spans="2:6" ht="15.6">
      <c r="B2057" s="500" t="s">
        <v>3</v>
      </c>
      <c r="C2057" s="398"/>
      <c r="D2057" s="398"/>
      <c r="E2057" s="398"/>
      <c r="F2057" s="398"/>
    </row>
    <row r="2058" spans="2:6" ht="15.6">
      <c r="B2058" s="500" t="s">
        <v>4</v>
      </c>
      <c r="C2058" s="398"/>
      <c r="D2058" s="398"/>
      <c r="E2058" s="398"/>
      <c r="F2058" s="398"/>
    </row>
    <row r="2059" spans="2:6" ht="15" thickBot="1">
      <c r="B2059" s="398"/>
      <c r="C2059" s="398"/>
      <c r="D2059" s="398"/>
      <c r="E2059" s="398"/>
      <c r="F2059" s="398"/>
    </row>
    <row r="2060" spans="2:6" ht="16.2" thickBot="1">
      <c r="B2060" s="503" t="s">
        <v>6</v>
      </c>
      <c r="C2060" s="503" t="s">
        <v>7</v>
      </c>
      <c r="D2060" s="504" t="s">
        <v>8</v>
      </c>
      <c r="E2060" s="503" t="s">
        <v>9</v>
      </c>
      <c r="F2060" s="505" t="s">
        <v>10</v>
      </c>
    </row>
    <row r="2061" spans="2:6" ht="15" thickBot="1">
      <c r="B2061" s="506"/>
      <c r="C2061" s="398"/>
      <c r="D2061" s="398"/>
      <c r="E2061" s="398"/>
      <c r="F2061" s="507"/>
    </row>
    <row r="2062" spans="2:6" ht="18" thickBot="1">
      <c r="B2062" s="508">
        <v>1</v>
      </c>
      <c r="C2062" s="509" t="s">
        <v>2355</v>
      </c>
      <c r="D2062" s="508">
        <v>396000</v>
      </c>
      <c r="E2062" s="508">
        <v>3</v>
      </c>
      <c r="F2062" s="508">
        <f>D2062*E2062</f>
        <v>1188000</v>
      </c>
    </row>
    <row r="2063" spans="2:6" ht="18" thickBot="1">
      <c r="B2063" s="508">
        <v>2</v>
      </c>
      <c r="C2063" s="509"/>
      <c r="D2063" s="508"/>
      <c r="E2063" s="508"/>
      <c r="F2063" s="508">
        <f t="shared" ref="F2063:F2066" si="99">D2063*E2063</f>
        <v>0</v>
      </c>
    </row>
    <row r="2064" spans="2:6" ht="18" thickBot="1">
      <c r="B2064" s="508"/>
      <c r="C2064" s="509"/>
      <c r="D2064" s="508"/>
      <c r="E2064" s="508"/>
      <c r="F2064" s="508">
        <f t="shared" si="99"/>
        <v>0</v>
      </c>
    </row>
    <row r="2065" spans="2:6" ht="18" thickBot="1">
      <c r="B2065" s="508"/>
      <c r="C2065" s="509"/>
      <c r="D2065" s="508"/>
      <c r="E2065" s="508"/>
      <c r="F2065" s="508">
        <f t="shared" si="99"/>
        <v>0</v>
      </c>
    </row>
    <row r="2066" spans="2:6" ht="18" thickBot="1">
      <c r="B2066" s="37"/>
      <c r="C2066" s="52"/>
      <c r="D2066" s="37"/>
      <c r="E2066" s="37"/>
      <c r="F2066" s="37">
        <f t="shared" si="99"/>
        <v>0</v>
      </c>
    </row>
    <row r="2067" spans="2:6" ht="18" thickBot="1">
      <c r="B2067" s="591" t="s">
        <v>11</v>
      </c>
      <c r="C2067" s="592"/>
      <c r="D2067" s="593"/>
      <c r="E2067" s="594"/>
      <c r="F2067" s="9">
        <f>SUM(F2062:F2066)</f>
        <v>1188000</v>
      </c>
    </row>
    <row r="2071" spans="2:6" ht="15.6">
      <c r="B2071" s="3" t="s">
        <v>1</v>
      </c>
      <c r="C2071" s="1" t="s">
        <v>2442</v>
      </c>
    </row>
    <row r="2073" spans="2:6" ht="15.6">
      <c r="B2073" s="3" t="s">
        <v>2</v>
      </c>
      <c r="C2073" s="34" t="s">
        <v>2441</v>
      </c>
      <c r="D2073" s="3" t="s">
        <v>5</v>
      </c>
      <c r="E2073" s="22">
        <v>45624</v>
      </c>
    </row>
    <row r="2074" spans="2:6" ht="15.6">
      <c r="B2074" s="3" t="s">
        <v>3</v>
      </c>
    </row>
    <row r="2075" spans="2:6" ht="15.6">
      <c r="B2075" s="3" t="s">
        <v>4</v>
      </c>
    </row>
    <row r="2076" spans="2:6" ht="15" thickBot="1"/>
    <row r="2077" spans="2:6" ht="16.2" thickBot="1">
      <c r="B2077" s="10" t="s">
        <v>6</v>
      </c>
      <c r="C2077" s="10" t="s">
        <v>7</v>
      </c>
      <c r="D2077" s="4" t="s">
        <v>8</v>
      </c>
      <c r="E2077" s="10" t="s">
        <v>9</v>
      </c>
      <c r="F2077" s="5" t="s">
        <v>10</v>
      </c>
    </row>
    <row r="2078" spans="2:6" ht="15" thickBot="1">
      <c r="B2078" s="54"/>
      <c r="F2078" s="55"/>
    </row>
    <row r="2079" spans="2:6" ht="18" thickBot="1">
      <c r="B2079" s="37">
        <v>1</v>
      </c>
      <c r="C2079" s="52" t="s">
        <v>2443</v>
      </c>
      <c r="D2079" s="37">
        <v>1</v>
      </c>
      <c r="E2079" s="37">
        <v>2770</v>
      </c>
      <c r="F2079" s="37">
        <f>D2079*E2079</f>
        <v>2770</v>
      </c>
    </row>
    <row r="2080" spans="2:6" ht="18" thickBot="1">
      <c r="B2080" s="37">
        <v>2</v>
      </c>
      <c r="C2080" s="52" t="s">
        <v>2444</v>
      </c>
      <c r="D2080" s="37">
        <v>2</v>
      </c>
      <c r="E2080" s="37">
        <v>400</v>
      </c>
      <c r="F2080" s="37">
        <f t="shared" ref="F2080:F2083" si="100">D2080*E2080</f>
        <v>800</v>
      </c>
    </row>
    <row r="2081" spans="2:6" ht="18" thickBot="1">
      <c r="B2081" s="37"/>
      <c r="C2081" s="52"/>
      <c r="D2081" s="37"/>
      <c r="E2081" s="37"/>
      <c r="F2081" s="37">
        <f t="shared" si="100"/>
        <v>0</v>
      </c>
    </row>
    <row r="2082" spans="2:6" ht="18" thickBot="1">
      <c r="B2082" s="37"/>
      <c r="C2082" s="52"/>
      <c r="D2082" s="37"/>
      <c r="E2082" s="37"/>
      <c r="F2082" s="37">
        <f t="shared" si="100"/>
        <v>0</v>
      </c>
    </row>
    <row r="2083" spans="2:6" ht="18" thickBot="1">
      <c r="B2083" s="37"/>
      <c r="C2083" s="52"/>
      <c r="D2083" s="37"/>
      <c r="E2083" s="37"/>
      <c r="F2083" s="37">
        <f t="shared" si="100"/>
        <v>0</v>
      </c>
    </row>
    <row r="2084" spans="2:6" ht="18" thickBot="1">
      <c r="B2084" s="591" t="s">
        <v>11</v>
      </c>
      <c r="C2084" s="592"/>
      <c r="D2084" s="593"/>
      <c r="E2084" s="594"/>
      <c r="F2084" s="9">
        <f>SUM(F2079:F2083)</f>
        <v>3570</v>
      </c>
    </row>
    <row r="2088" spans="2:6" ht="15.6">
      <c r="B2088" s="3" t="s">
        <v>1</v>
      </c>
      <c r="C2088" s="1" t="s">
        <v>2353</v>
      </c>
    </row>
    <row r="2090" spans="2:6" ht="15.6">
      <c r="B2090" s="3" t="s">
        <v>2</v>
      </c>
      <c r="C2090" s="34" t="s">
        <v>2564</v>
      </c>
      <c r="D2090" s="3" t="s">
        <v>5</v>
      </c>
      <c r="E2090" s="22">
        <v>45663</v>
      </c>
    </row>
    <row r="2091" spans="2:6" ht="15.6">
      <c r="B2091" s="3" t="s">
        <v>3</v>
      </c>
    </row>
    <row r="2092" spans="2:6" ht="15.6">
      <c r="B2092" s="3" t="s">
        <v>4</v>
      </c>
    </row>
    <row r="2093" spans="2:6" ht="15" thickBot="1"/>
    <row r="2094" spans="2:6" ht="16.2" thickBot="1">
      <c r="B2094" s="10" t="s">
        <v>6</v>
      </c>
      <c r="C2094" s="10" t="s">
        <v>7</v>
      </c>
      <c r="D2094" s="4" t="s">
        <v>8</v>
      </c>
      <c r="E2094" s="10" t="s">
        <v>9</v>
      </c>
      <c r="F2094" s="5" t="s">
        <v>10</v>
      </c>
    </row>
    <row r="2095" spans="2:6" ht="15" thickBot="1">
      <c r="B2095" s="54"/>
      <c r="F2095" s="55"/>
    </row>
    <row r="2096" spans="2:6" ht="18" thickBot="1">
      <c r="B2096" s="37">
        <v>1</v>
      </c>
      <c r="C2096" s="52" t="s">
        <v>2228</v>
      </c>
      <c r="D2096" s="37">
        <v>91</v>
      </c>
      <c r="E2096" s="37">
        <v>345</v>
      </c>
      <c r="F2096" s="37">
        <f t="shared" ref="F2096:F2099" si="101">D2096*E2096</f>
        <v>31395</v>
      </c>
    </row>
    <row r="2097" spans="2:6" ht="18" thickBot="1">
      <c r="B2097" s="37">
        <v>2</v>
      </c>
      <c r="C2097" s="52" t="s">
        <v>2228</v>
      </c>
      <c r="D2097" s="37">
        <v>52</v>
      </c>
      <c r="E2097" s="37">
        <v>345</v>
      </c>
      <c r="F2097" s="37">
        <f t="shared" si="101"/>
        <v>17940</v>
      </c>
    </row>
    <row r="2098" spans="2:6" ht="18" thickBot="1">
      <c r="B2098" s="37">
        <v>3</v>
      </c>
      <c r="C2098" s="52" t="s">
        <v>2565</v>
      </c>
      <c r="D2098" s="37">
        <v>30</v>
      </c>
      <c r="E2098" s="37">
        <v>184</v>
      </c>
      <c r="F2098" s="37">
        <f t="shared" si="101"/>
        <v>5520</v>
      </c>
    </row>
    <row r="2099" spans="2:6" ht="18" thickBot="1">
      <c r="B2099" s="37"/>
      <c r="C2099" s="52"/>
      <c r="D2099" s="37"/>
      <c r="E2099" s="37"/>
      <c r="F2099" s="37">
        <f t="shared" si="101"/>
        <v>0</v>
      </c>
    </row>
    <row r="2100" spans="2:6" ht="18" thickBot="1">
      <c r="B2100" s="591" t="s">
        <v>11</v>
      </c>
      <c r="C2100" s="592"/>
      <c r="D2100" s="593"/>
      <c r="E2100" s="594"/>
      <c r="F2100" s="9">
        <f>SUM(F2096:F2099)</f>
        <v>54855</v>
      </c>
    </row>
    <row r="2104" spans="2:6" ht="15.6">
      <c r="B2104" s="3" t="s">
        <v>1</v>
      </c>
      <c r="C2104" s="1" t="s">
        <v>2666</v>
      </c>
    </row>
    <row r="2106" spans="2:6" ht="15.6">
      <c r="B2106" s="3" t="s">
        <v>2</v>
      </c>
      <c r="C2106" s="34" t="s">
        <v>2667</v>
      </c>
      <c r="D2106" s="3" t="s">
        <v>5</v>
      </c>
      <c r="E2106" s="22">
        <v>45695</v>
      </c>
    </row>
    <row r="2107" spans="2:6" ht="15.6">
      <c r="B2107" s="3" t="s">
        <v>3</v>
      </c>
    </row>
    <row r="2108" spans="2:6" ht="15.6">
      <c r="B2108" s="3" t="s">
        <v>4</v>
      </c>
    </row>
    <row r="2109" spans="2:6" ht="15" thickBot="1"/>
    <row r="2110" spans="2:6" ht="16.2" thickBot="1">
      <c r="B2110" s="10" t="s">
        <v>6</v>
      </c>
      <c r="C2110" s="10" t="s">
        <v>7</v>
      </c>
      <c r="D2110" s="4" t="s">
        <v>8</v>
      </c>
      <c r="E2110" s="10" t="s">
        <v>9</v>
      </c>
      <c r="F2110" s="5" t="s">
        <v>10</v>
      </c>
    </row>
    <row r="2111" spans="2:6" ht="15" thickBot="1">
      <c r="B2111" s="54"/>
      <c r="F2111" s="55"/>
    </row>
    <row r="2112" spans="2:6" ht="18" thickBot="1">
      <c r="B2112" s="37">
        <v>1</v>
      </c>
      <c r="C2112" s="52" t="s">
        <v>2668</v>
      </c>
      <c r="D2112" s="37">
        <v>45000</v>
      </c>
      <c r="E2112" s="37">
        <v>1</v>
      </c>
      <c r="F2112" s="37">
        <f t="shared" ref="F2112:F2115" si="102">D2112*E2112</f>
        <v>45000</v>
      </c>
    </row>
    <row r="2113" spans="2:6" ht="18" thickBot="1">
      <c r="B2113" s="37">
        <v>2</v>
      </c>
      <c r="C2113" s="52"/>
      <c r="D2113" s="37"/>
      <c r="E2113" s="37"/>
      <c r="F2113" s="37">
        <f t="shared" si="102"/>
        <v>0</v>
      </c>
    </row>
    <row r="2114" spans="2:6" ht="18" thickBot="1">
      <c r="B2114" s="37">
        <v>3</v>
      </c>
      <c r="C2114" s="52"/>
      <c r="D2114" s="37"/>
      <c r="E2114" s="37"/>
      <c r="F2114" s="37">
        <f t="shared" si="102"/>
        <v>0</v>
      </c>
    </row>
    <row r="2115" spans="2:6" ht="18" thickBot="1">
      <c r="B2115" s="37"/>
      <c r="C2115" s="52"/>
      <c r="D2115" s="37"/>
      <c r="E2115" s="37"/>
      <c r="F2115" s="37">
        <f t="shared" si="102"/>
        <v>0</v>
      </c>
    </row>
    <row r="2116" spans="2:6" ht="18" thickBot="1">
      <c r="B2116" s="591" t="s">
        <v>11</v>
      </c>
      <c r="C2116" s="592"/>
      <c r="D2116" s="593"/>
      <c r="E2116" s="594"/>
      <c r="F2116" s="9">
        <f>SUM(F2112:F2115)</f>
        <v>45000</v>
      </c>
    </row>
  </sheetData>
  <mergeCells count="269">
    <mergeCell ref="B2116:C2116"/>
    <mergeCell ref="D2116:E2116"/>
    <mergeCell ref="B1099:C1099"/>
    <mergeCell ref="D1099:E1099"/>
    <mergeCell ref="B1526:C1526"/>
    <mergeCell ref="D1526:E1526"/>
    <mergeCell ref="B1510:C1510"/>
    <mergeCell ref="D1510:E1510"/>
    <mergeCell ref="B1571:C1571"/>
    <mergeCell ref="D1571:E1571"/>
    <mergeCell ref="B1586:C1586"/>
    <mergeCell ref="D1586:E1586"/>
    <mergeCell ref="B1339:C1339"/>
    <mergeCell ref="D1339:E1339"/>
    <mergeCell ref="B1477:C1477"/>
    <mergeCell ref="D1477:E1477"/>
    <mergeCell ref="B1400:C1400"/>
    <mergeCell ref="D1400:E1400"/>
    <mergeCell ref="B1115:C1115"/>
    <mergeCell ref="D1115:E1115"/>
    <mergeCell ref="B1384:C1384"/>
    <mergeCell ref="D1384:E1384"/>
    <mergeCell ref="B1461:C1461"/>
    <mergeCell ref="D1461:E1461"/>
    <mergeCell ref="B1292:C1292"/>
    <mergeCell ref="D1292:E1292"/>
    <mergeCell ref="B1494:C1494"/>
    <mergeCell ref="D1494:E1494"/>
    <mergeCell ref="B1540:C1540"/>
    <mergeCell ref="D1540:E1540"/>
    <mergeCell ref="B1648:C1648"/>
    <mergeCell ref="D1648:E1648"/>
    <mergeCell ref="B1602:C1602"/>
    <mergeCell ref="D1602:E1602"/>
    <mergeCell ref="B1556:C1556"/>
    <mergeCell ref="D1556:E1556"/>
    <mergeCell ref="B1308:C1308"/>
    <mergeCell ref="D1308:E1308"/>
    <mergeCell ref="B1354:C1354"/>
    <mergeCell ref="D1354:E1354"/>
    <mergeCell ref="B1369:C1369"/>
    <mergeCell ref="D1369:E1369"/>
    <mergeCell ref="B1446:C1446"/>
    <mergeCell ref="D1446:E1446"/>
    <mergeCell ref="B1431:C1431"/>
    <mergeCell ref="D1431:E1431"/>
    <mergeCell ref="B1415:C1415"/>
    <mergeCell ref="D1415:E1415"/>
    <mergeCell ref="B1323:C1323"/>
    <mergeCell ref="D1323:E1323"/>
    <mergeCell ref="B900:C900"/>
    <mergeCell ref="D900:E900"/>
    <mergeCell ref="B984:C984"/>
    <mergeCell ref="D984:E984"/>
    <mergeCell ref="B1066:C1066"/>
    <mergeCell ref="D1066:E1066"/>
    <mergeCell ref="B1083:C1083"/>
    <mergeCell ref="D1083:E1083"/>
    <mergeCell ref="B1046:C1046"/>
    <mergeCell ref="D1046:E1046"/>
    <mergeCell ref="B1031:C1031"/>
    <mergeCell ref="D1031:E1031"/>
    <mergeCell ref="B1001:C1001"/>
    <mergeCell ref="D1001:E1001"/>
    <mergeCell ref="B934:C934"/>
    <mergeCell ref="D934:E934"/>
    <mergeCell ref="B951:C951"/>
    <mergeCell ref="D951:E951"/>
    <mergeCell ref="B968:C968"/>
    <mergeCell ref="D968:E968"/>
    <mergeCell ref="B1145:C1145"/>
    <mergeCell ref="D1145:E1145"/>
    <mergeCell ref="B132:F132"/>
    <mergeCell ref="B147:C147"/>
    <mergeCell ref="D147:E147"/>
    <mergeCell ref="B150:F150"/>
    <mergeCell ref="B165:C165"/>
    <mergeCell ref="D165:E165"/>
    <mergeCell ref="D281:E281"/>
    <mergeCell ref="B168:F168"/>
    <mergeCell ref="B183:C183"/>
    <mergeCell ref="D183:E183"/>
    <mergeCell ref="B216:C216"/>
    <mergeCell ref="D216:E216"/>
    <mergeCell ref="B185:F185"/>
    <mergeCell ref="B200:C200"/>
    <mergeCell ref="D200:E200"/>
    <mergeCell ref="B232:C232"/>
    <mergeCell ref="D232:E232"/>
    <mergeCell ref="B247:C247"/>
    <mergeCell ref="D247:E247"/>
    <mergeCell ref="B263:C263"/>
    <mergeCell ref="D263:E263"/>
    <mergeCell ref="B280:C280"/>
    <mergeCell ref="D280:E280"/>
    <mergeCell ref="B281:C281"/>
    <mergeCell ref="B3:F3"/>
    <mergeCell ref="B26:F26"/>
    <mergeCell ref="B43:C43"/>
    <mergeCell ref="D43:E43"/>
    <mergeCell ref="B46:F46"/>
    <mergeCell ref="B23:C23"/>
    <mergeCell ref="D23:E23"/>
    <mergeCell ref="B63:C63"/>
    <mergeCell ref="D63:E63"/>
    <mergeCell ref="B113:F113"/>
    <mergeCell ref="B129:C129"/>
    <mergeCell ref="D129:E129"/>
    <mergeCell ref="B93:F93"/>
    <mergeCell ref="B108:C108"/>
    <mergeCell ref="D108:E108"/>
    <mergeCell ref="B66:F66"/>
    <mergeCell ref="B90:C90"/>
    <mergeCell ref="D90:E90"/>
    <mergeCell ref="B298:F298"/>
    <mergeCell ref="B361:C361"/>
    <mergeCell ref="D361:E361"/>
    <mergeCell ref="B313:C313"/>
    <mergeCell ref="D313:E313"/>
    <mergeCell ref="B345:C345"/>
    <mergeCell ref="D345:E345"/>
    <mergeCell ref="B329:C329"/>
    <mergeCell ref="D329:E329"/>
    <mergeCell ref="B378:C378"/>
    <mergeCell ref="D378:E378"/>
    <mergeCell ref="B394:C394"/>
    <mergeCell ref="D394:E394"/>
    <mergeCell ref="B441:C441"/>
    <mergeCell ref="D441:E441"/>
    <mergeCell ref="B456:C456"/>
    <mergeCell ref="D456:E456"/>
    <mergeCell ref="B472:C472"/>
    <mergeCell ref="D472:E472"/>
    <mergeCell ref="B409:C409"/>
    <mergeCell ref="D409:E409"/>
    <mergeCell ref="B425:C425"/>
    <mergeCell ref="D425:E425"/>
    <mergeCell ref="B504:C504"/>
    <mergeCell ref="D504:E504"/>
    <mergeCell ref="B520:C520"/>
    <mergeCell ref="D520:E520"/>
    <mergeCell ref="D602:E602"/>
    <mergeCell ref="B602:C602"/>
    <mergeCell ref="B570:C570"/>
    <mergeCell ref="D570:E570"/>
    <mergeCell ref="B586:C586"/>
    <mergeCell ref="D586:E586"/>
    <mergeCell ref="B705:C705"/>
    <mergeCell ref="D705:E705"/>
    <mergeCell ref="B651:C651"/>
    <mergeCell ref="D651:E651"/>
    <mergeCell ref="B836:C836"/>
    <mergeCell ref="D836:E836"/>
    <mergeCell ref="B804:C804"/>
    <mergeCell ref="D804:E804"/>
    <mergeCell ref="B868:C868"/>
    <mergeCell ref="D868:E868"/>
    <mergeCell ref="B768:C768"/>
    <mergeCell ref="D768:E768"/>
    <mergeCell ref="B785:C785"/>
    <mergeCell ref="D785:E785"/>
    <mergeCell ref="B820:C820"/>
    <mergeCell ref="D820:E820"/>
    <mergeCell ref="B737:C737"/>
    <mergeCell ref="D737:E737"/>
    <mergeCell ref="B752:C752"/>
    <mergeCell ref="D752:E752"/>
    <mergeCell ref="B884:C884"/>
    <mergeCell ref="D884:E884"/>
    <mergeCell ref="B1016:C1016"/>
    <mergeCell ref="D1016:E1016"/>
    <mergeCell ref="B917:C917"/>
    <mergeCell ref="D917:E917"/>
    <mergeCell ref="B488:C488"/>
    <mergeCell ref="D488:E488"/>
    <mergeCell ref="B553:C553"/>
    <mergeCell ref="D553:E553"/>
    <mergeCell ref="B536:C536"/>
    <mergeCell ref="D536:E536"/>
    <mergeCell ref="B853:C853"/>
    <mergeCell ref="D853:E853"/>
    <mergeCell ref="B635:C635"/>
    <mergeCell ref="D635:E635"/>
    <mergeCell ref="B619:C619"/>
    <mergeCell ref="D619:E619"/>
    <mergeCell ref="B668:C668"/>
    <mergeCell ref="D668:E668"/>
    <mergeCell ref="B684:C684"/>
    <mergeCell ref="D684:E684"/>
    <mergeCell ref="B721:C721"/>
    <mergeCell ref="D721:E721"/>
    <mergeCell ref="B1130:C1130"/>
    <mergeCell ref="D1130:E1130"/>
    <mergeCell ref="B1215:C1215"/>
    <mergeCell ref="D1215:E1215"/>
    <mergeCell ref="B1277:C1277"/>
    <mergeCell ref="D1277:E1277"/>
    <mergeCell ref="B1245:C1245"/>
    <mergeCell ref="D1245:E1245"/>
    <mergeCell ref="B1230:C1230"/>
    <mergeCell ref="D1230:E1230"/>
    <mergeCell ref="B1261:C1261"/>
    <mergeCell ref="D1261:E1261"/>
    <mergeCell ref="B1200:C1200"/>
    <mergeCell ref="D1200:E1200"/>
    <mergeCell ref="B1160:C1160"/>
    <mergeCell ref="D1160:E1160"/>
    <mergeCell ref="B1177:C1177"/>
    <mergeCell ref="D1177:E1177"/>
    <mergeCell ref="B1821:C1821"/>
    <mergeCell ref="D1821:E1821"/>
    <mergeCell ref="B1708:C1708"/>
    <mergeCell ref="D1708:E1708"/>
    <mergeCell ref="B1741:C1741"/>
    <mergeCell ref="D1741:E1741"/>
    <mergeCell ref="B1617:C1617"/>
    <mergeCell ref="D1617:E1617"/>
    <mergeCell ref="B1632:C1632"/>
    <mergeCell ref="D1632:E1632"/>
    <mergeCell ref="B1757:C1757"/>
    <mergeCell ref="D1757:E1757"/>
    <mergeCell ref="B1724:C1724"/>
    <mergeCell ref="D1724:E1724"/>
    <mergeCell ref="B1663:C1663"/>
    <mergeCell ref="D1663:E1663"/>
    <mergeCell ref="B1693:C1693"/>
    <mergeCell ref="D1693:E1693"/>
    <mergeCell ref="B1678:C1678"/>
    <mergeCell ref="D1678:E1678"/>
    <mergeCell ref="B1782:C1782"/>
    <mergeCell ref="D1782:E1782"/>
    <mergeCell ref="B1804:C1804"/>
    <mergeCell ref="D1804:E1804"/>
    <mergeCell ref="B1916:C1916"/>
    <mergeCell ref="D1916:E1916"/>
    <mergeCell ref="B1900:C1900"/>
    <mergeCell ref="D1900:E1900"/>
    <mergeCell ref="B1837:C1837"/>
    <mergeCell ref="D1837:E1837"/>
    <mergeCell ref="B1852:C1852"/>
    <mergeCell ref="D1852:E1852"/>
    <mergeCell ref="B1868:C1868"/>
    <mergeCell ref="D1868:E1868"/>
    <mergeCell ref="B1884:C1884"/>
    <mergeCell ref="D1884:E1884"/>
    <mergeCell ref="B1950:C1950"/>
    <mergeCell ref="D1950:E1950"/>
    <mergeCell ref="B1964:C1964"/>
    <mergeCell ref="D1964:E1964"/>
    <mergeCell ref="B1978:C1978"/>
    <mergeCell ref="D1978:E1978"/>
    <mergeCell ref="B1993:C1993"/>
    <mergeCell ref="D1993:E1993"/>
    <mergeCell ref="B1932:C1932"/>
    <mergeCell ref="D1932:E1932"/>
    <mergeCell ref="B2100:C2100"/>
    <mergeCell ref="D2100:E2100"/>
    <mergeCell ref="B2084:C2084"/>
    <mergeCell ref="D2084:E2084"/>
    <mergeCell ref="B2067:C2067"/>
    <mergeCell ref="D2067:E2067"/>
    <mergeCell ref="B2051:C2051"/>
    <mergeCell ref="D2051:E2051"/>
    <mergeCell ref="B2007:C2007"/>
    <mergeCell ref="D2007:E2007"/>
    <mergeCell ref="B2020:C2020"/>
    <mergeCell ref="D2020:E2020"/>
    <mergeCell ref="B2034:C2034"/>
    <mergeCell ref="D2034:E2034"/>
  </mergeCells>
  <conditionalFormatting sqref="J195:J198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B2:AG1321"/>
  <sheetViews>
    <sheetView topLeftCell="A1184" zoomScale="90" zoomScaleNormal="90" workbookViewId="0">
      <selection activeCell="D1051" sqref="D1051"/>
    </sheetView>
  </sheetViews>
  <sheetFormatPr defaultRowHeight="14.4"/>
  <cols>
    <col min="3" max="3" width="68.21875" customWidth="1"/>
    <col min="4" max="4" width="12.77734375" bestFit="1" customWidth="1"/>
    <col min="5" max="5" width="10.6640625" bestFit="1" customWidth="1"/>
    <col min="6" max="6" width="9.77734375" customWidth="1"/>
    <col min="31" max="31" width="11.21875" bestFit="1" customWidth="1"/>
  </cols>
  <sheetData>
    <row r="2" spans="2:7" ht="15" thickBot="1"/>
    <row r="3" spans="2:7" ht="26.4" thickBot="1">
      <c r="B3" s="603" t="s">
        <v>0</v>
      </c>
      <c r="C3" s="604"/>
      <c r="D3" s="604"/>
      <c r="E3" s="604"/>
      <c r="F3" s="605"/>
      <c r="G3" s="11"/>
    </row>
    <row r="5" spans="2:7" ht="15.6">
      <c r="B5" s="2" t="s">
        <v>1</v>
      </c>
      <c r="C5" s="1" t="s">
        <v>62</v>
      </c>
    </row>
    <row r="7" spans="2:7" ht="15.6">
      <c r="B7" s="2" t="s">
        <v>2</v>
      </c>
      <c r="C7" s="34" t="s">
        <v>19</v>
      </c>
      <c r="D7" s="2" t="s">
        <v>5</v>
      </c>
      <c r="E7" s="21">
        <v>45405</v>
      </c>
    </row>
    <row r="8" spans="2:7" ht="15.6">
      <c r="B8" s="2" t="s">
        <v>3</v>
      </c>
    </row>
    <row r="9" spans="2:7" ht="15.6">
      <c r="B9" s="2" t="s">
        <v>4</v>
      </c>
    </row>
    <row r="10" spans="2:7" ht="15" thickBot="1"/>
    <row r="11" spans="2:7" ht="16.2" thickBot="1">
      <c r="B11" s="10" t="s">
        <v>6</v>
      </c>
      <c r="C11" s="10" t="s">
        <v>7</v>
      </c>
      <c r="D11" s="4" t="s">
        <v>8</v>
      </c>
      <c r="E11" s="10" t="s">
        <v>9</v>
      </c>
      <c r="F11" s="5" t="s">
        <v>10</v>
      </c>
    </row>
    <row r="12" spans="2:7" ht="15" thickBot="1">
      <c r="B12" s="6"/>
      <c r="F12" s="7"/>
    </row>
    <row r="13" spans="2:7" ht="15" thickBot="1">
      <c r="B13" s="37">
        <v>1</v>
      </c>
      <c r="C13" s="35" t="s">
        <v>63</v>
      </c>
      <c r="D13" s="23">
        <v>625</v>
      </c>
      <c r="E13" s="23">
        <v>5</v>
      </c>
      <c r="F13" s="37">
        <f>D13*E13</f>
        <v>3125</v>
      </c>
    </row>
    <row r="14" spans="2:7" ht="15" thickBot="1">
      <c r="B14" s="37">
        <v>2</v>
      </c>
      <c r="C14" s="36" t="s">
        <v>28</v>
      </c>
      <c r="D14" s="24">
        <v>2400</v>
      </c>
      <c r="E14" s="24">
        <v>4</v>
      </c>
      <c r="F14" s="37">
        <f t="shared" ref="F14:F17" si="0">D14*E14</f>
        <v>9600</v>
      </c>
    </row>
    <row r="15" spans="2:7" ht="15" thickBot="1">
      <c r="B15" s="37">
        <v>3</v>
      </c>
      <c r="C15" s="36" t="s">
        <v>30</v>
      </c>
      <c r="D15" s="24">
        <v>2000</v>
      </c>
      <c r="E15" s="24">
        <v>1</v>
      </c>
      <c r="F15" s="37">
        <f t="shared" si="0"/>
        <v>2000</v>
      </c>
    </row>
    <row r="16" spans="2:7" ht="15" thickBot="1">
      <c r="B16" s="37">
        <v>4</v>
      </c>
      <c r="C16" s="36" t="s">
        <v>48</v>
      </c>
      <c r="D16" s="24">
        <v>2350</v>
      </c>
      <c r="E16" s="24">
        <v>1</v>
      </c>
      <c r="F16" s="37">
        <f t="shared" si="0"/>
        <v>2350</v>
      </c>
    </row>
    <row r="17" spans="2:13" ht="15" thickBot="1">
      <c r="B17" s="37">
        <v>5</v>
      </c>
      <c r="C17" s="36" t="s">
        <v>50</v>
      </c>
      <c r="D17" s="24">
        <v>1300</v>
      </c>
      <c r="E17" s="24">
        <v>1</v>
      </c>
      <c r="F17" s="37">
        <f t="shared" si="0"/>
        <v>1300</v>
      </c>
    </row>
    <row r="18" spans="2:13" ht="15" thickBot="1">
      <c r="B18" s="8"/>
      <c r="C18" s="8"/>
      <c r="D18" s="8"/>
      <c r="E18" s="8"/>
      <c r="F18" s="8"/>
    </row>
    <row r="19" spans="2:13" ht="15" thickBot="1">
      <c r="B19" s="8"/>
      <c r="C19" s="8"/>
      <c r="D19" s="8"/>
      <c r="E19" s="8"/>
      <c r="F19" s="8"/>
    </row>
    <row r="20" spans="2:13" ht="15" thickBot="1">
      <c r="B20" s="8"/>
      <c r="C20" s="8"/>
      <c r="D20" s="8"/>
      <c r="E20" s="8"/>
      <c r="F20" s="8"/>
    </row>
    <row r="21" spans="2:13" ht="15" thickBot="1">
      <c r="B21" s="606" t="s">
        <v>11</v>
      </c>
      <c r="C21" s="607"/>
      <c r="D21" s="593"/>
      <c r="E21" s="594"/>
      <c r="F21" s="9">
        <f>SUM(F13:F20)</f>
        <v>18375</v>
      </c>
    </row>
    <row r="24" spans="2:13" ht="15" thickBot="1"/>
    <row r="25" spans="2:13" ht="26.4" thickBot="1">
      <c r="B25" s="603" t="s">
        <v>0</v>
      </c>
      <c r="C25" s="604"/>
      <c r="D25" s="604"/>
      <c r="E25" s="604"/>
      <c r="F25" s="605"/>
      <c r="G25" s="11"/>
      <c r="L25" t="s">
        <v>662</v>
      </c>
      <c r="M25" t="s">
        <v>690</v>
      </c>
    </row>
    <row r="27" spans="2:13" ht="15.6">
      <c r="B27" s="2" t="s">
        <v>1</v>
      </c>
      <c r="C27" s="1" t="s">
        <v>64</v>
      </c>
    </row>
    <row r="29" spans="2:13" ht="15.6">
      <c r="B29" s="2" t="s">
        <v>2</v>
      </c>
      <c r="C29" s="34" t="s">
        <v>19</v>
      </c>
      <c r="D29" s="2" t="s">
        <v>5</v>
      </c>
      <c r="E29" s="21">
        <v>45405</v>
      </c>
    </row>
    <row r="30" spans="2:13" ht="15.6">
      <c r="B30" s="2" t="s">
        <v>3</v>
      </c>
    </row>
    <row r="31" spans="2:13" ht="15.6">
      <c r="B31" s="2" t="s">
        <v>4</v>
      </c>
    </row>
    <row r="32" spans="2:13" ht="15" thickBot="1"/>
    <row r="33" spans="2:7" ht="16.2" thickBot="1">
      <c r="B33" s="10" t="s">
        <v>6</v>
      </c>
      <c r="C33" s="10" t="s">
        <v>7</v>
      </c>
      <c r="D33" s="4" t="s">
        <v>8</v>
      </c>
      <c r="E33" s="10" t="s">
        <v>9</v>
      </c>
      <c r="F33" s="5" t="s">
        <v>10</v>
      </c>
    </row>
    <row r="34" spans="2:7" ht="15" thickBot="1">
      <c r="B34" s="6"/>
      <c r="F34" s="7"/>
    </row>
    <row r="35" spans="2:7" ht="15" thickBot="1">
      <c r="B35" s="37">
        <v>1</v>
      </c>
      <c r="C35" s="35" t="s">
        <v>49</v>
      </c>
      <c r="D35" s="23">
        <v>1300</v>
      </c>
      <c r="E35" s="23">
        <v>4</v>
      </c>
      <c r="F35" s="37">
        <f>D35*E35</f>
        <v>5200</v>
      </c>
    </row>
    <row r="36" spans="2:7" ht="15" thickBot="1">
      <c r="B36" s="37">
        <v>2</v>
      </c>
      <c r="C36" s="36" t="s">
        <v>57</v>
      </c>
      <c r="D36" s="24">
        <v>2000</v>
      </c>
      <c r="E36" s="24">
        <v>1</v>
      </c>
      <c r="F36" s="37">
        <f t="shared" ref="F36:F37" si="1">D36*E36</f>
        <v>2000</v>
      </c>
    </row>
    <row r="37" spans="2:7" ht="15" thickBot="1">
      <c r="B37" s="37">
        <v>3</v>
      </c>
      <c r="C37" s="36" t="s">
        <v>48</v>
      </c>
      <c r="D37" s="24">
        <v>2350</v>
      </c>
      <c r="E37" s="24">
        <v>7</v>
      </c>
      <c r="F37" s="37">
        <f t="shared" si="1"/>
        <v>16450</v>
      </c>
    </row>
    <row r="38" spans="2:7" ht="15" thickBot="1">
      <c r="B38" s="37"/>
      <c r="C38" s="36"/>
      <c r="D38" s="24"/>
      <c r="E38" s="24"/>
      <c r="F38" s="37"/>
    </row>
    <row r="39" spans="2:7" ht="15" thickBot="1">
      <c r="B39" s="37"/>
      <c r="C39" s="36"/>
      <c r="D39" s="24"/>
      <c r="E39" s="24"/>
      <c r="F39" s="37"/>
    </row>
    <row r="40" spans="2:7" ht="15" thickBot="1">
      <c r="B40" s="8"/>
      <c r="C40" s="8"/>
      <c r="D40" s="8"/>
      <c r="E40" s="8"/>
      <c r="F40" s="8"/>
    </row>
    <row r="41" spans="2:7" ht="15" thickBot="1">
      <c r="B41" s="8"/>
      <c r="C41" s="8"/>
      <c r="D41" s="8"/>
      <c r="E41" s="8"/>
      <c r="F41" s="8"/>
    </row>
    <row r="42" spans="2:7" ht="15" thickBot="1">
      <c r="B42" s="8"/>
      <c r="C42" s="8"/>
      <c r="D42" s="8"/>
      <c r="E42" s="8"/>
      <c r="F42" s="8"/>
    </row>
    <row r="43" spans="2:7" ht="15" thickBot="1">
      <c r="B43" s="606" t="s">
        <v>11</v>
      </c>
      <c r="C43" s="607"/>
      <c r="D43" s="593"/>
      <c r="E43" s="594"/>
      <c r="F43" s="9">
        <f>SUM(F35:F42)</f>
        <v>23650</v>
      </c>
    </row>
    <row r="44" spans="2:7" ht="15" thickBot="1"/>
    <row r="45" spans="2:7" ht="26.4" thickBot="1">
      <c r="B45" s="603" t="s">
        <v>0</v>
      </c>
      <c r="C45" s="604"/>
      <c r="D45" s="604"/>
      <c r="E45" s="604"/>
      <c r="F45" s="605"/>
      <c r="G45" s="11"/>
    </row>
    <row r="47" spans="2:7" ht="15.6">
      <c r="B47" s="2" t="s">
        <v>1</v>
      </c>
      <c r="C47" s="1" t="s">
        <v>65</v>
      </c>
    </row>
    <row r="49" spans="2:6" ht="15.6">
      <c r="B49" s="2" t="s">
        <v>2</v>
      </c>
      <c r="C49" s="34" t="s">
        <v>19</v>
      </c>
      <c r="D49" s="2" t="s">
        <v>5</v>
      </c>
      <c r="E49" s="21">
        <v>45405</v>
      </c>
    </row>
    <row r="50" spans="2:6" ht="15.6">
      <c r="B50" s="2" t="s">
        <v>3</v>
      </c>
    </row>
    <row r="51" spans="2:6" ht="15.6">
      <c r="B51" s="2" t="s">
        <v>4</v>
      </c>
    </row>
    <row r="52" spans="2:6" ht="15" thickBot="1"/>
    <row r="53" spans="2:6" ht="16.2" thickBot="1">
      <c r="B53" s="10" t="s">
        <v>6</v>
      </c>
      <c r="C53" s="10" t="s">
        <v>7</v>
      </c>
      <c r="D53" s="4" t="s">
        <v>8</v>
      </c>
      <c r="E53" s="10" t="s">
        <v>9</v>
      </c>
      <c r="F53" s="5" t="s">
        <v>10</v>
      </c>
    </row>
    <row r="54" spans="2:6" ht="15" thickBot="1">
      <c r="B54" s="6"/>
      <c r="F54" s="7"/>
    </row>
    <row r="55" spans="2:6" ht="15" thickBot="1">
      <c r="B55" s="37">
        <v>1</v>
      </c>
      <c r="C55" s="35" t="s">
        <v>66</v>
      </c>
      <c r="D55" s="23">
        <v>555.55499999999995</v>
      </c>
      <c r="E55" s="23">
        <v>1</v>
      </c>
      <c r="F55" s="37">
        <f>D55*E55</f>
        <v>555.55499999999995</v>
      </c>
    </row>
    <row r="56" spans="2:6" ht="15" thickBot="1">
      <c r="B56" s="37">
        <v>2</v>
      </c>
      <c r="C56" s="36" t="s">
        <v>53</v>
      </c>
      <c r="D56" s="24">
        <v>555.55499999999995</v>
      </c>
      <c r="E56" s="24">
        <v>1</v>
      </c>
      <c r="F56" s="37">
        <f t="shared" ref="F56:F71" si="2">D56*E56</f>
        <v>555.55499999999995</v>
      </c>
    </row>
    <row r="57" spans="2:6" ht="15" thickBot="1">
      <c r="B57" s="37">
        <v>3</v>
      </c>
      <c r="C57" s="36" t="s">
        <v>55</v>
      </c>
      <c r="D57" s="24">
        <v>555.55499999999995</v>
      </c>
      <c r="E57" s="24">
        <v>1</v>
      </c>
      <c r="F57" s="37">
        <f t="shared" si="2"/>
        <v>555.55499999999995</v>
      </c>
    </row>
    <row r="58" spans="2:6" ht="15" thickBot="1">
      <c r="B58" s="37">
        <v>4</v>
      </c>
      <c r="C58" s="36" t="s">
        <v>67</v>
      </c>
      <c r="D58" s="24">
        <v>555.55499999999995</v>
      </c>
      <c r="E58" s="24">
        <v>1</v>
      </c>
      <c r="F58" s="37">
        <f t="shared" si="2"/>
        <v>555.55499999999995</v>
      </c>
    </row>
    <row r="59" spans="2:6" ht="15" thickBot="1">
      <c r="B59" s="37">
        <v>5</v>
      </c>
      <c r="C59" s="36" t="s">
        <v>68</v>
      </c>
      <c r="D59" s="24">
        <v>555.55499999999995</v>
      </c>
      <c r="E59" s="24">
        <v>1</v>
      </c>
      <c r="F59" s="37">
        <f t="shared" si="2"/>
        <v>555.55499999999995</v>
      </c>
    </row>
    <row r="60" spans="2:6" ht="15" thickBot="1">
      <c r="B60" s="37">
        <v>6</v>
      </c>
      <c r="C60" s="36" t="s">
        <v>69</v>
      </c>
      <c r="D60" s="24">
        <v>555.55499999999995</v>
      </c>
      <c r="E60" s="24">
        <v>1</v>
      </c>
      <c r="F60" s="37">
        <f t="shared" si="2"/>
        <v>555.55499999999995</v>
      </c>
    </row>
    <row r="61" spans="2:6" ht="15" thickBot="1">
      <c r="B61" s="37">
        <v>7</v>
      </c>
      <c r="C61" s="36" t="s">
        <v>70</v>
      </c>
      <c r="D61" s="24">
        <v>555.55499999999995</v>
      </c>
      <c r="E61" s="24">
        <v>2</v>
      </c>
      <c r="F61" s="37">
        <f t="shared" si="2"/>
        <v>1111.1099999999999</v>
      </c>
    </row>
    <row r="62" spans="2:6" ht="15" thickBot="1">
      <c r="B62" s="37">
        <v>8</v>
      </c>
      <c r="C62" s="36" t="s">
        <v>71</v>
      </c>
      <c r="D62" s="24">
        <v>555.55499999999995</v>
      </c>
      <c r="E62" s="24">
        <v>1</v>
      </c>
      <c r="F62" s="37">
        <f t="shared" si="2"/>
        <v>555.55499999999995</v>
      </c>
    </row>
    <row r="63" spans="2:6" ht="15" thickBot="1">
      <c r="B63" s="37">
        <v>9</v>
      </c>
      <c r="C63" s="36" t="s">
        <v>72</v>
      </c>
      <c r="D63" s="24">
        <v>555.55499999999995</v>
      </c>
      <c r="E63" s="24">
        <v>1</v>
      </c>
      <c r="F63" s="37">
        <f t="shared" si="2"/>
        <v>555.55499999999995</v>
      </c>
    </row>
    <row r="64" spans="2:6" ht="15" thickBot="1">
      <c r="B64" s="37">
        <v>10</v>
      </c>
      <c r="C64" s="36" t="s">
        <v>73</v>
      </c>
      <c r="D64" s="24">
        <v>555.55499999999995</v>
      </c>
      <c r="E64" s="24">
        <v>1</v>
      </c>
      <c r="F64" s="37">
        <f t="shared" si="2"/>
        <v>555.55499999999995</v>
      </c>
    </row>
    <row r="65" spans="2:7" ht="15" thickBot="1">
      <c r="B65" s="37">
        <v>11</v>
      </c>
      <c r="C65" s="36" t="s">
        <v>74</v>
      </c>
      <c r="D65" s="24">
        <v>555.55499999999995</v>
      </c>
      <c r="E65" s="24">
        <v>1</v>
      </c>
      <c r="F65" s="37">
        <f t="shared" si="2"/>
        <v>555.55499999999995</v>
      </c>
    </row>
    <row r="66" spans="2:7" ht="15" thickBot="1">
      <c r="B66" s="37">
        <v>12</v>
      </c>
      <c r="C66" s="36" t="s">
        <v>75</v>
      </c>
      <c r="D66" s="24">
        <v>555.55499999999995</v>
      </c>
      <c r="E66" s="24">
        <v>1</v>
      </c>
      <c r="F66" s="37">
        <f t="shared" si="2"/>
        <v>555.55499999999995</v>
      </c>
    </row>
    <row r="67" spans="2:7" ht="15" thickBot="1">
      <c r="B67" s="37">
        <v>13</v>
      </c>
      <c r="C67" s="36" t="s">
        <v>76</v>
      </c>
      <c r="D67" s="24">
        <v>555.55499999999995</v>
      </c>
      <c r="E67" s="24">
        <v>1</v>
      </c>
      <c r="F67" s="37">
        <f t="shared" si="2"/>
        <v>555.55499999999995</v>
      </c>
    </row>
    <row r="68" spans="2:7" ht="15" thickBot="1">
      <c r="B68" s="37">
        <v>14</v>
      </c>
      <c r="C68" s="36" t="s">
        <v>77</v>
      </c>
      <c r="D68" s="24">
        <v>555.55499999999995</v>
      </c>
      <c r="E68" s="24">
        <v>1</v>
      </c>
      <c r="F68" s="37">
        <f t="shared" si="2"/>
        <v>555.55499999999995</v>
      </c>
    </row>
    <row r="69" spans="2:7" ht="15" thickBot="1">
      <c r="B69" s="37">
        <v>15</v>
      </c>
      <c r="C69" s="36" t="s">
        <v>78</v>
      </c>
      <c r="D69" s="24">
        <v>555.55499999999995</v>
      </c>
      <c r="E69" s="24">
        <v>1</v>
      </c>
      <c r="F69" s="37">
        <f t="shared" si="2"/>
        <v>555.55499999999995</v>
      </c>
    </row>
    <row r="70" spans="2:7" ht="15" thickBot="1">
      <c r="B70" s="37">
        <v>16</v>
      </c>
      <c r="C70" s="36" t="s">
        <v>79</v>
      </c>
      <c r="D70" s="24">
        <v>555.55499999999995</v>
      </c>
      <c r="E70" s="24">
        <v>1</v>
      </c>
      <c r="F70" s="37">
        <f t="shared" si="2"/>
        <v>555.55499999999995</v>
      </c>
    </row>
    <row r="71" spans="2:7" ht="15" thickBot="1">
      <c r="B71" s="37">
        <v>17</v>
      </c>
      <c r="C71" s="36" t="s">
        <v>80</v>
      </c>
      <c r="D71" s="24">
        <v>555.55499999999995</v>
      </c>
      <c r="E71" s="24">
        <v>1</v>
      </c>
      <c r="F71" s="37">
        <f t="shared" si="2"/>
        <v>555.55499999999995</v>
      </c>
    </row>
    <row r="72" spans="2:7" ht="15" thickBot="1">
      <c r="B72" s="8"/>
      <c r="C72" s="8"/>
      <c r="D72" s="8"/>
      <c r="E72" s="8"/>
      <c r="F72" s="8"/>
    </row>
    <row r="73" spans="2:7" ht="15" thickBot="1">
      <c r="B73" s="8"/>
      <c r="C73" s="8"/>
      <c r="D73" s="8"/>
      <c r="E73" s="8"/>
      <c r="F73" s="8"/>
    </row>
    <row r="74" spans="2:7" ht="15" thickBot="1">
      <c r="B74" s="606" t="s">
        <v>11</v>
      </c>
      <c r="C74" s="607"/>
      <c r="D74" s="593"/>
      <c r="E74" s="594"/>
      <c r="F74" s="9">
        <f>SUM(F55:F73)</f>
        <v>9999.9900000000016</v>
      </c>
    </row>
    <row r="75" spans="2:7" ht="15" thickBot="1"/>
    <row r="76" spans="2:7" ht="26.4" thickBot="1">
      <c r="B76" s="603" t="s">
        <v>0</v>
      </c>
      <c r="C76" s="604"/>
      <c r="D76" s="604"/>
      <c r="E76" s="604"/>
      <c r="F76" s="605"/>
      <c r="G76" s="11"/>
    </row>
    <row r="78" spans="2:7" ht="15.6">
      <c r="B78" s="2" t="s">
        <v>1</v>
      </c>
      <c r="C78" s="1" t="s">
        <v>81</v>
      </c>
    </row>
    <row r="80" spans="2:7" ht="15.6">
      <c r="B80" s="2" t="s">
        <v>2</v>
      </c>
      <c r="C80" s="34" t="s">
        <v>19</v>
      </c>
      <c r="D80" s="2" t="s">
        <v>5</v>
      </c>
      <c r="E80" s="21">
        <v>45405</v>
      </c>
    </row>
    <row r="81" spans="2:6" ht="15.6">
      <c r="B81" s="2" t="s">
        <v>3</v>
      </c>
    </row>
    <row r="82" spans="2:6" ht="15.6">
      <c r="B82" s="2" t="s">
        <v>4</v>
      </c>
    </row>
    <row r="83" spans="2:6" ht="15" thickBot="1"/>
    <row r="84" spans="2:6" ht="16.2" thickBot="1">
      <c r="B84" s="10" t="s">
        <v>6</v>
      </c>
      <c r="C84" s="10" t="s">
        <v>7</v>
      </c>
      <c r="D84" s="4" t="s">
        <v>8</v>
      </c>
      <c r="E84" s="10" t="s">
        <v>9</v>
      </c>
      <c r="F84" s="5" t="s">
        <v>10</v>
      </c>
    </row>
    <row r="85" spans="2:6" ht="15" thickBot="1">
      <c r="B85" s="6"/>
      <c r="F85" s="7"/>
    </row>
    <row r="86" spans="2:6" ht="15" thickBot="1">
      <c r="B86" s="37">
        <v>1</v>
      </c>
      <c r="C86" s="35" t="s">
        <v>61</v>
      </c>
      <c r="D86" s="38">
        <v>300</v>
      </c>
      <c r="E86" s="38">
        <v>1</v>
      </c>
      <c r="F86" s="37">
        <f>D86*E86</f>
        <v>300</v>
      </c>
    </row>
    <row r="87" spans="2:6" ht="15" thickBot="1">
      <c r="B87" s="37">
        <v>2</v>
      </c>
      <c r="C87" s="36" t="s">
        <v>44</v>
      </c>
      <c r="D87" s="39">
        <v>400</v>
      </c>
      <c r="E87" s="39">
        <v>2</v>
      </c>
      <c r="F87" s="37">
        <f t="shared" ref="F87:F121" si="3">D87*E87</f>
        <v>800</v>
      </c>
    </row>
    <row r="88" spans="2:6" ht="15" thickBot="1">
      <c r="B88" s="37">
        <v>3</v>
      </c>
      <c r="C88" s="36" t="s">
        <v>45</v>
      </c>
      <c r="D88" s="39">
        <v>500</v>
      </c>
      <c r="E88" s="39">
        <v>1</v>
      </c>
      <c r="F88" s="37">
        <f t="shared" si="3"/>
        <v>500</v>
      </c>
    </row>
    <row r="89" spans="2:6" ht="15" thickBot="1">
      <c r="B89" s="37">
        <v>4</v>
      </c>
      <c r="C89" s="36" t="s">
        <v>46</v>
      </c>
      <c r="D89" s="39">
        <v>500</v>
      </c>
      <c r="E89" s="39">
        <v>1</v>
      </c>
      <c r="F89" s="37">
        <f t="shared" si="3"/>
        <v>500</v>
      </c>
    </row>
    <row r="90" spans="2:6" ht="15" thickBot="1">
      <c r="B90" s="37">
        <v>5</v>
      </c>
      <c r="C90" s="36" t="s">
        <v>43</v>
      </c>
      <c r="D90" s="39">
        <v>520</v>
      </c>
      <c r="E90" s="39">
        <v>1</v>
      </c>
      <c r="F90" s="37">
        <f t="shared" si="3"/>
        <v>520</v>
      </c>
    </row>
    <row r="91" spans="2:6" ht="15" thickBot="1">
      <c r="B91" s="37">
        <v>6</v>
      </c>
      <c r="C91" s="36" t="s">
        <v>43</v>
      </c>
      <c r="D91" s="39">
        <v>700</v>
      </c>
      <c r="E91" s="39">
        <v>1</v>
      </c>
      <c r="F91" s="37">
        <f t="shared" si="3"/>
        <v>700</v>
      </c>
    </row>
    <row r="92" spans="2:6" ht="15" thickBot="1">
      <c r="B92" s="37">
        <v>7</v>
      </c>
      <c r="C92" s="36" t="s">
        <v>40</v>
      </c>
      <c r="D92" s="39">
        <v>800</v>
      </c>
      <c r="E92" s="39">
        <v>2</v>
      </c>
      <c r="F92" s="37">
        <f t="shared" si="3"/>
        <v>1600</v>
      </c>
    </row>
    <row r="93" spans="2:6" ht="15" thickBot="1">
      <c r="B93" s="37">
        <v>8</v>
      </c>
      <c r="C93" s="36" t="s">
        <v>41</v>
      </c>
      <c r="D93" s="39">
        <v>800</v>
      </c>
      <c r="E93" s="39">
        <v>1</v>
      </c>
      <c r="F93" s="37">
        <f t="shared" si="3"/>
        <v>800</v>
      </c>
    </row>
    <row r="94" spans="2:6" ht="15" thickBot="1">
      <c r="B94" s="37">
        <v>9</v>
      </c>
      <c r="C94" s="36" t="s">
        <v>41</v>
      </c>
      <c r="D94" s="39">
        <v>500</v>
      </c>
      <c r="E94" s="39">
        <v>1</v>
      </c>
      <c r="F94" s="37">
        <f t="shared" si="3"/>
        <v>500</v>
      </c>
    </row>
    <row r="95" spans="2:6" ht="15" thickBot="1">
      <c r="B95" s="37">
        <v>10</v>
      </c>
      <c r="C95" s="36" t="s">
        <v>38</v>
      </c>
      <c r="D95" s="39">
        <v>1400</v>
      </c>
      <c r="E95" s="39">
        <v>1</v>
      </c>
      <c r="F95" s="37">
        <f t="shared" si="3"/>
        <v>1400</v>
      </c>
    </row>
    <row r="96" spans="2:6" ht="15" thickBot="1">
      <c r="B96" s="37">
        <v>11</v>
      </c>
      <c r="C96" s="36" t="s">
        <v>39</v>
      </c>
      <c r="D96" s="39">
        <v>1100</v>
      </c>
      <c r="E96" s="39">
        <v>1</v>
      </c>
      <c r="F96" s="37">
        <f t="shared" si="3"/>
        <v>1100</v>
      </c>
    </row>
    <row r="97" spans="2:6" ht="15" thickBot="1">
      <c r="B97" s="37">
        <v>12</v>
      </c>
      <c r="C97" s="36" t="s">
        <v>36</v>
      </c>
      <c r="D97" s="39">
        <v>210</v>
      </c>
      <c r="E97" s="39">
        <v>1</v>
      </c>
      <c r="F97" s="37">
        <f t="shared" si="3"/>
        <v>210</v>
      </c>
    </row>
    <row r="98" spans="2:6" ht="15" thickBot="1">
      <c r="B98" s="37">
        <v>13</v>
      </c>
      <c r="C98" s="36" t="s">
        <v>36</v>
      </c>
      <c r="D98" s="39">
        <v>1500</v>
      </c>
      <c r="E98" s="39">
        <v>1</v>
      </c>
      <c r="F98" s="37">
        <f t="shared" si="3"/>
        <v>1500</v>
      </c>
    </row>
    <row r="99" spans="2:6" ht="15" thickBot="1">
      <c r="B99" s="37">
        <v>14</v>
      </c>
      <c r="C99" s="36" t="s">
        <v>37</v>
      </c>
      <c r="D99" s="39">
        <v>1500</v>
      </c>
      <c r="E99" s="39">
        <v>2</v>
      </c>
      <c r="F99" s="37">
        <f t="shared" si="3"/>
        <v>3000</v>
      </c>
    </row>
    <row r="100" spans="2:6" ht="15" thickBot="1">
      <c r="B100" s="37">
        <v>15</v>
      </c>
      <c r="C100" s="36" t="s">
        <v>34</v>
      </c>
      <c r="D100" s="39">
        <v>700</v>
      </c>
      <c r="E100" s="39">
        <v>1</v>
      </c>
      <c r="F100" s="37">
        <f t="shared" si="3"/>
        <v>700</v>
      </c>
    </row>
    <row r="101" spans="2:6" ht="15" thickBot="1">
      <c r="B101" s="37">
        <v>16</v>
      </c>
      <c r="C101" s="36" t="s">
        <v>34</v>
      </c>
      <c r="D101" s="39">
        <v>1300</v>
      </c>
      <c r="E101" s="39">
        <v>1</v>
      </c>
      <c r="F101" s="37">
        <f t="shared" si="3"/>
        <v>1300</v>
      </c>
    </row>
    <row r="102" spans="2:6" ht="15" thickBot="1">
      <c r="B102" s="37">
        <v>17</v>
      </c>
      <c r="C102" s="36" t="s">
        <v>35</v>
      </c>
      <c r="D102" s="39">
        <v>1500</v>
      </c>
      <c r="E102" s="39">
        <v>1</v>
      </c>
      <c r="F102" s="37">
        <f t="shared" si="3"/>
        <v>1500</v>
      </c>
    </row>
    <row r="103" spans="2:6" ht="15" thickBot="1">
      <c r="B103" s="37">
        <v>18</v>
      </c>
      <c r="C103" s="36" t="s">
        <v>32</v>
      </c>
      <c r="D103" s="39">
        <v>1600</v>
      </c>
      <c r="E103" s="39">
        <v>1</v>
      </c>
      <c r="F103" s="37">
        <f t="shared" si="3"/>
        <v>1600</v>
      </c>
    </row>
    <row r="104" spans="2:6" ht="15" thickBot="1">
      <c r="B104" s="37">
        <v>19</v>
      </c>
      <c r="C104" s="36" t="s">
        <v>33</v>
      </c>
      <c r="D104" s="39">
        <v>1600</v>
      </c>
      <c r="E104" s="39">
        <v>1</v>
      </c>
      <c r="F104" s="37">
        <f t="shared" si="3"/>
        <v>1600</v>
      </c>
    </row>
    <row r="105" spans="2:6" ht="15" thickBot="1">
      <c r="B105" s="37">
        <v>20</v>
      </c>
      <c r="C105" s="36" t="s">
        <v>31</v>
      </c>
      <c r="D105" s="39">
        <v>1000</v>
      </c>
      <c r="E105" s="39">
        <v>1</v>
      </c>
      <c r="F105" s="37">
        <f t="shared" si="3"/>
        <v>1000</v>
      </c>
    </row>
    <row r="106" spans="2:6" ht="15" thickBot="1">
      <c r="B106" s="37">
        <v>21</v>
      </c>
      <c r="C106" s="36" t="s">
        <v>31</v>
      </c>
      <c r="D106" s="39">
        <v>1200</v>
      </c>
      <c r="E106" s="39">
        <v>1</v>
      </c>
      <c r="F106" s="37">
        <f t="shared" si="3"/>
        <v>1200</v>
      </c>
    </row>
    <row r="107" spans="2:6" ht="15" thickBot="1">
      <c r="B107" s="37">
        <v>22</v>
      </c>
      <c r="C107" s="36" t="s">
        <v>29</v>
      </c>
      <c r="D107" s="39">
        <v>2000</v>
      </c>
      <c r="E107" s="39">
        <v>1</v>
      </c>
      <c r="F107" s="37">
        <f t="shared" si="3"/>
        <v>2000</v>
      </c>
    </row>
    <row r="108" spans="2:6" ht="15" thickBot="1">
      <c r="B108" s="37">
        <v>23</v>
      </c>
      <c r="C108" s="36" t="s">
        <v>27</v>
      </c>
      <c r="D108" s="39">
        <v>2300</v>
      </c>
      <c r="E108" s="39">
        <v>1</v>
      </c>
      <c r="F108" s="37">
        <f t="shared" si="3"/>
        <v>2300</v>
      </c>
    </row>
    <row r="109" spans="2:6" ht="15" thickBot="1">
      <c r="B109" s="37">
        <v>24</v>
      </c>
      <c r="C109" s="36" t="s">
        <v>42</v>
      </c>
      <c r="D109" s="39">
        <v>500</v>
      </c>
      <c r="E109" s="39">
        <v>1</v>
      </c>
      <c r="F109" s="37">
        <f t="shared" si="3"/>
        <v>500</v>
      </c>
    </row>
    <row r="110" spans="2:6" ht="15" thickBot="1">
      <c r="B110" s="37">
        <v>25</v>
      </c>
      <c r="C110" s="36" t="s">
        <v>82</v>
      </c>
      <c r="D110" s="39">
        <v>300</v>
      </c>
      <c r="E110" s="39">
        <v>1</v>
      </c>
      <c r="F110" s="37">
        <f t="shared" si="3"/>
        <v>300</v>
      </c>
    </row>
    <row r="111" spans="2:6" ht="15" thickBot="1">
      <c r="B111" s="37">
        <v>26</v>
      </c>
      <c r="C111" s="36" t="s">
        <v>53</v>
      </c>
      <c r="D111" s="39">
        <v>250</v>
      </c>
      <c r="E111" s="39">
        <v>1</v>
      </c>
      <c r="F111" s="37">
        <f t="shared" si="3"/>
        <v>250</v>
      </c>
    </row>
    <row r="112" spans="2:6" ht="15" thickBot="1">
      <c r="B112" s="37">
        <v>27</v>
      </c>
      <c r="C112" s="36" t="s">
        <v>54</v>
      </c>
      <c r="D112" s="39">
        <v>250</v>
      </c>
      <c r="E112" s="39">
        <v>1</v>
      </c>
      <c r="F112" s="37">
        <f t="shared" si="3"/>
        <v>250</v>
      </c>
    </row>
    <row r="113" spans="2:6" ht="15" thickBot="1">
      <c r="B113" s="37">
        <v>28</v>
      </c>
      <c r="C113" s="36" t="s">
        <v>52</v>
      </c>
      <c r="D113" s="39">
        <v>900</v>
      </c>
      <c r="E113" s="39">
        <v>1</v>
      </c>
      <c r="F113" s="37">
        <f t="shared" si="3"/>
        <v>900</v>
      </c>
    </row>
    <row r="114" spans="2:6" ht="15" thickBot="1">
      <c r="B114" s="233">
        <v>45442</v>
      </c>
      <c r="C114" s="36" t="s">
        <v>698</v>
      </c>
      <c r="D114" s="39">
        <v>1000</v>
      </c>
      <c r="E114" s="39">
        <v>1</v>
      </c>
      <c r="F114" s="37">
        <f t="shared" si="3"/>
        <v>1000</v>
      </c>
    </row>
    <row r="115" spans="2:6" ht="15" thickBot="1">
      <c r="B115" s="233">
        <v>45442</v>
      </c>
      <c r="C115" s="36" t="s">
        <v>50</v>
      </c>
      <c r="D115" s="39">
        <v>1170</v>
      </c>
      <c r="E115" s="39">
        <v>1</v>
      </c>
      <c r="F115" s="37">
        <f t="shared" si="3"/>
        <v>1170</v>
      </c>
    </row>
    <row r="116" spans="2:6" ht="15" thickBot="1">
      <c r="B116" s="233"/>
      <c r="C116" s="136"/>
      <c r="D116" s="234"/>
      <c r="E116" s="234"/>
      <c r="F116" s="37">
        <f t="shared" si="3"/>
        <v>0</v>
      </c>
    </row>
    <row r="117" spans="2:6" ht="15" thickBot="1">
      <c r="B117" s="233"/>
      <c r="C117" s="136"/>
      <c r="D117" s="234"/>
      <c r="E117" s="234"/>
      <c r="F117" s="37">
        <f t="shared" si="3"/>
        <v>0</v>
      </c>
    </row>
    <row r="118" spans="2:6" ht="15" thickBot="1">
      <c r="B118" s="233"/>
      <c r="C118" s="136"/>
      <c r="D118" s="234"/>
      <c r="E118" s="234"/>
      <c r="F118" s="37">
        <f t="shared" si="3"/>
        <v>0</v>
      </c>
    </row>
    <row r="119" spans="2:6" ht="15" thickBot="1">
      <c r="B119" s="233"/>
      <c r="C119" s="136"/>
      <c r="D119" s="234"/>
      <c r="E119" s="234"/>
      <c r="F119" s="37">
        <f t="shared" si="3"/>
        <v>0</v>
      </c>
    </row>
    <row r="120" spans="2:6" ht="15" thickBot="1">
      <c r="B120" s="233"/>
      <c r="C120" s="136"/>
      <c r="D120" s="234"/>
      <c r="E120" s="234"/>
      <c r="F120" s="37">
        <f t="shared" si="3"/>
        <v>0</v>
      </c>
    </row>
    <row r="121" spans="2:6" ht="15" thickBot="1">
      <c r="B121" s="8"/>
      <c r="C121" s="8"/>
      <c r="D121" s="8"/>
      <c r="E121" s="8"/>
      <c r="F121" s="37">
        <f t="shared" si="3"/>
        <v>0</v>
      </c>
    </row>
    <row r="122" spans="2:6" ht="15" thickBot="1">
      <c r="B122" s="8"/>
      <c r="C122" s="8"/>
      <c r="D122" s="8"/>
      <c r="E122" s="8"/>
      <c r="F122" s="8"/>
    </row>
    <row r="123" spans="2:6" ht="15" thickBot="1">
      <c r="B123" s="606" t="s">
        <v>11</v>
      </c>
      <c r="C123" s="607"/>
      <c r="D123" s="593"/>
      <c r="E123" s="594"/>
      <c r="F123" s="9">
        <f>SUM(F86:F122)</f>
        <v>31000</v>
      </c>
    </row>
    <row r="125" spans="2:6" ht="15" thickBot="1"/>
    <row r="126" spans="2:6" ht="26.4" thickBot="1">
      <c r="B126" s="603" t="s">
        <v>0</v>
      </c>
      <c r="C126" s="604"/>
      <c r="D126" s="604"/>
      <c r="E126" s="604"/>
      <c r="F126" s="605"/>
    </row>
    <row r="128" spans="2:6" ht="15.6">
      <c r="B128" s="2" t="s">
        <v>1</v>
      </c>
      <c r="C128" s="1" t="s">
        <v>179</v>
      </c>
    </row>
    <row r="130" spans="2:6" ht="15.6">
      <c r="B130" s="2" t="s">
        <v>2</v>
      </c>
      <c r="C130" s="34" t="s">
        <v>180</v>
      </c>
      <c r="D130" s="2" t="s">
        <v>5</v>
      </c>
      <c r="E130" s="21">
        <v>45409</v>
      </c>
    </row>
    <row r="131" spans="2:6" ht="15.6">
      <c r="B131" s="2" t="s">
        <v>3</v>
      </c>
    </row>
    <row r="132" spans="2:6" ht="15.6">
      <c r="B132" s="2" t="s">
        <v>4</v>
      </c>
    </row>
    <row r="133" spans="2:6" ht="15" thickBot="1"/>
    <row r="134" spans="2:6" ht="16.2" thickBot="1">
      <c r="B134" s="10" t="s">
        <v>6</v>
      </c>
      <c r="C134" s="10" t="s">
        <v>7</v>
      </c>
      <c r="D134" s="4" t="s">
        <v>8</v>
      </c>
      <c r="E134" s="10" t="s">
        <v>9</v>
      </c>
      <c r="F134" s="5" t="s">
        <v>10</v>
      </c>
    </row>
    <row r="135" spans="2:6" ht="15" thickBot="1">
      <c r="B135" s="6"/>
      <c r="F135" s="7"/>
    </row>
    <row r="136" spans="2:6" ht="15" thickBot="1">
      <c r="B136" s="37">
        <v>1</v>
      </c>
      <c r="C136" s="77" t="s">
        <v>189</v>
      </c>
      <c r="D136" s="72">
        <f>38.42+1616.56</f>
        <v>1654.98</v>
      </c>
      <c r="E136" s="79">
        <v>1</v>
      </c>
      <c r="F136" s="37">
        <f>D136*E136</f>
        <v>1654.98</v>
      </c>
    </row>
    <row r="137" spans="2:6" ht="15" thickBot="1">
      <c r="B137" s="37">
        <v>2</v>
      </c>
      <c r="C137" s="78" t="s">
        <v>190</v>
      </c>
      <c r="D137" s="72">
        <f>38.42+1642.278</f>
        <v>1680.6980000000001</v>
      </c>
      <c r="E137" s="80">
        <v>1</v>
      </c>
      <c r="F137" s="37">
        <f t="shared" ref="F137:F175" si="4">D137*E137</f>
        <v>1680.6980000000001</v>
      </c>
    </row>
    <row r="138" spans="2:6" ht="15" thickBot="1">
      <c r="B138" s="37">
        <v>3</v>
      </c>
      <c r="C138" s="78" t="s">
        <v>191</v>
      </c>
      <c r="D138" s="72">
        <f>38.42+1587.168</f>
        <v>1625.588</v>
      </c>
      <c r="E138" s="80">
        <v>1</v>
      </c>
      <c r="F138" s="37">
        <f t="shared" si="4"/>
        <v>1625.588</v>
      </c>
    </row>
    <row r="139" spans="2:6" ht="15" thickBot="1">
      <c r="B139" s="37">
        <v>4</v>
      </c>
      <c r="C139" s="78" t="s">
        <v>192</v>
      </c>
      <c r="D139" s="72">
        <f>38.42+1653.3</f>
        <v>1691.72</v>
      </c>
      <c r="E139" s="80">
        <v>1</v>
      </c>
      <c r="F139" s="37">
        <f t="shared" si="4"/>
        <v>1691.72</v>
      </c>
    </row>
    <row r="140" spans="2:6" ht="15" thickBot="1">
      <c r="B140" s="37">
        <v>5</v>
      </c>
      <c r="C140" s="78" t="s">
        <v>193</v>
      </c>
      <c r="D140" s="72">
        <f>38.42+1947.22</f>
        <v>1985.64</v>
      </c>
      <c r="E140" s="80">
        <v>1</v>
      </c>
      <c r="F140" s="37">
        <f t="shared" si="4"/>
        <v>1985.64</v>
      </c>
    </row>
    <row r="141" spans="2:6" ht="15" thickBot="1">
      <c r="B141" s="37">
        <v>6</v>
      </c>
      <c r="C141" s="78" t="s">
        <v>194</v>
      </c>
      <c r="D141" s="72">
        <f>38.42+1980.286</f>
        <v>2018.7060000000001</v>
      </c>
      <c r="E141" s="80">
        <v>4</v>
      </c>
      <c r="F141" s="37">
        <f t="shared" si="4"/>
        <v>8074.8240000000005</v>
      </c>
    </row>
    <row r="142" spans="2:6" ht="15" thickBot="1">
      <c r="B142" s="37">
        <v>7</v>
      </c>
      <c r="C142" s="78" t="s">
        <v>195</v>
      </c>
      <c r="D142" s="72">
        <f>38.42+1983.96</f>
        <v>2022.38</v>
      </c>
      <c r="E142" s="80">
        <v>5</v>
      </c>
      <c r="F142" s="37">
        <f t="shared" si="4"/>
        <v>10111.900000000001</v>
      </c>
    </row>
    <row r="143" spans="2:6" ht="15" thickBot="1">
      <c r="B143" s="37">
        <v>8</v>
      </c>
      <c r="C143" s="78" t="s">
        <v>195</v>
      </c>
      <c r="D143" s="72">
        <f>38.42+1947.22</f>
        <v>1985.64</v>
      </c>
      <c r="E143" s="80">
        <v>6</v>
      </c>
      <c r="F143" s="37">
        <f t="shared" si="4"/>
        <v>11913.84</v>
      </c>
    </row>
    <row r="144" spans="2:6" ht="15" thickBot="1">
      <c r="B144" s="37">
        <v>9</v>
      </c>
      <c r="C144" s="78" t="s">
        <v>196</v>
      </c>
      <c r="D144" s="72">
        <f>38.42+1983.96</f>
        <v>2022.38</v>
      </c>
      <c r="E144" s="80">
        <v>1</v>
      </c>
      <c r="F144" s="37">
        <f t="shared" si="4"/>
        <v>2022.38</v>
      </c>
    </row>
    <row r="145" spans="2:6" ht="15" thickBot="1">
      <c r="B145" s="37">
        <v>10</v>
      </c>
      <c r="C145" s="78" t="s">
        <v>197</v>
      </c>
      <c r="D145" s="72">
        <f>38.42+1983.96</f>
        <v>2022.38</v>
      </c>
      <c r="E145" s="80">
        <v>1</v>
      </c>
      <c r="F145" s="37">
        <f t="shared" si="4"/>
        <v>2022.38</v>
      </c>
    </row>
    <row r="146" spans="2:6" ht="15" thickBot="1">
      <c r="B146" s="37">
        <v>11</v>
      </c>
      <c r="C146" s="78" t="s">
        <v>198</v>
      </c>
      <c r="D146" s="72">
        <f>38.42+1969.26</f>
        <v>2007.68</v>
      </c>
      <c r="E146" s="80">
        <v>1</v>
      </c>
      <c r="F146" s="37">
        <f t="shared" si="4"/>
        <v>2007.68</v>
      </c>
    </row>
    <row r="147" spans="2:6" ht="15" thickBot="1">
      <c r="B147" s="37">
        <v>12</v>
      </c>
      <c r="C147" s="78" t="s">
        <v>199</v>
      </c>
      <c r="D147" s="72">
        <f>38.42+1983.96</f>
        <v>2022.38</v>
      </c>
      <c r="E147" s="80">
        <v>1</v>
      </c>
      <c r="F147" s="37">
        <f t="shared" si="4"/>
        <v>2022.38</v>
      </c>
    </row>
    <row r="148" spans="2:6" ht="15" thickBot="1">
      <c r="B148" s="37">
        <v>13</v>
      </c>
      <c r="C148" s="78" t="s">
        <v>200</v>
      </c>
      <c r="D148" s="72">
        <f>38.42+1175.68</f>
        <v>1214.1000000000001</v>
      </c>
      <c r="E148" s="80">
        <v>1</v>
      </c>
      <c r="F148" s="37">
        <f t="shared" si="4"/>
        <v>1214.1000000000001</v>
      </c>
    </row>
    <row r="149" spans="2:6" ht="15" thickBot="1">
      <c r="B149" s="37">
        <v>14</v>
      </c>
      <c r="C149" s="78" t="s">
        <v>201</v>
      </c>
      <c r="D149" s="72">
        <f>38.42+882.76</f>
        <v>921.18</v>
      </c>
      <c r="E149" s="80">
        <v>2</v>
      </c>
      <c r="F149" s="37">
        <f t="shared" si="4"/>
        <v>1842.36</v>
      </c>
    </row>
    <row r="150" spans="2:6" ht="15" thickBot="1">
      <c r="B150" s="37">
        <v>15</v>
      </c>
      <c r="C150" s="78" t="s">
        <v>202</v>
      </c>
      <c r="D150" s="72">
        <f>38.42+1028.72</f>
        <v>1067.1400000000001</v>
      </c>
      <c r="E150" s="80">
        <v>28</v>
      </c>
      <c r="F150" s="37">
        <f t="shared" si="4"/>
        <v>29879.920000000002</v>
      </c>
    </row>
    <row r="151" spans="2:6" ht="15" thickBot="1">
      <c r="B151" s="37">
        <v>16</v>
      </c>
      <c r="C151" s="78" t="s">
        <v>203</v>
      </c>
      <c r="D151" s="72">
        <f>38.42+1047.09</f>
        <v>1085.51</v>
      </c>
      <c r="E151" s="80">
        <v>10</v>
      </c>
      <c r="F151" s="37">
        <f t="shared" si="4"/>
        <v>10855.1</v>
      </c>
    </row>
    <row r="152" spans="2:6" ht="15" thickBot="1">
      <c r="B152" s="37">
        <v>17</v>
      </c>
      <c r="C152" s="78" t="s">
        <v>204</v>
      </c>
      <c r="D152" s="72">
        <f>38.42+991.98</f>
        <v>1030.4000000000001</v>
      </c>
      <c r="E152" s="80">
        <v>1</v>
      </c>
      <c r="F152" s="37">
        <f t="shared" si="4"/>
        <v>1030.4000000000001</v>
      </c>
    </row>
    <row r="153" spans="2:6" ht="15" thickBot="1">
      <c r="B153" s="37">
        <v>18</v>
      </c>
      <c r="C153" s="78" t="s">
        <v>205</v>
      </c>
      <c r="D153" s="72">
        <f>38.42+991.98</f>
        <v>1030.4000000000001</v>
      </c>
      <c r="E153" s="80">
        <v>2</v>
      </c>
      <c r="F153" s="37">
        <f t="shared" si="4"/>
        <v>2060.8000000000002</v>
      </c>
    </row>
    <row r="154" spans="2:6" ht="15" thickBot="1">
      <c r="B154" s="37">
        <v>19</v>
      </c>
      <c r="C154" s="78" t="s">
        <v>206</v>
      </c>
      <c r="D154" s="72">
        <f>38.42+900.13</f>
        <v>938.55</v>
      </c>
      <c r="E154" s="80">
        <v>1</v>
      </c>
      <c r="F154" s="37">
        <f t="shared" si="4"/>
        <v>938.55</v>
      </c>
    </row>
    <row r="155" spans="2:6" ht="15" thickBot="1">
      <c r="B155" s="37">
        <v>20</v>
      </c>
      <c r="C155" s="78" t="s">
        <v>207</v>
      </c>
      <c r="D155" s="72">
        <f>38.42+881.76</f>
        <v>920.18</v>
      </c>
      <c r="E155" s="80">
        <v>10</v>
      </c>
      <c r="F155" s="37">
        <f t="shared" si="4"/>
        <v>9201.7999999999993</v>
      </c>
    </row>
    <row r="156" spans="2:6" ht="15" thickBot="1">
      <c r="B156" s="37">
        <v>21</v>
      </c>
      <c r="C156" s="78" t="s">
        <v>208</v>
      </c>
      <c r="D156" s="72">
        <f>38.42+885.434</f>
        <v>923.85399999999993</v>
      </c>
      <c r="E156" s="80">
        <v>10</v>
      </c>
      <c r="F156" s="37">
        <f t="shared" si="4"/>
        <v>9238.5399999999991</v>
      </c>
    </row>
    <row r="157" spans="2:6" ht="15" thickBot="1">
      <c r="B157" s="37">
        <v>22</v>
      </c>
      <c r="C157" s="78" t="s">
        <v>209</v>
      </c>
      <c r="D157" s="72">
        <f>38.42+742.148</f>
        <v>780.56799999999998</v>
      </c>
      <c r="E157" s="80">
        <v>1</v>
      </c>
      <c r="F157" s="37">
        <f t="shared" si="4"/>
        <v>780.56799999999998</v>
      </c>
    </row>
    <row r="158" spans="2:6" ht="15" thickBot="1">
      <c r="B158" s="37">
        <v>23</v>
      </c>
      <c r="C158" s="78" t="s">
        <v>210</v>
      </c>
      <c r="D158" s="72">
        <f>38.42+1010</f>
        <v>1048.42</v>
      </c>
      <c r="E158" s="80">
        <v>1</v>
      </c>
      <c r="F158" s="37">
        <f t="shared" si="4"/>
        <v>1048.42</v>
      </c>
    </row>
    <row r="159" spans="2:6" ht="15" thickBot="1">
      <c r="B159" s="37">
        <v>24</v>
      </c>
      <c r="C159" s="78" t="s">
        <v>203</v>
      </c>
      <c r="D159" s="72">
        <f>38.42+991.98</f>
        <v>1030.4000000000001</v>
      </c>
      <c r="E159" s="80">
        <v>11</v>
      </c>
      <c r="F159" s="37">
        <f t="shared" si="4"/>
        <v>11334.400000000001</v>
      </c>
    </row>
    <row r="160" spans="2:6" ht="15" thickBot="1">
      <c r="B160" s="37">
        <v>25</v>
      </c>
      <c r="C160" s="78" t="s">
        <v>211</v>
      </c>
      <c r="D160" s="72">
        <f>38.42+624.58</f>
        <v>663</v>
      </c>
      <c r="E160" s="80">
        <v>1</v>
      </c>
      <c r="F160" s="37">
        <f t="shared" si="4"/>
        <v>663</v>
      </c>
    </row>
    <row r="161" spans="2:6" ht="15" thickBot="1">
      <c r="B161" s="37">
        <v>26</v>
      </c>
      <c r="C161" s="78" t="s">
        <v>212</v>
      </c>
      <c r="D161" s="72">
        <f>38.42+653.972</f>
        <v>692.39199999999994</v>
      </c>
      <c r="E161" s="80">
        <v>1</v>
      </c>
      <c r="F161" s="37">
        <f t="shared" si="4"/>
        <v>692.39199999999994</v>
      </c>
    </row>
    <row r="162" spans="2:6" ht="15" thickBot="1">
      <c r="B162" s="37">
        <v>27</v>
      </c>
      <c r="C162" s="78" t="s">
        <v>213</v>
      </c>
      <c r="D162" s="72">
        <f>38.42+642.95</f>
        <v>681.37</v>
      </c>
      <c r="E162" s="80">
        <v>1</v>
      </c>
      <c r="F162" s="37">
        <f t="shared" si="4"/>
        <v>681.37</v>
      </c>
    </row>
    <row r="163" spans="2:6" ht="15" thickBot="1">
      <c r="B163" s="37">
        <v>28</v>
      </c>
      <c r="C163" s="78" t="s">
        <v>214</v>
      </c>
      <c r="D163" s="72">
        <f>38.42+782</f>
        <v>820.42</v>
      </c>
      <c r="E163" s="80">
        <v>1</v>
      </c>
      <c r="F163" s="37">
        <f t="shared" si="4"/>
        <v>820.42</v>
      </c>
    </row>
    <row r="164" spans="2:6" ht="15" thickBot="1">
      <c r="B164" s="37">
        <v>29</v>
      </c>
      <c r="C164" s="78" t="s">
        <v>215</v>
      </c>
      <c r="D164" s="72">
        <f>38.42+793.584</f>
        <v>832.00399999999991</v>
      </c>
      <c r="E164" s="80">
        <v>11</v>
      </c>
      <c r="F164" s="37">
        <f t="shared" si="4"/>
        <v>9152.0439999999981</v>
      </c>
    </row>
    <row r="165" spans="2:6" ht="15" thickBot="1">
      <c r="B165" s="37">
        <v>30</v>
      </c>
      <c r="C165" s="78" t="s">
        <v>216</v>
      </c>
      <c r="D165" s="72">
        <f>38.42+789.91</f>
        <v>828.32999999999993</v>
      </c>
      <c r="E165" s="80">
        <v>1</v>
      </c>
      <c r="F165" s="37">
        <f t="shared" si="4"/>
        <v>828.32999999999993</v>
      </c>
    </row>
    <row r="166" spans="2:6" ht="15" thickBot="1">
      <c r="B166" s="37">
        <v>31</v>
      </c>
      <c r="C166" s="78" t="s">
        <v>217</v>
      </c>
      <c r="D166" s="72">
        <f>38.42+811.954</f>
        <v>850.37399999999991</v>
      </c>
      <c r="E166" s="80">
        <v>1</v>
      </c>
      <c r="F166" s="37">
        <f t="shared" si="4"/>
        <v>850.37399999999991</v>
      </c>
    </row>
    <row r="167" spans="2:6" ht="15" thickBot="1">
      <c r="B167" s="37">
        <v>32</v>
      </c>
      <c r="C167" s="78" t="s">
        <v>218</v>
      </c>
      <c r="D167" s="72">
        <f>38.42+789.91</f>
        <v>828.32999999999993</v>
      </c>
      <c r="E167" s="80">
        <v>1</v>
      </c>
      <c r="F167" s="37">
        <f t="shared" si="4"/>
        <v>828.32999999999993</v>
      </c>
    </row>
    <row r="168" spans="2:6" ht="15" thickBot="1">
      <c r="B168" s="37">
        <v>33</v>
      </c>
      <c r="C168" s="78" t="s">
        <v>219</v>
      </c>
      <c r="D168" s="72">
        <f>38.42+775.214</f>
        <v>813.63400000000001</v>
      </c>
      <c r="E168" s="80">
        <v>4</v>
      </c>
      <c r="F168" s="37">
        <f t="shared" si="4"/>
        <v>3254.5360000000001</v>
      </c>
    </row>
    <row r="169" spans="2:6" ht="15" thickBot="1">
      <c r="B169" s="37">
        <v>34</v>
      </c>
      <c r="C169" s="78" t="s">
        <v>220</v>
      </c>
      <c r="D169" s="72">
        <f>38.42+771.9809</f>
        <v>810.40089999999998</v>
      </c>
      <c r="E169" s="80">
        <v>8</v>
      </c>
      <c r="F169" s="37">
        <f t="shared" si="4"/>
        <v>6483.2071999999998</v>
      </c>
    </row>
    <row r="170" spans="2:6" ht="15" thickBot="1">
      <c r="B170" s="37">
        <v>35</v>
      </c>
      <c r="C170" s="78" t="s">
        <v>221</v>
      </c>
      <c r="D170" s="72">
        <f>38.42+789.91</f>
        <v>828.32999999999993</v>
      </c>
      <c r="E170" s="80">
        <v>1</v>
      </c>
      <c r="F170" s="37">
        <f t="shared" si="4"/>
        <v>828.32999999999993</v>
      </c>
    </row>
    <row r="171" spans="2:6" ht="15" thickBot="1">
      <c r="B171" s="37">
        <v>36</v>
      </c>
      <c r="C171" s="78" t="s">
        <v>222</v>
      </c>
      <c r="D171" s="72">
        <f>38.42+789.91</f>
        <v>828.32999999999993</v>
      </c>
      <c r="E171" s="80">
        <v>1</v>
      </c>
      <c r="F171" s="37">
        <f t="shared" si="4"/>
        <v>828.32999999999993</v>
      </c>
    </row>
    <row r="172" spans="2:6" ht="15" thickBot="1">
      <c r="B172" s="37">
        <v>37</v>
      </c>
      <c r="C172" s="78" t="s">
        <v>223</v>
      </c>
      <c r="D172" s="72">
        <f>38.42+532.73</f>
        <v>571.15</v>
      </c>
      <c r="E172" s="80">
        <v>1</v>
      </c>
      <c r="F172" s="37">
        <f>D172*E172</f>
        <v>571.15</v>
      </c>
    </row>
    <row r="173" spans="2:6" ht="15" thickBot="1">
      <c r="B173" s="37">
        <v>38</v>
      </c>
      <c r="C173" s="78" t="s">
        <v>224</v>
      </c>
      <c r="D173" s="72">
        <f>38.42+532.73</f>
        <v>571.15</v>
      </c>
      <c r="E173" s="80">
        <v>1</v>
      </c>
      <c r="F173" s="37">
        <f t="shared" si="4"/>
        <v>571.15</v>
      </c>
    </row>
    <row r="174" spans="2:6" ht="15" thickBot="1">
      <c r="B174" s="37">
        <v>39</v>
      </c>
      <c r="C174" s="78" t="s">
        <v>225</v>
      </c>
      <c r="D174" s="72">
        <f>38.42+477.62</f>
        <v>516.04</v>
      </c>
      <c r="E174" s="80">
        <v>1</v>
      </c>
      <c r="F174" s="37">
        <f t="shared" si="4"/>
        <v>516.04</v>
      </c>
    </row>
    <row r="175" spans="2:6" ht="15" thickBot="1">
      <c r="B175" s="37">
        <v>40</v>
      </c>
      <c r="C175" s="78" t="s">
        <v>226</v>
      </c>
      <c r="D175" s="72">
        <f>38.42+477.62</f>
        <v>516.04</v>
      </c>
      <c r="E175" s="80">
        <v>1</v>
      </c>
      <c r="F175" s="37">
        <f t="shared" si="4"/>
        <v>516.04</v>
      </c>
    </row>
    <row r="176" spans="2:6" ht="15" thickBot="1">
      <c r="B176" s="37"/>
      <c r="C176" s="71"/>
      <c r="D176" s="72"/>
      <c r="E176" s="72"/>
      <c r="F176" s="37"/>
    </row>
    <row r="177" spans="2:6" ht="15" thickBot="1">
      <c r="B177" s="37"/>
      <c r="C177" s="73" t="s">
        <v>181</v>
      </c>
      <c r="D177" s="72"/>
      <c r="E177" s="72"/>
      <c r="F177" s="37"/>
    </row>
    <row r="178" spans="2:6" ht="15" thickBot="1">
      <c r="B178" s="37"/>
      <c r="C178" s="75" t="s">
        <v>186</v>
      </c>
      <c r="D178" s="72"/>
      <c r="E178" s="72"/>
      <c r="F178" s="37"/>
    </row>
    <row r="179" spans="2:6" ht="15" thickBot="1">
      <c r="B179" s="37"/>
      <c r="C179" s="73" t="s">
        <v>182</v>
      </c>
      <c r="D179" s="72"/>
      <c r="E179" s="72"/>
      <c r="F179" s="37"/>
    </row>
    <row r="180" spans="2:6" ht="15" thickBot="1">
      <c r="B180" s="37"/>
      <c r="C180" s="75" t="s">
        <v>183</v>
      </c>
      <c r="D180" s="72"/>
      <c r="E180" s="72"/>
      <c r="F180" s="37"/>
    </row>
    <row r="181" spans="2:6" ht="15" thickBot="1">
      <c r="B181" s="37"/>
      <c r="C181" s="73" t="s">
        <v>184</v>
      </c>
      <c r="D181" s="72"/>
      <c r="E181" s="72"/>
      <c r="F181" s="37"/>
    </row>
    <row r="182" spans="2:6" ht="15" thickBot="1">
      <c r="B182" s="8"/>
      <c r="C182" s="74" t="s">
        <v>185</v>
      </c>
      <c r="D182" s="8"/>
      <c r="E182" s="8"/>
      <c r="F182" s="8"/>
    </row>
    <row r="183" spans="2:6" ht="29.4" thickBot="1">
      <c r="B183" s="8"/>
      <c r="C183" s="76" t="s">
        <v>187</v>
      </c>
      <c r="D183" s="8"/>
      <c r="E183" s="8"/>
      <c r="F183" s="8"/>
    </row>
    <row r="184" spans="2:6" ht="15" thickBot="1">
      <c r="B184" s="606" t="s">
        <v>11</v>
      </c>
      <c r="C184" s="607"/>
      <c r="D184" s="593"/>
      <c r="E184" s="594"/>
      <c r="F184" s="9">
        <f>SUM(F136:F183)</f>
        <v>154324.01119999995</v>
      </c>
    </row>
    <row r="186" spans="2:6" ht="15" thickBot="1"/>
    <row r="187" spans="2:6" ht="26.4" thickBot="1">
      <c r="B187" s="603" t="s">
        <v>0</v>
      </c>
      <c r="C187" s="604"/>
      <c r="D187" s="604"/>
      <c r="E187" s="604"/>
      <c r="F187" s="605"/>
    </row>
    <row r="189" spans="2:6" ht="15.6">
      <c r="B189" s="2" t="s">
        <v>1</v>
      </c>
      <c r="C189" s="1" t="s">
        <v>559</v>
      </c>
    </row>
    <row r="191" spans="2:6" ht="15.6">
      <c r="B191" s="2" t="s">
        <v>2</v>
      </c>
      <c r="C191" s="34" t="s">
        <v>180</v>
      </c>
      <c r="D191" s="2" t="s">
        <v>5</v>
      </c>
      <c r="E191" s="21">
        <v>45426</v>
      </c>
    </row>
    <row r="192" spans="2:6" ht="15.6">
      <c r="B192" s="2" t="s">
        <v>3</v>
      </c>
    </row>
    <row r="193" spans="2:6" ht="15.6">
      <c r="B193" s="2" t="s">
        <v>4</v>
      </c>
    </row>
    <row r="194" spans="2:6" ht="15" thickBot="1"/>
    <row r="195" spans="2:6" ht="16.2" thickBot="1">
      <c r="B195" s="10" t="s">
        <v>6</v>
      </c>
      <c r="C195" s="10" t="s">
        <v>7</v>
      </c>
      <c r="D195" s="4" t="s">
        <v>8</v>
      </c>
      <c r="E195" s="10" t="s">
        <v>9</v>
      </c>
      <c r="F195" s="5" t="s">
        <v>10</v>
      </c>
    </row>
    <row r="196" spans="2:6" ht="15" thickBot="1">
      <c r="B196" s="6"/>
      <c r="F196" s="7"/>
    </row>
    <row r="197" spans="2:6" ht="15" thickBot="1">
      <c r="B197" s="37">
        <v>1</v>
      </c>
      <c r="C197" s="35" t="s">
        <v>555</v>
      </c>
      <c r="D197" s="23">
        <f>425*3.674+39.82</f>
        <v>1601.27</v>
      </c>
      <c r="E197" s="23">
        <v>3</v>
      </c>
      <c r="F197" s="37">
        <f>D197*E197</f>
        <v>4803.8099999999995</v>
      </c>
    </row>
    <row r="198" spans="2:6" ht="15" thickBot="1">
      <c r="B198" s="37">
        <v>2</v>
      </c>
      <c r="C198" s="35" t="s">
        <v>611</v>
      </c>
      <c r="D198" s="23">
        <f>204*3.674+39.82</f>
        <v>789.31600000000003</v>
      </c>
      <c r="E198" s="24">
        <v>1</v>
      </c>
      <c r="F198" s="37">
        <f t="shared" ref="F198:F222" si="5">D198*E198</f>
        <v>789.31600000000003</v>
      </c>
    </row>
    <row r="199" spans="2:6" ht="15" thickBot="1">
      <c r="B199" s="37">
        <v>3</v>
      </c>
      <c r="C199" s="35" t="s">
        <v>555</v>
      </c>
      <c r="D199" s="23">
        <f>424*3.674+39.82</f>
        <v>1597.596</v>
      </c>
      <c r="E199" s="24">
        <v>2</v>
      </c>
      <c r="F199" s="37">
        <f t="shared" si="5"/>
        <v>3195.192</v>
      </c>
    </row>
    <row r="200" spans="2:6" ht="15" thickBot="1">
      <c r="B200" s="37">
        <v>4</v>
      </c>
      <c r="C200" s="35" t="s">
        <v>612</v>
      </c>
      <c r="D200" s="23">
        <f>245*3.674+39.82</f>
        <v>939.95</v>
      </c>
      <c r="E200" s="24">
        <v>4</v>
      </c>
      <c r="F200" s="37">
        <f t="shared" si="5"/>
        <v>3759.8</v>
      </c>
    </row>
    <row r="201" spans="2:6" ht="15" thickBot="1">
      <c r="B201" s="37">
        <v>5</v>
      </c>
      <c r="C201" s="35" t="s">
        <v>611</v>
      </c>
      <c r="D201" s="23">
        <f>235*3.674+39.82</f>
        <v>903.21</v>
      </c>
      <c r="E201" s="24">
        <v>11</v>
      </c>
      <c r="F201" s="37">
        <f t="shared" si="5"/>
        <v>9935.3100000000013</v>
      </c>
    </row>
    <row r="202" spans="2:6" ht="15" thickBot="1">
      <c r="B202" s="37">
        <v>6</v>
      </c>
      <c r="C202" s="35" t="s">
        <v>555</v>
      </c>
      <c r="D202" s="23">
        <f>425*3.674+39.82</f>
        <v>1601.27</v>
      </c>
      <c r="E202" s="24">
        <v>1</v>
      </c>
      <c r="F202" s="37">
        <f t="shared" si="5"/>
        <v>1601.27</v>
      </c>
    </row>
    <row r="203" spans="2:6" ht="15" thickBot="1">
      <c r="B203" s="37">
        <v>7</v>
      </c>
      <c r="C203" s="35" t="s">
        <v>611</v>
      </c>
      <c r="D203" s="23">
        <f>235*3.674+39.82</f>
        <v>903.21</v>
      </c>
      <c r="E203" s="24">
        <v>10</v>
      </c>
      <c r="F203" s="37">
        <f t="shared" si="5"/>
        <v>9032.1</v>
      </c>
    </row>
    <row r="204" spans="2:6" ht="15" thickBot="1">
      <c r="B204" s="37">
        <v>8</v>
      </c>
      <c r="C204" s="35" t="s">
        <v>555</v>
      </c>
      <c r="D204" s="23">
        <f>400*3.674+39.82</f>
        <v>1509.4199999999998</v>
      </c>
      <c r="E204" s="24">
        <v>2</v>
      </c>
      <c r="F204" s="37">
        <f t="shared" si="5"/>
        <v>3018.8399999999997</v>
      </c>
    </row>
    <row r="205" spans="2:6" ht="15" thickBot="1">
      <c r="B205" s="37">
        <v>9</v>
      </c>
      <c r="C205" s="35" t="s">
        <v>613</v>
      </c>
      <c r="D205" s="23">
        <f>265*3.674+39.82</f>
        <v>1013.4300000000001</v>
      </c>
      <c r="E205" s="24">
        <v>2</v>
      </c>
      <c r="F205" s="37">
        <f t="shared" si="5"/>
        <v>2026.8600000000001</v>
      </c>
    </row>
    <row r="206" spans="2:6" ht="15" thickBot="1">
      <c r="B206" s="37">
        <v>10</v>
      </c>
      <c r="C206" s="35" t="s">
        <v>611</v>
      </c>
      <c r="D206" s="23">
        <f>235*3.674+39.82</f>
        <v>903.21</v>
      </c>
      <c r="E206" s="24">
        <v>1</v>
      </c>
      <c r="F206" s="37">
        <f t="shared" si="5"/>
        <v>903.21</v>
      </c>
    </row>
    <row r="207" spans="2:6" ht="15" thickBot="1">
      <c r="B207" s="37">
        <v>11</v>
      </c>
      <c r="C207" s="35" t="s">
        <v>555</v>
      </c>
      <c r="D207" s="23">
        <f>422*3.674+39.82</f>
        <v>1590.2479999999998</v>
      </c>
      <c r="E207" s="24">
        <v>1</v>
      </c>
      <c r="F207" s="37">
        <f t="shared" si="5"/>
        <v>1590.2479999999998</v>
      </c>
    </row>
    <row r="208" spans="2:6" ht="15" thickBot="1">
      <c r="B208" s="37">
        <v>12</v>
      </c>
      <c r="C208" s="35" t="s">
        <v>614</v>
      </c>
      <c r="D208" s="23">
        <f>310*3.674+39.82</f>
        <v>1178.76</v>
      </c>
      <c r="E208" s="24">
        <v>1</v>
      </c>
      <c r="F208" s="37">
        <f t="shared" si="5"/>
        <v>1178.76</v>
      </c>
    </row>
    <row r="209" spans="2:6" ht="15" thickBot="1">
      <c r="B209" s="37">
        <v>13</v>
      </c>
      <c r="C209" s="35" t="s">
        <v>556</v>
      </c>
      <c r="D209" s="23">
        <f>410*3.674+39.82</f>
        <v>1546.1599999999999</v>
      </c>
      <c r="E209" s="24">
        <v>2</v>
      </c>
      <c r="F209" s="37">
        <f t="shared" si="5"/>
        <v>3092.3199999999997</v>
      </c>
    </row>
    <row r="210" spans="2:6" ht="15" thickBot="1">
      <c r="B210" s="37">
        <v>14</v>
      </c>
      <c r="C210" s="35" t="s">
        <v>614</v>
      </c>
      <c r="D210" s="23">
        <f>305*3.674+39.82</f>
        <v>1160.3899999999999</v>
      </c>
      <c r="E210" s="24">
        <v>1</v>
      </c>
      <c r="F210" s="37">
        <f t="shared" si="5"/>
        <v>1160.3899999999999</v>
      </c>
    </row>
    <row r="211" spans="2:6" ht="15" thickBot="1">
      <c r="B211" s="37">
        <v>15</v>
      </c>
      <c r="C211" s="35" t="s">
        <v>611</v>
      </c>
      <c r="D211" s="23">
        <f>235*3.674+39.82</f>
        <v>903.21</v>
      </c>
      <c r="E211" s="24">
        <v>1</v>
      </c>
      <c r="F211" s="37">
        <f t="shared" si="5"/>
        <v>903.21</v>
      </c>
    </row>
    <row r="212" spans="2:6" ht="15" thickBot="1">
      <c r="B212" s="37">
        <v>16</v>
      </c>
      <c r="C212" s="35" t="s">
        <v>612</v>
      </c>
      <c r="D212" s="23">
        <f>245*3.674+39.82</f>
        <v>939.95</v>
      </c>
      <c r="E212" s="24">
        <v>6</v>
      </c>
      <c r="F212" s="37">
        <f t="shared" si="5"/>
        <v>5639.7000000000007</v>
      </c>
    </row>
    <row r="213" spans="2:6" ht="15" thickBot="1">
      <c r="B213" s="37">
        <v>17</v>
      </c>
      <c r="C213" s="35" t="s">
        <v>555</v>
      </c>
      <c r="D213" s="23">
        <f>423*3.674+39.82</f>
        <v>1593.9219999999998</v>
      </c>
      <c r="E213" s="24">
        <v>2</v>
      </c>
      <c r="F213" s="37">
        <f t="shared" si="5"/>
        <v>3187.8439999999996</v>
      </c>
    </row>
    <row r="214" spans="2:6" ht="15" thickBot="1">
      <c r="B214" s="37">
        <v>18</v>
      </c>
      <c r="C214" s="35" t="s">
        <v>615</v>
      </c>
      <c r="D214" s="23">
        <f>117*3.674+39.82</f>
        <v>469.678</v>
      </c>
      <c r="E214" s="24">
        <v>1</v>
      </c>
      <c r="F214" s="37">
        <f t="shared" si="5"/>
        <v>469.678</v>
      </c>
    </row>
    <row r="215" spans="2:6" ht="15" thickBot="1">
      <c r="B215" s="37"/>
      <c r="C215" s="136"/>
      <c r="D215" s="203"/>
      <c r="E215" s="203"/>
      <c r="F215" s="37"/>
    </row>
    <row r="216" spans="2:6" ht="15" thickBot="1">
      <c r="B216" s="37"/>
      <c r="C216" s="73" t="s">
        <v>604</v>
      </c>
      <c r="D216" s="203"/>
      <c r="E216" s="203"/>
      <c r="F216" s="37"/>
    </row>
    <row r="217" spans="2:6" ht="15" thickBot="1">
      <c r="B217" s="37"/>
      <c r="C217" s="75" t="s">
        <v>605</v>
      </c>
      <c r="D217" s="203"/>
      <c r="E217" s="203"/>
      <c r="F217" s="37"/>
    </row>
    <row r="218" spans="2:6" ht="15" thickBot="1">
      <c r="B218" s="37"/>
      <c r="C218" s="73" t="s">
        <v>606</v>
      </c>
      <c r="D218" s="203"/>
      <c r="E218" s="203"/>
      <c r="F218" s="37"/>
    </row>
    <row r="219" spans="2:6" ht="15" thickBot="1">
      <c r="B219" s="37"/>
      <c r="C219" s="75" t="s">
        <v>607</v>
      </c>
      <c r="D219" s="203"/>
      <c r="E219" s="203"/>
      <c r="F219" s="37"/>
    </row>
    <row r="220" spans="2:6" ht="15" thickBot="1">
      <c r="B220" s="37"/>
      <c r="C220" s="73" t="s">
        <v>608</v>
      </c>
      <c r="D220" s="203"/>
      <c r="E220" s="203"/>
      <c r="F220" s="37"/>
    </row>
    <row r="221" spans="2:6" ht="15" thickBot="1">
      <c r="B221" s="37"/>
      <c r="C221" s="74" t="s">
        <v>609</v>
      </c>
      <c r="D221" s="203"/>
      <c r="E221" s="203"/>
      <c r="F221" s="37"/>
    </row>
    <row r="222" spans="2:6" ht="29.4" thickBot="1">
      <c r="B222" s="37"/>
      <c r="C222" s="76" t="s">
        <v>610</v>
      </c>
      <c r="D222" s="8"/>
      <c r="E222" s="8"/>
      <c r="F222" s="37">
        <f t="shared" si="5"/>
        <v>0</v>
      </c>
    </row>
    <row r="223" spans="2:6" ht="15" thickBot="1">
      <c r="B223" s="8"/>
      <c r="C223" s="8"/>
      <c r="D223" s="8"/>
      <c r="E223" s="8"/>
      <c r="F223" s="8"/>
    </row>
    <row r="224" spans="2:6" ht="15" thickBot="1">
      <c r="B224" s="606" t="s">
        <v>11</v>
      </c>
      <c r="C224" s="607"/>
      <c r="D224" s="593"/>
      <c r="E224" s="594"/>
      <c r="F224" s="204">
        <f>SUM(F197:F223)</f>
        <v>56287.857999999993</v>
      </c>
    </row>
    <row r="226" spans="2:6" ht="15" thickBot="1"/>
    <row r="227" spans="2:6" ht="26.4" thickBot="1">
      <c r="B227" s="603" t="s">
        <v>0</v>
      </c>
      <c r="C227" s="604"/>
      <c r="D227" s="604"/>
      <c r="E227" s="604"/>
      <c r="F227" s="605"/>
    </row>
    <row r="229" spans="2:6" ht="15.6">
      <c r="B229" s="2" t="s">
        <v>1</v>
      </c>
      <c r="C229" s="1" t="s">
        <v>579</v>
      </c>
    </row>
    <row r="231" spans="2:6" ht="15.6">
      <c r="B231" s="2" t="s">
        <v>2</v>
      </c>
      <c r="C231" s="34" t="s">
        <v>716</v>
      </c>
      <c r="D231" s="2" t="s">
        <v>5</v>
      </c>
      <c r="E231" s="21">
        <v>45429</v>
      </c>
    </row>
    <row r="232" spans="2:6" ht="15.6">
      <c r="B232" s="2" t="s">
        <v>3</v>
      </c>
    </row>
    <row r="233" spans="2:6" ht="15.6">
      <c r="B233" s="2" t="s">
        <v>4</v>
      </c>
    </row>
    <row r="234" spans="2:6" ht="15" thickBot="1"/>
    <row r="235" spans="2:6" ht="16.2" thickBot="1">
      <c r="B235" s="10" t="s">
        <v>6</v>
      </c>
      <c r="C235" s="10" t="s">
        <v>7</v>
      </c>
      <c r="D235" s="4" t="s">
        <v>8</v>
      </c>
      <c r="E235" s="10" t="s">
        <v>9</v>
      </c>
      <c r="F235" s="5" t="s">
        <v>10</v>
      </c>
    </row>
    <row r="236" spans="2:6" ht="15" thickBot="1">
      <c r="B236" s="6"/>
      <c r="F236" s="7"/>
    </row>
    <row r="237" spans="2:6" ht="15" thickBot="1">
      <c r="B237" s="37">
        <v>1</v>
      </c>
      <c r="C237" s="35" t="s">
        <v>580</v>
      </c>
      <c r="D237" s="23">
        <v>500</v>
      </c>
      <c r="E237" s="23">
        <v>2</v>
      </c>
      <c r="F237" s="37">
        <f>D237*E237</f>
        <v>1000</v>
      </c>
    </row>
    <row r="238" spans="2:6" ht="15" thickBot="1">
      <c r="B238" s="37">
        <v>2</v>
      </c>
      <c r="C238" s="35" t="s">
        <v>581</v>
      </c>
      <c r="D238" s="24">
        <v>900</v>
      </c>
      <c r="E238" s="24">
        <v>1</v>
      </c>
      <c r="F238" s="37">
        <f t="shared" ref="F238:F243" si="6">D238*E238</f>
        <v>900</v>
      </c>
    </row>
    <row r="239" spans="2:6" ht="15" thickBot="1">
      <c r="B239" s="37">
        <v>3</v>
      </c>
      <c r="C239" s="35" t="s">
        <v>582</v>
      </c>
      <c r="D239" s="24">
        <v>500</v>
      </c>
      <c r="E239" s="24">
        <v>1</v>
      </c>
      <c r="F239" s="37">
        <f t="shared" si="6"/>
        <v>500</v>
      </c>
    </row>
    <row r="240" spans="2:6" ht="15" thickBot="1">
      <c r="B240" s="37">
        <v>4</v>
      </c>
      <c r="C240" s="35" t="s">
        <v>583</v>
      </c>
      <c r="D240" s="24">
        <v>300</v>
      </c>
      <c r="E240" s="24">
        <v>1</v>
      </c>
      <c r="F240" s="37">
        <f t="shared" si="6"/>
        <v>300</v>
      </c>
    </row>
    <row r="241" spans="2:6" ht="15" thickBot="1">
      <c r="B241" s="37">
        <v>5</v>
      </c>
      <c r="C241" s="35" t="s">
        <v>582</v>
      </c>
      <c r="D241" s="24">
        <v>2200</v>
      </c>
      <c r="E241" s="24">
        <v>1</v>
      </c>
      <c r="F241" s="37">
        <f t="shared" si="6"/>
        <v>2200</v>
      </c>
    </row>
    <row r="242" spans="2:6" ht="15" thickBot="1">
      <c r="B242" s="37">
        <v>6</v>
      </c>
      <c r="C242" s="35" t="s">
        <v>584</v>
      </c>
      <c r="D242" s="24">
        <v>3450</v>
      </c>
      <c r="E242" s="24">
        <v>1</v>
      </c>
      <c r="F242" s="37">
        <f t="shared" si="6"/>
        <v>3450</v>
      </c>
    </row>
    <row r="243" spans="2:6" ht="15" thickBot="1">
      <c r="B243" s="8"/>
      <c r="C243" s="8"/>
      <c r="D243" s="8"/>
      <c r="E243" s="8"/>
      <c r="F243" s="37">
        <f t="shared" si="6"/>
        <v>0</v>
      </c>
    </row>
    <row r="244" spans="2:6" ht="15" thickBot="1">
      <c r="B244" s="8"/>
      <c r="C244" s="8"/>
      <c r="D244" s="8"/>
      <c r="E244" s="8"/>
      <c r="F244" s="8"/>
    </row>
    <row r="245" spans="2:6" ht="15" thickBot="1">
      <c r="B245" s="606" t="s">
        <v>11</v>
      </c>
      <c r="C245" s="607"/>
      <c r="D245" s="593"/>
      <c r="E245" s="594"/>
      <c r="F245" s="9">
        <f>SUM(F237:F244)</f>
        <v>8350</v>
      </c>
    </row>
    <row r="247" spans="2:6" ht="15" thickBot="1"/>
    <row r="248" spans="2:6" ht="26.4" thickBot="1">
      <c r="B248" s="603" t="s">
        <v>0</v>
      </c>
      <c r="C248" s="604"/>
      <c r="D248" s="604"/>
      <c r="E248" s="604"/>
      <c r="F248" s="605"/>
    </row>
    <row r="250" spans="2:6" ht="15.6">
      <c r="B250" s="2" t="s">
        <v>1</v>
      </c>
      <c r="C250" s="1" t="s">
        <v>633</v>
      </c>
    </row>
    <row r="252" spans="2:6" ht="15.6">
      <c r="B252" s="2" t="s">
        <v>2</v>
      </c>
      <c r="C252" s="34" t="s">
        <v>634</v>
      </c>
      <c r="D252" s="2" t="s">
        <v>5</v>
      </c>
      <c r="E252" s="21">
        <v>45432</v>
      </c>
    </row>
    <row r="253" spans="2:6" ht="15.6">
      <c r="B253" s="2" t="s">
        <v>3</v>
      </c>
    </row>
    <row r="254" spans="2:6" ht="15.6">
      <c r="B254" s="2" t="s">
        <v>4</v>
      </c>
    </row>
    <row r="255" spans="2:6" ht="15" thickBot="1"/>
    <row r="256" spans="2:6" ht="16.2" thickBot="1">
      <c r="B256" s="10" t="s">
        <v>6</v>
      </c>
      <c r="C256" s="10" t="s">
        <v>7</v>
      </c>
      <c r="D256" s="4" t="s">
        <v>8</v>
      </c>
      <c r="E256" s="10" t="s">
        <v>9</v>
      </c>
      <c r="F256" s="5" t="s">
        <v>10</v>
      </c>
    </row>
    <row r="257" spans="2:7" ht="15" thickBot="1">
      <c r="B257" s="6"/>
      <c r="F257" s="7"/>
    </row>
    <row r="258" spans="2:7" ht="15" thickBot="1">
      <c r="B258" s="37">
        <v>1</v>
      </c>
      <c r="C258" s="35" t="s">
        <v>635</v>
      </c>
      <c r="D258" s="23">
        <v>185000</v>
      </c>
      <c r="E258" s="23">
        <v>2</v>
      </c>
      <c r="F258" s="37">
        <f>D258*E258</f>
        <v>370000</v>
      </c>
    </row>
    <row r="259" spans="2:7" ht="15" thickBot="1">
      <c r="B259" s="37"/>
      <c r="C259" s="35"/>
      <c r="D259" s="24"/>
      <c r="E259" s="24"/>
      <c r="F259" s="37">
        <f t="shared" ref="F259:F262" si="7">D259*E259</f>
        <v>0</v>
      </c>
    </row>
    <row r="260" spans="2:7" ht="15" thickBot="1">
      <c r="B260" s="37"/>
      <c r="C260" s="35"/>
      <c r="D260" s="24"/>
      <c r="E260" s="24"/>
      <c r="F260" s="37">
        <f t="shared" si="7"/>
        <v>0</v>
      </c>
    </row>
    <row r="261" spans="2:7" ht="15" thickBot="1">
      <c r="B261" s="37"/>
      <c r="C261" s="35"/>
      <c r="D261" s="24"/>
      <c r="E261" s="24"/>
      <c r="F261" s="37">
        <f t="shared" si="7"/>
        <v>0</v>
      </c>
    </row>
    <row r="262" spans="2:7" ht="15" thickBot="1">
      <c r="B262" s="8"/>
      <c r="C262" s="8"/>
      <c r="D262" s="8"/>
      <c r="E262" s="8"/>
      <c r="F262" s="37">
        <f t="shared" si="7"/>
        <v>0</v>
      </c>
    </row>
    <row r="263" spans="2:7" ht="15" thickBot="1">
      <c r="B263" s="8"/>
      <c r="C263" s="8"/>
      <c r="D263" s="8"/>
      <c r="E263" s="8"/>
      <c r="F263" s="8"/>
    </row>
    <row r="264" spans="2:7" ht="15" thickBot="1">
      <c r="B264" s="606" t="s">
        <v>11</v>
      </c>
      <c r="C264" s="607"/>
      <c r="D264" s="593"/>
      <c r="E264" s="594"/>
      <c r="F264" s="9">
        <f>SUM(F258:F263)</f>
        <v>370000</v>
      </c>
      <c r="G264" s="211" t="s">
        <v>567</v>
      </c>
    </row>
    <row r="266" spans="2:7" ht="15" thickBot="1"/>
    <row r="267" spans="2:7" ht="26.4" thickBot="1">
      <c r="B267" s="603" t="s">
        <v>0</v>
      </c>
      <c r="C267" s="604"/>
      <c r="D267" s="604"/>
      <c r="E267" s="604"/>
      <c r="F267" s="605"/>
    </row>
    <row r="269" spans="2:7" ht="15.6">
      <c r="B269" s="2" t="s">
        <v>1</v>
      </c>
      <c r="C269" s="1" t="s">
        <v>673</v>
      </c>
    </row>
    <row r="271" spans="2:7" ht="15.6">
      <c r="B271" s="2" t="s">
        <v>2</v>
      </c>
      <c r="C271" s="34" t="s">
        <v>634</v>
      </c>
      <c r="D271" s="2" t="s">
        <v>5</v>
      </c>
      <c r="E271" s="21">
        <v>45441</v>
      </c>
    </row>
    <row r="272" spans="2:7" ht="15.6">
      <c r="B272" s="2" t="s">
        <v>3</v>
      </c>
    </row>
    <row r="273" spans="2:7" ht="15.6">
      <c r="B273" s="2" t="s">
        <v>4</v>
      </c>
    </row>
    <row r="274" spans="2:7" ht="15" thickBot="1"/>
    <row r="275" spans="2:7" ht="16.2" thickBot="1">
      <c r="B275" s="10" t="s">
        <v>6</v>
      </c>
      <c r="C275" s="10" t="s">
        <v>7</v>
      </c>
      <c r="D275" s="4" t="s">
        <v>8</v>
      </c>
      <c r="E275" s="10" t="s">
        <v>9</v>
      </c>
      <c r="F275" s="5" t="s">
        <v>10</v>
      </c>
    </row>
    <row r="276" spans="2:7" ht="15" thickBot="1">
      <c r="B276" s="6"/>
      <c r="F276" s="7"/>
    </row>
    <row r="277" spans="2:7" ht="15" thickBot="1">
      <c r="B277" s="37">
        <v>1</v>
      </c>
      <c r="C277" s="35" t="s">
        <v>584</v>
      </c>
      <c r="D277" s="23">
        <v>180000</v>
      </c>
      <c r="E277" s="23">
        <v>1</v>
      </c>
      <c r="F277" s="37">
        <f>D277*E277</f>
        <v>180000</v>
      </c>
    </row>
    <row r="278" spans="2:7" ht="15" thickBot="1">
      <c r="B278" s="37"/>
      <c r="C278" s="35"/>
      <c r="D278" s="24"/>
      <c r="E278" s="24"/>
      <c r="F278" s="37">
        <f t="shared" ref="F278:F281" si="8">D278*E278</f>
        <v>0</v>
      </c>
    </row>
    <row r="279" spans="2:7" ht="15" thickBot="1">
      <c r="B279" s="37"/>
      <c r="C279" s="35"/>
      <c r="D279" s="24"/>
      <c r="E279" s="24"/>
      <c r="F279" s="37">
        <f t="shared" si="8"/>
        <v>0</v>
      </c>
    </row>
    <row r="280" spans="2:7" ht="15" thickBot="1">
      <c r="B280" s="37"/>
      <c r="C280" s="35"/>
      <c r="D280" s="24"/>
      <c r="E280" s="24"/>
      <c r="F280" s="37">
        <f t="shared" si="8"/>
        <v>0</v>
      </c>
    </row>
    <row r="281" spans="2:7" ht="15" thickBot="1">
      <c r="B281" s="8"/>
      <c r="C281" s="8"/>
      <c r="D281" s="8"/>
      <c r="E281" s="8"/>
      <c r="F281" s="37">
        <f t="shared" si="8"/>
        <v>0</v>
      </c>
    </row>
    <row r="282" spans="2:7" ht="15" thickBot="1">
      <c r="B282" s="8"/>
      <c r="C282" s="8"/>
      <c r="D282" s="8"/>
      <c r="E282" s="8"/>
      <c r="F282" s="8"/>
    </row>
    <row r="283" spans="2:7" ht="15" thickBot="1">
      <c r="B283" s="606" t="s">
        <v>11</v>
      </c>
      <c r="C283" s="607"/>
      <c r="D283" s="593"/>
      <c r="E283" s="594"/>
      <c r="F283" s="9">
        <f>SUM(F277:F282)</f>
        <v>180000</v>
      </c>
      <c r="G283" s="211" t="s">
        <v>567</v>
      </c>
    </row>
    <row r="284" spans="2:7" ht="15" thickBot="1"/>
    <row r="285" spans="2:7" ht="26.4" thickBot="1">
      <c r="B285" s="603" t="s">
        <v>0</v>
      </c>
      <c r="C285" s="604"/>
      <c r="D285" s="604"/>
      <c r="E285" s="604"/>
      <c r="F285" s="605"/>
    </row>
    <row r="287" spans="2:7" ht="15.6">
      <c r="B287" s="2" t="s">
        <v>1</v>
      </c>
      <c r="C287" s="1" t="s">
        <v>697</v>
      </c>
    </row>
    <row r="289" spans="2:7" ht="15.6">
      <c r="B289" s="2" t="s">
        <v>2</v>
      </c>
      <c r="C289" s="34" t="s">
        <v>634</v>
      </c>
      <c r="D289" s="2" t="s">
        <v>5</v>
      </c>
      <c r="E289" s="21">
        <v>45442</v>
      </c>
    </row>
    <row r="290" spans="2:7" ht="15.6">
      <c r="B290" s="2" t="s">
        <v>3</v>
      </c>
    </row>
    <row r="291" spans="2:7" ht="15.6">
      <c r="B291" s="2" t="s">
        <v>4</v>
      </c>
    </row>
    <row r="292" spans="2:7" ht="15" thickBot="1"/>
    <row r="293" spans="2:7" ht="16.2" thickBot="1">
      <c r="B293" s="10" t="s">
        <v>6</v>
      </c>
      <c r="C293" s="10" t="s">
        <v>7</v>
      </c>
      <c r="D293" s="4" t="s">
        <v>8</v>
      </c>
      <c r="E293" s="10" t="s">
        <v>9</v>
      </c>
      <c r="F293" s="5" t="s">
        <v>10</v>
      </c>
    </row>
    <row r="294" spans="2:7" ht="15" thickBot="1">
      <c r="B294" s="6"/>
      <c r="F294" s="7"/>
    </row>
    <row r="295" spans="2:7" ht="15" thickBot="1">
      <c r="B295" s="37">
        <v>1</v>
      </c>
      <c r="C295" s="35" t="s">
        <v>635</v>
      </c>
      <c r="D295" s="23">
        <v>185000</v>
      </c>
      <c r="E295" s="23">
        <v>1</v>
      </c>
      <c r="F295" s="37">
        <f>D295*E295</f>
        <v>185000</v>
      </c>
    </row>
    <row r="296" spans="2:7" ht="15" thickBot="1">
      <c r="B296" s="37"/>
      <c r="C296" s="35"/>
      <c r="D296" s="24"/>
      <c r="E296" s="24"/>
      <c r="F296" s="37">
        <f t="shared" ref="F296:F299" si="9">D296*E296</f>
        <v>0</v>
      </c>
    </row>
    <row r="297" spans="2:7" ht="15" thickBot="1">
      <c r="B297" s="37"/>
      <c r="C297" s="35"/>
      <c r="D297" s="24"/>
      <c r="E297" s="24"/>
      <c r="F297" s="37">
        <f t="shared" si="9"/>
        <v>0</v>
      </c>
    </row>
    <row r="298" spans="2:7" ht="15" thickBot="1">
      <c r="B298" s="37"/>
      <c r="C298" s="35"/>
      <c r="D298" s="24"/>
      <c r="E298" s="24"/>
      <c r="F298" s="37">
        <f t="shared" si="9"/>
        <v>0</v>
      </c>
    </row>
    <row r="299" spans="2:7" ht="15" thickBot="1">
      <c r="B299" s="8"/>
      <c r="C299" s="8"/>
      <c r="D299" s="8"/>
      <c r="E299" s="8"/>
      <c r="F299" s="37">
        <f t="shared" si="9"/>
        <v>0</v>
      </c>
    </row>
    <row r="300" spans="2:7" ht="15" thickBot="1">
      <c r="B300" s="8"/>
      <c r="C300" s="8"/>
      <c r="D300" s="8"/>
      <c r="E300" s="8"/>
      <c r="F300" s="8"/>
    </row>
    <row r="301" spans="2:7" ht="15" thickBot="1">
      <c r="B301" s="606" t="s">
        <v>11</v>
      </c>
      <c r="C301" s="607"/>
      <c r="D301" s="593"/>
      <c r="E301" s="594"/>
      <c r="F301" s="9">
        <f>SUM(F295:F300)</f>
        <v>185000</v>
      </c>
      <c r="G301" s="211" t="s">
        <v>567</v>
      </c>
    </row>
    <row r="303" spans="2:7" ht="15" thickBot="1"/>
    <row r="304" spans="2:7" ht="26.4" thickBot="1">
      <c r="B304" s="603" t="s">
        <v>0</v>
      </c>
      <c r="C304" s="604"/>
      <c r="D304" s="604"/>
      <c r="E304" s="604"/>
      <c r="F304" s="605"/>
    </row>
    <row r="306" spans="2:7" ht="15.6">
      <c r="B306" s="2" t="s">
        <v>1</v>
      </c>
      <c r="C306" s="1" t="s">
        <v>733</v>
      </c>
    </row>
    <row r="308" spans="2:7" ht="15.6">
      <c r="B308" s="2" t="s">
        <v>2</v>
      </c>
      <c r="C308" s="34" t="s">
        <v>634</v>
      </c>
      <c r="D308" s="2" t="s">
        <v>5</v>
      </c>
      <c r="E308" s="21">
        <v>45446</v>
      </c>
    </row>
    <row r="309" spans="2:7" ht="15.6">
      <c r="B309" s="2" t="s">
        <v>3</v>
      </c>
    </row>
    <row r="310" spans="2:7" ht="15.6">
      <c r="B310" s="2" t="s">
        <v>4</v>
      </c>
    </row>
    <row r="311" spans="2:7" ht="15" thickBot="1"/>
    <row r="312" spans="2:7" ht="16.2" thickBot="1">
      <c r="B312" s="10" t="s">
        <v>6</v>
      </c>
      <c r="C312" s="10" t="s">
        <v>7</v>
      </c>
      <c r="D312" s="4" t="s">
        <v>8</v>
      </c>
      <c r="E312" s="10" t="s">
        <v>9</v>
      </c>
      <c r="F312" s="5" t="s">
        <v>10</v>
      </c>
    </row>
    <row r="313" spans="2:7" ht="15" thickBot="1">
      <c r="B313" s="6"/>
      <c r="F313" s="7"/>
    </row>
    <row r="314" spans="2:7" ht="15" thickBot="1">
      <c r="B314" s="37">
        <v>1</v>
      </c>
      <c r="C314" s="35" t="s">
        <v>584</v>
      </c>
      <c r="D314" s="23">
        <v>180000</v>
      </c>
      <c r="E314" s="23">
        <v>1</v>
      </c>
      <c r="F314" s="37">
        <f>D314*E314</f>
        <v>180000</v>
      </c>
    </row>
    <row r="315" spans="2:7" ht="15" thickBot="1">
      <c r="B315" s="37">
        <v>2</v>
      </c>
      <c r="C315" s="35" t="s">
        <v>635</v>
      </c>
      <c r="D315" s="24">
        <v>180000</v>
      </c>
      <c r="E315" s="23">
        <v>1</v>
      </c>
      <c r="F315" s="37">
        <f t="shared" ref="F315:F318" si="10">D315*E315</f>
        <v>180000</v>
      </c>
    </row>
    <row r="316" spans="2:7" ht="15" thickBot="1">
      <c r="B316" s="37">
        <v>3</v>
      </c>
      <c r="C316" s="35" t="s">
        <v>854</v>
      </c>
      <c r="D316" s="24">
        <v>190000</v>
      </c>
      <c r="E316" s="24">
        <v>1</v>
      </c>
      <c r="F316" s="37">
        <f t="shared" si="10"/>
        <v>190000</v>
      </c>
    </row>
    <row r="317" spans="2:7" ht="15" thickBot="1">
      <c r="B317" s="37">
        <v>4</v>
      </c>
      <c r="C317" s="35" t="s">
        <v>635</v>
      </c>
      <c r="D317" s="24">
        <v>180000</v>
      </c>
      <c r="E317" s="24">
        <v>1</v>
      </c>
      <c r="F317" s="37">
        <f t="shared" si="10"/>
        <v>180000</v>
      </c>
      <c r="G317" t="s">
        <v>1120</v>
      </c>
    </row>
    <row r="318" spans="2:7" ht="15" thickBot="1">
      <c r="B318" s="8"/>
      <c r="C318" s="8"/>
      <c r="D318" s="8"/>
      <c r="E318" s="8"/>
      <c r="F318" s="37">
        <f t="shared" si="10"/>
        <v>0</v>
      </c>
    </row>
    <row r="319" spans="2:7" ht="15" thickBot="1">
      <c r="B319" s="8"/>
      <c r="C319" s="8"/>
      <c r="D319" s="8"/>
      <c r="E319" s="8"/>
      <c r="F319" s="8"/>
    </row>
    <row r="320" spans="2:7" ht="15" thickBot="1">
      <c r="B320" s="606" t="s">
        <v>11</v>
      </c>
      <c r="C320" s="607"/>
      <c r="D320" s="593"/>
      <c r="E320" s="594"/>
      <c r="F320" s="9">
        <f>SUM(F314:F319)</f>
        <v>730000</v>
      </c>
      <c r="G320" s="211" t="s">
        <v>567</v>
      </c>
    </row>
    <row r="322" spans="2:6" ht="15" thickBot="1"/>
    <row r="323" spans="2:6" ht="26.4" thickBot="1">
      <c r="B323" s="603" t="s">
        <v>0</v>
      </c>
      <c r="C323" s="604"/>
      <c r="D323" s="604"/>
      <c r="E323" s="604"/>
      <c r="F323" s="605"/>
    </row>
    <row r="325" spans="2:6" ht="15.6">
      <c r="B325" s="2" t="s">
        <v>1</v>
      </c>
      <c r="C325" s="1" t="s">
        <v>736</v>
      </c>
    </row>
    <row r="327" spans="2:6" ht="15.6">
      <c r="B327" s="2" t="s">
        <v>2</v>
      </c>
      <c r="C327" s="34" t="s">
        <v>180</v>
      </c>
      <c r="D327" s="2" t="s">
        <v>5</v>
      </c>
      <c r="E327" s="21">
        <v>45447</v>
      </c>
    </row>
    <row r="328" spans="2:6" ht="15.6">
      <c r="B328" s="2" t="s">
        <v>3</v>
      </c>
    </row>
    <row r="329" spans="2:6" ht="15.6">
      <c r="B329" s="2" t="s">
        <v>4</v>
      </c>
    </row>
    <row r="330" spans="2:6" ht="15" thickBot="1"/>
    <row r="331" spans="2:6" ht="16.2" thickBot="1">
      <c r="B331" s="245" t="s">
        <v>6</v>
      </c>
      <c r="C331" s="245" t="s">
        <v>7</v>
      </c>
      <c r="D331" s="246" t="s">
        <v>8</v>
      </c>
      <c r="E331" s="245" t="s">
        <v>9</v>
      </c>
      <c r="F331" s="247" t="s">
        <v>10</v>
      </c>
    </row>
    <row r="332" spans="2:6" ht="15" thickBot="1">
      <c r="B332" s="37">
        <v>1</v>
      </c>
      <c r="C332" s="8" t="s">
        <v>737</v>
      </c>
      <c r="D332" s="249">
        <f>205*3.674+37.09</f>
        <v>790.26</v>
      </c>
      <c r="E332" s="24">
        <v>1</v>
      </c>
      <c r="F332" s="37">
        <f t="shared" ref="F332:F384" si="11">D332*E332</f>
        <v>790.26</v>
      </c>
    </row>
    <row r="333" spans="2:6" ht="15" thickBot="1">
      <c r="B333" s="37">
        <v>2</v>
      </c>
      <c r="C333" s="8" t="s">
        <v>737</v>
      </c>
      <c r="D333" s="249">
        <f>205*3.674+37.09</f>
        <v>790.26</v>
      </c>
      <c r="E333" s="24">
        <v>1</v>
      </c>
      <c r="F333" s="37">
        <f t="shared" si="11"/>
        <v>790.26</v>
      </c>
    </row>
    <row r="334" spans="2:6" ht="15" thickBot="1">
      <c r="B334" s="37">
        <v>3</v>
      </c>
      <c r="C334" s="8" t="s">
        <v>738</v>
      </c>
      <c r="D334" s="249">
        <f>205*3.674+37.09</f>
        <v>790.26</v>
      </c>
      <c r="E334" s="24">
        <v>1</v>
      </c>
      <c r="F334" s="37">
        <f t="shared" si="11"/>
        <v>790.26</v>
      </c>
    </row>
    <row r="335" spans="2:6" ht="15" thickBot="1">
      <c r="B335" s="37">
        <v>4</v>
      </c>
      <c r="C335" s="8" t="s">
        <v>543</v>
      </c>
      <c r="D335" s="249">
        <f>243*3.674+37.09</f>
        <v>929.87200000000007</v>
      </c>
      <c r="E335" s="24">
        <v>1</v>
      </c>
      <c r="F335" s="37">
        <f t="shared" si="11"/>
        <v>929.87200000000007</v>
      </c>
    </row>
    <row r="336" spans="2:6" ht="15" thickBot="1">
      <c r="B336" s="37">
        <v>5</v>
      </c>
      <c r="C336" s="8" t="s">
        <v>543</v>
      </c>
      <c r="D336" s="249">
        <f>243*3.674+37.09</f>
        <v>929.87200000000007</v>
      </c>
      <c r="E336" s="24">
        <v>1</v>
      </c>
      <c r="F336" s="37">
        <f t="shared" si="11"/>
        <v>929.87200000000007</v>
      </c>
    </row>
    <row r="337" spans="2:6" ht="15" thickBot="1">
      <c r="B337" s="37">
        <v>6</v>
      </c>
      <c r="C337" s="8" t="s">
        <v>543</v>
      </c>
      <c r="D337" s="249">
        <f>243*3.674+37.09</f>
        <v>929.87200000000007</v>
      </c>
      <c r="E337" s="24">
        <v>1</v>
      </c>
      <c r="F337" s="37">
        <f t="shared" si="11"/>
        <v>929.87200000000007</v>
      </c>
    </row>
    <row r="338" spans="2:6" ht="15" thickBot="1">
      <c r="B338" s="37">
        <v>7</v>
      </c>
      <c r="C338" s="8" t="s">
        <v>739</v>
      </c>
      <c r="D338" s="249">
        <f>412*3.674+37.09</f>
        <v>1550.7779999999998</v>
      </c>
      <c r="E338" s="24">
        <v>1</v>
      </c>
      <c r="F338" s="37">
        <f t="shared" si="11"/>
        <v>1550.7779999999998</v>
      </c>
    </row>
    <row r="339" spans="2:6" ht="15" thickBot="1">
      <c r="B339" s="37">
        <v>8</v>
      </c>
      <c r="C339" s="8" t="s">
        <v>549</v>
      </c>
      <c r="D339" s="249">
        <f>243*3.674+37.09</f>
        <v>929.87200000000007</v>
      </c>
      <c r="E339" s="24">
        <v>1</v>
      </c>
      <c r="F339" s="37">
        <f t="shared" si="11"/>
        <v>929.87200000000007</v>
      </c>
    </row>
    <row r="340" spans="2:6" ht="15" thickBot="1">
      <c r="B340" s="37">
        <v>9</v>
      </c>
      <c r="C340" s="8" t="s">
        <v>549</v>
      </c>
      <c r="D340" s="249">
        <f>243*3.674+37.09</f>
        <v>929.87200000000007</v>
      </c>
      <c r="E340" s="24">
        <v>1</v>
      </c>
      <c r="F340" s="37">
        <f t="shared" si="11"/>
        <v>929.87200000000007</v>
      </c>
    </row>
    <row r="341" spans="2:6" ht="15" thickBot="1">
      <c r="B341" s="37">
        <v>10</v>
      </c>
      <c r="C341" s="8" t="s">
        <v>549</v>
      </c>
      <c r="D341" s="249">
        <f>243*3.674+37.09</f>
        <v>929.87200000000007</v>
      </c>
      <c r="E341" s="24">
        <v>1</v>
      </c>
      <c r="F341" s="37">
        <f t="shared" si="11"/>
        <v>929.87200000000007</v>
      </c>
    </row>
    <row r="342" spans="2:6" ht="15" thickBot="1">
      <c r="B342" s="37">
        <v>11</v>
      </c>
      <c r="C342" s="8" t="s">
        <v>549</v>
      </c>
      <c r="D342" s="249">
        <f>243*3.674+37.09</f>
        <v>929.87200000000007</v>
      </c>
      <c r="E342" s="24">
        <v>1</v>
      </c>
      <c r="F342" s="37">
        <f t="shared" si="11"/>
        <v>929.87200000000007</v>
      </c>
    </row>
    <row r="343" spans="2:6" ht="15" thickBot="1">
      <c r="B343" s="37">
        <v>12</v>
      </c>
      <c r="C343" s="8" t="s">
        <v>549</v>
      </c>
      <c r="D343" s="249">
        <f>243*3.674+37.09</f>
        <v>929.87200000000007</v>
      </c>
      <c r="E343" s="24">
        <v>1</v>
      </c>
      <c r="F343" s="37">
        <f t="shared" si="11"/>
        <v>929.87200000000007</v>
      </c>
    </row>
    <row r="344" spans="2:6" ht="15" thickBot="1">
      <c r="B344" s="37"/>
      <c r="C344" s="248"/>
      <c r="D344" s="24"/>
      <c r="E344" s="24"/>
      <c r="F344" s="37">
        <f t="shared" si="11"/>
        <v>0</v>
      </c>
    </row>
    <row r="345" spans="2:6" ht="15" thickBot="1">
      <c r="B345" s="37">
        <v>13</v>
      </c>
      <c r="C345" t="s">
        <v>753</v>
      </c>
      <c r="D345" s="24">
        <f>430*3.674+37.09</f>
        <v>1616.9099999999999</v>
      </c>
      <c r="E345" s="24">
        <v>1</v>
      </c>
      <c r="F345" s="37">
        <f t="shared" si="11"/>
        <v>1616.9099999999999</v>
      </c>
    </row>
    <row r="346" spans="2:6" ht="15" thickBot="1">
      <c r="B346" s="37">
        <v>14</v>
      </c>
      <c r="C346" t="s">
        <v>754</v>
      </c>
      <c r="D346" s="24">
        <f>430*3.674+37.09</f>
        <v>1616.9099999999999</v>
      </c>
      <c r="E346" s="24">
        <v>1</v>
      </c>
      <c r="F346" s="37">
        <f t="shared" si="11"/>
        <v>1616.9099999999999</v>
      </c>
    </row>
    <row r="347" spans="2:6" ht="15" thickBot="1">
      <c r="B347" s="37">
        <v>15</v>
      </c>
      <c r="C347" t="s">
        <v>755</v>
      </c>
      <c r="D347" s="24">
        <f>430*3.674+37.09</f>
        <v>1616.9099999999999</v>
      </c>
      <c r="E347" s="24">
        <v>1</v>
      </c>
      <c r="F347" s="37">
        <f t="shared" si="11"/>
        <v>1616.9099999999999</v>
      </c>
    </row>
    <row r="348" spans="2:6" ht="15" thickBot="1">
      <c r="B348" s="37">
        <v>16</v>
      </c>
      <c r="C348" t="s">
        <v>756</v>
      </c>
      <c r="D348" s="24">
        <f>430*3.674+37.09</f>
        <v>1616.9099999999999</v>
      </c>
      <c r="E348" s="24">
        <v>1</v>
      </c>
      <c r="F348" s="37">
        <f t="shared" si="11"/>
        <v>1616.9099999999999</v>
      </c>
    </row>
    <row r="349" spans="2:6" ht="15" thickBot="1">
      <c r="B349" s="37">
        <v>17</v>
      </c>
      <c r="C349" t="s">
        <v>757</v>
      </c>
      <c r="D349" s="24">
        <f>430*3.674+37.09</f>
        <v>1616.9099999999999</v>
      </c>
      <c r="E349" s="24">
        <v>1</v>
      </c>
      <c r="F349" s="37">
        <f t="shared" si="11"/>
        <v>1616.9099999999999</v>
      </c>
    </row>
    <row r="350" spans="2:6" ht="15" thickBot="1">
      <c r="B350" s="37">
        <v>18</v>
      </c>
      <c r="C350" t="s">
        <v>758</v>
      </c>
      <c r="D350" s="24">
        <f>425*3.674+37.09</f>
        <v>1598.54</v>
      </c>
      <c r="E350" s="24">
        <v>1</v>
      </c>
      <c r="F350" s="37">
        <f t="shared" si="11"/>
        <v>1598.54</v>
      </c>
    </row>
    <row r="351" spans="2:6" ht="15" thickBot="1">
      <c r="B351" s="37">
        <v>19</v>
      </c>
      <c r="C351" t="s">
        <v>759</v>
      </c>
      <c r="D351" s="24">
        <f>430*3.674+37.09</f>
        <v>1616.9099999999999</v>
      </c>
      <c r="E351" s="24">
        <v>1</v>
      </c>
      <c r="F351" s="37">
        <f t="shared" si="11"/>
        <v>1616.9099999999999</v>
      </c>
    </row>
    <row r="352" spans="2:6" ht="15" thickBot="1">
      <c r="B352" s="37">
        <v>20</v>
      </c>
      <c r="C352" t="s">
        <v>191</v>
      </c>
      <c r="D352" s="24">
        <f>430*3.674+37.09</f>
        <v>1616.9099999999999</v>
      </c>
      <c r="E352" s="24">
        <v>1</v>
      </c>
      <c r="F352" s="37">
        <f t="shared" si="11"/>
        <v>1616.9099999999999</v>
      </c>
    </row>
    <row r="353" spans="2:6" ht="15" thickBot="1">
      <c r="B353" s="37">
        <v>21</v>
      </c>
      <c r="C353" t="s">
        <v>760</v>
      </c>
      <c r="D353" s="24">
        <f>120*3.674+37.09</f>
        <v>477.97</v>
      </c>
      <c r="E353" s="24">
        <v>1</v>
      </c>
      <c r="F353" s="37">
        <f t="shared" si="11"/>
        <v>477.97</v>
      </c>
    </row>
    <row r="354" spans="2:6" ht="15" thickBot="1">
      <c r="B354" s="37">
        <v>22</v>
      </c>
      <c r="C354" t="s">
        <v>761</v>
      </c>
      <c r="D354" s="24">
        <f>205*3.674+37.09</f>
        <v>790.26</v>
      </c>
      <c r="E354" s="24">
        <v>1</v>
      </c>
      <c r="F354" s="37">
        <f t="shared" si="11"/>
        <v>790.26</v>
      </c>
    </row>
    <row r="355" spans="2:6" ht="15" thickBot="1">
      <c r="B355" s="37">
        <v>23</v>
      </c>
      <c r="C355" t="s">
        <v>761</v>
      </c>
      <c r="D355" s="24">
        <f>205*3.674+37.09</f>
        <v>790.26</v>
      </c>
      <c r="E355" s="24">
        <v>1</v>
      </c>
      <c r="F355" s="37">
        <f t="shared" si="11"/>
        <v>790.26</v>
      </c>
    </row>
    <row r="356" spans="2:6" ht="15" thickBot="1">
      <c r="B356" s="37">
        <v>24</v>
      </c>
      <c r="C356" t="s">
        <v>762</v>
      </c>
      <c r="D356" s="24">
        <f>202*3.674+37.09</f>
        <v>779.23800000000006</v>
      </c>
      <c r="E356" s="24">
        <v>1</v>
      </c>
      <c r="F356" s="37">
        <f t="shared" si="11"/>
        <v>779.23800000000006</v>
      </c>
    </row>
    <row r="357" spans="2:6" ht="15" thickBot="1">
      <c r="B357" s="37">
        <v>25</v>
      </c>
      <c r="C357" t="s">
        <v>543</v>
      </c>
      <c r="D357" s="24">
        <f>241*3.674+37.09</f>
        <v>922.524</v>
      </c>
      <c r="E357" s="24">
        <v>1</v>
      </c>
      <c r="F357" s="37">
        <f t="shared" si="11"/>
        <v>922.524</v>
      </c>
    </row>
    <row r="358" spans="2:6" ht="15" thickBot="1">
      <c r="B358" s="37">
        <v>26</v>
      </c>
      <c r="C358" t="s">
        <v>543</v>
      </c>
      <c r="D358" s="24">
        <f>241*3.674+37.09</f>
        <v>922.524</v>
      </c>
      <c r="E358" s="24">
        <v>1</v>
      </c>
      <c r="F358" s="37">
        <f t="shared" si="11"/>
        <v>922.524</v>
      </c>
    </row>
    <row r="359" spans="2:6" ht="15" thickBot="1">
      <c r="B359" s="37">
        <v>27</v>
      </c>
      <c r="C359" t="s">
        <v>543</v>
      </c>
      <c r="D359" s="24">
        <f>241*3.674+37.09</f>
        <v>922.524</v>
      </c>
      <c r="E359" s="24">
        <v>1</v>
      </c>
      <c r="F359" s="37">
        <f t="shared" si="11"/>
        <v>922.524</v>
      </c>
    </row>
    <row r="360" spans="2:6" ht="15" thickBot="1">
      <c r="B360" s="37">
        <v>28</v>
      </c>
      <c r="C360" t="s">
        <v>543</v>
      </c>
      <c r="D360" s="24">
        <f>241*3.674+37.09</f>
        <v>922.524</v>
      </c>
      <c r="E360" s="24">
        <v>1</v>
      </c>
      <c r="F360" s="37">
        <f t="shared" si="11"/>
        <v>922.524</v>
      </c>
    </row>
    <row r="361" spans="2:6" ht="15" thickBot="1">
      <c r="B361" s="37">
        <v>29</v>
      </c>
      <c r="C361" t="s">
        <v>763</v>
      </c>
      <c r="D361" s="24">
        <f>249*3.674+37.09</f>
        <v>951.91600000000005</v>
      </c>
      <c r="E361" s="24">
        <v>1</v>
      </c>
      <c r="F361" s="37">
        <f t="shared" si="11"/>
        <v>951.91600000000005</v>
      </c>
    </row>
    <row r="362" spans="2:6" ht="15" thickBot="1">
      <c r="B362" s="37">
        <v>30</v>
      </c>
      <c r="C362" t="s">
        <v>764</v>
      </c>
      <c r="D362" s="24">
        <f>161*3.674+37.09</f>
        <v>628.60400000000004</v>
      </c>
      <c r="E362" s="24">
        <v>1</v>
      </c>
      <c r="F362" s="37">
        <f t="shared" si="11"/>
        <v>628.60400000000004</v>
      </c>
    </row>
    <row r="363" spans="2:6" ht="15" thickBot="1">
      <c r="B363" s="37">
        <v>31</v>
      </c>
      <c r="C363" t="s">
        <v>765</v>
      </c>
      <c r="D363" s="24">
        <f>123*3.674+37.09</f>
        <v>488.99199999999996</v>
      </c>
      <c r="E363" s="24">
        <v>1</v>
      </c>
      <c r="F363" s="37">
        <f t="shared" si="11"/>
        <v>488.99199999999996</v>
      </c>
    </row>
    <row r="364" spans="2:6" ht="15" thickBot="1">
      <c r="B364" s="37">
        <v>32</v>
      </c>
      <c r="C364" t="s">
        <v>766</v>
      </c>
      <c r="D364" s="24">
        <f>202*3.674+37.09</f>
        <v>779.23800000000006</v>
      </c>
      <c r="E364" s="24">
        <v>1</v>
      </c>
      <c r="F364" s="37">
        <f t="shared" si="11"/>
        <v>779.23800000000006</v>
      </c>
    </row>
    <row r="365" spans="2:6" ht="15" thickBot="1">
      <c r="B365" s="37">
        <v>33</v>
      </c>
      <c r="C365" t="s">
        <v>767</v>
      </c>
      <c r="D365" s="24">
        <f t="shared" ref="D365:D375" si="12">245*3.674+37.09</f>
        <v>937.22</v>
      </c>
      <c r="E365" s="24">
        <v>1</v>
      </c>
      <c r="F365" s="37">
        <f t="shared" si="11"/>
        <v>937.22</v>
      </c>
    </row>
    <row r="366" spans="2:6" ht="15" thickBot="1">
      <c r="B366" s="37">
        <v>34</v>
      </c>
      <c r="C366" t="s">
        <v>767</v>
      </c>
      <c r="D366" s="24">
        <f t="shared" si="12"/>
        <v>937.22</v>
      </c>
      <c r="E366" s="24">
        <v>1</v>
      </c>
      <c r="F366" s="37">
        <f t="shared" si="11"/>
        <v>937.22</v>
      </c>
    </row>
    <row r="367" spans="2:6" ht="15" thickBot="1">
      <c r="B367" s="37">
        <v>35</v>
      </c>
      <c r="C367" t="s">
        <v>767</v>
      </c>
      <c r="D367" s="24">
        <f t="shared" si="12"/>
        <v>937.22</v>
      </c>
      <c r="E367" s="24">
        <v>1</v>
      </c>
      <c r="F367" s="37">
        <f t="shared" si="11"/>
        <v>937.22</v>
      </c>
    </row>
    <row r="368" spans="2:6" ht="15" thickBot="1">
      <c r="B368" s="37">
        <v>36</v>
      </c>
      <c r="C368" t="s">
        <v>767</v>
      </c>
      <c r="D368" s="24">
        <f t="shared" si="12"/>
        <v>937.22</v>
      </c>
      <c r="E368" s="24">
        <v>1</v>
      </c>
      <c r="F368" s="37">
        <f t="shared" si="11"/>
        <v>937.22</v>
      </c>
    </row>
    <row r="369" spans="2:6" ht="15" thickBot="1">
      <c r="B369" s="37">
        <v>37</v>
      </c>
      <c r="C369" t="s">
        <v>767</v>
      </c>
      <c r="D369" s="24">
        <f t="shared" si="12"/>
        <v>937.22</v>
      </c>
      <c r="E369" s="24">
        <v>1</v>
      </c>
      <c r="F369" s="37">
        <f t="shared" si="11"/>
        <v>937.22</v>
      </c>
    </row>
    <row r="370" spans="2:6" ht="15" thickBot="1">
      <c r="B370" s="37">
        <v>38</v>
      </c>
      <c r="C370" t="s">
        <v>767</v>
      </c>
      <c r="D370" s="24">
        <f t="shared" si="12"/>
        <v>937.22</v>
      </c>
      <c r="E370" s="24">
        <v>1</v>
      </c>
      <c r="F370" s="37">
        <f t="shared" si="11"/>
        <v>937.22</v>
      </c>
    </row>
    <row r="371" spans="2:6" ht="15" thickBot="1">
      <c r="B371" s="37">
        <v>39</v>
      </c>
      <c r="C371" t="s">
        <v>767</v>
      </c>
      <c r="D371" s="24">
        <f t="shared" si="12"/>
        <v>937.22</v>
      </c>
      <c r="E371" s="24">
        <v>1</v>
      </c>
      <c r="F371" s="37">
        <f t="shared" si="11"/>
        <v>937.22</v>
      </c>
    </row>
    <row r="372" spans="2:6" ht="15" thickBot="1">
      <c r="B372" s="37">
        <v>40</v>
      </c>
      <c r="C372" t="s">
        <v>767</v>
      </c>
      <c r="D372" s="24">
        <f t="shared" si="12"/>
        <v>937.22</v>
      </c>
      <c r="E372" s="24">
        <v>1</v>
      </c>
      <c r="F372" s="37">
        <f t="shared" si="11"/>
        <v>937.22</v>
      </c>
    </row>
    <row r="373" spans="2:6" ht="15" thickBot="1">
      <c r="B373" s="37">
        <v>41</v>
      </c>
      <c r="C373" t="s">
        <v>767</v>
      </c>
      <c r="D373" s="24">
        <f t="shared" si="12"/>
        <v>937.22</v>
      </c>
      <c r="E373" s="24">
        <v>1</v>
      </c>
      <c r="F373" s="37">
        <f t="shared" si="11"/>
        <v>937.22</v>
      </c>
    </row>
    <row r="374" spans="2:6" ht="15" thickBot="1">
      <c r="B374" s="37">
        <v>42</v>
      </c>
      <c r="C374" t="s">
        <v>767</v>
      </c>
      <c r="D374" s="24">
        <f t="shared" si="12"/>
        <v>937.22</v>
      </c>
      <c r="E374" s="24">
        <v>1</v>
      </c>
      <c r="F374" s="37">
        <f t="shared" si="11"/>
        <v>937.22</v>
      </c>
    </row>
    <row r="375" spans="2:6" ht="15" thickBot="1">
      <c r="B375" s="37">
        <v>43</v>
      </c>
      <c r="C375" t="s">
        <v>768</v>
      </c>
      <c r="D375" s="24">
        <f t="shared" si="12"/>
        <v>937.22</v>
      </c>
      <c r="E375" s="24">
        <v>1</v>
      </c>
      <c r="F375" s="37">
        <f t="shared" si="11"/>
        <v>937.22</v>
      </c>
    </row>
    <row r="376" spans="2:6" ht="15" thickBot="1">
      <c r="B376" s="37">
        <v>44</v>
      </c>
      <c r="C376" t="s">
        <v>769</v>
      </c>
      <c r="D376" s="24">
        <f>241*3.674+37.09</f>
        <v>922.524</v>
      </c>
      <c r="E376" s="24">
        <v>1</v>
      </c>
      <c r="F376" s="37">
        <f t="shared" si="11"/>
        <v>922.524</v>
      </c>
    </row>
    <row r="377" spans="2:6" ht="15" thickBot="1">
      <c r="B377" s="37"/>
      <c r="C377" s="35"/>
      <c r="D377" s="24"/>
      <c r="E377" s="24"/>
      <c r="F377" s="37">
        <f t="shared" si="11"/>
        <v>0</v>
      </c>
    </row>
    <row r="378" spans="2:6" ht="15" thickBot="1">
      <c r="B378" s="37"/>
      <c r="C378" s="73" t="s">
        <v>604</v>
      </c>
      <c r="D378" s="24"/>
      <c r="E378" s="24"/>
      <c r="F378" s="37">
        <f t="shared" si="11"/>
        <v>0</v>
      </c>
    </row>
    <row r="379" spans="2:6" ht="15" thickBot="1">
      <c r="B379" s="37"/>
      <c r="C379" s="75" t="s">
        <v>1264</v>
      </c>
      <c r="D379" s="24"/>
      <c r="E379" s="24"/>
      <c r="F379" s="37">
        <f t="shared" si="11"/>
        <v>0</v>
      </c>
    </row>
    <row r="380" spans="2:6" ht="15" thickBot="1">
      <c r="B380" s="37"/>
      <c r="C380" s="73" t="s">
        <v>1265</v>
      </c>
      <c r="D380" s="24"/>
      <c r="E380" s="24"/>
      <c r="F380" s="37">
        <f t="shared" si="11"/>
        <v>0</v>
      </c>
    </row>
    <row r="381" spans="2:6" ht="15" thickBot="1">
      <c r="B381" s="37"/>
      <c r="C381" s="75" t="s">
        <v>1266</v>
      </c>
      <c r="D381" s="24"/>
      <c r="E381" s="24"/>
      <c r="F381" s="37">
        <f t="shared" si="11"/>
        <v>0</v>
      </c>
    </row>
    <row r="382" spans="2:6" ht="15" thickBot="1">
      <c r="B382" s="37"/>
      <c r="C382" s="73" t="s">
        <v>1267</v>
      </c>
      <c r="D382" s="24"/>
      <c r="E382" s="24"/>
      <c r="F382" s="37">
        <f t="shared" si="11"/>
        <v>0</v>
      </c>
    </row>
    <row r="383" spans="2:6" ht="15" thickBot="1">
      <c r="B383" s="37"/>
      <c r="C383" s="74" t="s">
        <v>1268</v>
      </c>
      <c r="D383" s="24"/>
      <c r="E383" s="24"/>
      <c r="F383" s="37">
        <f t="shared" si="11"/>
        <v>0</v>
      </c>
    </row>
    <row r="384" spans="2:6" ht="29.4" thickBot="1">
      <c r="B384" s="37"/>
      <c r="C384" s="76" t="s">
        <v>1269</v>
      </c>
      <c r="D384" s="24"/>
      <c r="E384" s="24"/>
      <c r="F384" s="37">
        <f t="shared" si="11"/>
        <v>0</v>
      </c>
    </row>
    <row r="385" spans="2:6" ht="15" thickBot="1">
      <c r="B385" s="37"/>
      <c r="C385" s="35"/>
      <c r="D385" s="24"/>
      <c r="E385" s="24"/>
      <c r="F385" s="37">
        <f t="shared" ref="F385" si="13">D385*E385</f>
        <v>0</v>
      </c>
    </row>
    <row r="386" spans="2:6" ht="15" thickBot="1">
      <c r="B386" s="37"/>
      <c r="C386" s="35"/>
      <c r="D386" s="24"/>
      <c r="E386" s="24"/>
      <c r="F386" s="37">
        <f t="shared" ref="F386" si="14">D386*E386</f>
        <v>0</v>
      </c>
    </row>
    <row r="387" spans="2:6" ht="15" thickBot="1">
      <c r="B387" s="8"/>
      <c r="C387" s="8"/>
      <c r="D387" s="8"/>
      <c r="E387" s="8"/>
      <c r="F387" s="8"/>
    </row>
    <row r="388" spans="2:6" ht="15" thickBot="1">
      <c r="B388" s="606" t="s">
        <v>11</v>
      </c>
      <c r="C388" s="607"/>
      <c r="D388" s="593"/>
      <c r="E388" s="594"/>
      <c r="F388" s="9">
        <f>SUM(F332:F387)</f>
        <v>44885.962000000014</v>
      </c>
    </row>
    <row r="390" spans="2:6" ht="15" thickBot="1"/>
    <row r="391" spans="2:6" ht="26.4" thickBot="1">
      <c r="B391" s="603" t="s">
        <v>0</v>
      </c>
      <c r="C391" s="604"/>
      <c r="D391" s="604"/>
      <c r="E391" s="604"/>
      <c r="F391" s="605"/>
    </row>
    <row r="393" spans="2:6" ht="15.6">
      <c r="B393" s="2" t="s">
        <v>1</v>
      </c>
      <c r="C393" s="1" t="s">
        <v>806</v>
      </c>
    </row>
    <row r="395" spans="2:6" ht="15.6">
      <c r="B395" s="2" t="s">
        <v>2</v>
      </c>
      <c r="C395" s="34" t="s">
        <v>805</v>
      </c>
      <c r="D395" s="2" t="s">
        <v>5</v>
      </c>
      <c r="E395" s="21">
        <v>45448</v>
      </c>
    </row>
    <row r="396" spans="2:6" ht="15.6">
      <c r="B396" s="2" t="s">
        <v>3</v>
      </c>
    </row>
    <row r="397" spans="2:6" ht="15.6">
      <c r="B397" s="2" t="s">
        <v>4</v>
      </c>
    </row>
    <row r="398" spans="2:6" ht="15" thickBot="1"/>
    <row r="399" spans="2:6" ht="16.2" thickBot="1">
      <c r="B399" s="10" t="s">
        <v>6</v>
      </c>
      <c r="C399" s="10" t="s">
        <v>7</v>
      </c>
      <c r="D399" s="4" t="s">
        <v>8</v>
      </c>
      <c r="E399" s="10" t="s">
        <v>9</v>
      </c>
      <c r="F399" s="5" t="s">
        <v>10</v>
      </c>
    </row>
    <row r="400" spans="2:6" ht="15" thickBot="1">
      <c r="B400" s="6"/>
      <c r="F400" s="7"/>
    </row>
    <row r="401" spans="2:6" ht="15" thickBot="1">
      <c r="B401" s="37">
        <v>1</v>
      </c>
      <c r="C401" s="35" t="s">
        <v>807</v>
      </c>
      <c r="D401" s="250">
        <v>1230</v>
      </c>
      <c r="E401" s="23">
        <v>5</v>
      </c>
      <c r="F401" s="37">
        <f>D401*E401</f>
        <v>6150</v>
      </c>
    </row>
    <row r="402" spans="2:6" ht="15" thickBot="1">
      <c r="B402" s="37"/>
      <c r="C402" s="35"/>
      <c r="D402" s="24"/>
      <c r="E402" s="23"/>
      <c r="F402" s="37">
        <f t="shared" ref="F402:F405" si="15">D402*E402</f>
        <v>0</v>
      </c>
    </row>
    <row r="403" spans="2:6" ht="15" thickBot="1">
      <c r="B403" s="37"/>
      <c r="C403" s="35"/>
      <c r="D403" s="24"/>
      <c r="E403" s="24"/>
      <c r="F403" s="37">
        <f t="shared" si="15"/>
        <v>0</v>
      </c>
    </row>
    <row r="404" spans="2:6" ht="15" thickBot="1">
      <c r="B404" s="37"/>
      <c r="C404" s="35"/>
      <c r="D404" s="24"/>
      <c r="E404" s="24"/>
      <c r="F404" s="37">
        <f t="shared" si="15"/>
        <v>0</v>
      </c>
    </row>
    <row r="405" spans="2:6" ht="15" thickBot="1">
      <c r="B405" s="8"/>
      <c r="C405" s="8"/>
      <c r="D405" s="8"/>
      <c r="E405" s="8"/>
      <c r="F405" s="37">
        <f t="shared" si="15"/>
        <v>0</v>
      </c>
    </row>
    <row r="406" spans="2:6" ht="15" thickBot="1">
      <c r="B406" s="8"/>
      <c r="C406" s="8"/>
      <c r="D406" s="8"/>
      <c r="E406" s="8"/>
      <c r="F406" s="8"/>
    </row>
    <row r="407" spans="2:6" ht="15" thickBot="1">
      <c r="B407" s="606" t="s">
        <v>11</v>
      </c>
      <c r="C407" s="607"/>
      <c r="D407" s="593"/>
      <c r="E407" s="594"/>
      <c r="F407" s="9">
        <f>SUM(F401:F406)</f>
        <v>6150</v>
      </c>
    </row>
    <row r="410" spans="2:6" ht="15" thickBot="1"/>
    <row r="411" spans="2:6" ht="26.4" thickBot="1">
      <c r="B411" s="603" t="s">
        <v>0</v>
      </c>
      <c r="C411" s="604"/>
      <c r="D411" s="604"/>
      <c r="E411" s="604"/>
      <c r="F411" s="605"/>
    </row>
    <row r="413" spans="2:6" ht="15.6">
      <c r="B413" s="2" t="s">
        <v>1</v>
      </c>
      <c r="C413" s="1" t="s">
        <v>866</v>
      </c>
    </row>
    <row r="415" spans="2:6" ht="15.6">
      <c r="B415" s="2" t="s">
        <v>2</v>
      </c>
      <c r="C415" s="34" t="s">
        <v>867</v>
      </c>
      <c r="D415" s="2" t="s">
        <v>5</v>
      </c>
      <c r="E415" s="21">
        <v>45448</v>
      </c>
    </row>
    <row r="416" spans="2:6" ht="15.6">
      <c r="B416" s="2" t="s">
        <v>3</v>
      </c>
    </row>
    <row r="417" spans="2:6" ht="15.6">
      <c r="B417" s="2" t="s">
        <v>4</v>
      </c>
    </row>
    <row r="418" spans="2:6" ht="15" thickBot="1"/>
    <row r="419" spans="2:6" ht="16.2" thickBot="1">
      <c r="B419" s="10" t="s">
        <v>6</v>
      </c>
      <c r="C419" s="10" t="s">
        <v>7</v>
      </c>
      <c r="D419" s="4" t="s">
        <v>8</v>
      </c>
      <c r="E419" s="10" t="s">
        <v>9</v>
      </c>
      <c r="F419" s="5" t="s">
        <v>10</v>
      </c>
    </row>
    <row r="420" spans="2:6" ht="15" thickBot="1">
      <c r="B420" s="6"/>
      <c r="F420" s="7"/>
    </row>
    <row r="421" spans="2:6" ht="15" thickBot="1">
      <c r="B421" s="37">
        <v>1</v>
      </c>
      <c r="C421" s="35" t="s">
        <v>807</v>
      </c>
      <c r="D421" s="250">
        <v>1230</v>
      </c>
      <c r="E421" s="23">
        <v>5</v>
      </c>
      <c r="F421" s="37">
        <f>D421*E421</f>
        <v>6150</v>
      </c>
    </row>
    <row r="422" spans="2:6" ht="15" thickBot="1">
      <c r="B422" s="37"/>
      <c r="C422" s="35"/>
      <c r="D422" s="24"/>
      <c r="E422" s="23"/>
      <c r="F422" s="37">
        <f t="shared" ref="F422:F425" si="16">D422*E422</f>
        <v>0</v>
      </c>
    </row>
    <row r="423" spans="2:6" ht="15" thickBot="1">
      <c r="B423" s="37"/>
      <c r="C423" s="35"/>
      <c r="D423" s="24"/>
      <c r="E423" s="24"/>
      <c r="F423" s="37">
        <f t="shared" si="16"/>
        <v>0</v>
      </c>
    </row>
    <row r="424" spans="2:6" ht="15" thickBot="1">
      <c r="B424" s="37"/>
      <c r="C424" s="35"/>
      <c r="D424" s="24"/>
      <c r="E424" s="24"/>
      <c r="F424" s="37">
        <f t="shared" si="16"/>
        <v>0</v>
      </c>
    </row>
    <row r="425" spans="2:6" ht="15" thickBot="1">
      <c r="B425" s="8"/>
      <c r="C425" s="8"/>
      <c r="D425" s="8"/>
      <c r="E425" s="8"/>
      <c r="F425" s="37">
        <f t="shared" si="16"/>
        <v>0</v>
      </c>
    </row>
    <row r="426" spans="2:6" ht="15" thickBot="1">
      <c r="B426" s="8"/>
      <c r="C426" s="8"/>
      <c r="D426" s="8"/>
      <c r="E426" s="8"/>
      <c r="F426" s="8"/>
    </row>
    <row r="427" spans="2:6" ht="15" thickBot="1">
      <c r="B427" s="606" t="s">
        <v>11</v>
      </c>
      <c r="C427" s="607"/>
      <c r="D427" s="593"/>
      <c r="E427" s="594"/>
      <c r="F427" s="9">
        <f>SUM(F421:F426)</f>
        <v>6150</v>
      </c>
    </row>
    <row r="430" spans="2:6" ht="15" thickBot="1"/>
    <row r="431" spans="2:6" ht="26.4" thickBot="1">
      <c r="B431" s="603" t="s">
        <v>0</v>
      </c>
      <c r="C431" s="604"/>
      <c r="D431" s="604"/>
      <c r="E431" s="604"/>
      <c r="F431" s="605"/>
    </row>
    <row r="433" spans="2:7" ht="15.6">
      <c r="B433" s="2" t="s">
        <v>1</v>
      </c>
      <c r="C433" s="1" t="s">
        <v>870</v>
      </c>
    </row>
    <row r="435" spans="2:7" ht="15.6">
      <c r="B435" s="2" t="s">
        <v>2</v>
      </c>
      <c r="C435" s="34" t="s">
        <v>634</v>
      </c>
      <c r="D435" s="2" t="s">
        <v>5</v>
      </c>
      <c r="E435" s="21">
        <v>45451</v>
      </c>
    </row>
    <row r="436" spans="2:7" ht="15.6">
      <c r="B436" s="2" t="s">
        <v>3</v>
      </c>
    </row>
    <row r="437" spans="2:7" ht="15.6">
      <c r="B437" s="2" t="s">
        <v>4</v>
      </c>
    </row>
    <row r="438" spans="2:7" ht="15" thickBot="1"/>
    <row r="439" spans="2:7" ht="16.2" thickBot="1">
      <c r="B439" s="10" t="s">
        <v>6</v>
      </c>
      <c r="C439" s="10" t="s">
        <v>7</v>
      </c>
      <c r="D439" s="4" t="s">
        <v>8</v>
      </c>
      <c r="E439" s="10" t="s">
        <v>9</v>
      </c>
      <c r="F439" s="5" t="s">
        <v>10</v>
      </c>
    </row>
    <row r="440" spans="2:7" ht="15" thickBot="1">
      <c r="B440" s="6"/>
      <c r="F440" s="7"/>
    </row>
    <row r="441" spans="2:7" ht="15" thickBot="1">
      <c r="B441" s="37">
        <v>1</v>
      </c>
      <c r="C441" s="35" t="s">
        <v>584</v>
      </c>
      <c r="D441" s="23">
        <v>180000</v>
      </c>
      <c r="E441" s="23">
        <v>2</v>
      </c>
      <c r="F441" s="37">
        <f>D441*E441</f>
        <v>360000</v>
      </c>
    </row>
    <row r="442" spans="2:7" ht="15" thickBot="1">
      <c r="B442" s="37">
        <v>2</v>
      </c>
      <c r="C442" s="35" t="s">
        <v>635</v>
      </c>
      <c r="D442" s="24">
        <v>180000</v>
      </c>
      <c r="E442" s="23">
        <v>2</v>
      </c>
      <c r="F442" s="37">
        <f t="shared" ref="F442:F445" si="17">D442*E442</f>
        <v>360000</v>
      </c>
    </row>
    <row r="443" spans="2:7" ht="15" thickBot="1">
      <c r="B443" s="37">
        <v>3</v>
      </c>
      <c r="C443" s="35" t="s">
        <v>854</v>
      </c>
      <c r="D443" s="24">
        <v>190000</v>
      </c>
      <c r="E443" s="24">
        <v>1</v>
      </c>
      <c r="F443" s="37">
        <f t="shared" si="17"/>
        <v>190000</v>
      </c>
    </row>
    <row r="444" spans="2:7" ht="15" thickBot="1">
      <c r="B444" s="37"/>
      <c r="C444" s="35"/>
      <c r="D444" s="24"/>
      <c r="E444" s="24"/>
      <c r="F444" s="37">
        <f t="shared" si="17"/>
        <v>0</v>
      </c>
    </row>
    <row r="445" spans="2:7" ht="15" thickBot="1">
      <c r="B445" s="8"/>
      <c r="C445" s="8"/>
      <c r="D445" s="8"/>
      <c r="E445" s="8"/>
      <c r="F445" s="37">
        <f t="shared" si="17"/>
        <v>0</v>
      </c>
    </row>
    <row r="446" spans="2:7" ht="15" thickBot="1">
      <c r="B446" s="8"/>
      <c r="C446" s="8"/>
      <c r="D446" s="8"/>
      <c r="E446" s="8"/>
      <c r="F446" s="8"/>
    </row>
    <row r="447" spans="2:7" ht="15" thickBot="1">
      <c r="B447" s="606" t="s">
        <v>11</v>
      </c>
      <c r="C447" s="607"/>
      <c r="D447" s="593"/>
      <c r="E447" s="594"/>
      <c r="F447" s="9">
        <f>SUM(F441:F446)</f>
        <v>910000</v>
      </c>
      <c r="G447" s="211" t="s">
        <v>567</v>
      </c>
    </row>
    <row r="449" spans="2:33" ht="15" thickBot="1"/>
    <row r="450" spans="2:33" ht="26.4" thickBot="1">
      <c r="B450" s="603" t="s">
        <v>0</v>
      </c>
      <c r="C450" s="604"/>
      <c r="D450" s="604"/>
      <c r="E450" s="604"/>
      <c r="F450" s="605"/>
    </row>
    <row r="452" spans="2:33" ht="15.6">
      <c r="B452" s="2" t="s">
        <v>1</v>
      </c>
      <c r="C452" s="1" t="s">
        <v>909</v>
      </c>
    </row>
    <row r="454" spans="2:33" ht="15.6">
      <c r="B454" s="2" t="s">
        <v>2</v>
      </c>
      <c r="C454" s="34" t="s">
        <v>976</v>
      </c>
      <c r="D454" s="2" t="s">
        <v>5</v>
      </c>
      <c r="E454" s="21">
        <v>45453</v>
      </c>
    </row>
    <row r="455" spans="2:33" ht="15.6">
      <c r="B455" s="2" t="s">
        <v>3</v>
      </c>
    </row>
    <row r="456" spans="2:33" ht="15.6">
      <c r="B456" s="2" t="s">
        <v>4</v>
      </c>
    </row>
    <row r="457" spans="2:33" ht="15" thickBot="1"/>
    <row r="458" spans="2:33" ht="16.2" thickBot="1">
      <c r="B458" s="10" t="s">
        <v>6</v>
      </c>
      <c r="C458" s="10" t="s">
        <v>7</v>
      </c>
      <c r="D458" s="4" t="s">
        <v>8</v>
      </c>
      <c r="E458" s="10" t="s">
        <v>9</v>
      </c>
      <c r="F458" s="5" t="s">
        <v>10</v>
      </c>
    </row>
    <row r="459" spans="2:33">
      <c r="B459" s="6"/>
      <c r="F459" s="7"/>
    </row>
    <row r="460" spans="2:33">
      <c r="B460" s="18">
        <v>1</v>
      </c>
      <c r="C460" s="46" t="str">
        <f>CONCATENATE(AD460," ",AE460," ",AF460," ",AG460)</f>
        <v>Samsung Galaxy S22 Ultra 256 BLACK</v>
      </c>
      <c r="D460" s="299">
        <f>'IMEI Record'!L300</f>
        <v>1102.2</v>
      </c>
      <c r="E460" s="25">
        <v>1</v>
      </c>
      <c r="F460" s="18">
        <f>D460*E460</f>
        <v>1102.2</v>
      </c>
      <c r="AD460" s="275" t="s">
        <v>977</v>
      </c>
      <c r="AE460" s="284" t="s">
        <v>953</v>
      </c>
      <c r="AF460" s="284">
        <v>256</v>
      </c>
      <c r="AG460" s="284" t="s">
        <v>918</v>
      </c>
    </row>
    <row r="461" spans="2:33">
      <c r="B461" s="18">
        <v>2</v>
      </c>
      <c r="C461" s="46" t="str">
        <f t="shared" ref="C461:C524" si="18">CONCATENATE(AD461," ",AE461," ",AF461," ",AG461)</f>
        <v>Google Pixel 8 128 BLACK</v>
      </c>
      <c r="D461" s="299">
        <f>'IMEI Record'!L301</f>
        <v>918.5</v>
      </c>
      <c r="E461" s="25">
        <v>1</v>
      </c>
      <c r="F461" s="18">
        <f t="shared" ref="F461:F540" si="19">D461*E461</f>
        <v>918.5</v>
      </c>
      <c r="AD461" s="275" t="s">
        <v>978</v>
      </c>
      <c r="AE461" s="284" t="s">
        <v>955</v>
      </c>
      <c r="AF461" s="284">
        <v>128</v>
      </c>
      <c r="AG461" s="284" t="s">
        <v>918</v>
      </c>
    </row>
    <row r="462" spans="2:33">
      <c r="B462" s="18">
        <v>3</v>
      </c>
      <c r="C462" s="46" t="str">
        <f t="shared" si="18"/>
        <v>iPhone 14 128 BLACK</v>
      </c>
      <c r="D462" s="299">
        <f>'IMEI Record'!L302</f>
        <v>1102.2</v>
      </c>
      <c r="E462" s="25">
        <v>1</v>
      </c>
      <c r="F462" s="18">
        <f t="shared" si="19"/>
        <v>1102.2</v>
      </c>
      <c r="AD462" s="275" t="s">
        <v>979</v>
      </c>
      <c r="AE462" s="284">
        <v>14</v>
      </c>
      <c r="AF462" s="284">
        <v>128</v>
      </c>
      <c r="AG462" s="284" t="s">
        <v>918</v>
      </c>
    </row>
    <row r="463" spans="2:33">
      <c r="B463" s="18">
        <v>4</v>
      </c>
      <c r="C463" s="46" t="str">
        <f t="shared" si="18"/>
        <v>iPhone 14 128 BLUE</v>
      </c>
      <c r="D463" s="299">
        <f>'IMEI Record'!L303</f>
        <v>1102.2</v>
      </c>
      <c r="E463" s="25">
        <v>1</v>
      </c>
      <c r="F463" s="18">
        <f t="shared" si="19"/>
        <v>1102.2</v>
      </c>
      <c r="AD463" s="275" t="s">
        <v>979</v>
      </c>
      <c r="AE463" s="284">
        <v>14</v>
      </c>
      <c r="AF463" s="284">
        <v>128</v>
      </c>
      <c r="AG463" s="284" t="s">
        <v>922</v>
      </c>
    </row>
    <row r="464" spans="2:33">
      <c r="B464" s="18">
        <v>5</v>
      </c>
      <c r="C464" s="46" t="str">
        <f t="shared" si="18"/>
        <v>iPhone 14 128 BLUE</v>
      </c>
      <c r="D464" s="299">
        <f>'IMEI Record'!L304</f>
        <v>1102.2</v>
      </c>
      <c r="E464" s="25">
        <v>1</v>
      </c>
      <c r="F464" s="18">
        <f t="shared" si="19"/>
        <v>1102.2</v>
      </c>
      <c r="AD464" s="275" t="s">
        <v>979</v>
      </c>
      <c r="AE464" s="284">
        <v>14</v>
      </c>
      <c r="AF464" s="284">
        <v>128</v>
      </c>
      <c r="AG464" s="284" t="s">
        <v>922</v>
      </c>
    </row>
    <row r="465" spans="2:33">
      <c r="B465" s="18">
        <v>6</v>
      </c>
      <c r="C465" s="46" t="str">
        <f t="shared" si="18"/>
        <v>iPhone 14 128 BLUE</v>
      </c>
      <c r="D465" s="299">
        <f>'IMEI Record'!L305</f>
        <v>1102.2</v>
      </c>
      <c r="E465" s="25">
        <v>1</v>
      </c>
      <c r="F465" s="18">
        <f t="shared" si="19"/>
        <v>1102.2</v>
      </c>
      <c r="AD465" s="275" t="s">
        <v>979</v>
      </c>
      <c r="AE465" s="284">
        <v>14</v>
      </c>
      <c r="AF465" s="284">
        <v>128</v>
      </c>
      <c r="AG465" s="284" t="s">
        <v>922</v>
      </c>
    </row>
    <row r="466" spans="2:33">
      <c r="B466" s="18">
        <v>7</v>
      </c>
      <c r="C466" s="46" t="str">
        <f t="shared" si="18"/>
        <v>iPhone 14 128 MIDNIGHT</v>
      </c>
      <c r="D466" s="299">
        <f>'IMEI Record'!L306</f>
        <v>1102.2</v>
      </c>
      <c r="E466" s="25">
        <v>1</v>
      </c>
      <c r="F466" s="18">
        <f t="shared" si="19"/>
        <v>1102.2</v>
      </c>
      <c r="AD466" s="275" t="s">
        <v>979</v>
      </c>
      <c r="AE466" s="284">
        <v>14</v>
      </c>
      <c r="AF466" s="284">
        <v>128</v>
      </c>
      <c r="AG466" s="284" t="s">
        <v>923</v>
      </c>
    </row>
    <row r="467" spans="2:33">
      <c r="B467" s="18">
        <v>8</v>
      </c>
      <c r="C467" s="46" t="str">
        <f t="shared" si="18"/>
        <v>iPhone 15 128 BLUE</v>
      </c>
      <c r="D467" s="299">
        <f>'IMEI Record'!L307</f>
        <v>1469.6</v>
      </c>
      <c r="E467" s="25">
        <v>1</v>
      </c>
      <c r="F467" s="18">
        <f t="shared" si="19"/>
        <v>1469.6</v>
      </c>
      <c r="AD467" s="275" t="s">
        <v>979</v>
      </c>
      <c r="AE467" s="284">
        <v>15</v>
      </c>
      <c r="AF467" s="284">
        <v>128</v>
      </c>
      <c r="AG467" s="284" t="s">
        <v>922</v>
      </c>
    </row>
    <row r="468" spans="2:33">
      <c r="B468" s="18">
        <v>9</v>
      </c>
      <c r="C468" s="46" t="str">
        <f t="shared" si="18"/>
        <v>iPhone 15 128 PURPLE</v>
      </c>
      <c r="D468" s="299">
        <f>'IMEI Record'!L308</f>
        <v>1469.6</v>
      </c>
      <c r="E468" s="25">
        <v>1</v>
      </c>
      <c r="F468" s="18">
        <f t="shared" si="19"/>
        <v>1469.6</v>
      </c>
      <c r="AD468" s="275" t="s">
        <v>979</v>
      </c>
      <c r="AE468" s="284">
        <v>15</v>
      </c>
      <c r="AF468" s="284">
        <v>128</v>
      </c>
      <c r="AG468" s="284" t="s">
        <v>924</v>
      </c>
    </row>
    <row r="469" spans="2:33">
      <c r="B469" s="18">
        <v>10</v>
      </c>
      <c r="C469" s="46" t="str">
        <f t="shared" si="18"/>
        <v>iPhone 15 256 BLACK</v>
      </c>
      <c r="D469" s="299">
        <f>'IMEI Record'!L309</f>
        <v>1616.56</v>
      </c>
      <c r="E469" s="25">
        <v>1</v>
      </c>
      <c r="F469" s="18">
        <f t="shared" si="19"/>
        <v>1616.56</v>
      </c>
      <c r="AD469" s="275" t="s">
        <v>979</v>
      </c>
      <c r="AE469" s="284">
        <v>15</v>
      </c>
      <c r="AF469" s="284">
        <v>256</v>
      </c>
      <c r="AG469" s="284" t="s">
        <v>918</v>
      </c>
    </row>
    <row r="470" spans="2:33">
      <c r="B470" s="18">
        <v>11</v>
      </c>
      <c r="C470" s="46" t="str">
        <f t="shared" si="18"/>
        <v>iPhone 14 Plus 128 BLUE</v>
      </c>
      <c r="D470" s="299">
        <f>'IMEI Record'!L310</f>
        <v>2204.4</v>
      </c>
      <c r="E470" s="25">
        <v>1</v>
      </c>
      <c r="F470" s="18">
        <f t="shared" si="19"/>
        <v>2204.4</v>
      </c>
      <c r="AD470" s="275" t="s">
        <v>979</v>
      </c>
      <c r="AE470" s="284" t="s">
        <v>925</v>
      </c>
      <c r="AF470" s="284">
        <v>128</v>
      </c>
      <c r="AG470" s="284" t="s">
        <v>922</v>
      </c>
    </row>
    <row r="471" spans="2:33">
      <c r="B471" s="18">
        <v>12</v>
      </c>
      <c r="C471" s="46" t="str">
        <f t="shared" si="18"/>
        <v>iPhone 14 Plus 128 MIDNIGHT</v>
      </c>
      <c r="D471" s="299">
        <f>'IMEI Record'!L311</f>
        <v>2204.4</v>
      </c>
      <c r="E471" s="25">
        <v>1</v>
      </c>
      <c r="F471" s="18">
        <f t="shared" si="19"/>
        <v>2204.4</v>
      </c>
      <c r="AD471" s="275" t="s">
        <v>979</v>
      </c>
      <c r="AE471" s="284" t="s">
        <v>925</v>
      </c>
      <c r="AF471" s="284">
        <v>128</v>
      </c>
      <c r="AG471" s="284" t="s">
        <v>923</v>
      </c>
    </row>
    <row r="472" spans="2:33">
      <c r="B472" s="18">
        <v>13</v>
      </c>
      <c r="C472" s="46" t="str">
        <f t="shared" si="18"/>
        <v>iPhone 15 Plus 128 BLUE</v>
      </c>
      <c r="D472" s="299">
        <f>'IMEI Record'!L312</f>
        <v>1579.82</v>
      </c>
      <c r="E472" s="25">
        <v>1</v>
      </c>
      <c r="F472" s="18">
        <f t="shared" si="19"/>
        <v>1579.82</v>
      </c>
      <c r="AD472" s="275" t="s">
        <v>979</v>
      </c>
      <c r="AE472" s="284" t="s">
        <v>927</v>
      </c>
      <c r="AF472" s="284">
        <v>128</v>
      </c>
      <c r="AG472" s="284" t="s">
        <v>922</v>
      </c>
    </row>
    <row r="473" spans="2:33">
      <c r="B473" s="18">
        <v>14</v>
      </c>
      <c r="C473" s="46" t="str">
        <f t="shared" si="18"/>
        <v>iPhone 15 Plus 128 BLUE</v>
      </c>
      <c r="D473" s="299">
        <f>'IMEI Record'!L313</f>
        <v>1579.82</v>
      </c>
      <c r="E473" s="25">
        <v>1</v>
      </c>
      <c r="F473" s="18">
        <f t="shared" si="19"/>
        <v>1579.82</v>
      </c>
      <c r="AD473" s="275" t="s">
        <v>979</v>
      </c>
      <c r="AE473" s="284" t="s">
        <v>927</v>
      </c>
      <c r="AF473" s="284">
        <v>128</v>
      </c>
      <c r="AG473" s="284" t="s">
        <v>922</v>
      </c>
    </row>
    <row r="474" spans="2:33">
      <c r="B474" s="18">
        <v>15</v>
      </c>
      <c r="C474" s="46" t="str">
        <f t="shared" si="18"/>
        <v>iPhone 15 Plus 128 BLUE</v>
      </c>
      <c r="D474" s="299">
        <f>'IMEI Record'!L314</f>
        <v>1579.82</v>
      </c>
      <c r="E474" s="25">
        <v>1</v>
      </c>
      <c r="F474" s="18">
        <f t="shared" si="19"/>
        <v>1579.82</v>
      </c>
      <c r="AD474" s="275" t="s">
        <v>979</v>
      </c>
      <c r="AE474" s="284" t="s">
        <v>927</v>
      </c>
      <c r="AF474" s="284">
        <v>128</v>
      </c>
      <c r="AG474" s="284" t="s">
        <v>922</v>
      </c>
    </row>
    <row r="475" spans="2:33">
      <c r="B475" s="18">
        <v>16</v>
      </c>
      <c r="C475" s="46" t="str">
        <f t="shared" si="18"/>
        <v>iPhone 15 Pro 128 BLACK</v>
      </c>
      <c r="D475" s="299">
        <f>'IMEI Record'!L315</f>
        <v>1910.48</v>
      </c>
      <c r="E475" s="25">
        <v>1</v>
      </c>
      <c r="F475" s="18">
        <f t="shared" si="19"/>
        <v>1910.48</v>
      </c>
      <c r="AD475" s="275" t="s">
        <v>979</v>
      </c>
      <c r="AE475" s="284" t="s">
        <v>928</v>
      </c>
      <c r="AF475" s="284">
        <v>128</v>
      </c>
      <c r="AG475" s="284" t="s">
        <v>918</v>
      </c>
    </row>
    <row r="476" spans="2:33">
      <c r="B476" s="18">
        <v>17</v>
      </c>
      <c r="C476" s="46" t="str">
        <f t="shared" si="18"/>
        <v>iPhone 15 Pro 128 NATURAL</v>
      </c>
      <c r="D476" s="299">
        <f>'IMEI Record'!L316</f>
        <v>2020.7</v>
      </c>
      <c r="E476" s="25">
        <v>1</v>
      </c>
      <c r="F476" s="18">
        <f t="shared" si="19"/>
        <v>2020.7</v>
      </c>
      <c r="AD476" s="275" t="s">
        <v>979</v>
      </c>
      <c r="AE476" s="284" t="s">
        <v>928</v>
      </c>
      <c r="AF476" s="284">
        <v>128</v>
      </c>
      <c r="AG476" s="284" t="s">
        <v>929</v>
      </c>
    </row>
    <row r="477" spans="2:33">
      <c r="B477" s="18">
        <v>18</v>
      </c>
      <c r="C477" s="46" t="str">
        <f t="shared" si="18"/>
        <v>iPhone 15 Pro 256 BLACK</v>
      </c>
      <c r="D477" s="299">
        <f>'IMEI Record'!L317</f>
        <v>2130.92</v>
      </c>
      <c r="E477" s="25">
        <v>1</v>
      </c>
      <c r="F477" s="18">
        <f t="shared" si="19"/>
        <v>2130.92</v>
      </c>
      <c r="AD477" s="275" t="s">
        <v>979</v>
      </c>
      <c r="AE477" s="284" t="s">
        <v>928</v>
      </c>
      <c r="AF477" s="284">
        <v>256</v>
      </c>
      <c r="AG477" s="284" t="s">
        <v>918</v>
      </c>
    </row>
    <row r="478" spans="2:33">
      <c r="B478" s="18">
        <v>19</v>
      </c>
      <c r="C478" s="46" t="str">
        <f t="shared" si="18"/>
        <v>iPhone 15 Pro 128 NATURAL</v>
      </c>
      <c r="D478" s="299">
        <f>'IMEI Record'!L318</f>
        <v>2020.7</v>
      </c>
      <c r="E478" s="25">
        <v>1</v>
      </c>
      <c r="F478" s="18">
        <f t="shared" si="19"/>
        <v>2020.7</v>
      </c>
      <c r="AD478" s="275" t="s">
        <v>979</v>
      </c>
      <c r="AE478" s="284" t="s">
        <v>928</v>
      </c>
      <c r="AF478" s="284">
        <v>128</v>
      </c>
      <c r="AG478" s="284" t="s">
        <v>929</v>
      </c>
    </row>
    <row r="479" spans="2:33">
      <c r="B479" s="18">
        <v>20</v>
      </c>
      <c r="C479" s="46" t="str">
        <f t="shared" si="18"/>
        <v>iPhone 15 Pro 256 BLACK</v>
      </c>
      <c r="D479" s="299">
        <f>'IMEI Record'!L319</f>
        <v>2130.92</v>
      </c>
      <c r="E479" s="25">
        <v>1</v>
      </c>
      <c r="F479" s="18">
        <f t="shared" si="19"/>
        <v>2130.92</v>
      </c>
      <c r="AD479" s="275" t="s">
        <v>979</v>
      </c>
      <c r="AE479" s="284" t="s">
        <v>928</v>
      </c>
      <c r="AF479" s="284">
        <v>256</v>
      </c>
      <c r="AG479" s="284" t="s">
        <v>918</v>
      </c>
    </row>
    <row r="480" spans="2:33">
      <c r="B480" s="18">
        <v>21</v>
      </c>
      <c r="C480" s="46" t="str">
        <f t="shared" si="18"/>
        <v>iPhone 15 Pro 512 NATURAL</v>
      </c>
      <c r="D480" s="299">
        <f>'IMEI Record'!L320</f>
        <v>2388.1</v>
      </c>
      <c r="E480" s="25">
        <v>1</v>
      </c>
      <c r="F480" s="18">
        <f t="shared" si="19"/>
        <v>2388.1</v>
      </c>
      <c r="AD480" s="275" t="s">
        <v>979</v>
      </c>
      <c r="AE480" s="284" t="s">
        <v>928</v>
      </c>
      <c r="AF480" s="284">
        <v>512</v>
      </c>
      <c r="AG480" s="284" t="s">
        <v>929</v>
      </c>
    </row>
    <row r="481" spans="2:33">
      <c r="B481" s="18">
        <v>22</v>
      </c>
      <c r="C481" s="46" t="str">
        <f t="shared" si="18"/>
        <v>iPhone 15 Pro Max 256 BLACK</v>
      </c>
      <c r="D481" s="299">
        <f>'IMEI Record'!L321</f>
        <v>2406.4699999999998</v>
      </c>
      <c r="E481" s="25">
        <v>1</v>
      </c>
      <c r="F481" s="18">
        <f t="shared" si="19"/>
        <v>2406.4699999999998</v>
      </c>
      <c r="AD481" s="275" t="s">
        <v>979</v>
      </c>
      <c r="AE481" s="284" t="s">
        <v>930</v>
      </c>
      <c r="AF481" s="284">
        <v>256</v>
      </c>
      <c r="AG481" s="284" t="s">
        <v>918</v>
      </c>
    </row>
    <row r="482" spans="2:33">
      <c r="B482" s="18">
        <v>23</v>
      </c>
      <c r="C482" s="46" t="str">
        <f t="shared" si="18"/>
        <v>iPhone 15 Pro Max 256 BLACK</v>
      </c>
      <c r="D482" s="299">
        <f>'IMEI Record'!L322</f>
        <v>2406.4699999999998</v>
      </c>
      <c r="E482" s="25">
        <v>1</v>
      </c>
      <c r="F482" s="18">
        <f t="shared" si="19"/>
        <v>2406.4699999999998</v>
      </c>
      <c r="AD482" s="275" t="s">
        <v>979</v>
      </c>
      <c r="AE482" s="284" t="s">
        <v>930</v>
      </c>
      <c r="AF482" s="284">
        <v>256</v>
      </c>
      <c r="AG482" s="284" t="s">
        <v>918</v>
      </c>
    </row>
    <row r="483" spans="2:33">
      <c r="B483" s="18">
        <v>24</v>
      </c>
      <c r="C483" s="46" t="str">
        <f t="shared" si="18"/>
        <v>iPhone 15 Pro Max 256 BLACK</v>
      </c>
      <c r="D483" s="299">
        <f>'IMEI Record'!L323</f>
        <v>2406.4699999999998</v>
      </c>
      <c r="E483" s="25">
        <v>1</v>
      </c>
      <c r="F483" s="18">
        <f t="shared" si="19"/>
        <v>2406.4699999999998</v>
      </c>
      <c r="AD483" s="275" t="s">
        <v>979</v>
      </c>
      <c r="AE483" s="284" t="s">
        <v>930</v>
      </c>
      <c r="AF483" s="284">
        <v>256</v>
      </c>
      <c r="AG483" s="284" t="s">
        <v>918</v>
      </c>
    </row>
    <row r="484" spans="2:33">
      <c r="B484" s="18">
        <v>25</v>
      </c>
      <c r="C484" s="46" t="str">
        <f t="shared" si="18"/>
        <v>iPhone 15 Pro Max 256 BLACK</v>
      </c>
      <c r="D484" s="299">
        <f>'IMEI Record'!L324</f>
        <v>2406.4699999999998</v>
      </c>
      <c r="E484" s="25">
        <v>1</v>
      </c>
      <c r="F484" s="18">
        <f t="shared" si="19"/>
        <v>2406.4699999999998</v>
      </c>
      <c r="AD484" s="275" t="s">
        <v>979</v>
      </c>
      <c r="AE484" s="284" t="s">
        <v>930</v>
      </c>
      <c r="AF484" s="284">
        <v>256</v>
      </c>
      <c r="AG484" s="284" t="s">
        <v>918</v>
      </c>
    </row>
    <row r="485" spans="2:33">
      <c r="B485" s="18">
        <v>26</v>
      </c>
      <c r="C485" s="46" t="str">
        <f t="shared" si="18"/>
        <v>iPhone 15 Pro Max 256 BLUE</v>
      </c>
      <c r="D485" s="299">
        <f>'IMEI Record'!L325</f>
        <v>3600.52</v>
      </c>
      <c r="E485" s="25">
        <v>1</v>
      </c>
      <c r="F485" s="18">
        <f t="shared" si="19"/>
        <v>3600.52</v>
      </c>
      <c r="AD485" s="275" t="s">
        <v>979</v>
      </c>
      <c r="AE485" s="284" t="s">
        <v>930</v>
      </c>
      <c r="AF485" s="284">
        <v>256</v>
      </c>
      <c r="AG485" s="284" t="s">
        <v>922</v>
      </c>
    </row>
    <row r="486" spans="2:33">
      <c r="B486" s="18">
        <v>27</v>
      </c>
      <c r="C486" s="46" t="str">
        <f t="shared" si="18"/>
        <v>iPhone 15 Pro Max 256 BLUE</v>
      </c>
      <c r="D486" s="299">
        <f>'IMEI Record'!L326</f>
        <v>2443.21</v>
      </c>
      <c r="E486" s="25">
        <v>1</v>
      </c>
      <c r="F486" s="18">
        <f t="shared" si="19"/>
        <v>2443.21</v>
      </c>
      <c r="AD486" s="275" t="s">
        <v>979</v>
      </c>
      <c r="AE486" s="284" t="s">
        <v>930</v>
      </c>
      <c r="AF486" s="284">
        <v>256</v>
      </c>
      <c r="AG486" s="284" t="s">
        <v>922</v>
      </c>
    </row>
    <row r="487" spans="2:33">
      <c r="B487" s="18">
        <v>28</v>
      </c>
      <c r="C487" s="46" t="str">
        <f t="shared" si="18"/>
        <v>iPhone 15 Pro Max 256 BLUE</v>
      </c>
      <c r="D487" s="299">
        <f>'IMEI Record'!L327</f>
        <v>2443.21</v>
      </c>
      <c r="E487" s="25">
        <v>1</v>
      </c>
      <c r="F487" s="18">
        <f t="shared" si="19"/>
        <v>2443.21</v>
      </c>
      <c r="AD487" s="275" t="s">
        <v>979</v>
      </c>
      <c r="AE487" s="284" t="s">
        <v>930</v>
      </c>
      <c r="AF487" s="284">
        <v>256</v>
      </c>
      <c r="AG487" s="284" t="s">
        <v>922</v>
      </c>
    </row>
    <row r="488" spans="2:33">
      <c r="B488" s="18">
        <v>29</v>
      </c>
      <c r="C488" s="46" t="str">
        <f t="shared" si="18"/>
        <v>iPhone 15 Pro Max 256 BLUE</v>
      </c>
      <c r="D488" s="299">
        <f>'IMEI Record'!L328</f>
        <v>2443.21</v>
      </c>
      <c r="E488" s="25">
        <v>1</v>
      </c>
      <c r="F488" s="18">
        <f t="shared" si="19"/>
        <v>2443.21</v>
      </c>
      <c r="AD488" s="275" t="s">
        <v>979</v>
      </c>
      <c r="AE488" s="284" t="s">
        <v>930</v>
      </c>
      <c r="AF488" s="284">
        <v>256</v>
      </c>
      <c r="AG488" s="284" t="s">
        <v>922</v>
      </c>
    </row>
    <row r="489" spans="2:33">
      <c r="B489" s="18">
        <v>30</v>
      </c>
      <c r="C489" s="46" t="str">
        <f t="shared" si="18"/>
        <v>iPhone 15 Pro Max 256 BLUE</v>
      </c>
      <c r="D489" s="299">
        <f>'IMEI Record'!L329</f>
        <v>2443.21</v>
      </c>
      <c r="E489" s="25">
        <v>1</v>
      </c>
      <c r="F489" s="18">
        <f t="shared" si="19"/>
        <v>2443.21</v>
      </c>
      <c r="AD489" s="275" t="s">
        <v>979</v>
      </c>
      <c r="AE489" s="284" t="s">
        <v>930</v>
      </c>
      <c r="AF489" s="284">
        <v>256</v>
      </c>
      <c r="AG489" s="284" t="s">
        <v>922</v>
      </c>
    </row>
    <row r="490" spans="2:33">
      <c r="B490" s="18">
        <v>31</v>
      </c>
      <c r="C490" s="46" t="str">
        <f t="shared" si="18"/>
        <v>iPhone 15 Pro Max 256 NATURAL</v>
      </c>
      <c r="D490" s="299">
        <f>'IMEI Record'!L330</f>
        <v>2682.02</v>
      </c>
      <c r="E490" s="25">
        <v>1</v>
      </c>
      <c r="F490" s="18">
        <f t="shared" si="19"/>
        <v>2682.02</v>
      </c>
      <c r="AD490" s="275" t="s">
        <v>979</v>
      </c>
      <c r="AE490" s="284" t="s">
        <v>930</v>
      </c>
      <c r="AF490" s="284">
        <v>256</v>
      </c>
      <c r="AG490" s="284" t="s">
        <v>929</v>
      </c>
    </row>
    <row r="491" spans="2:33">
      <c r="B491" s="18">
        <v>32</v>
      </c>
      <c r="C491" s="46" t="str">
        <f t="shared" si="18"/>
        <v>iPhone 15 Pro Max 256 NATURAL</v>
      </c>
      <c r="D491" s="299">
        <f>'IMEI Record'!L331</f>
        <v>2682.02</v>
      </c>
      <c r="E491" s="25">
        <v>1</v>
      </c>
      <c r="F491" s="18">
        <f t="shared" si="19"/>
        <v>2682.02</v>
      </c>
      <c r="AD491" s="275" t="s">
        <v>979</v>
      </c>
      <c r="AE491" s="284" t="s">
        <v>930</v>
      </c>
      <c r="AF491" s="284">
        <v>256</v>
      </c>
      <c r="AG491" s="284" t="s">
        <v>929</v>
      </c>
    </row>
    <row r="492" spans="2:33">
      <c r="B492" s="18">
        <v>33</v>
      </c>
      <c r="C492" s="46" t="str">
        <f t="shared" si="18"/>
        <v>iPhone 15 Pro Max 256 NATURAL</v>
      </c>
      <c r="D492" s="299">
        <f>'IMEI Record'!L332</f>
        <v>2682.02</v>
      </c>
      <c r="E492" s="25">
        <v>1</v>
      </c>
      <c r="F492" s="18">
        <f t="shared" si="19"/>
        <v>2682.02</v>
      </c>
      <c r="AD492" s="275" t="s">
        <v>979</v>
      </c>
      <c r="AE492" s="284" t="s">
        <v>930</v>
      </c>
      <c r="AF492" s="284">
        <v>256</v>
      </c>
      <c r="AG492" s="284" t="s">
        <v>929</v>
      </c>
    </row>
    <row r="493" spans="2:33">
      <c r="B493" s="18">
        <v>34</v>
      </c>
      <c r="C493" s="46" t="str">
        <f t="shared" si="18"/>
        <v>iPhone 15 Pro Max 256 NATURAL</v>
      </c>
      <c r="D493" s="299">
        <f>'IMEI Record'!L333</f>
        <v>2682.02</v>
      </c>
      <c r="E493" s="25">
        <v>1</v>
      </c>
      <c r="F493" s="18">
        <f t="shared" si="19"/>
        <v>2682.02</v>
      </c>
      <c r="AD493" s="275" t="s">
        <v>979</v>
      </c>
      <c r="AE493" s="284" t="s">
        <v>930</v>
      </c>
      <c r="AF493" s="284">
        <v>256</v>
      </c>
      <c r="AG493" s="284" t="s">
        <v>929</v>
      </c>
    </row>
    <row r="494" spans="2:33">
      <c r="B494" s="18">
        <v>35</v>
      </c>
      <c r="C494" s="46" t="str">
        <f t="shared" si="18"/>
        <v>iPhone 15 Pro Max 256 NATURAL</v>
      </c>
      <c r="D494" s="299">
        <f>'IMEI Record'!L334</f>
        <v>2682.02</v>
      </c>
      <c r="E494" s="25">
        <v>1</v>
      </c>
      <c r="F494" s="18">
        <f t="shared" si="19"/>
        <v>2682.02</v>
      </c>
      <c r="AD494" s="275" t="s">
        <v>979</v>
      </c>
      <c r="AE494" s="284" t="s">
        <v>930</v>
      </c>
      <c r="AF494" s="284">
        <v>256</v>
      </c>
      <c r="AG494" s="284" t="s">
        <v>929</v>
      </c>
    </row>
    <row r="495" spans="2:33">
      <c r="B495" s="18">
        <v>36</v>
      </c>
      <c r="C495" s="46" t="str">
        <f t="shared" si="18"/>
        <v>iPhone 15 Pro Max 256 NATURAL</v>
      </c>
      <c r="D495" s="299">
        <f>'IMEI Record'!L335</f>
        <v>2608.54</v>
      </c>
      <c r="E495" s="25">
        <v>1</v>
      </c>
      <c r="F495" s="18">
        <f t="shared" si="19"/>
        <v>2608.54</v>
      </c>
      <c r="AD495" s="275" t="s">
        <v>979</v>
      </c>
      <c r="AE495" s="284" t="s">
        <v>930</v>
      </c>
      <c r="AF495" s="284">
        <v>256</v>
      </c>
      <c r="AG495" s="284" t="s">
        <v>929</v>
      </c>
    </row>
    <row r="496" spans="2:33">
      <c r="B496" s="18">
        <v>37</v>
      </c>
      <c r="C496" s="46" t="str">
        <f t="shared" si="18"/>
        <v>iPhone 15 Pro Max 256 NATURAL</v>
      </c>
      <c r="D496" s="299">
        <f>'IMEI Record'!L336</f>
        <v>2682.02</v>
      </c>
      <c r="E496" s="25">
        <v>1</v>
      </c>
      <c r="F496" s="18">
        <f t="shared" si="19"/>
        <v>2682.02</v>
      </c>
      <c r="AD496" s="275" t="s">
        <v>979</v>
      </c>
      <c r="AE496" s="284" t="s">
        <v>930</v>
      </c>
      <c r="AF496" s="284">
        <v>256</v>
      </c>
      <c r="AG496" s="284" t="s">
        <v>929</v>
      </c>
    </row>
    <row r="497" spans="2:33">
      <c r="B497" s="18">
        <v>38</v>
      </c>
      <c r="C497" s="46" t="str">
        <f t="shared" si="18"/>
        <v>iPhone 15 Pro Max 256 NATURAL</v>
      </c>
      <c r="D497" s="299">
        <f>'IMEI Record'!L337</f>
        <v>2682.02</v>
      </c>
      <c r="E497" s="25">
        <v>1</v>
      </c>
      <c r="F497" s="18">
        <f t="shared" si="19"/>
        <v>2682.02</v>
      </c>
      <c r="AD497" s="275" t="s">
        <v>979</v>
      </c>
      <c r="AE497" s="284" t="s">
        <v>930</v>
      </c>
      <c r="AF497" s="284">
        <v>256</v>
      </c>
      <c r="AG497" s="284" t="s">
        <v>929</v>
      </c>
    </row>
    <row r="498" spans="2:33">
      <c r="B498" s="18">
        <v>39</v>
      </c>
      <c r="C498" s="46" t="str">
        <f t="shared" si="18"/>
        <v>iPhone 15 Pro Max 256 NATURAL</v>
      </c>
      <c r="D498" s="299">
        <f>'IMEI Record'!L338</f>
        <v>2682.02</v>
      </c>
      <c r="E498" s="25">
        <v>1</v>
      </c>
      <c r="F498" s="18">
        <f t="shared" si="19"/>
        <v>2682.02</v>
      </c>
      <c r="AD498" s="275" t="s">
        <v>979</v>
      </c>
      <c r="AE498" s="284" t="s">
        <v>930</v>
      </c>
      <c r="AF498" s="284">
        <v>256</v>
      </c>
      <c r="AG498" s="284" t="s">
        <v>929</v>
      </c>
    </row>
    <row r="499" spans="2:33">
      <c r="B499" s="18">
        <v>40</v>
      </c>
      <c r="C499" s="46" t="str">
        <f t="shared" si="18"/>
        <v>iPhone 15 Pro Max 256 NATURAL</v>
      </c>
      <c r="D499" s="299">
        <f>'IMEI Record'!L339</f>
        <v>2682.02</v>
      </c>
      <c r="E499" s="25">
        <v>1</v>
      </c>
      <c r="F499" s="18">
        <f t="shared" si="19"/>
        <v>2682.02</v>
      </c>
      <c r="AD499" s="275" t="s">
        <v>979</v>
      </c>
      <c r="AE499" s="284" t="s">
        <v>930</v>
      </c>
      <c r="AF499" s="284">
        <v>256</v>
      </c>
      <c r="AG499" s="284" t="s">
        <v>929</v>
      </c>
    </row>
    <row r="500" spans="2:33">
      <c r="B500" s="18">
        <v>41</v>
      </c>
      <c r="C500" s="46" t="str">
        <f t="shared" si="18"/>
        <v>iPhone 15 Pro Max 256 NATURAL</v>
      </c>
      <c r="D500" s="299">
        <f>'IMEI Record'!L340</f>
        <v>2682.02</v>
      </c>
      <c r="E500" s="25">
        <v>1</v>
      </c>
      <c r="F500" s="18">
        <f t="shared" si="19"/>
        <v>2682.02</v>
      </c>
      <c r="AD500" s="275" t="s">
        <v>979</v>
      </c>
      <c r="AE500" s="284" t="s">
        <v>930</v>
      </c>
      <c r="AF500" s="284">
        <v>256</v>
      </c>
      <c r="AG500" s="284" t="s">
        <v>929</v>
      </c>
    </row>
    <row r="501" spans="2:33">
      <c r="B501" s="18">
        <v>42</v>
      </c>
      <c r="C501" s="46" t="str">
        <f t="shared" si="18"/>
        <v>iPhone 15 Pro Max 256 NATURAL</v>
      </c>
      <c r="D501" s="299">
        <f>'IMEI Record'!L341</f>
        <v>2682.02</v>
      </c>
      <c r="E501" s="25">
        <v>1</v>
      </c>
      <c r="F501" s="18">
        <f t="shared" si="19"/>
        <v>2682.02</v>
      </c>
      <c r="AD501" s="275" t="s">
        <v>979</v>
      </c>
      <c r="AE501" s="284" t="s">
        <v>930</v>
      </c>
      <c r="AF501" s="284">
        <v>256</v>
      </c>
      <c r="AG501" s="284" t="s">
        <v>929</v>
      </c>
    </row>
    <row r="502" spans="2:33">
      <c r="B502" s="18">
        <v>43</v>
      </c>
      <c r="C502" s="46" t="str">
        <f t="shared" si="18"/>
        <v>iPhone 15 Pro Max 256 WHITE</v>
      </c>
      <c r="D502" s="299">
        <f>'IMEI Record'!L342</f>
        <v>2479.9499999999998</v>
      </c>
      <c r="E502" s="25">
        <v>1</v>
      </c>
      <c r="F502" s="18">
        <f t="shared" si="19"/>
        <v>2479.9499999999998</v>
      </c>
      <c r="AD502" s="275" t="s">
        <v>979</v>
      </c>
      <c r="AE502" s="284" t="s">
        <v>930</v>
      </c>
      <c r="AF502" s="284">
        <v>256</v>
      </c>
      <c r="AG502" s="284" t="s">
        <v>932</v>
      </c>
    </row>
    <row r="503" spans="2:33">
      <c r="B503" s="18">
        <v>44</v>
      </c>
      <c r="C503" s="46" t="str">
        <f t="shared" si="18"/>
        <v>iPhone 15 Pro Max 256 WHITE</v>
      </c>
      <c r="D503" s="299">
        <f>'IMEI Record'!L343</f>
        <v>2479.9499999999998</v>
      </c>
      <c r="E503" s="25">
        <v>1</v>
      </c>
      <c r="F503" s="18">
        <f t="shared" si="19"/>
        <v>2479.9499999999998</v>
      </c>
      <c r="AD503" s="275" t="s">
        <v>979</v>
      </c>
      <c r="AE503" s="284" t="s">
        <v>930</v>
      </c>
      <c r="AF503" s="284">
        <v>256</v>
      </c>
      <c r="AG503" s="284" t="s">
        <v>932</v>
      </c>
    </row>
    <row r="504" spans="2:33">
      <c r="B504" s="18">
        <v>45</v>
      </c>
      <c r="C504" s="46" t="str">
        <f t="shared" si="18"/>
        <v>iPhone 15 Pro Max 256 WHITE</v>
      </c>
      <c r="D504" s="299">
        <f>'IMEI Record'!L344</f>
        <v>2479.9499999999998</v>
      </c>
      <c r="E504" s="25">
        <v>1</v>
      </c>
      <c r="F504" s="18">
        <f t="shared" si="19"/>
        <v>2479.9499999999998</v>
      </c>
      <c r="AD504" s="275" t="s">
        <v>979</v>
      </c>
      <c r="AE504" s="284" t="s">
        <v>930</v>
      </c>
      <c r="AF504" s="284">
        <v>256</v>
      </c>
      <c r="AG504" s="284" t="s">
        <v>932</v>
      </c>
    </row>
    <row r="505" spans="2:33">
      <c r="B505" s="18">
        <v>46</v>
      </c>
      <c r="C505" s="46" t="str">
        <f t="shared" si="18"/>
        <v>iPhone 15 Pro Max 256 WHITE</v>
      </c>
      <c r="D505" s="299">
        <f>'IMEI Record'!L345</f>
        <v>2479.9499999999998</v>
      </c>
      <c r="E505" s="25">
        <v>1</v>
      </c>
      <c r="F505" s="18">
        <f t="shared" si="19"/>
        <v>2479.9499999999998</v>
      </c>
      <c r="AD505" s="275" t="s">
        <v>979</v>
      </c>
      <c r="AE505" s="284" t="s">
        <v>930</v>
      </c>
      <c r="AF505" s="284">
        <v>256</v>
      </c>
      <c r="AG505" s="284" t="s">
        <v>932</v>
      </c>
    </row>
    <row r="506" spans="2:33">
      <c r="B506" s="18">
        <v>47</v>
      </c>
      <c r="C506" s="46" t="str">
        <f t="shared" si="18"/>
        <v>iPhone 15 Pro Max 256 WHITE</v>
      </c>
      <c r="D506" s="299">
        <f>'IMEI Record'!L346</f>
        <v>2479.9499999999998</v>
      </c>
      <c r="E506" s="25">
        <v>1</v>
      </c>
      <c r="F506" s="18">
        <f t="shared" si="19"/>
        <v>2479.9499999999998</v>
      </c>
      <c r="AD506" s="275" t="s">
        <v>979</v>
      </c>
      <c r="AE506" s="284" t="s">
        <v>930</v>
      </c>
      <c r="AF506" s="284">
        <v>256</v>
      </c>
      <c r="AG506" s="284" t="s">
        <v>932</v>
      </c>
    </row>
    <row r="507" spans="2:33">
      <c r="B507" s="18">
        <v>48</v>
      </c>
      <c r="C507" s="46" t="str">
        <f t="shared" si="18"/>
        <v>iPhone 15 Pro Max 256 WHITE</v>
      </c>
      <c r="D507" s="299">
        <f>'IMEI Record'!L347</f>
        <v>2479.9499999999998</v>
      </c>
      <c r="E507" s="25">
        <v>1</v>
      </c>
      <c r="F507" s="18">
        <f t="shared" si="19"/>
        <v>2479.9499999999998</v>
      </c>
      <c r="AD507" s="275" t="s">
        <v>979</v>
      </c>
      <c r="AE507" s="284" t="s">
        <v>930</v>
      </c>
      <c r="AF507" s="284">
        <v>256</v>
      </c>
      <c r="AG507" s="284" t="s">
        <v>932</v>
      </c>
    </row>
    <row r="508" spans="2:33">
      <c r="B508" s="18">
        <v>49</v>
      </c>
      <c r="C508" s="46" t="str">
        <f t="shared" si="18"/>
        <v>iPhone 15 Pro Max 256 WHITE</v>
      </c>
      <c r="D508" s="299">
        <f>'IMEI Record'!L348</f>
        <v>2479.9499999999998</v>
      </c>
      <c r="E508" s="25">
        <v>1</v>
      </c>
      <c r="F508" s="18">
        <f t="shared" si="19"/>
        <v>2479.9499999999998</v>
      </c>
      <c r="AD508" s="275" t="s">
        <v>979</v>
      </c>
      <c r="AE508" s="284" t="s">
        <v>930</v>
      </c>
      <c r="AF508" s="284">
        <v>256</v>
      </c>
      <c r="AG508" s="284" t="s">
        <v>932</v>
      </c>
    </row>
    <row r="509" spans="2:33">
      <c r="B509" s="18">
        <v>50</v>
      </c>
      <c r="C509" s="46" t="str">
        <f t="shared" si="18"/>
        <v>iPhone 15 Pro Max 256 WHITE</v>
      </c>
      <c r="D509" s="299">
        <f>'IMEI Record'!L349</f>
        <v>2406.4699999999998</v>
      </c>
      <c r="E509" s="25">
        <v>1</v>
      </c>
      <c r="F509" s="18">
        <f t="shared" si="19"/>
        <v>2406.4699999999998</v>
      </c>
      <c r="AD509" s="275" t="s">
        <v>979</v>
      </c>
      <c r="AE509" s="284" t="s">
        <v>930</v>
      </c>
      <c r="AF509" s="284">
        <v>256</v>
      </c>
      <c r="AG509" s="284" t="s">
        <v>932</v>
      </c>
    </row>
    <row r="510" spans="2:33">
      <c r="B510" s="18">
        <v>51</v>
      </c>
      <c r="C510" s="46" t="str">
        <f t="shared" si="18"/>
        <v>iPhone 15 Pro Max 256 WHITE</v>
      </c>
      <c r="D510" s="299">
        <f>'IMEI Record'!L350</f>
        <v>2406.4699999999998</v>
      </c>
      <c r="E510" s="25">
        <v>1</v>
      </c>
      <c r="F510" s="18">
        <f t="shared" si="19"/>
        <v>2406.4699999999998</v>
      </c>
      <c r="AD510" s="275" t="s">
        <v>979</v>
      </c>
      <c r="AE510" s="284" t="s">
        <v>930</v>
      </c>
      <c r="AF510" s="284">
        <v>256</v>
      </c>
      <c r="AG510" s="284" t="s">
        <v>932</v>
      </c>
    </row>
    <row r="511" spans="2:33">
      <c r="B511" s="18">
        <v>52</v>
      </c>
      <c r="C511" s="46" t="str">
        <f t="shared" si="18"/>
        <v>iPhone 15 Pro Max 256 WHITE</v>
      </c>
      <c r="D511" s="299">
        <f>'IMEI Record'!L351</f>
        <v>2406.4699999999998</v>
      </c>
      <c r="E511" s="25">
        <v>1</v>
      </c>
      <c r="F511" s="18">
        <f t="shared" si="19"/>
        <v>2406.4699999999998</v>
      </c>
      <c r="AD511" s="275" t="s">
        <v>979</v>
      </c>
      <c r="AE511" s="284" t="s">
        <v>930</v>
      </c>
      <c r="AF511" s="284">
        <v>256</v>
      </c>
      <c r="AG511" s="284" t="s">
        <v>932</v>
      </c>
    </row>
    <row r="512" spans="2:33">
      <c r="B512" s="18">
        <v>53</v>
      </c>
      <c r="C512" s="46" t="str">
        <f t="shared" si="18"/>
        <v>iPhone 15 Pro Max 512 NATURAL</v>
      </c>
      <c r="D512" s="299">
        <f>'IMEI Record'!L352</f>
        <v>2865.72</v>
      </c>
      <c r="E512" s="25">
        <v>1</v>
      </c>
      <c r="F512" s="18">
        <f t="shared" si="19"/>
        <v>2865.72</v>
      </c>
      <c r="AD512" s="275" t="s">
        <v>979</v>
      </c>
      <c r="AE512" s="284" t="s">
        <v>930</v>
      </c>
      <c r="AF512" s="284">
        <v>512</v>
      </c>
      <c r="AG512" s="284" t="s">
        <v>929</v>
      </c>
    </row>
    <row r="513" spans="2:33">
      <c r="B513" s="18">
        <v>54</v>
      </c>
      <c r="C513" s="46" t="str">
        <f t="shared" si="18"/>
        <v>iPhone 15 Pro Max 1TB BLACK</v>
      </c>
      <c r="D513" s="299">
        <f>'IMEI Record'!L353</f>
        <v>3012.68</v>
      </c>
      <c r="E513" s="25">
        <v>1</v>
      </c>
      <c r="F513" s="18">
        <f t="shared" si="19"/>
        <v>3012.68</v>
      </c>
      <c r="AD513" s="275" t="s">
        <v>979</v>
      </c>
      <c r="AE513" s="284" t="s">
        <v>930</v>
      </c>
      <c r="AF513" s="284" t="s">
        <v>933</v>
      </c>
      <c r="AG513" s="284" t="s">
        <v>918</v>
      </c>
    </row>
    <row r="514" spans="2:33">
      <c r="B514" s="18">
        <v>55</v>
      </c>
      <c r="C514" s="46" t="str">
        <f t="shared" si="18"/>
        <v>iPhone 15 128 BLACK</v>
      </c>
      <c r="D514" s="299">
        <f>'IMEI Record'!L354</f>
        <v>1249.1600000000001</v>
      </c>
      <c r="E514" s="25">
        <v>1</v>
      </c>
      <c r="F514" s="18">
        <f t="shared" si="19"/>
        <v>1249.1600000000001</v>
      </c>
      <c r="AD514" s="275" t="s">
        <v>979</v>
      </c>
      <c r="AE514" s="284">
        <v>15</v>
      </c>
      <c r="AF514" s="284">
        <v>128</v>
      </c>
      <c r="AG514" s="284" t="s">
        <v>918</v>
      </c>
    </row>
    <row r="515" spans="2:33">
      <c r="B515" s="18">
        <v>56</v>
      </c>
      <c r="C515" s="46" t="str">
        <f t="shared" si="18"/>
        <v>iPhone 15 128 BLACK</v>
      </c>
      <c r="D515" s="299">
        <f>'IMEI Record'!L355</f>
        <v>1249.1600000000001</v>
      </c>
      <c r="E515" s="25">
        <v>1</v>
      </c>
      <c r="F515" s="18">
        <f t="shared" si="19"/>
        <v>1249.1600000000001</v>
      </c>
      <c r="AD515" s="275" t="s">
        <v>979</v>
      </c>
      <c r="AE515" s="284">
        <v>15</v>
      </c>
      <c r="AF515" s="284">
        <v>128</v>
      </c>
      <c r="AG515" s="284" t="s">
        <v>918</v>
      </c>
    </row>
    <row r="516" spans="2:33">
      <c r="B516" s="18">
        <v>57</v>
      </c>
      <c r="C516" s="46" t="str">
        <f t="shared" si="18"/>
        <v>iPhone 13 Pro Max 128 GREEN</v>
      </c>
      <c r="D516" s="299">
        <f>'IMEI Record'!L356</f>
        <v>1396.12</v>
      </c>
      <c r="E516" s="25">
        <v>1</v>
      </c>
      <c r="F516" s="18">
        <f t="shared" si="19"/>
        <v>1396.12</v>
      </c>
      <c r="AD516" s="275" t="s">
        <v>979</v>
      </c>
      <c r="AE516" s="284" t="s">
        <v>937</v>
      </c>
      <c r="AF516" s="284">
        <v>128</v>
      </c>
      <c r="AG516" s="284" t="s">
        <v>938</v>
      </c>
    </row>
    <row r="517" spans="2:33">
      <c r="B517" s="18">
        <v>58</v>
      </c>
      <c r="C517" s="46" t="str">
        <f t="shared" si="18"/>
        <v>iPhone 14 Plus 128 STARLIGHT</v>
      </c>
      <c r="D517" s="299">
        <f>'IMEI Record'!L357</f>
        <v>1285.8999999999999</v>
      </c>
      <c r="E517" s="25">
        <v>1</v>
      </c>
      <c r="F517" s="18">
        <f t="shared" si="19"/>
        <v>1285.8999999999999</v>
      </c>
      <c r="AD517" s="275" t="s">
        <v>979</v>
      </c>
      <c r="AE517" s="284" t="s">
        <v>925</v>
      </c>
      <c r="AF517" s="284">
        <v>128</v>
      </c>
      <c r="AG517" s="284" t="s">
        <v>939</v>
      </c>
    </row>
    <row r="518" spans="2:33">
      <c r="B518" s="18">
        <v>59</v>
      </c>
      <c r="C518" s="46" t="str">
        <f t="shared" si="18"/>
        <v>iPhone 15 Pro Max 256 BLUE</v>
      </c>
      <c r="D518" s="299">
        <f>'IMEI Record'!L358</f>
        <v>2332.9899999999998</v>
      </c>
      <c r="E518" s="25">
        <v>1</v>
      </c>
      <c r="F518" s="18">
        <f t="shared" si="19"/>
        <v>2332.9899999999998</v>
      </c>
      <c r="AD518" s="275" t="s">
        <v>979</v>
      </c>
      <c r="AE518" s="284" t="s">
        <v>930</v>
      </c>
      <c r="AF518" s="284">
        <v>256</v>
      </c>
      <c r="AG518" s="284" t="s">
        <v>922</v>
      </c>
    </row>
    <row r="519" spans="2:33">
      <c r="B519" s="18">
        <v>60</v>
      </c>
      <c r="C519" s="46" t="str">
        <f t="shared" si="18"/>
        <v>Motorola G-Play 32 --</v>
      </c>
      <c r="D519" s="299">
        <f>'IMEI Record'!L359</f>
        <v>91.85</v>
      </c>
      <c r="E519" s="25">
        <v>1</v>
      </c>
      <c r="F519" s="18">
        <f t="shared" si="19"/>
        <v>91.85</v>
      </c>
      <c r="AD519" s="275" t="s">
        <v>980</v>
      </c>
      <c r="AE519" s="284" t="s">
        <v>956</v>
      </c>
      <c r="AF519" s="284">
        <v>32</v>
      </c>
      <c r="AG519" s="284" t="s">
        <v>957</v>
      </c>
    </row>
    <row r="520" spans="2:33">
      <c r="B520" s="18">
        <v>61</v>
      </c>
      <c r="C520" s="46" t="str">
        <f t="shared" si="18"/>
        <v>Motorola G-Play 64 --</v>
      </c>
      <c r="D520" s="299">
        <f>'IMEI Record'!L360</f>
        <v>91.85</v>
      </c>
      <c r="E520" s="25">
        <v>1</v>
      </c>
      <c r="F520" s="18">
        <f t="shared" si="19"/>
        <v>91.85</v>
      </c>
      <c r="AD520" s="275" t="s">
        <v>980</v>
      </c>
      <c r="AE520" s="284" t="s">
        <v>956</v>
      </c>
      <c r="AF520" s="284">
        <v>64</v>
      </c>
      <c r="AG520" s="284" t="s">
        <v>957</v>
      </c>
    </row>
    <row r="521" spans="2:33">
      <c r="B521" s="18">
        <v>62</v>
      </c>
      <c r="C521" s="46" t="str">
        <f t="shared" si="18"/>
        <v>Motorola G-Play 128 SILVER</v>
      </c>
      <c r="D521" s="299">
        <f>'IMEI Record'!L361</f>
        <v>91.85</v>
      </c>
      <c r="E521" s="25">
        <v>1</v>
      </c>
      <c r="F521" s="18">
        <f t="shared" si="19"/>
        <v>91.85</v>
      </c>
      <c r="AD521" s="275" t="s">
        <v>980</v>
      </c>
      <c r="AE521" s="284" t="s">
        <v>956</v>
      </c>
      <c r="AF521" s="284">
        <v>128</v>
      </c>
      <c r="AG521" s="284" t="s">
        <v>958</v>
      </c>
    </row>
    <row r="522" spans="2:33">
      <c r="B522" s="18">
        <v>63</v>
      </c>
      <c r="C522" s="46" t="str">
        <f t="shared" si="18"/>
        <v>Samsung Galaxy A03s -- BLACK</v>
      </c>
      <c r="D522" s="299">
        <f>'IMEI Record'!L362</f>
        <v>91.85</v>
      </c>
      <c r="E522" s="25">
        <v>1</v>
      </c>
      <c r="F522" s="18">
        <f t="shared" si="19"/>
        <v>91.85</v>
      </c>
      <c r="AD522" s="275" t="s">
        <v>977</v>
      </c>
      <c r="AE522" s="284" t="s">
        <v>959</v>
      </c>
      <c r="AF522" s="284" t="s">
        <v>957</v>
      </c>
      <c r="AG522" s="284" t="s">
        <v>918</v>
      </c>
    </row>
    <row r="523" spans="2:33">
      <c r="B523" s="18">
        <v>64</v>
      </c>
      <c r="C523" s="46" t="str">
        <f t="shared" si="18"/>
        <v>Samsung Galaxy A03s -- BLUE</v>
      </c>
      <c r="D523" s="299">
        <f>'IMEI Record'!L363</f>
        <v>91.85</v>
      </c>
      <c r="E523" s="25">
        <v>1</v>
      </c>
      <c r="F523" s="18">
        <f t="shared" si="19"/>
        <v>91.85</v>
      </c>
      <c r="AD523" s="275" t="s">
        <v>977</v>
      </c>
      <c r="AE523" s="284" t="s">
        <v>959</v>
      </c>
      <c r="AF523" s="284" t="s">
        <v>957</v>
      </c>
      <c r="AG523" s="284" t="s">
        <v>922</v>
      </c>
    </row>
    <row r="524" spans="2:33">
      <c r="B524" s="18">
        <v>65</v>
      </c>
      <c r="C524" s="46" t="str">
        <f t="shared" si="18"/>
        <v>Samsung Galaxy A03s -- BLUE</v>
      </c>
      <c r="D524" s="299">
        <f>'IMEI Record'!L364</f>
        <v>91.85</v>
      </c>
      <c r="E524" s="25">
        <v>1</v>
      </c>
      <c r="F524" s="18">
        <f t="shared" si="19"/>
        <v>91.85</v>
      </c>
      <c r="AD524" s="275" t="s">
        <v>977</v>
      </c>
      <c r="AE524" s="284" t="s">
        <v>959</v>
      </c>
      <c r="AF524" s="284" t="s">
        <v>957</v>
      </c>
      <c r="AG524" s="284" t="s">
        <v>922</v>
      </c>
    </row>
    <row r="525" spans="2:33">
      <c r="B525" s="18">
        <v>66</v>
      </c>
      <c r="C525" s="46" t="str">
        <f t="shared" ref="C525:C539" si="20">CONCATENATE(AD525," ",AE525," ",AF525," ",AG525)</f>
        <v>Samsung Galaxy A11 32 BLACK</v>
      </c>
      <c r="D525" s="299">
        <f>'IMEI Record'!L365</f>
        <v>91.85</v>
      </c>
      <c r="E525" s="25">
        <v>1</v>
      </c>
      <c r="F525" s="18">
        <f t="shared" si="19"/>
        <v>91.85</v>
      </c>
      <c r="AD525" s="275" t="s">
        <v>977</v>
      </c>
      <c r="AE525" s="284" t="s">
        <v>960</v>
      </c>
      <c r="AF525" s="284">
        <v>32</v>
      </c>
      <c r="AG525" s="284" t="s">
        <v>918</v>
      </c>
    </row>
    <row r="526" spans="2:33">
      <c r="B526" s="18">
        <v>67</v>
      </c>
      <c r="C526" s="46" t="str">
        <f t="shared" si="20"/>
        <v>Samsung Galaxy A12 -- BLACK</v>
      </c>
      <c r="D526" s="299">
        <f>'IMEI Record'!L366</f>
        <v>91.85</v>
      </c>
      <c r="E526" s="25">
        <v>1</v>
      </c>
      <c r="F526" s="18">
        <f t="shared" si="19"/>
        <v>91.85</v>
      </c>
      <c r="AD526" s="275" t="s">
        <v>977</v>
      </c>
      <c r="AE526" s="284" t="s">
        <v>961</v>
      </c>
      <c r="AF526" s="284" t="s">
        <v>957</v>
      </c>
      <c r="AG526" s="284" t="s">
        <v>918</v>
      </c>
    </row>
    <row r="527" spans="2:33">
      <c r="B527" s="18">
        <v>68</v>
      </c>
      <c r="C527" s="46" t="str">
        <f t="shared" si="20"/>
        <v>Samsung Galaxy A12 -- BLACK</v>
      </c>
      <c r="D527" s="299">
        <f>'IMEI Record'!L367</f>
        <v>91.85</v>
      </c>
      <c r="E527" s="25">
        <v>1</v>
      </c>
      <c r="F527" s="18">
        <f t="shared" si="19"/>
        <v>91.85</v>
      </c>
      <c r="AD527" s="275" t="s">
        <v>977</v>
      </c>
      <c r="AE527" s="284" t="s">
        <v>961</v>
      </c>
      <c r="AF527" s="284" t="s">
        <v>957</v>
      </c>
      <c r="AG527" s="284" t="s">
        <v>918</v>
      </c>
    </row>
    <row r="528" spans="2:33">
      <c r="B528" s="18">
        <v>69</v>
      </c>
      <c r="C528" s="46" t="str">
        <f t="shared" si="20"/>
        <v>Samsung Galaxy A13 32 BLACK</v>
      </c>
      <c r="D528" s="299">
        <f>'IMEI Record'!L368</f>
        <v>91.85</v>
      </c>
      <c r="E528" s="25">
        <v>1</v>
      </c>
      <c r="F528" s="18">
        <f t="shared" si="19"/>
        <v>91.85</v>
      </c>
      <c r="AD528" s="275" t="s">
        <v>977</v>
      </c>
      <c r="AE528" s="284" t="s">
        <v>962</v>
      </c>
      <c r="AF528" s="284">
        <v>32</v>
      </c>
      <c r="AG528" s="284" t="s">
        <v>918</v>
      </c>
    </row>
    <row r="529" spans="2:33">
      <c r="B529" s="18">
        <v>70</v>
      </c>
      <c r="C529" s="46" t="str">
        <f t="shared" si="20"/>
        <v>Samsung Galaxy A13 -- BLACK</v>
      </c>
      <c r="D529" s="299">
        <f>'IMEI Record'!L369</f>
        <v>91.85</v>
      </c>
      <c r="E529" s="25">
        <v>1</v>
      </c>
      <c r="F529" s="18">
        <f t="shared" si="19"/>
        <v>91.85</v>
      </c>
      <c r="AD529" s="275" t="s">
        <v>977</v>
      </c>
      <c r="AE529" s="284" t="s">
        <v>962</v>
      </c>
      <c r="AF529" s="284" t="s">
        <v>957</v>
      </c>
      <c r="AG529" s="284" t="s">
        <v>918</v>
      </c>
    </row>
    <row r="530" spans="2:33">
      <c r="B530" s="18">
        <v>71</v>
      </c>
      <c r="C530" s="46" t="str">
        <f t="shared" si="20"/>
        <v>Samsung Galaxy A14 64 BLACK</v>
      </c>
      <c r="D530" s="299">
        <f>'IMEI Record'!L370</f>
        <v>146.96</v>
      </c>
      <c r="E530" s="25">
        <v>1</v>
      </c>
      <c r="F530" s="18">
        <f t="shared" si="19"/>
        <v>146.96</v>
      </c>
      <c r="AD530" s="275" t="s">
        <v>977</v>
      </c>
      <c r="AE530" s="284" t="s">
        <v>963</v>
      </c>
      <c r="AF530" s="284">
        <v>64</v>
      </c>
      <c r="AG530" s="284" t="s">
        <v>918</v>
      </c>
    </row>
    <row r="531" spans="2:33">
      <c r="B531" s="18">
        <v>72</v>
      </c>
      <c r="C531" s="46" t="str">
        <f t="shared" si="20"/>
        <v>Samsung Galaxy A20 -- BLACK</v>
      </c>
      <c r="D531" s="299">
        <f>'IMEI Record'!L371</f>
        <v>91.85</v>
      </c>
      <c r="E531" s="25">
        <v>1</v>
      </c>
      <c r="F531" s="18">
        <f t="shared" si="19"/>
        <v>91.85</v>
      </c>
      <c r="AD531" s="275" t="s">
        <v>977</v>
      </c>
      <c r="AE531" s="284" t="s">
        <v>964</v>
      </c>
      <c r="AF531" s="295" t="s">
        <v>957</v>
      </c>
      <c r="AG531" s="284" t="s">
        <v>918</v>
      </c>
    </row>
    <row r="532" spans="2:33">
      <c r="B532" s="18">
        <v>73</v>
      </c>
      <c r="C532" s="46" t="str">
        <f t="shared" si="20"/>
        <v>Samsung Galaxy A21`  BLACK</v>
      </c>
      <c r="D532" s="299">
        <f>'IMEI Record'!L372</f>
        <v>91.85</v>
      </c>
      <c r="E532" s="25">
        <v>1</v>
      </c>
      <c r="F532" s="18">
        <f t="shared" si="19"/>
        <v>91.85</v>
      </c>
      <c r="AD532" s="275" t="s">
        <v>977</v>
      </c>
      <c r="AE532" s="284" t="s">
        <v>965</v>
      </c>
      <c r="AF532" s="296"/>
      <c r="AG532" s="284" t="s">
        <v>918</v>
      </c>
    </row>
    <row r="533" spans="2:33">
      <c r="B533" s="18">
        <v>74</v>
      </c>
      <c r="C533" s="46" t="str">
        <f t="shared" si="20"/>
        <v>Samsung Galaxy A25 128 BLACK</v>
      </c>
      <c r="D533" s="299">
        <f>'IMEI Record'!L373</f>
        <v>293.92</v>
      </c>
      <c r="E533" s="25">
        <v>1</v>
      </c>
      <c r="F533" s="18">
        <f t="shared" si="19"/>
        <v>293.92</v>
      </c>
      <c r="AD533" s="275" t="s">
        <v>977</v>
      </c>
      <c r="AE533" s="284" t="s">
        <v>966</v>
      </c>
      <c r="AF533" s="284">
        <v>128</v>
      </c>
      <c r="AG533" s="284" t="s">
        <v>918</v>
      </c>
    </row>
    <row r="534" spans="2:33">
      <c r="B534" s="18">
        <v>75</v>
      </c>
      <c r="C534" s="46" t="str">
        <f t="shared" si="20"/>
        <v>Samsung Galaxy A25 128 BLACK</v>
      </c>
      <c r="D534" s="299">
        <f>'IMEI Record'!L374</f>
        <v>293.92</v>
      </c>
      <c r="E534" s="25">
        <v>1</v>
      </c>
      <c r="F534" s="18">
        <f t="shared" si="19"/>
        <v>293.92</v>
      </c>
      <c r="AD534" s="275" t="s">
        <v>977</v>
      </c>
      <c r="AE534" s="284" t="s">
        <v>966</v>
      </c>
      <c r="AF534" s="284">
        <v>128</v>
      </c>
      <c r="AG534" s="284" t="s">
        <v>918</v>
      </c>
    </row>
    <row r="535" spans="2:33">
      <c r="B535" s="18">
        <v>76</v>
      </c>
      <c r="C535" s="46" t="str">
        <f t="shared" si="20"/>
        <v>Samsung Galaxy A32 -- BLACK</v>
      </c>
      <c r="D535" s="299">
        <f>'IMEI Record'!L375</f>
        <v>110.22</v>
      </c>
      <c r="E535" s="25">
        <v>1</v>
      </c>
      <c r="F535" s="18">
        <f t="shared" si="19"/>
        <v>110.22</v>
      </c>
      <c r="AD535" s="275" t="s">
        <v>977</v>
      </c>
      <c r="AE535" s="284" t="s">
        <v>967</v>
      </c>
      <c r="AF535" s="284" t="s">
        <v>957</v>
      </c>
      <c r="AG535" s="284" t="s">
        <v>918</v>
      </c>
    </row>
    <row r="536" spans="2:33">
      <c r="B536" s="18">
        <v>77</v>
      </c>
      <c r="C536" s="46" t="str">
        <f t="shared" si="20"/>
        <v>Samsung Galaxy Note 9 128 BLUE</v>
      </c>
      <c r="D536" s="299">
        <f>'IMEI Record'!L376</f>
        <v>128.59</v>
      </c>
      <c r="E536" s="25">
        <v>1</v>
      </c>
      <c r="F536" s="18">
        <f t="shared" si="19"/>
        <v>128.59</v>
      </c>
      <c r="AD536" s="275" t="s">
        <v>977</v>
      </c>
      <c r="AE536" s="284" t="s">
        <v>968</v>
      </c>
      <c r="AF536" s="284">
        <v>128</v>
      </c>
      <c r="AG536" s="284" t="s">
        <v>922</v>
      </c>
    </row>
    <row r="537" spans="2:33">
      <c r="B537" s="18">
        <v>78</v>
      </c>
      <c r="C537" s="46" t="str">
        <f t="shared" si="20"/>
        <v>Samsung Galaxy S20FE 128 BLUE</v>
      </c>
      <c r="D537" s="299">
        <f>'IMEI Record'!L377</f>
        <v>293.92</v>
      </c>
      <c r="E537" s="25">
        <v>1</v>
      </c>
      <c r="F537" s="18">
        <f t="shared" si="19"/>
        <v>293.92</v>
      </c>
      <c r="AD537" s="275" t="s">
        <v>977</v>
      </c>
      <c r="AE537" s="284" t="s">
        <v>969</v>
      </c>
      <c r="AF537" s="284">
        <v>128</v>
      </c>
      <c r="AG537" s="284" t="s">
        <v>922</v>
      </c>
    </row>
    <row r="538" spans="2:33">
      <c r="B538" s="18">
        <v>79</v>
      </c>
      <c r="C538" s="46" t="str">
        <f t="shared" si="20"/>
        <v>Samsung Galaxy S8 64 BLACK</v>
      </c>
      <c r="D538" s="299">
        <f>'IMEI Record'!L378</f>
        <v>91.85</v>
      </c>
      <c r="E538" s="25">
        <v>1</v>
      </c>
      <c r="F538" s="18">
        <f t="shared" si="19"/>
        <v>91.85</v>
      </c>
      <c r="AD538" s="275" t="s">
        <v>977</v>
      </c>
      <c r="AE538" s="284" t="s">
        <v>970</v>
      </c>
      <c r="AF538" s="284">
        <v>64</v>
      </c>
      <c r="AG538" s="284" t="s">
        <v>918</v>
      </c>
    </row>
    <row r="539" spans="2:33">
      <c r="B539" s="18">
        <v>80</v>
      </c>
      <c r="C539" s="46" t="str">
        <f t="shared" si="20"/>
        <v>Samsung Galaxy S8 64 BLUE</v>
      </c>
      <c r="D539" s="299">
        <f>'IMEI Record'!L379</f>
        <v>91.85</v>
      </c>
      <c r="E539" s="25">
        <v>1</v>
      </c>
      <c r="F539" s="18">
        <f t="shared" si="19"/>
        <v>91.85</v>
      </c>
      <c r="AD539" s="275" t="s">
        <v>977</v>
      </c>
      <c r="AE539" s="284" t="s">
        <v>970</v>
      </c>
      <c r="AF539" s="284">
        <v>64</v>
      </c>
      <c r="AG539" s="284" t="s">
        <v>922</v>
      </c>
    </row>
    <row r="540" spans="2:33">
      <c r="B540" s="17"/>
      <c r="C540" s="17"/>
      <c r="D540" s="17"/>
      <c r="E540" s="17"/>
      <c r="F540" s="18">
        <f t="shared" si="19"/>
        <v>0</v>
      </c>
    </row>
    <row r="541" spans="2:33" ht="15" thickBot="1">
      <c r="B541" s="297"/>
      <c r="C541" s="297"/>
      <c r="D541" s="297"/>
      <c r="E541" s="297"/>
      <c r="F541" s="297"/>
    </row>
    <row r="542" spans="2:33" ht="15" thickBot="1">
      <c r="B542" s="606" t="s">
        <v>11</v>
      </c>
      <c r="C542" s="607"/>
      <c r="D542" s="593"/>
      <c r="E542" s="594"/>
      <c r="F542" s="9">
        <f>SUM(F460:F541)</f>
        <v>129563.61000000007</v>
      </c>
    </row>
    <row r="546" spans="2:6" ht="15" thickBot="1"/>
    <row r="547" spans="2:6" ht="26.4" thickBot="1">
      <c r="B547" s="603" t="s">
        <v>0</v>
      </c>
      <c r="C547" s="604"/>
      <c r="D547" s="604"/>
      <c r="E547" s="604"/>
      <c r="F547" s="605"/>
    </row>
    <row r="549" spans="2:6" ht="15.6">
      <c r="B549" s="2" t="s">
        <v>1</v>
      </c>
      <c r="C549" s="1" t="s">
        <v>995</v>
      </c>
    </row>
    <row r="551" spans="2:6" ht="15.6">
      <c r="B551" s="2" t="s">
        <v>2</v>
      </c>
      <c r="C551" s="34" t="s">
        <v>634</v>
      </c>
      <c r="D551" s="2" t="s">
        <v>5</v>
      </c>
      <c r="E551" s="21">
        <v>45454</v>
      </c>
    </row>
    <row r="552" spans="2:6" ht="15.6">
      <c r="B552" s="2" t="s">
        <v>3</v>
      </c>
    </row>
    <row r="553" spans="2:6" ht="15.6">
      <c r="B553" s="2" t="s">
        <v>4</v>
      </c>
    </row>
    <row r="554" spans="2:6" ht="15" thickBot="1"/>
    <row r="555" spans="2:6" ht="16.2" thickBot="1">
      <c r="B555" s="10" t="s">
        <v>6</v>
      </c>
      <c r="C555" s="10" t="s">
        <v>7</v>
      </c>
      <c r="D555" s="4" t="s">
        <v>8</v>
      </c>
      <c r="E555" s="10" t="s">
        <v>9</v>
      </c>
      <c r="F555" s="5" t="s">
        <v>10</v>
      </c>
    </row>
    <row r="556" spans="2:6" ht="15" thickBot="1">
      <c r="B556" s="6"/>
      <c r="F556" s="7"/>
    </row>
    <row r="557" spans="2:6" ht="15" thickBot="1">
      <c r="B557" s="37">
        <v>1</v>
      </c>
      <c r="C557" s="35" t="s">
        <v>996</v>
      </c>
      <c r="D557" s="23">
        <v>180000</v>
      </c>
      <c r="E557" s="23">
        <v>1</v>
      </c>
      <c r="F557" s="37">
        <f>D557*E557</f>
        <v>180000</v>
      </c>
    </row>
    <row r="558" spans="2:6" ht="15" thickBot="1">
      <c r="B558" s="37">
        <v>2</v>
      </c>
      <c r="C558" s="35" t="s">
        <v>997</v>
      </c>
      <c r="D558" s="24">
        <v>180000</v>
      </c>
      <c r="E558" s="23">
        <v>1</v>
      </c>
      <c r="F558" s="37">
        <f t="shared" ref="F558:F561" si="21">D558*E558</f>
        <v>180000</v>
      </c>
    </row>
    <row r="559" spans="2:6" ht="15" thickBot="1">
      <c r="B559" s="37">
        <v>3</v>
      </c>
      <c r="C559" s="35" t="s">
        <v>998</v>
      </c>
      <c r="D559" s="24">
        <v>180000</v>
      </c>
      <c r="E559" s="24">
        <v>1</v>
      </c>
      <c r="F559" s="37">
        <f t="shared" si="21"/>
        <v>180000</v>
      </c>
    </row>
    <row r="560" spans="2:6" ht="15" thickBot="1">
      <c r="B560" s="37"/>
      <c r="C560" s="35"/>
      <c r="D560" s="24"/>
      <c r="E560" s="24"/>
      <c r="F560" s="37">
        <f t="shared" si="21"/>
        <v>0</v>
      </c>
    </row>
    <row r="561" spans="2:7" ht="15" thickBot="1">
      <c r="B561" s="8"/>
      <c r="C561" s="8"/>
      <c r="D561" s="8"/>
      <c r="E561" s="8"/>
      <c r="F561" s="37">
        <f t="shared" si="21"/>
        <v>0</v>
      </c>
    </row>
    <row r="562" spans="2:7" ht="15" thickBot="1">
      <c r="B562" s="8"/>
      <c r="C562" s="8"/>
      <c r="D562" s="8"/>
      <c r="E562" s="8"/>
      <c r="F562" s="8"/>
    </row>
    <row r="563" spans="2:7" ht="15" thickBot="1">
      <c r="B563" s="606" t="s">
        <v>11</v>
      </c>
      <c r="C563" s="607"/>
      <c r="D563" s="593"/>
      <c r="E563" s="594"/>
      <c r="F563" s="9">
        <f>SUM(F557:F562)</f>
        <v>540000</v>
      </c>
      <c r="G563" s="211" t="s">
        <v>567</v>
      </c>
    </row>
    <row r="567" spans="2:7" ht="15" thickBot="1"/>
    <row r="568" spans="2:7" ht="26.4" thickBot="1">
      <c r="B568" s="603" t="s">
        <v>0</v>
      </c>
      <c r="C568" s="604"/>
      <c r="D568" s="604"/>
      <c r="E568" s="604"/>
      <c r="F568" s="605"/>
    </row>
    <row r="570" spans="2:7" ht="15.6">
      <c r="B570" s="2" t="s">
        <v>1</v>
      </c>
      <c r="C570" s="1" t="s">
        <v>1110</v>
      </c>
    </row>
    <row r="572" spans="2:7" ht="15.6">
      <c r="B572" s="2" t="s">
        <v>2</v>
      </c>
      <c r="C572" s="34" t="s">
        <v>180</v>
      </c>
      <c r="D572" s="2" t="s">
        <v>5</v>
      </c>
      <c r="E572" s="21">
        <v>45456</v>
      </c>
    </row>
    <row r="573" spans="2:7" ht="15.6">
      <c r="B573" s="2" t="s">
        <v>3</v>
      </c>
    </row>
    <row r="574" spans="2:7" ht="15.6">
      <c r="B574" s="2" t="s">
        <v>4</v>
      </c>
    </row>
    <row r="575" spans="2:7" ht="15" thickBot="1"/>
    <row r="576" spans="2:7" ht="16.2" thickBot="1">
      <c r="B576" s="10" t="s">
        <v>6</v>
      </c>
      <c r="C576" s="10" t="s">
        <v>7</v>
      </c>
      <c r="D576" s="4" t="s">
        <v>8</v>
      </c>
      <c r="E576" s="10" t="s">
        <v>9</v>
      </c>
      <c r="F576" s="5" t="s">
        <v>10</v>
      </c>
    </row>
    <row r="577" spans="2:6">
      <c r="B577" s="6"/>
      <c r="F577" s="7"/>
    </row>
    <row r="578" spans="2:6">
      <c r="B578" s="18">
        <v>1</v>
      </c>
      <c r="C578" s="311" t="s">
        <v>1070</v>
      </c>
      <c r="D578" s="299">
        <f>550*3.674+45.26</f>
        <v>2065.96</v>
      </c>
      <c r="E578" s="25">
        <v>1</v>
      </c>
      <c r="F578" s="18">
        <f>D578*E578</f>
        <v>2065.96</v>
      </c>
    </row>
    <row r="579" spans="2:6">
      <c r="B579" s="18">
        <v>2</v>
      </c>
      <c r="C579" s="311" t="s">
        <v>1071</v>
      </c>
      <c r="D579" s="299">
        <f>550*3.674+45.26</f>
        <v>2065.96</v>
      </c>
      <c r="E579" s="25">
        <v>1</v>
      </c>
      <c r="F579" s="18">
        <f t="shared" ref="F579:F635" si="22">D579*E579</f>
        <v>2065.96</v>
      </c>
    </row>
    <row r="580" spans="2:6">
      <c r="B580" s="18">
        <v>3</v>
      </c>
      <c r="C580" s="311" t="s">
        <v>1072</v>
      </c>
      <c r="D580" s="299">
        <f>550*3.674+45.26</f>
        <v>2065.96</v>
      </c>
      <c r="E580" s="25">
        <v>1</v>
      </c>
      <c r="F580" s="18">
        <f t="shared" si="22"/>
        <v>2065.96</v>
      </c>
    </row>
    <row r="581" spans="2:6">
      <c r="B581" s="18">
        <v>4</v>
      </c>
      <c r="C581" s="311" t="s">
        <v>1072</v>
      </c>
      <c r="D581" s="299">
        <f>550*3.674+45.26</f>
        <v>2065.96</v>
      </c>
      <c r="E581" s="25">
        <v>1</v>
      </c>
      <c r="F581" s="18">
        <f t="shared" si="22"/>
        <v>2065.96</v>
      </c>
    </row>
    <row r="582" spans="2:6">
      <c r="B582" s="18"/>
      <c r="C582" s="46"/>
      <c r="D582" s="299"/>
      <c r="E582" s="25"/>
      <c r="F582" s="18"/>
    </row>
    <row r="583" spans="2:6">
      <c r="B583" s="18">
        <v>5</v>
      </c>
      <c r="C583" s="311" t="s">
        <v>1073</v>
      </c>
      <c r="D583" s="299">
        <f>241*3.674+45.26</f>
        <v>930.69399999999996</v>
      </c>
      <c r="E583" s="25">
        <v>1</v>
      </c>
      <c r="F583" s="18">
        <f t="shared" si="22"/>
        <v>930.69399999999996</v>
      </c>
    </row>
    <row r="584" spans="2:6">
      <c r="B584" s="18">
        <v>6</v>
      </c>
      <c r="C584" s="311" t="s">
        <v>1074</v>
      </c>
      <c r="D584" s="299">
        <f>410*3.674+45.26</f>
        <v>1551.6</v>
      </c>
      <c r="E584" s="25">
        <v>1</v>
      </c>
      <c r="F584" s="18">
        <f t="shared" si="22"/>
        <v>1551.6</v>
      </c>
    </row>
    <row r="585" spans="2:6">
      <c r="B585" s="18">
        <v>7</v>
      </c>
      <c r="C585" s="311" t="s">
        <v>1075</v>
      </c>
      <c r="D585" s="299">
        <f>410*3.674+45.26</f>
        <v>1551.6</v>
      </c>
      <c r="E585" s="25">
        <v>1</v>
      </c>
      <c r="F585" s="18">
        <f t="shared" si="22"/>
        <v>1551.6</v>
      </c>
    </row>
    <row r="586" spans="2:6">
      <c r="B586" s="18">
        <v>8</v>
      </c>
      <c r="C586" s="311" t="s">
        <v>1076</v>
      </c>
      <c r="D586" s="299">
        <f>436*3.674+45.26</f>
        <v>1647.124</v>
      </c>
      <c r="E586" s="25">
        <v>1</v>
      </c>
      <c r="F586" s="18">
        <f t="shared" si="22"/>
        <v>1647.124</v>
      </c>
    </row>
    <row r="587" spans="2:6">
      <c r="B587" s="18">
        <v>9</v>
      </c>
      <c r="C587" s="311" t="s">
        <v>1076</v>
      </c>
      <c r="D587" s="299">
        <f>436*3.674+45.26</f>
        <v>1647.124</v>
      </c>
      <c r="E587" s="25">
        <v>1</v>
      </c>
      <c r="F587" s="18">
        <f t="shared" si="22"/>
        <v>1647.124</v>
      </c>
    </row>
    <row r="588" spans="2:6">
      <c r="B588" s="18">
        <v>10</v>
      </c>
      <c r="C588" s="311" t="s">
        <v>1077</v>
      </c>
      <c r="D588" s="299">
        <f>440*3.674+45.26</f>
        <v>1661.82</v>
      </c>
      <c r="E588" s="25">
        <v>1</v>
      </c>
      <c r="F588" s="18">
        <f t="shared" si="22"/>
        <v>1661.82</v>
      </c>
    </row>
    <row r="589" spans="2:6">
      <c r="B589" s="18"/>
      <c r="C589" s="46"/>
      <c r="D589" s="299"/>
      <c r="E589" s="25"/>
      <c r="F589" s="18"/>
    </row>
    <row r="590" spans="2:6">
      <c r="B590" s="18">
        <v>11</v>
      </c>
      <c r="C590" s="315" t="s">
        <v>1075</v>
      </c>
      <c r="D590" s="299">
        <f>420*3.674+45.26</f>
        <v>1588.34</v>
      </c>
      <c r="E590" s="25">
        <v>1</v>
      </c>
      <c r="F590" s="18">
        <f t="shared" si="22"/>
        <v>1588.34</v>
      </c>
    </row>
    <row r="591" spans="2:6">
      <c r="B591" s="18">
        <v>12</v>
      </c>
      <c r="C591" s="315" t="s">
        <v>1078</v>
      </c>
      <c r="D591" s="299">
        <f>416*3.674+45.26</f>
        <v>1573.644</v>
      </c>
      <c r="E591" s="25">
        <v>1</v>
      </c>
      <c r="F591" s="18">
        <f t="shared" si="22"/>
        <v>1573.644</v>
      </c>
    </row>
    <row r="592" spans="2:6">
      <c r="B592" s="18">
        <v>13</v>
      </c>
      <c r="C592" s="315" t="s">
        <v>1079</v>
      </c>
      <c r="D592" s="299">
        <f>430*3.674+45.26</f>
        <v>1625.08</v>
      </c>
      <c r="E592" s="25">
        <v>1</v>
      </c>
      <c r="F592" s="18">
        <f t="shared" si="22"/>
        <v>1625.08</v>
      </c>
    </row>
    <row r="593" spans="2:6">
      <c r="B593" s="18">
        <v>14</v>
      </c>
      <c r="C593" s="315" t="s">
        <v>1079</v>
      </c>
      <c r="D593" s="299">
        <f>430*3.674+45.26</f>
        <v>1625.08</v>
      </c>
      <c r="E593" s="25">
        <v>1</v>
      </c>
      <c r="F593" s="18">
        <f t="shared" si="22"/>
        <v>1625.08</v>
      </c>
    </row>
    <row r="594" spans="2:6">
      <c r="B594" s="18">
        <v>15</v>
      </c>
      <c r="C594" s="315" t="s">
        <v>1080</v>
      </c>
      <c r="D594" s="299">
        <f>417*3.674+45.26</f>
        <v>1577.318</v>
      </c>
      <c r="E594" s="25">
        <v>1</v>
      </c>
      <c r="F594" s="18">
        <f t="shared" si="22"/>
        <v>1577.318</v>
      </c>
    </row>
    <row r="595" spans="2:6">
      <c r="B595" s="18">
        <v>16</v>
      </c>
      <c r="C595" s="315" t="s">
        <v>1081</v>
      </c>
      <c r="D595" s="299">
        <f>417*3.674+45.26</f>
        <v>1577.318</v>
      </c>
      <c r="E595" s="25">
        <v>1</v>
      </c>
      <c r="F595" s="18">
        <f t="shared" si="22"/>
        <v>1577.318</v>
      </c>
    </row>
    <row r="596" spans="2:6">
      <c r="B596" s="18">
        <v>17</v>
      </c>
      <c r="C596" s="315" t="s">
        <v>1079</v>
      </c>
      <c r="D596" s="299">
        <f>436*3.674+45.26</f>
        <v>1647.124</v>
      </c>
      <c r="E596" s="25">
        <v>1</v>
      </c>
      <c r="F596" s="18">
        <f t="shared" si="22"/>
        <v>1647.124</v>
      </c>
    </row>
    <row r="597" spans="2:6">
      <c r="B597" s="18">
        <v>18</v>
      </c>
      <c r="C597" s="315" t="s">
        <v>1076</v>
      </c>
      <c r="D597" s="299">
        <f>436*3.674+45.26</f>
        <v>1647.124</v>
      </c>
      <c r="E597" s="25">
        <v>1</v>
      </c>
      <c r="F597" s="18">
        <f t="shared" si="22"/>
        <v>1647.124</v>
      </c>
    </row>
    <row r="598" spans="2:6">
      <c r="B598" s="18">
        <v>19</v>
      </c>
      <c r="C598" s="315" t="s">
        <v>1082</v>
      </c>
      <c r="D598" s="299">
        <f>240*3.674+45.26</f>
        <v>927.02</v>
      </c>
      <c r="E598" s="25">
        <v>1</v>
      </c>
      <c r="F598" s="18">
        <f t="shared" si="22"/>
        <v>927.02</v>
      </c>
    </row>
    <row r="599" spans="2:6">
      <c r="B599" s="18">
        <v>20</v>
      </c>
      <c r="C599" s="315" t="s">
        <v>1083</v>
      </c>
      <c r="D599" s="299">
        <f>240*3.674+45.26</f>
        <v>927.02</v>
      </c>
      <c r="E599" s="25">
        <v>1</v>
      </c>
      <c r="F599" s="18">
        <f t="shared" si="22"/>
        <v>927.02</v>
      </c>
    </row>
    <row r="600" spans="2:6">
      <c r="B600" s="18">
        <v>21</v>
      </c>
      <c r="C600" s="315" t="s">
        <v>1082</v>
      </c>
      <c r="D600" s="299">
        <f>240*3.674+45.26</f>
        <v>927.02</v>
      </c>
      <c r="E600" s="25">
        <v>1</v>
      </c>
      <c r="F600" s="18">
        <f t="shared" si="22"/>
        <v>927.02</v>
      </c>
    </row>
    <row r="601" spans="2:6">
      <c r="B601" s="18">
        <v>22</v>
      </c>
      <c r="C601" s="315" t="s">
        <v>1084</v>
      </c>
      <c r="D601" s="299">
        <f>436*3.674+45.26</f>
        <v>1647.124</v>
      </c>
      <c r="E601" s="25">
        <v>1</v>
      </c>
      <c r="F601" s="18">
        <f t="shared" si="22"/>
        <v>1647.124</v>
      </c>
    </row>
    <row r="602" spans="2:6">
      <c r="B602" s="18">
        <v>23</v>
      </c>
      <c r="C602" s="315" t="s">
        <v>1085</v>
      </c>
      <c r="D602" s="299">
        <f>240*3.674+45.26</f>
        <v>927.02</v>
      </c>
      <c r="E602" s="25">
        <v>1</v>
      </c>
      <c r="F602" s="18">
        <f t="shared" si="22"/>
        <v>927.02</v>
      </c>
    </row>
    <row r="603" spans="2:6">
      <c r="B603" s="18">
        <v>24</v>
      </c>
      <c r="C603" s="315" t="s">
        <v>1086</v>
      </c>
      <c r="D603" s="299">
        <f t="shared" ref="D603:D612" si="23">247*3.674+45.26</f>
        <v>952.73799999999994</v>
      </c>
      <c r="E603" s="25">
        <v>1</v>
      </c>
      <c r="F603" s="18">
        <f t="shared" si="22"/>
        <v>952.73799999999994</v>
      </c>
    </row>
    <row r="604" spans="2:6">
      <c r="B604" s="18">
        <v>25</v>
      </c>
      <c r="C604" s="315" t="s">
        <v>1087</v>
      </c>
      <c r="D604" s="299">
        <f t="shared" si="23"/>
        <v>952.73799999999994</v>
      </c>
      <c r="E604" s="25">
        <v>1</v>
      </c>
      <c r="F604" s="18">
        <f t="shared" si="22"/>
        <v>952.73799999999994</v>
      </c>
    </row>
    <row r="605" spans="2:6">
      <c r="B605" s="18">
        <v>26</v>
      </c>
      <c r="C605" s="315" t="s">
        <v>1087</v>
      </c>
      <c r="D605" s="299">
        <f t="shared" si="23"/>
        <v>952.73799999999994</v>
      </c>
      <c r="E605" s="25">
        <v>1</v>
      </c>
      <c r="F605" s="18">
        <f t="shared" si="22"/>
        <v>952.73799999999994</v>
      </c>
    </row>
    <row r="606" spans="2:6">
      <c r="B606" s="18">
        <v>27</v>
      </c>
      <c r="C606" s="315" t="s">
        <v>1087</v>
      </c>
      <c r="D606" s="299">
        <f t="shared" si="23"/>
        <v>952.73799999999994</v>
      </c>
      <c r="E606" s="25">
        <v>1</v>
      </c>
      <c r="F606" s="18">
        <f t="shared" si="22"/>
        <v>952.73799999999994</v>
      </c>
    </row>
    <row r="607" spans="2:6">
      <c r="B607" s="18">
        <v>28</v>
      </c>
      <c r="C607" s="315" t="s">
        <v>1087</v>
      </c>
      <c r="D607" s="299">
        <f t="shared" si="23"/>
        <v>952.73799999999994</v>
      </c>
      <c r="E607" s="25">
        <v>1</v>
      </c>
      <c r="F607" s="18">
        <f t="shared" si="22"/>
        <v>952.73799999999994</v>
      </c>
    </row>
    <row r="608" spans="2:6">
      <c r="B608" s="18">
        <v>29</v>
      </c>
      <c r="C608" s="315" t="s">
        <v>1087</v>
      </c>
      <c r="D608" s="299">
        <f t="shared" si="23"/>
        <v>952.73799999999994</v>
      </c>
      <c r="E608" s="25">
        <v>1</v>
      </c>
      <c r="F608" s="18">
        <f t="shared" si="22"/>
        <v>952.73799999999994</v>
      </c>
    </row>
    <row r="609" spans="2:6">
      <c r="B609" s="18">
        <v>30</v>
      </c>
      <c r="C609" s="315" t="s">
        <v>1087</v>
      </c>
      <c r="D609" s="299">
        <f t="shared" si="23"/>
        <v>952.73799999999994</v>
      </c>
      <c r="E609" s="25">
        <v>1</v>
      </c>
      <c r="F609" s="18">
        <f t="shared" si="22"/>
        <v>952.73799999999994</v>
      </c>
    </row>
    <row r="610" spans="2:6">
      <c r="B610" s="18">
        <v>31</v>
      </c>
      <c r="C610" s="315" t="s">
        <v>1087</v>
      </c>
      <c r="D610" s="299">
        <f t="shared" si="23"/>
        <v>952.73799999999994</v>
      </c>
      <c r="E610" s="25">
        <v>1</v>
      </c>
      <c r="F610" s="18">
        <f t="shared" si="22"/>
        <v>952.73799999999994</v>
      </c>
    </row>
    <row r="611" spans="2:6">
      <c r="B611" s="18">
        <v>32</v>
      </c>
      <c r="C611" s="315" t="s">
        <v>1087</v>
      </c>
      <c r="D611" s="299">
        <f t="shared" si="23"/>
        <v>952.73799999999994</v>
      </c>
      <c r="E611" s="25">
        <v>1</v>
      </c>
      <c r="F611" s="18">
        <f t="shared" si="22"/>
        <v>952.73799999999994</v>
      </c>
    </row>
    <row r="612" spans="2:6">
      <c r="B612" s="18">
        <v>33</v>
      </c>
      <c r="C612" s="315" t="s">
        <v>1087</v>
      </c>
      <c r="D612" s="299">
        <f t="shared" si="23"/>
        <v>952.73799999999994</v>
      </c>
      <c r="E612" s="25">
        <v>1</v>
      </c>
      <c r="F612" s="18">
        <f t="shared" si="22"/>
        <v>952.73799999999994</v>
      </c>
    </row>
    <row r="613" spans="2:6">
      <c r="B613" s="18">
        <v>34</v>
      </c>
      <c r="C613" s="315" t="s">
        <v>1088</v>
      </c>
      <c r="D613" s="299">
        <f t="shared" ref="D613:D622" si="24">250*3.674+45.26</f>
        <v>963.76</v>
      </c>
      <c r="E613" s="25">
        <v>1</v>
      </c>
      <c r="F613" s="18">
        <f t="shared" si="22"/>
        <v>963.76</v>
      </c>
    </row>
    <row r="614" spans="2:6">
      <c r="B614" s="18">
        <v>35</v>
      </c>
      <c r="C614" s="315" t="s">
        <v>1088</v>
      </c>
      <c r="D614" s="299">
        <f t="shared" si="24"/>
        <v>963.76</v>
      </c>
      <c r="E614" s="25">
        <v>1</v>
      </c>
      <c r="F614" s="18">
        <f t="shared" si="22"/>
        <v>963.76</v>
      </c>
    </row>
    <row r="615" spans="2:6">
      <c r="B615" s="18">
        <v>36</v>
      </c>
      <c r="C615" s="315" t="s">
        <v>1088</v>
      </c>
      <c r="D615" s="299">
        <f t="shared" si="24"/>
        <v>963.76</v>
      </c>
      <c r="E615" s="25">
        <v>1</v>
      </c>
      <c r="F615" s="18">
        <f t="shared" si="22"/>
        <v>963.76</v>
      </c>
    </row>
    <row r="616" spans="2:6">
      <c r="B616" s="18">
        <v>37</v>
      </c>
      <c r="C616" s="315" t="s">
        <v>1088</v>
      </c>
      <c r="D616" s="299">
        <f t="shared" si="24"/>
        <v>963.76</v>
      </c>
      <c r="E616" s="25">
        <v>1</v>
      </c>
      <c r="F616" s="18">
        <f t="shared" si="22"/>
        <v>963.76</v>
      </c>
    </row>
    <row r="617" spans="2:6">
      <c r="B617" s="18">
        <v>38</v>
      </c>
      <c r="C617" s="315" t="s">
        <v>1088</v>
      </c>
      <c r="D617" s="299">
        <f t="shared" si="24"/>
        <v>963.76</v>
      </c>
      <c r="E617" s="25">
        <v>1</v>
      </c>
      <c r="F617" s="18">
        <f t="shared" si="22"/>
        <v>963.76</v>
      </c>
    </row>
    <row r="618" spans="2:6">
      <c r="B618" s="18">
        <v>39</v>
      </c>
      <c r="C618" s="315" t="s">
        <v>1088</v>
      </c>
      <c r="D618" s="299">
        <f t="shared" si="24"/>
        <v>963.76</v>
      </c>
      <c r="E618" s="25">
        <v>1</v>
      </c>
      <c r="F618" s="18">
        <f t="shared" si="22"/>
        <v>963.76</v>
      </c>
    </row>
    <row r="619" spans="2:6">
      <c r="B619" s="18">
        <v>40</v>
      </c>
      <c r="C619" s="315" t="s">
        <v>1088</v>
      </c>
      <c r="D619" s="299">
        <f t="shared" si="24"/>
        <v>963.76</v>
      </c>
      <c r="E619" s="25">
        <v>1</v>
      </c>
      <c r="F619" s="18">
        <f t="shared" si="22"/>
        <v>963.76</v>
      </c>
    </row>
    <row r="620" spans="2:6">
      <c r="B620" s="18">
        <v>41</v>
      </c>
      <c r="C620" s="315" t="s">
        <v>1088</v>
      </c>
      <c r="D620" s="299">
        <f t="shared" si="24"/>
        <v>963.76</v>
      </c>
      <c r="E620" s="25">
        <v>1</v>
      </c>
      <c r="F620" s="18">
        <f t="shared" si="22"/>
        <v>963.76</v>
      </c>
    </row>
    <row r="621" spans="2:6">
      <c r="B621" s="18">
        <v>42</v>
      </c>
      <c r="C621" s="315" t="s">
        <v>1088</v>
      </c>
      <c r="D621" s="299">
        <f t="shared" si="24"/>
        <v>963.76</v>
      </c>
      <c r="E621" s="25">
        <v>1</v>
      </c>
      <c r="F621" s="18">
        <f t="shared" si="22"/>
        <v>963.76</v>
      </c>
    </row>
    <row r="622" spans="2:6">
      <c r="B622" s="18">
        <v>43</v>
      </c>
      <c r="C622" s="315" t="s">
        <v>1088</v>
      </c>
      <c r="D622" s="299">
        <f t="shared" si="24"/>
        <v>963.76</v>
      </c>
      <c r="E622" s="25">
        <v>1</v>
      </c>
      <c r="F622" s="18">
        <f t="shared" si="22"/>
        <v>963.76</v>
      </c>
    </row>
    <row r="623" spans="2:6">
      <c r="B623" s="18">
        <v>44</v>
      </c>
      <c r="C623" s="315" t="s">
        <v>1087</v>
      </c>
      <c r="D623" s="299">
        <f>247*3.674+45.5</f>
        <v>952.97799999999995</v>
      </c>
      <c r="E623" s="25">
        <v>1</v>
      </c>
      <c r="F623" s="18">
        <f t="shared" si="22"/>
        <v>952.97799999999995</v>
      </c>
    </row>
    <row r="624" spans="2:6">
      <c r="B624" s="18"/>
      <c r="C624" s="1"/>
      <c r="D624" s="299"/>
      <c r="E624" s="25"/>
      <c r="F624" s="18"/>
    </row>
    <row r="625" spans="2:6">
      <c r="B625" s="18"/>
      <c r="C625" s="1"/>
      <c r="D625" s="299"/>
      <c r="E625" s="25"/>
      <c r="F625" s="18"/>
    </row>
    <row r="626" spans="2:6">
      <c r="B626" s="18"/>
      <c r="C626" s="1"/>
      <c r="D626" s="299"/>
      <c r="E626" s="25"/>
      <c r="F626" s="18"/>
    </row>
    <row r="627" spans="2:6">
      <c r="B627" s="18"/>
      <c r="C627" s="73" t="s">
        <v>1271</v>
      </c>
      <c r="D627" s="299"/>
      <c r="E627" s="25"/>
      <c r="F627" s="18"/>
    </row>
    <row r="628" spans="2:6">
      <c r="B628" s="18"/>
      <c r="C628" s="75" t="s">
        <v>1272</v>
      </c>
      <c r="D628" s="299"/>
      <c r="E628" s="25"/>
      <c r="F628" s="18"/>
    </row>
    <row r="629" spans="2:6">
      <c r="B629" s="18"/>
      <c r="C629" s="73" t="s">
        <v>1273</v>
      </c>
      <c r="D629" s="299"/>
      <c r="E629" s="25"/>
      <c r="F629" s="18"/>
    </row>
    <row r="630" spans="2:6">
      <c r="B630" s="18"/>
      <c r="C630" s="75" t="s">
        <v>1274</v>
      </c>
      <c r="D630" s="299"/>
      <c r="E630" s="25"/>
      <c r="F630" s="18"/>
    </row>
    <row r="631" spans="2:6">
      <c r="B631" s="18"/>
      <c r="C631" s="73" t="s">
        <v>1275</v>
      </c>
      <c r="D631" s="299"/>
      <c r="E631" s="25"/>
      <c r="F631" s="18"/>
    </row>
    <row r="632" spans="2:6" ht="15" thickBot="1">
      <c r="B632" s="18"/>
      <c r="C632" s="74" t="s">
        <v>1276</v>
      </c>
      <c r="D632" s="299"/>
      <c r="E632" s="25"/>
      <c r="F632" s="18"/>
    </row>
    <row r="633" spans="2:6" ht="29.4" thickBot="1">
      <c r="B633" s="18"/>
      <c r="C633" s="76" t="s">
        <v>1277</v>
      </c>
      <c r="D633" s="299"/>
      <c r="E633" s="25"/>
      <c r="F633" s="18"/>
    </row>
    <row r="634" spans="2:6">
      <c r="B634" s="18"/>
      <c r="C634" s="1"/>
      <c r="D634" s="299"/>
      <c r="E634" s="25"/>
      <c r="F634" s="18"/>
    </row>
    <row r="635" spans="2:6">
      <c r="B635" s="17"/>
      <c r="C635" s="17"/>
      <c r="D635" s="17"/>
      <c r="E635" s="17"/>
      <c r="F635" s="18">
        <f t="shared" si="22"/>
        <v>0</v>
      </c>
    </row>
    <row r="636" spans="2:6" ht="15" thickBot="1">
      <c r="B636" s="297"/>
      <c r="C636" s="297"/>
      <c r="D636" s="297"/>
      <c r="E636" s="297"/>
      <c r="F636" s="297"/>
    </row>
    <row r="637" spans="2:6" ht="15" thickBot="1">
      <c r="B637" s="606" t="s">
        <v>11</v>
      </c>
      <c r="C637" s="607"/>
      <c r="D637" s="593"/>
      <c r="E637" s="594"/>
      <c r="F637" s="9">
        <f>SUM(F578:F636)</f>
        <v>55587.991999999998</v>
      </c>
    </row>
    <row r="641" spans="2:6" ht="15" thickBot="1"/>
    <row r="642" spans="2:6" ht="26.4" thickBot="1">
      <c r="B642" s="603" t="s">
        <v>0</v>
      </c>
      <c r="C642" s="604"/>
      <c r="D642" s="604"/>
      <c r="E642" s="604"/>
      <c r="F642" s="605"/>
    </row>
    <row r="644" spans="2:6" ht="15.6">
      <c r="B644" s="2" t="s">
        <v>1</v>
      </c>
      <c r="C644" s="1" t="s">
        <v>1112</v>
      </c>
    </row>
    <row r="646" spans="2:6" ht="15.6">
      <c r="B646" s="2" t="s">
        <v>2</v>
      </c>
      <c r="C646" s="34" t="s">
        <v>634</v>
      </c>
      <c r="D646" s="2" t="s">
        <v>5</v>
      </c>
      <c r="E646" s="21">
        <v>45457</v>
      </c>
    </row>
    <row r="647" spans="2:6" ht="15.6">
      <c r="B647" s="2" t="s">
        <v>3</v>
      </c>
    </row>
    <row r="648" spans="2:6" ht="15.6">
      <c r="B648" s="2" t="s">
        <v>4</v>
      </c>
    </row>
    <row r="649" spans="2:6" ht="15" thickBot="1"/>
    <row r="650" spans="2:6" ht="16.2" thickBot="1">
      <c r="B650" s="10" t="s">
        <v>6</v>
      </c>
      <c r="C650" s="10" t="s">
        <v>7</v>
      </c>
      <c r="D650" s="4" t="s">
        <v>8</v>
      </c>
      <c r="E650" s="10" t="s">
        <v>9</v>
      </c>
      <c r="F650" s="5" t="s">
        <v>10</v>
      </c>
    </row>
    <row r="651" spans="2:6" ht="15" thickBot="1">
      <c r="B651" s="6"/>
      <c r="F651" s="7"/>
    </row>
    <row r="652" spans="2:6" ht="15" thickBot="1">
      <c r="B652" s="37">
        <v>1</v>
      </c>
      <c r="C652" s="35" t="s">
        <v>1113</v>
      </c>
      <c r="D652" s="23">
        <v>175000</v>
      </c>
      <c r="E652" s="23">
        <v>4</v>
      </c>
      <c r="F652" s="37">
        <f>D652*E652</f>
        <v>700000</v>
      </c>
    </row>
    <row r="653" spans="2:6" ht="15" thickBot="1">
      <c r="B653" s="37">
        <v>2</v>
      </c>
      <c r="C653" s="35"/>
      <c r="D653" s="24"/>
      <c r="E653" s="23"/>
      <c r="F653" s="37">
        <f t="shared" ref="F653:F656" si="25">D653*E653</f>
        <v>0</v>
      </c>
    </row>
    <row r="654" spans="2:6" ht="15" thickBot="1">
      <c r="B654" s="37">
        <v>3</v>
      </c>
      <c r="C654" s="35"/>
      <c r="D654" s="24"/>
      <c r="E654" s="24"/>
      <c r="F654" s="37">
        <f t="shared" si="25"/>
        <v>0</v>
      </c>
    </row>
    <row r="655" spans="2:6" ht="15" thickBot="1">
      <c r="B655" s="37"/>
      <c r="C655" s="35"/>
      <c r="D655" s="24"/>
      <c r="E655" s="24"/>
      <c r="F655" s="37">
        <f t="shared" si="25"/>
        <v>0</v>
      </c>
    </row>
    <row r="656" spans="2:6" ht="15" thickBot="1">
      <c r="B656" s="8"/>
      <c r="C656" s="8"/>
      <c r="D656" s="8"/>
      <c r="E656" s="8"/>
      <c r="F656" s="37">
        <f t="shared" si="25"/>
        <v>0</v>
      </c>
    </row>
    <row r="657" spans="2:7" ht="15" thickBot="1">
      <c r="B657" s="8"/>
      <c r="C657" s="8"/>
      <c r="D657" s="8"/>
      <c r="E657" s="8"/>
      <c r="F657" s="8"/>
    </row>
    <row r="658" spans="2:7" ht="15" thickBot="1">
      <c r="B658" s="606" t="s">
        <v>11</v>
      </c>
      <c r="C658" s="607"/>
      <c r="D658" s="593"/>
      <c r="E658" s="594"/>
      <c r="F658" s="9">
        <f>SUM(F652:F657)</f>
        <v>700000</v>
      </c>
      <c r="G658" s="211" t="s">
        <v>567</v>
      </c>
    </row>
    <row r="661" spans="2:7" ht="15" thickBot="1"/>
    <row r="662" spans="2:7" ht="26.4" thickBot="1">
      <c r="B662" s="603" t="s">
        <v>0</v>
      </c>
      <c r="C662" s="604"/>
      <c r="D662" s="604"/>
      <c r="E662" s="604"/>
      <c r="F662" s="605"/>
    </row>
    <row r="664" spans="2:7" ht="15.6">
      <c r="B664" s="2" t="s">
        <v>1</v>
      </c>
      <c r="C664" s="1" t="s">
        <v>1145</v>
      </c>
    </row>
    <row r="666" spans="2:7" ht="15.6">
      <c r="B666" s="2" t="s">
        <v>2</v>
      </c>
      <c r="C666" s="34" t="s">
        <v>634</v>
      </c>
      <c r="D666" s="2" t="s">
        <v>5</v>
      </c>
      <c r="E666" s="21">
        <v>45463</v>
      </c>
    </row>
    <row r="667" spans="2:7" ht="15.6">
      <c r="B667" s="2" t="s">
        <v>3</v>
      </c>
    </row>
    <row r="668" spans="2:7" ht="15.6">
      <c r="B668" s="2" t="s">
        <v>4</v>
      </c>
    </row>
    <row r="669" spans="2:7" ht="15" thickBot="1"/>
    <row r="670" spans="2:7" ht="16.2" thickBot="1">
      <c r="B670" s="10" t="s">
        <v>6</v>
      </c>
      <c r="C670" s="10" t="s">
        <v>7</v>
      </c>
      <c r="D670" s="4" t="s">
        <v>8</v>
      </c>
      <c r="E670" s="10" t="s">
        <v>9</v>
      </c>
      <c r="F670" s="5" t="s">
        <v>10</v>
      </c>
    </row>
    <row r="671" spans="2:7" ht="15" thickBot="1">
      <c r="B671" s="6"/>
      <c r="F671" s="7"/>
    </row>
    <row r="672" spans="2:7" ht="15" thickBot="1">
      <c r="B672" s="37">
        <v>1</v>
      </c>
      <c r="C672" s="35" t="s">
        <v>1113</v>
      </c>
      <c r="D672" s="23">
        <v>175000</v>
      </c>
      <c r="E672" s="23">
        <v>1</v>
      </c>
      <c r="F672" s="37">
        <f>D672*E672</f>
        <v>175000</v>
      </c>
    </row>
    <row r="673" spans="2:7" ht="15" thickBot="1">
      <c r="B673" s="37"/>
      <c r="C673" s="35"/>
      <c r="D673" s="24"/>
      <c r="E673" s="23"/>
      <c r="F673" s="37">
        <f t="shared" ref="F673:F676" si="26">D673*E673</f>
        <v>0</v>
      </c>
    </row>
    <row r="674" spans="2:7" ht="15" thickBot="1">
      <c r="B674" s="37"/>
      <c r="C674" s="35"/>
      <c r="D674" s="24"/>
      <c r="E674" s="24"/>
      <c r="F674" s="37">
        <f t="shared" si="26"/>
        <v>0</v>
      </c>
    </row>
    <row r="675" spans="2:7" ht="15" thickBot="1">
      <c r="B675" s="37"/>
      <c r="C675" s="35"/>
      <c r="D675" s="24"/>
      <c r="E675" s="24"/>
      <c r="F675" s="37">
        <f t="shared" si="26"/>
        <v>0</v>
      </c>
    </row>
    <row r="676" spans="2:7" ht="15" thickBot="1">
      <c r="B676" s="8"/>
      <c r="C676" s="8"/>
      <c r="D676" s="8"/>
      <c r="E676" s="8"/>
      <c r="F676" s="37">
        <f t="shared" si="26"/>
        <v>0</v>
      </c>
    </row>
    <row r="677" spans="2:7" ht="15" thickBot="1">
      <c r="B677" s="8"/>
      <c r="C677" s="8"/>
      <c r="D677" s="8"/>
      <c r="E677" s="8"/>
      <c r="F677" s="8"/>
    </row>
    <row r="678" spans="2:7" ht="15" thickBot="1">
      <c r="B678" s="606" t="s">
        <v>11</v>
      </c>
      <c r="C678" s="607"/>
      <c r="D678" s="593"/>
      <c r="E678" s="594"/>
      <c r="F678" s="9">
        <f>SUM(F672:F677)</f>
        <v>175000</v>
      </c>
      <c r="G678" s="211" t="s">
        <v>567</v>
      </c>
    </row>
    <row r="680" spans="2:7" ht="15" thickBot="1"/>
    <row r="681" spans="2:7" ht="26.4" thickBot="1">
      <c r="B681" s="603" t="s">
        <v>0</v>
      </c>
      <c r="C681" s="604"/>
      <c r="D681" s="604"/>
      <c r="E681" s="604"/>
      <c r="F681" s="605"/>
    </row>
    <row r="683" spans="2:7" ht="15.6">
      <c r="B683" s="2" t="s">
        <v>1</v>
      </c>
      <c r="C683" s="1" t="s">
        <v>1217</v>
      </c>
    </row>
    <row r="685" spans="2:7" ht="15.6">
      <c r="B685" s="2" t="s">
        <v>2</v>
      </c>
      <c r="C685" s="34" t="s">
        <v>634</v>
      </c>
      <c r="D685" s="2" t="s">
        <v>5</v>
      </c>
      <c r="E685" s="21">
        <v>45469</v>
      </c>
    </row>
    <row r="686" spans="2:7" ht="15.6">
      <c r="B686" s="2" t="s">
        <v>3</v>
      </c>
    </row>
    <row r="687" spans="2:7" ht="15.6">
      <c r="B687" s="2" t="s">
        <v>4</v>
      </c>
    </row>
    <row r="688" spans="2:7" ht="15" thickBot="1"/>
    <row r="689" spans="2:7" ht="16.2" thickBot="1">
      <c r="B689" s="10" t="s">
        <v>6</v>
      </c>
      <c r="C689" s="10" t="s">
        <v>7</v>
      </c>
      <c r="D689" s="4" t="s">
        <v>8</v>
      </c>
      <c r="E689" s="10" t="s">
        <v>9</v>
      </c>
      <c r="F689" s="5" t="s">
        <v>10</v>
      </c>
    </row>
    <row r="690" spans="2:7" ht="15" thickBot="1">
      <c r="B690" s="6"/>
      <c r="F690" s="7"/>
    </row>
    <row r="691" spans="2:7" ht="15" thickBot="1">
      <c r="B691" s="37">
        <v>1</v>
      </c>
      <c r="C691" s="35" t="s">
        <v>1113</v>
      </c>
      <c r="D691" s="23">
        <v>175000</v>
      </c>
      <c r="E691" s="23">
        <v>2</v>
      </c>
      <c r="F691" s="37">
        <f>D691*E691</f>
        <v>350000</v>
      </c>
    </row>
    <row r="692" spans="2:7" ht="15" thickBot="1">
      <c r="B692" s="37"/>
      <c r="C692" s="35"/>
      <c r="D692" s="24"/>
      <c r="E692" s="23"/>
      <c r="F692" s="37">
        <f t="shared" ref="F692:F695" si="27">D692*E692</f>
        <v>0</v>
      </c>
    </row>
    <row r="693" spans="2:7" ht="15" thickBot="1">
      <c r="B693" s="37"/>
      <c r="C693" s="35"/>
      <c r="D693" s="24"/>
      <c r="E693" s="24"/>
      <c r="F693" s="37">
        <f t="shared" si="27"/>
        <v>0</v>
      </c>
    </row>
    <row r="694" spans="2:7" ht="15" thickBot="1">
      <c r="B694" s="37"/>
      <c r="C694" s="35"/>
      <c r="D694" s="24"/>
      <c r="E694" s="24"/>
      <c r="F694" s="37">
        <f t="shared" si="27"/>
        <v>0</v>
      </c>
    </row>
    <row r="695" spans="2:7" ht="15" thickBot="1">
      <c r="B695" s="8"/>
      <c r="C695" s="8"/>
      <c r="D695" s="8"/>
      <c r="E695" s="8"/>
      <c r="F695" s="37">
        <f t="shared" si="27"/>
        <v>0</v>
      </c>
    </row>
    <row r="696" spans="2:7" ht="15" thickBot="1">
      <c r="B696" s="8"/>
      <c r="C696" s="8"/>
      <c r="D696" s="8"/>
      <c r="E696" s="8"/>
      <c r="F696" s="8"/>
    </row>
    <row r="697" spans="2:7" ht="15" thickBot="1">
      <c r="B697" s="606" t="s">
        <v>11</v>
      </c>
      <c r="C697" s="607"/>
      <c r="D697" s="593"/>
      <c r="E697" s="594"/>
      <c r="F697" s="9">
        <f>SUM(F691:F696)</f>
        <v>350000</v>
      </c>
      <c r="G697" s="211" t="s">
        <v>567</v>
      </c>
    </row>
    <row r="700" spans="2:7" ht="15" thickBot="1"/>
    <row r="701" spans="2:7" ht="26.4" thickBot="1">
      <c r="B701" s="603" t="s">
        <v>0</v>
      </c>
      <c r="C701" s="604"/>
      <c r="D701" s="604"/>
      <c r="E701" s="604"/>
      <c r="F701" s="605"/>
    </row>
    <row r="703" spans="2:7" ht="15.6">
      <c r="B703" s="2" t="s">
        <v>1</v>
      </c>
      <c r="C703" s="1" t="s">
        <v>1217</v>
      </c>
    </row>
    <row r="705" spans="2:6" ht="15.6">
      <c r="B705" s="2" t="s">
        <v>2</v>
      </c>
      <c r="C705" s="34" t="s">
        <v>180</v>
      </c>
      <c r="D705" s="2" t="s">
        <v>5</v>
      </c>
      <c r="E705" s="21">
        <v>45472</v>
      </c>
    </row>
    <row r="706" spans="2:6" ht="15.6">
      <c r="B706" s="2" t="s">
        <v>3</v>
      </c>
    </row>
    <row r="707" spans="2:6" ht="15.6">
      <c r="B707" s="2" t="s">
        <v>4</v>
      </c>
    </row>
    <row r="708" spans="2:6" ht="15" thickBot="1"/>
    <row r="709" spans="2:6" ht="16.2" thickBot="1">
      <c r="B709" s="10" t="s">
        <v>6</v>
      </c>
      <c r="C709" s="10" t="s">
        <v>7</v>
      </c>
      <c r="D709" s="4" t="s">
        <v>8</v>
      </c>
      <c r="E709" s="10" t="s">
        <v>9</v>
      </c>
      <c r="F709" s="5" t="s">
        <v>10</v>
      </c>
    </row>
    <row r="710" spans="2:6">
      <c r="B710" s="6"/>
      <c r="F710" s="7"/>
    </row>
    <row r="711" spans="2:6">
      <c r="B711" s="18">
        <v>1</v>
      </c>
      <c r="C711" s="366" t="s">
        <v>316</v>
      </c>
      <c r="D711" s="299">
        <f>'IMEI Record'!J446</f>
        <v>1548.22</v>
      </c>
      <c r="E711" s="25">
        <v>1</v>
      </c>
      <c r="F711" s="18">
        <f>D711*E711</f>
        <v>1548.22</v>
      </c>
    </row>
    <row r="712" spans="2:6">
      <c r="B712" s="18">
        <v>2</v>
      </c>
      <c r="C712" s="366" t="s">
        <v>316</v>
      </c>
      <c r="D712" s="299">
        <f>'IMEI Record'!J447</f>
        <v>1548.22</v>
      </c>
      <c r="E712" s="25">
        <v>1</v>
      </c>
      <c r="F712" s="18">
        <f t="shared" ref="F712:F715" si="28">D712*E712</f>
        <v>1548.22</v>
      </c>
    </row>
    <row r="713" spans="2:6">
      <c r="B713" s="18">
        <v>3</v>
      </c>
      <c r="C713" s="366" t="s">
        <v>316</v>
      </c>
      <c r="D713" s="299">
        <f>'IMEI Record'!J448</f>
        <v>1548.22</v>
      </c>
      <c r="E713" s="25">
        <v>1</v>
      </c>
      <c r="F713" s="18">
        <f t="shared" si="28"/>
        <v>1548.22</v>
      </c>
    </row>
    <row r="714" spans="2:6">
      <c r="B714" s="18">
        <v>4</v>
      </c>
      <c r="C714" s="366" t="s">
        <v>316</v>
      </c>
      <c r="D714" s="299">
        <f>'IMEI Record'!J449</f>
        <v>1548.22</v>
      </c>
      <c r="E714" s="25">
        <v>1</v>
      </c>
      <c r="F714" s="18">
        <f t="shared" si="28"/>
        <v>1548.22</v>
      </c>
    </row>
    <row r="715" spans="2:6">
      <c r="B715" s="18">
        <v>5</v>
      </c>
      <c r="C715" s="366" t="s">
        <v>316</v>
      </c>
      <c r="D715" s="299">
        <f>'IMEI Record'!J450</f>
        <v>1684.1580000000001</v>
      </c>
      <c r="E715" s="25">
        <v>1</v>
      </c>
      <c r="F715" s="18">
        <f t="shared" si="28"/>
        <v>1684.1580000000001</v>
      </c>
    </row>
    <row r="716" spans="2:6">
      <c r="B716" s="18">
        <v>6</v>
      </c>
      <c r="C716" s="366" t="s">
        <v>1020</v>
      </c>
      <c r="D716" s="299">
        <f>'IMEI Record'!J451</f>
        <v>923.64</v>
      </c>
      <c r="E716" s="25">
        <v>1</v>
      </c>
      <c r="F716" s="18">
        <f t="shared" ref="F716:F722" si="29">D716*E716</f>
        <v>923.64</v>
      </c>
    </row>
    <row r="717" spans="2:6">
      <c r="B717" s="18">
        <v>7</v>
      </c>
      <c r="C717" s="366" t="s">
        <v>1020</v>
      </c>
      <c r="D717" s="299">
        <f>'IMEI Record'!J452</f>
        <v>923.64</v>
      </c>
      <c r="E717" s="25">
        <v>1</v>
      </c>
      <c r="F717" s="18">
        <f t="shared" si="29"/>
        <v>923.64</v>
      </c>
    </row>
    <row r="718" spans="2:6">
      <c r="B718" s="18">
        <v>8</v>
      </c>
      <c r="C718" s="366" t="s">
        <v>1020</v>
      </c>
      <c r="D718" s="299">
        <f>'IMEI Record'!J453</f>
        <v>923.64</v>
      </c>
      <c r="E718" s="25">
        <v>1</v>
      </c>
      <c r="F718" s="18">
        <f t="shared" si="29"/>
        <v>923.64</v>
      </c>
    </row>
    <row r="719" spans="2:6">
      <c r="B719" s="18">
        <v>9</v>
      </c>
      <c r="C719" s="366" t="s">
        <v>1020</v>
      </c>
      <c r="D719" s="299">
        <f>'IMEI Record'!J454</f>
        <v>923.64</v>
      </c>
      <c r="E719" s="25">
        <v>1</v>
      </c>
      <c r="F719" s="18">
        <f t="shared" si="29"/>
        <v>923.64</v>
      </c>
    </row>
    <row r="720" spans="2:6">
      <c r="B720" s="18">
        <v>10</v>
      </c>
      <c r="C720" s="366" t="s">
        <v>1020</v>
      </c>
      <c r="D720" s="299">
        <f>'IMEI Record'!J455</f>
        <v>923.64</v>
      </c>
      <c r="E720" s="25">
        <v>1</v>
      </c>
      <c r="F720" s="18">
        <f t="shared" si="29"/>
        <v>923.64</v>
      </c>
    </row>
    <row r="721" spans="2:6">
      <c r="B721" s="18">
        <v>11</v>
      </c>
      <c r="C721" s="366" t="s">
        <v>1020</v>
      </c>
      <c r="D721" s="299">
        <f>'IMEI Record'!J456</f>
        <v>923.64</v>
      </c>
      <c r="E721" s="25">
        <v>1</v>
      </c>
      <c r="F721" s="18">
        <f t="shared" si="29"/>
        <v>923.64</v>
      </c>
    </row>
    <row r="722" spans="2:6">
      <c r="B722" s="18">
        <v>12</v>
      </c>
      <c r="C722" s="366" t="s">
        <v>1020</v>
      </c>
      <c r="D722" s="299">
        <f>'IMEI Record'!J457</f>
        <v>923.64</v>
      </c>
      <c r="E722" s="25">
        <v>1</v>
      </c>
      <c r="F722" s="18">
        <f t="shared" si="29"/>
        <v>923.64</v>
      </c>
    </row>
    <row r="723" spans="2:6">
      <c r="B723" s="18">
        <v>13</v>
      </c>
      <c r="C723" s="366" t="s">
        <v>316</v>
      </c>
      <c r="D723" s="299">
        <f>'IMEI Record'!J458</f>
        <v>1640.0700000000002</v>
      </c>
      <c r="E723" s="25">
        <v>1</v>
      </c>
      <c r="F723" s="18">
        <f t="shared" ref="F723:F738" si="30">D723*E723</f>
        <v>1640.0700000000002</v>
      </c>
    </row>
    <row r="724" spans="2:6">
      <c r="B724" s="18">
        <v>14</v>
      </c>
      <c r="C724" s="366" t="s">
        <v>316</v>
      </c>
      <c r="D724" s="299">
        <f>'IMEI Record'!J459</f>
        <v>1640.0700000000002</v>
      </c>
      <c r="E724" s="25">
        <v>1</v>
      </c>
      <c r="F724" s="18">
        <f t="shared" si="30"/>
        <v>1640.0700000000002</v>
      </c>
    </row>
    <row r="725" spans="2:6">
      <c r="B725" s="18">
        <v>15</v>
      </c>
      <c r="C725" s="366" t="s">
        <v>316</v>
      </c>
      <c r="D725" s="299">
        <f>'IMEI Record'!J460</f>
        <v>1640.0700000000002</v>
      </c>
      <c r="E725" s="25">
        <v>1</v>
      </c>
      <c r="F725" s="18">
        <f t="shared" si="30"/>
        <v>1640.0700000000002</v>
      </c>
    </row>
    <row r="726" spans="2:6">
      <c r="B726" s="18">
        <v>16</v>
      </c>
      <c r="C726" s="366" t="s">
        <v>316</v>
      </c>
      <c r="D726" s="299">
        <f>'IMEI Record'!J461</f>
        <v>1621.7</v>
      </c>
      <c r="E726" s="25">
        <v>1</v>
      </c>
      <c r="F726" s="18">
        <f t="shared" si="30"/>
        <v>1621.7</v>
      </c>
    </row>
    <row r="727" spans="2:6">
      <c r="B727" s="18">
        <v>17</v>
      </c>
      <c r="C727" s="366" t="s">
        <v>318</v>
      </c>
      <c r="D727" s="299">
        <f>'IMEI Record'!J462</f>
        <v>960.38</v>
      </c>
      <c r="E727" s="25">
        <v>1</v>
      </c>
      <c r="F727" s="18">
        <f t="shared" si="30"/>
        <v>960.38</v>
      </c>
    </row>
    <row r="728" spans="2:6">
      <c r="B728" s="18">
        <v>18</v>
      </c>
      <c r="C728" s="366" t="s">
        <v>318</v>
      </c>
      <c r="D728" s="299">
        <f>'IMEI Record'!J463</f>
        <v>960.38</v>
      </c>
      <c r="E728" s="25">
        <v>1</v>
      </c>
      <c r="F728" s="18">
        <f t="shared" si="30"/>
        <v>960.38</v>
      </c>
    </row>
    <row r="729" spans="2:6">
      <c r="B729" s="18">
        <v>19</v>
      </c>
      <c r="C729" s="366" t="s">
        <v>318</v>
      </c>
      <c r="D729" s="299">
        <f>'IMEI Record'!J464</f>
        <v>960.38</v>
      </c>
      <c r="E729" s="25">
        <v>1</v>
      </c>
      <c r="F729" s="18">
        <f t="shared" si="30"/>
        <v>960.38</v>
      </c>
    </row>
    <row r="730" spans="2:6">
      <c r="B730" s="18">
        <v>20</v>
      </c>
      <c r="C730" s="366" t="s">
        <v>316</v>
      </c>
      <c r="D730" s="299">
        <f>'IMEI Record'!J465</f>
        <v>1548.22</v>
      </c>
      <c r="E730" s="25">
        <v>1</v>
      </c>
      <c r="F730" s="18">
        <f t="shared" si="30"/>
        <v>1548.22</v>
      </c>
    </row>
    <row r="731" spans="2:6">
      <c r="B731" s="18">
        <v>21</v>
      </c>
      <c r="C731" s="366" t="s">
        <v>316</v>
      </c>
      <c r="D731" s="299">
        <f>'IMEI Record'!J466</f>
        <v>1548.22</v>
      </c>
      <c r="E731" s="25">
        <v>1</v>
      </c>
      <c r="F731" s="18">
        <f t="shared" si="30"/>
        <v>1548.22</v>
      </c>
    </row>
    <row r="732" spans="2:6">
      <c r="B732" s="18">
        <v>22</v>
      </c>
      <c r="C732" s="366" t="s">
        <v>316</v>
      </c>
      <c r="D732" s="299">
        <f>'IMEI Record'!J467</f>
        <v>1500.4580000000001</v>
      </c>
      <c r="E732" s="25">
        <v>1</v>
      </c>
      <c r="F732" s="18">
        <f t="shared" si="30"/>
        <v>1500.4580000000001</v>
      </c>
    </row>
    <row r="733" spans="2:6">
      <c r="B733" s="18">
        <v>23</v>
      </c>
      <c r="C733" s="366" t="s">
        <v>318</v>
      </c>
      <c r="D733" s="299">
        <f>'IMEI Record'!J468</f>
        <v>960.38</v>
      </c>
      <c r="E733" s="25">
        <v>1</v>
      </c>
      <c r="F733" s="18">
        <f t="shared" si="30"/>
        <v>960.38</v>
      </c>
    </row>
    <row r="734" spans="2:6">
      <c r="B734" s="18">
        <v>24</v>
      </c>
      <c r="C734" s="366" t="s">
        <v>318</v>
      </c>
      <c r="D734" s="299">
        <f>'IMEI Record'!J469</f>
        <v>960.38</v>
      </c>
      <c r="E734" s="25">
        <v>1</v>
      </c>
      <c r="F734" s="18">
        <f t="shared" si="30"/>
        <v>960.38</v>
      </c>
    </row>
    <row r="735" spans="2:6">
      <c r="B735" s="18">
        <v>25</v>
      </c>
      <c r="C735" s="366" t="s">
        <v>318</v>
      </c>
      <c r="D735" s="299">
        <f>'IMEI Record'!J470</f>
        <v>960.38</v>
      </c>
      <c r="E735" s="25">
        <v>1</v>
      </c>
      <c r="F735" s="18">
        <f t="shared" si="30"/>
        <v>960.38</v>
      </c>
    </row>
    <row r="736" spans="2:6">
      <c r="B736" s="18">
        <v>26</v>
      </c>
      <c r="C736" s="366" t="s">
        <v>318</v>
      </c>
      <c r="D736" s="299">
        <f>'IMEI Record'!J471</f>
        <v>960.38</v>
      </c>
      <c r="E736" s="25">
        <v>1</v>
      </c>
      <c r="F736" s="18">
        <f t="shared" si="30"/>
        <v>960.38</v>
      </c>
    </row>
    <row r="737" spans="2:6">
      <c r="B737" s="18">
        <v>27</v>
      </c>
      <c r="C737" s="366" t="s">
        <v>318</v>
      </c>
      <c r="D737" s="299">
        <f>'IMEI Record'!J472</f>
        <v>960.38</v>
      </c>
      <c r="E737" s="25">
        <v>1</v>
      </c>
      <c r="F737" s="18">
        <f t="shared" si="30"/>
        <v>960.38</v>
      </c>
    </row>
    <row r="738" spans="2:6">
      <c r="B738" s="18">
        <v>28</v>
      </c>
      <c r="C738" s="366" t="s">
        <v>318</v>
      </c>
      <c r="D738" s="299">
        <f>'IMEI Record'!J473</f>
        <v>960.38</v>
      </c>
      <c r="E738" s="25">
        <v>1</v>
      </c>
      <c r="F738" s="18">
        <f t="shared" si="30"/>
        <v>960.38</v>
      </c>
    </row>
    <row r="739" spans="2:6">
      <c r="B739" s="18"/>
      <c r="C739" s="1"/>
      <c r="D739" s="299"/>
      <c r="E739" s="25"/>
      <c r="F739" s="18"/>
    </row>
    <row r="740" spans="2:6">
      <c r="B740" s="18"/>
      <c r="C740" s="1"/>
      <c r="D740" s="299"/>
      <c r="E740" s="25"/>
      <c r="F740" s="18"/>
    </row>
    <row r="741" spans="2:6">
      <c r="B741" s="18"/>
      <c r="C741" s="1"/>
      <c r="D741" s="299"/>
      <c r="E741" s="25"/>
      <c r="F741" s="18"/>
    </row>
    <row r="742" spans="2:6">
      <c r="B742" s="18"/>
      <c r="C742" s="73" t="s">
        <v>604</v>
      </c>
      <c r="D742" s="299"/>
      <c r="E742" s="25"/>
      <c r="F742" s="18"/>
    </row>
    <row r="743" spans="2:6">
      <c r="B743" s="18"/>
      <c r="C743" s="75" t="s">
        <v>1402</v>
      </c>
      <c r="D743" s="299"/>
      <c r="E743" s="25"/>
      <c r="F743" s="18"/>
    </row>
    <row r="744" spans="2:6">
      <c r="B744" s="18"/>
      <c r="C744" s="73" t="s">
        <v>1403</v>
      </c>
      <c r="D744" s="299"/>
      <c r="E744" s="25"/>
      <c r="F744" s="18"/>
    </row>
    <row r="745" spans="2:6">
      <c r="B745" s="18"/>
      <c r="C745" s="75" t="s">
        <v>1404</v>
      </c>
      <c r="D745" s="299"/>
      <c r="E745" s="25"/>
      <c r="F745" s="18"/>
    </row>
    <row r="746" spans="2:6">
      <c r="B746" s="18"/>
      <c r="C746" s="73" t="s">
        <v>1405</v>
      </c>
      <c r="D746" s="299"/>
      <c r="E746" s="25"/>
      <c r="F746" s="18"/>
    </row>
    <row r="747" spans="2:6" ht="15" thickBot="1">
      <c r="B747" s="18"/>
      <c r="C747" s="74" t="s">
        <v>1406</v>
      </c>
      <c r="D747" s="299"/>
      <c r="E747" s="25"/>
      <c r="F747" s="18"/>
    </row>
    <row r="748" spans="2:6" ht="29.4" thickBot="1">
      <c r="B748" s="18"/>
      <c r="C748" s="76" t="s">
        <v>1407</v>
      </c>
      <c r="D748" s="299"/>
      <c r="E748" s="25"/>
      <c r="F748" s="18"/>
    </row>
    <row r="749" spans="2:6">
      <c r="B749" s="18"/>
      <c r="C749" s="1"/>
      <c r="D749" s="299"/>
      <c r="E749" s="25"/>
      <c r="F749" s="18"/>
    </row>
    <row r="750" spans="2:6">
      <c r="B750" s="17"/>
      <c r="C750" s="17"/>
      <c r="D750" s="17"/>
      <c r="E750" s="17"/>
      <c r="F750" s="18">
        <f t="shared" ref="F750" si="31">D750*E750</f>
        <v>0</v>
      </c>
    </row>
    <row r="751" spans="2:6" ht="15" thickBot="1">
      <c r="B751" s="297"/>
      <c r="C751" s="297"/>
      <c r="D751" s="297"/>
      <c r="E751" s="297"/>
      <c r="F751" s="297"/>
    </row>
    <row r="752" spans="2:6" ht="15" thickBot="1">
      <c r="B752" s="606" t="s">
        <v>11</v>
      </c>
      <c r="C752" s="607"/>
      <c r="D752" s="593"/>
      <c r="E752" s="594"/>
      <c r="F752" s="370">
        <f>SUM(F711:F751)</f>
        <v>34124.745999999999</v>
      </c>
    </row>
    <row r="757" spans="2:6" ht="15" thickBot="1"/>
    <row r="758" spans="2:6" ht="26.4" thickBot="1">
      <c r="B758" s="603" t="s">
        <v>1341</v>
      </c>
      <c r="C758" s="604"/>
      <c r="D758" s="604"/>
      <c r="E758" s="604"/>
      <c r="F758" s="605"/>
    </row>
    <row r="760" spans="2:6" ht="15.6">
      <c r="B760" s="2" t="s">
        <v>1</v>
      </c>
      <c r="C760" s="1" t="s">
        <v>1346</v>
      </c>
    </row>
    <row r="762" spans="2:6" ht="15.6">
      <c r="B762" s="2" t="s">
        <v>2</v>
      </c>
      <c r="C762" s="34" t="s">
        <v>976</v>
      </c>
      <c r="D762" s="2" t="s">
        <v>5</v>
      </c>
      <c r="E762" s="21">
        <v>45474</v>
      </c>
    </row>
    <row r="763" spans="2:6" ht="15.6">
      <c r="B763" s="2" t="s">
        <v>3</v>
      </c>
    </row>
    <row r="764" spans="2:6" ht="15.6">
      <c r="B764" s="2" t="s">
        <v>4</v>
      </c>
    </row>
    <row r="765" spans="2:6" ht="15" thickBot="1"/>
    <row r="766" spans="2:6" ht="16.2" thickBot="1">
      <c r="B766" s="10" t="s">
        <v>6</v>
      </c>
      <c r="C766" s="10" t="s">
        <v>7</v>
      </c>
      <c r="D766" s="4" t="s">
        <v>8</v>
      </c>
      <c r="E766" s="10" t="s">
        <v>9</v>
      </c>
      <c r="F766" s="5" t="s">
        <v>10</v>
      </c>
    </row>
    <row r="767" spans="2:6">
      <c r="B767" s="6"/>
      <c r="F767" s="7"/>
    </row>
    <row r="768" spans="2:6">
      <c r="B768" s="18">
        <v>1</v>
      </c>
      <c r="C768" s="46" t="s">
        <v>1342</v>
      </c>
      <c r="D768" s="299">
        <v>2204.4</v>
      </c>
      <c r="E768" s="25">
        <v>2</v>
      </c>
      <c r="F768" s="18">
        <f>D768*E768</f>
        <v>4408.8</v>
      </c>
    </row>
    <row r="769" spans="2:6">
      <c r="B769" s="18">
        <v>2</v>
      </c>
      <c r="C769" s="46" t="s">
        <v>1343</v>
      </c>
      <c r="D769" s="299">
        <v>3600.52</v>
      </c>
      <c r="E769" s="25">
        <v>1</v>
      </c>
      <c r="F769" s="18">
        <f t="shared" ref="F769:F773" si="32">D769*E769</f>
        <v>3600.52</v>
      </c>
    </row>
    <row r="770" spans="2:6">
      <c r="B770" s="18">
        <v>3</v>
      </c>
      <c r="C770" s="46" t="s">
        <v>1344</v>
      </c>
      <c r="D770" s="299">
        <v>2865.72</v>
      </c>
      <c r="E770" s="25">
        <v>1</v>
      </c>
      <c r="F770" s="18">
        <f t="shared" si="32"/>
        <v>2865.72</v>
      </c>
    </row>
    <row r="771" spans="2:6">
      <c r="B771" s="18">
        <v>4</v>
      </c>
      <c r="C771" s="46" t="s">
        <v>1345</v>
      </c>
      <c r="D771" s="299">
        <v>3012.68</v>
      </c>
      <c r="E771" s="25">
        <v>1</v>
      </c>
      <c r="F771" s="18">
        <f t="shared" si="32"/>
        <v>3012.68</v>
      </c>
    </row>
    <row r="772" spans="2:6">
      <c r="B772" s="18"/>
      <c r="C772" s="46"/>
      <c r="D772" s="299"/>
      <c r="E772" s="25"/>
      <c r="F772" s="18"/>
    </row>
    <row r="773" spans="2:6">
      <c r="B773" s="17"/>
      <c r="C773" s="17"/>
      <c r="D773" s="17"/>
      <c r="E773" s="17"/>
      <c r="F773" s="18">
        <f t="shared" si="32"/>
        <v>0</v>
      </c>
    </row>
    <row r="774" spans="2:6" ht="15" thickBot="1">
      <c r="B774" s="297"/>
      <c r="C774" s="297"/>
      <c r="D774" s="297"/>
      <c r="E774" s="297"/>
      <c r="F774" s="297"/>
    </row>
    <row r="775" spans="2:6" ht="15" thickBot="1">
      <c r="B775" s="606" t="s">
        <v>11</v>
      </c>
      <c r="C775" s="607"/>
      <c r="D775" s="593"/>
      <c r="E775" s="594"/>
      <c r="F775" s="9">
        <f>SUM(F768:F774)</f>
        <v>13887.72</v>
      </c>
    </row>
    <row r="778" spans="2:6" ht="15" thickBot="1"/>
    <row r="779" spans="2:6" ht="26.4" thickBot="1">
      <c r="B779" s="603" t="s">
        <v>0</v>
      </c>
      <c r="C779" s="604"/>
      <c r="D779" s="604"/>
      <c r="E779" s="604"/>
      <c r="F779" s="605"/>
    </row>
    <row r="781" spans="2:6" ht="15.6">
      <c r="B781" s="2" t="s">
        <v>1</v>
      </c>
      <c r="C781" s="1" t="s">
        <v>1377</v>
      </c>
    </row>
    <row r="783" spans="2:6" ht="15.6">
      <c r="B783" s="2" t="s">
        <v>2</v>
      </c>
      <c r="C783" s="34" t="s">
        <v>634</v>
      </c>
      <c r="D783" s="2" t="s">
        <v>5</v>
      </c>
      <c r="E783" s="21">
        <v>45474</v>
      </c>
    </row>
    <row r="784" spans="2:6" ht="15.6">
      <c r="B784" s="2" t="s">
        <v>3</v>
      </c>
    </row>
    <row r="785" spans="2:7" ht="15.6">
      <c r="B785" s="2" t="s">
        <v>4</v>
      </c>
    </row>
    <row r="786" spans="2:7" ht="15" thickBot="1"/>
    <row r="787" spans="2:7" ht="16.2" thickBot="1">
      <c r="B787" s="10" t="s">
        <v>6</v>
      </c>
      <c r="C787" s="10" t="s">
        <v>7</v>
      </c>
      <c r="D787" s="4" t="s">
        <v>8</v>
      </c>
      <c r="E787" s="10" t="s">
        <v>9</v>
      </c>
      <c r="F787" s="5" t="s">
        <v>10</v>
      </c>
    </row>
    <row r="788" spans="2:7" ht="15" thickBot="1">
      <c r="B788" s="6"/>
      <c r="F788" s="7"/>
    </row>
    <row r="789" spans="2:7" ht="15" thickBot="1">
      <c r="B789" s="37">
        <v>1</v>
      </c>
      <c r="C789" s="35" t="s">
        <v>1376</v>
      </c>
      <c r="D789" s="23">
        <v>175000</v>
      </c>
      <c r="E789" s="23">
        <v>1</v>
      </c>
      <c r="F789" s="37">
        <f>D789*E789</f>
        <v>175000</v>
      </c>
    </row>
    <row r="790" spans="2:7" ht="15" thickBot="1">
      <c r="B790" s="37"/>
      <c r="C790" s="35"/>
      <c r="D790" s="24"/>
      <c r="E790" s="23"/>
      <c r="F790" s="37">
        <f t="shared" ref="F790:F793" si="33">D790*E790</f>
        <v>0</v>
      </c>
    </row>
    <row r="791" spans="2:7" ht="15" thickBot="1">
      <c r="B791" s="37"/>
      <c r="C791" s="35"/>
      <c r="D791" s="24"/>
      <c r="E791" s="24"/>
      <c r="F791" s="37">
        <f t="shared" si="33"/>
        <v>0</v>
      </c>
    </row>
    <row r="792" spans="2:7" ht="15" thickBot="1">
      <c r="B792" s="37"/>
      <c r="C792" s="35"/>
      <c r="D792" s="24"/>
      <c r="E792" s="24"/>
      <c r="F792" s="37">
        <f t="shared" si="33"/>
        <v>0</v>
      </c>
    </row>
    <row r="793" spans="2:7" ht="15" thickBot="1">
      <c r="B793" s="8"/>
      <c r="C793" s="8"/>
      <c r="D793" s="8"/>
      <c r="E793" s="8"/>
      <c r="F793" s="37">
        <f t="shared" si="33"/>
        <v>0</v>
      </c>
    </row>
    <row r="794" spans="2:7" ht="15" thickBot="1">
      <c r="B794" s="8"/>
      <c r="C794" s="8"/>
      <c r="D794" s="8"/>
      <c r="E794" s="8"/>
      <c r="F794" s="8"/>
    </row>
    <row r="795" spans="2:7" ht="15" thickBot="1">
      <c r="B795" s="606" t="s">
        <v>11</v>
      </c>
      <c r="C795" s="607"/>
      <c r="D795" s="593"/>
      <c r="E795" s="594"/>
      <c r="F795" s="9">
        <f>SUM(F789:F794)</f>
        <v>175000</v>
      </c>
      <c r="G795" s="211" t="s">
        <v>567</v>
      </c>
    </row>
    <row r="799" spans="2:7" ht="15" thickBot="1"/>
    <row r="800" spans="2:7" ht="26.4" thickBot="1">
      <c r="B800" s="603" t="s">
        <v>0</v>
      </c>
      <c r="C800" s="604"/>
      <c r="D800" s="604"/>
      <c r="E800" s="604"/>
      <c r="F800" s="605"/>
    </row>
    <row r="802" spans="2:6" ht="15.6">
      <c r="B802" s="2" t="s">
        <v>1</v>
      </c>
      <c r="C802" s="1" t="s">
        <v>1522</v>
      </c>
    </row>
    <row r="804" spans="2:6" ht="15.6">
      <c r="B804" s="2" t="s">
        <v>2</v>
      </c>
      <c r="C804" s="34" t="s">
        <v>1521</v>
      </c>
      <c r="D804" s="2" t="s">
        <v>5</v>
      </c>
      <c r="E804" s="21">
        <v>45488</v>
      </c>
    </row>
    <row r="805" spans="2:6" ht="15.6">
      <c r="B805" s="2" t="s">
        <v>3</v>
      </c>
    </row>
    <row r="806" spans="2:6" ht="15.6">
      <c r="B806" s="2" t="s">
        <v>4</v>
      </c>
    </row>
    <row r="807" spans="2:6" ht="15" thickBot="1"/>
    <row r="808" spans="2:6" ht="16.2" thickBot="1">
      <c r="B808" s="10" t="s">
        <v>6</v>
      </c>
      <c r="C808" s="10" t="s">
        <v>7</v>
      </c>
      <c r="D808" s="4" t="s">
        <v>8</v>
      </c>
      <c r="E808" s="10" t="s">
        <v>9</v>
      </c>
      <c r="F808" s="5" t="s">
        <v>10</v>
      </c>
    </row>
    <row r="809" spans="2:6" ht="15" thickBot="1">
      <c r="B809" s="6"/>
      <c r="F809" s="7"/>
    </row>
    <row r="810" spans="2:6" ht="15" thickBot="1">
      <c r="B810" s="37">
        <v>1</v>
      </c>
      <c r="C810" s="37" t="s">
        <v>1503</v>
      </c>
      <c r="D810" s="400">
        <v>1040</v>
      </c>
      <c r="E810" s="400">
        <v>1</v>
      </c>
      <c r="F810" s="37">
        <f>D810*E810</f>
        <v>1040</v>
      </c>
    </row>
    <row r="811" spans="2:6" ht="15" thickBot="1">
      <c r="B811" s="37">
        <v>2</v>
      </c>
      <c r="C811" s="37" t="s">
        <v>1495</v>
      </c>
      <c r="D811" s="400">
        <v>1140</v>
      </c>
      <c r="E811" s="400">
        <v>1</v>
      </c>
      <c r="F811" s="37">
        <f t="shared" ref="F811:F821" si="34">D811*E811</f>
        <v>1140</v>
      </c>
    </row>
    <row r="812" spans="2:6" ht="15" thickBot="1">
      <c r="B812" s="37">
        <v>3</v>
      </c>
      <c r="C812" s="37" t="s">
        <v>1501</v>
      </c>
      <c r="D812" s="400">
        <v>1140</v>
      </c>
      <c r="E812" s="400">
        <v>1</v>
      </c>
      <c r="F812" s="37">
        <f t="shared" si="34"/>
        <v>1140</v>
      </c>
    </row>
    <row r="813" spans="2:6" ht="15" thickBot="1">
      <c r="B813" s="37">
        <v>4</v>
      </c>
      <c r="C813" s="37" t="s">
        <v>1498</v>
      </c>
      <c r="D813" s="400">
        <v>2210</v>
      </c>
      <c r="E813" s="400">
        <v>1</v>
      </c>
      <c r="F813" s="37">
        <f t="shared" si="34"/>
        <v>2210</v>
      </c>
    </row>
    <row r="814" spans="2:6" ht="15" thickBot="1">
      <c r="B814" s="37">
        <v>5</v>
      </c>
      <c r="C814" s="37" t="s">
        <v>1499</v>
      </c>
      <c r="D814" s="400">
        <v>2300</v>
      </c>
      <c r="E814" s="400">
        <v>1</v>
      </c>
      <c r="F814" s="37">
        <f t="shared" si="34"/>
        <v>2300</v>
      </c>
    </row>
    <row r="815" spans="2:6" ht="15" thickBot="1">
      <c r="B815" s="37">
        <v>6</v>
      </c>
      <c r="C815" s="37" t="s">
        <v>1500</v>
      </c>
      <c r="D815" s="400">
        <v>2400</v>
      </c>
      <c r="E815" s="400">
        <v>1</v>
      </c>
      <c r="F815" s="37">
        <f t="shared" si="34"/>
        <v>2400</v>
      </c>
    </row>
    <row r="816" spans="2:6" ht="15" thickBot="1">
      <c r="B816" s="37">
        <v>7</v>
      </c>
      <c r="C816" s="37" t="s">
        <v>1497</v>
      </c>
      <c r="D816" s="400">
        <v>2450</v>
      </c>
      <c r="E816" s="400">
        <v>1</v>
      </c>
      <c r="F816" s="37">
        <f t="shared" si="34"/>
        <v>2450</v>
      </c>
    </row>
    <row r="817" spans="2:6" ht="15" thickBot="1">
      <c r="B817" s="37">
        <v>8</v>
      </c>
      <c r="C817" s="37" t="s">
        <v>1497</v>
      </c>
      <c r="D817" s="400">
        <v>2450</v>
      </c>
      <c r="E817" s="400">
        <v>1</v>
      </c>
      <c r="F817" s="37">
        <f t="shared" si="34"/>
        <v>2450</v>
      </c>
    </row>
    <row r="818" spans="2:6" ht="15" thickBot="1">
      <c r="B818" s="37">
        <v>9</v>
      </c>
      <c r="C818" s="37" t="s">
        <v>1502</v>
      </c>
      <c r="D818" s="400">
        <v>2450</v>
      </c>
      <c r="E818" s="400">
        <v>1</v>
      </c>
      <c r="F818" s="37">
        <f t="shared" si="34"/>
        <v>2450</v>
      </c>
    </row>
    <row r="819" spans="2:6" ht="15" thickBot="1">
      <c r="B819" s="37">
        <v>10</v>
      </c>
      <c r="C819" s="37" t="s">
        <v>1502</v>
      </c>
      <c r="D819" s="400">
        <v>2200</v>
      </c>
      <c r="E819" s="400">
        <v>1</v>
      </c>
      <c r="F819" s="37">
        <f t="shared" si="34"/>
        <v>2200</v>
      </c>
    </row>
    <row r="820" spans="2:6" ht="15" thickBot="1">
      <c r="B820" s="37">
        <v>11</v>
      </c>
      <c r="C820" s="37" t="s">
        <v>1504</v>
      </c>
      <c r="D820" s="400">
        <v>2650</v>
      </c>
      <c r="E820" s="400">
        <v>1</v>
      </c>
      <c r="F820" s="37">
        <f t="shared" si="34"/>
        <v>2650</v>
      </c>
    </row>
    <row r="821" spans="2:6" ht="15" thickBot="1">
      <c r="B821" s="37">
        <v>12</v>
      </c>
      <c r="C821" s="37" t="s">
        <v>1502</v>
      </c>
      <c r="D821" s="400">
        <v>2470</v>
      </c>
      <c r="E821" s="400">
        <v>1</v>
      </c>
      <c r="F821" s="37">
        <f t="shared" si="34"/>
        <v>2470</v>
      </c>
    </row>
    <row r="822" spans="2:6" ht="15" thickBot="1">
      <c r="B822" s="37"/>
      <c r="C822" s="71"/>
      <c r="D822" s="400"/>
      <c r="E822" s="400"/>
      <c r="F822" s="37"/>
    </row>
    <row r="823" spans="2:6" ht="15" thickBot="1">
      <c r="B823" s="37"/>
      <c r="C823" s="71"/>
      <c r="D823" s="400"/>
      <c r="E823" s="400"/>
      <c r="F823" s="37"/>
    </row>
    <row r="824" spans="2:6" ht="15" thickBot="1">
      <c r="B824" s="8"/>
      <c r="C824" s="8"/>
      <c r="D824" s="8"/>
      <c r="E824" s="8"/>
      <c r="F824" s="37"/>
    </row>
    <row r="825" spans="2:6" ht="15" thickBot="1">
      <c r="B825" s="297"/>
      <c r="C825" s="297"/>
      <c r="D825" s="297"/>
      <c r="E825" s="297"/>
      <c r="F825" s="297"/>
    </row>
    <row r="826" spans="2:6" ht="15" thickBot="1">
      <c r="B826" s="606" t="s">
        <v>11</v>
      </c>
      <c r="C826" s="607"/>
      <c r="D826" s="593"/>
      <c r="E826" s="594"/>
      <c r="F826" s="9">
        <f>SUM(F810:F825)</f>
        <v>24900</v>
      </c>
    </row>
    <row r="828" spans="2:6" ht="15" thickBot="1"/>
    <row r="829" spans="2:6" ht="26.4" thickBot="1">
      <c r="B829" s="603" t="s">
        <v>0</v>
      </c>
      <c r="C829" s="604"/>
      <c r="D829" s="604"/>
      <c r="E829" s="604"/>
      <c r="F829" s="605"/>
    </row>
    <row r="831" spans="2:6" ht="15.6">
      <c r="B831" s="2" t="s">
        <v>1</v>
      </c>
      <c r="C831" s="1" t="s">
        <v>1563</v>
      </c>
    </row>
    <row r="833" spans="2:7" ht="15.6">
      <c r="B833" s="2" t="s">
        <v>2</v>
      </c>
      <c r="C833" s="34" t="s">
        <v>634</v>
      </c>
      <c r="D833" s="2" t="s">
        <v>5</v>
      </c>
      <c r="E833" s="21">
        <v>45492</v>
      </c>
    </row>
    <row r="834" spans="2:7" ht="15.6">
      <c r="B834" s="2" t="s">
        <v>3</v>
      </c>
    </row>
    <row r="835" spans="2:7" ht="15.6">
      <c r="B835" s="2" t="s">
        <v>4</v>
      </c>
    </row>
    <row r="836" spans="2:7" ht="15" thickBot="1"/>
    <row r="837" spans="2:7" ht="16.2" thickBot="1">
      <c r="B837" s="10" t="s">
        <v>6</v>
      </c>
      <c r="C837" s="10" t="s">
        <v>7</v>
      </c>
      <c r="D837" s="4" t="s">
        <v>8</v>
      </c>
      <c r="E837" s="10" t="s">
        <v>9</v>
      </c>
      <c r="F837" s="5" t="s">
        <v>10</v>
      </c>
    </row>
    <row r="838" spans="2:7" ht="15" thickBot="1">
      <c r="B838" s="6"/>
      <c r="F838" s="7"/>
    </row>
    <row r="839" spans="2:7" ht="15" thickBot="1">
      <c r="B839" s="37">
        <v>1</v>
      </c>
      <c r="C839" s="35" t="s">
        <v>1564</v>
      </c>
      <c r="D839" s="23">
        <v>175000</v>
      </c>
      <c r="E839" s="23">
        <v>1</v>
      </c>
      <c r="F839" s="37">
        <f>D839*E839</f>
        <v>175000</v>
      </c>
    </row>
    <row r="840" spans="2:7" ht="15" thickBot="1">
      <c r="B840" s="37"/>
      <c r="C840" s="35"/>
      <c r="D840" s="24"/>
      <c r="E840" s="23"/>
      <c r="F840" s="37">
        <f t="shared" ref="F840:F843" si="35">D840*E840</f>
        <v>0</v>
      </c>
    </row>
    <row r="841" spans="2:7" ht="15" thickBot="1">
      <c r="B841" s="37"/>
      <c r="C841" s="35"/>
      <c r="D841" s="24"/>
      <c r="E841" s="24"/>
      <c r="F841" s="37">
        <f t="shared" si="35"/>
        <v>0</v>
      </c>
    </row>
    <row r="842" spans="2:7" ht="15" thickBot="1">
      <c r="B842" s="37"/>
      <c r="C842" s="35"/>
      <c r="D842" s="24"/>
      <c r="E842" s="24"/>
      <c r="F842" s="37">
        <f t="shared" si="35"/>
        <v>0</v>
      </c>
    </row>
    <row r="843" spans="2:7" ht="15" thickBot="1">
      <c r="B843" s="8"/>
      <c r="C843" s="8"/>
      <c r="D843" s="8"/>
      <c r="E843" s="8"/>
      <c r="F843" s="37">
        <f t="shared" si="35"/>
        <v>0</v>
      </c>
    </row>
    <row r="844" spans="2:7" ht="15" thickBot="1">
      <c r="B844" s="8"/>
      <c r="C844" s="8"/>
      <c r="D844" s="8"/>
      <c r="E844" s="8"/>
      <c r="F844" s="8"/>
    </row>
    <row r="845" spans="2:7" ht="15" thickBot="1">
      <c r="B845" s="606" t="s">
        <v>11</v>
      </c>
      <c r="C845" s="607"/>
      <c r="D845" s="593"/>
      <c r="E845" s="594"/>
      <c r="F845" s="9">
        <f>SUM(F839:F844)</f>
        <v>175000</v>
      </c>
      <c r="G845" s="211" t="s">
        <v>567</v>
      </c>
    </row>
    <row r="847" spans="2:7" ht="15" thickBot="1"/>
    <row r="848" spans="2:7" ht="26.4" thickBot="1">
      <c r="B848" s="603" t="s">
        <v>0</v>
      </c>
      <c r="C848" s="604"/>
      <c r="D848" s="604"/>
      <c r="E848" s="604"/>
      <c r="F848" s="605"/>
    </row>
    <row r="850" spans="2:7" ht="15.6">
      <c r="B850" s="2" t="s">
        <v>1</v>
      </c>
      <c r="C850" s="1" t="s">
        <v>1588</v>
      </c>
    </row>
    <row r="852" spans="2:7" ht="15.6">
      <c r="B852" s="2" t="s">
        <v>2</v>
      </c>
      <c r="C852" s="34" t="s">
        <v>634</v>
      </c>
      <c r="D852" s="2" t="s">
        <v>5</v>
      </c>
      <c r="E852" s="21">
        <v>45497</v>
      </c>
    </row>
    <row r="853" spans="2:7" ht="15.6">
      <c r="B853" s="2" t="s">
        <v>3</v>
      </c>
    </row>
    <row r="854" spans="2:7" ht="15.6">
      <c r="B854" s="2" t="s">
        <v>4</v>
      </c>
    </row>
    <row r="855" spans="2:7" ht="15" thickBot="1"/>
    <row r="856" spans="2:7" ht="16.2" thickBot="1">
      <c r="B856" s="10" t="s">
        <v>6</v>
      </c>
      <c r="C856" s="10" t="s">
        <v>7</v>
      </c>
      <c r="D856" s="4" t="s">
        <v>8</v>
      </c>
      <c r="E856" s="10" t="s">
        <v>9</v>
      </c>
      <c r="F856" s="5" t="s">
        <v>10</v>
      </c>
    </row>
    <row r="857" spans="2:7" ht="15" thickBot="1">
      <c r="B857" s="6"/>
      <c r="F857" s="7"/>
    </row>
    <row r="858" spans="2:7" ht="15" thickBot="1">
      <c r="B858" s="37">
        <v>1</v>
      </c>
      <c r="C858" s="35" t="s">
        <v>1589</v>
      </c>
      <c r="D858" s="24">
        <v>160000</v>
      </c>
      <c r="E858" s="23">
        <v>1</v>
      </c>
      <c r="F858" s="37">
        <f t="shared" ref="F858:F861" si="36">D858*E858</f>
        <v>160000</v>
      </c>
    </row>
    <row r="859" spans="2:7" ht="15" thickBot="1">
      <c r="B859" s="37">
        <v>2</v>
      </c>
      <c r="C859" s="35" t="s">
        <v>1589</v>
      </c>
      <c r="D859" s="24">
        <v>160000</v>
      </c>
      <c r="E859" s="24">
        <v>1</v>
      </c>
      <c r="F859" s="37">
        <f t="shared" si="36"/>
        <v>160000</v>
      </c>
    </row>
    <row r="860" spans="2:7" ht="15" thickBot="1">
      <c r="B860" s="37">
        <v>3</v>
      </c>
      <c r="C860" s="35" t="s">
        <v>1590</v>
      </c>
      <c r="D860" s="24">
        <v>175000</v>
      </c>
      <c r="E860" s="24">
        <v>1</v>
      </c>
      <c r="F860" s="37">
        <f t="shared" si="36"/>
        <v>175000</v>
      </c>
    </row>
    <row r="861" spans="2:7" ht="15" thickBot="1">
      <c r="B861" s="8"/>
      <c r="C861" s="8"/>
      <c r="D861" s="8"/>
      <c r="E861" s="8"/>
      <c r="F861" s="37">
        <f t="shared" si="36"/>
        <v>0</v>
      </c>
    </row>
    <row r="862" spans="2:7" ht="15" thickBot="1">
      <c r="B862" s="8"/>
      <c r="C862" s="8"/>
      <c r="D862" s="8"/>
      <c r="E862" s="8"/>
      <c r="F862" s="8"/>
    </row>
    <row r="863" spans="2:7" ht="15" thickBot="1">
      <c r="B863" s="606" t="s">
        <v>11</v>
      </c>
      <c r="C863" s="607"/>
      <c r="D863" s="593"/>
      <c r="E863" s="594"/>
      <c r="F863" s="9">
        <f>SUM(F858:F862)</f>
        <v>495000</v>
      </c>
      <c r="G863" s="211" t="s">
        <v>567</v>
      </c>
    </row>
    <row r="866" spans="2:6" ht="15" thickBot="1"/>
    <row r="867" spans="2:6" ht="26.4" thickBot="1">
      <c r="B867" s="603" t="s">
        <v>0</v>
      </c>
      <c r="C867" s="604"/>
      <c r="D867" s="604"/>
      <c r="E867" s="604"/>
      <c r="F867" s="605"/>
    </row>
    <row r="869" spans="2:6" ht="15.6">
      <c r="B869" s="2" t="s">
        <v>1</v>
      </c>
      <c r="C869" s="1" t="s">
        <v>1597</v>
      </c>
    </row>
    <row r="871" spans="2:6" ht="15.6">
      <c r="B871" s="2" t="s">
        <v>2</v>
      </c>
      <c r="C871" s="34" t="s">
        <v>1521</v>
      </c>
      <c r="D871" s="2" t="s">
        <v>5</v>
      </c>
      <c r="E871" s="21">
        <v>45497</v>
      </c>
    </row>
    <row r="872" spans="2:6" ht="15.6">
      <c r="B872" s="2" t="s">
        <v>3</v>
      </c>
    </row>
    <row r="873" spans="2:6" ht="15.6">
      <c r="B873" s="2" t="s">
        <v>4</v>
      </c>
    </row>
    <row r="874" spans="2:6" ht="15" thickBot="1"/>
    <row r="875" spans="2:6" ht="16.2" thickBot="1">
      <c r="B875" s="10" t="s">
        <v>6</v>
      </c>
      <c r="C875" s="10" t="s">
        <v>7</v>
      </c>
      <c r="D875" s="4" t="s">
        <v>8</v>
      </c>
      <c r="E875" s="10" t="s">
        <v>9</v>
      </c>
      <c r="F875" s="5" t="s">
        <v>10</v>
      </c>
    </row>
    <row r="876" spans="2:6" ht="15" thickBot="1">
      <c r="B876" s="6"/>
      <c r="F876" s="7"/>
    </row>
    <row r="877" spans="2:6" ht="15" thickBot="1">
      <c r="B877" s="37">
        <v>1</v>
      </c>
      <c r="C877" s="35" t="s">
        <v>1598</v>
      </c>
      <c r="D877" s="23">
        <v>1130</v>
      </c>
      <c r="E877" s="23">
        <v>12</v>
      </c>
      <c r="F877" s="37">
        <f>D877*E877</f>
        <v>13560</v>
      </c>
    </row>
    <row r="878" spans="2:6" ht="15" thickBot="1">
      <c r="B878" s="37">
        <v>2</v>
      </c>
      <c r="C878" s="35"/>
      <c r="D878" s="24"/>
      <c r="E878" s="23"/>
      <c r="F878" s="37">
        <f t="shared" ref="F878" si="37">D878*E878</f>
        <v>0</v>
      </c>
    </row>
    <row r="879" spans="2:6" ht="15" thickBot="1">
      <c r="B879" s="8"/>
      <c r="C879" s="8"/>
      <c r="D879" s="8"/>
      <c r="E879" s="8"/>
      <c r="F879" s="8"/>
    </row>
    <row r="880" spans="2:6" ht="15" thickBot="1">
      <c r="B880" s="606" t="s">
        <v>11</v>
      </c>
      <c r="C880" s="607"/>
      <c r="D880" s="593"/>
      <c r="E880" s="594"/>
      <c r="F880" s="9">
        <f>SUM(F877:F879)</f>
        <v>13560</v>
      </c>
    </row>
    <row r="882" spans="2:6" ht="15" thickBot="1"/>
    <row r="883" spans="2:6" ht="26.4" thickBot="1">
      <c r="B883" s="603" t="s">
        <v>0</v>
      </c>
      <c r="C883" s="604"/>
      <c r="D883" s="604"/>
      <c r="E883" s="604"/>
      <c r="F883" s="605"/>
    </row>
    <row r="885" spans="2:6" ht="15.6">
      <c r="B885" s="2" t="s">
        <v>1</v>
      </c>
      <c r="C885" s="1" t="s">
        <v>1613</v>
      </c>
    </row>
    <row r="887" spans="2:6" ht="15.6">
      <c r="B887" s="2" t="s">
        <v>2</v>
      </c>
      <c r="C887" s="34" t="s">
        <v>634</v>
      </c>
      <c r="D887" s="2" t="s">
        <v>5</v>
      </c>
      <c r="E887" s="21">
        <v>45497</v>
      </c>
    </row>
    <row r="888" spans="2:6" ht="15.6">
      <c r="B888" s="2" t="s">
        <v>3</v>
      </c>
    </row>
    <row r="889" spans="2:6" ht="15.6">
      <c r="B889" s="2" t="s">
        <v>4</v>
      </c>
    </row>
    <row r="890" spans="2:6" ht="15" thickBot="1"/>
    <row r="891" spans="2:6" ht="16.2" thickBot="1">
      <c r="B891" s="10" t="s">
        <v>6</v>
      </c>
      <c r="C891" s="10" t="s">
        <v>7</v>
      </c>
      <c r="D891" s="4" t="s">
        <v>8</v>
      </c>
      <c r="E891" s="10" t="s">
        <v>9</v>
      </c>
      <c r="F891" s="5" t="s">
        <v>10</v>
      </c>
    </row>
    <row r="892" spans="2:6" ht="15" thickBot="1">
      <c r="B892" s="6"/>
      <c r="F892" s="7"/>
    </row>
    <row r="893" spans="2:6" ht="15" thickBot="1">
      <c r="B893" s="37">
        <v>1</v>
      </c>
      <c r="C893" s="35" t="s">
        <v>1611</v>
      </c>
      <c r="D893" s="24">
        <v>202000</v>
      </c>
      <c r="E893" s="23">
        <v>2</v>
      </c>
      <c r="F893" s="37">
        <f t="shared" ref="F893:F896" si="38">D893*E893</f>
        <v>404000</v>
      </c>
    </row>
    <row r="894" spans="2:6" ht="15" thickBot="1">
      <c r="B894" s="37">
        <v>2</v>
      </c>
      <c r="C894" s="35"/>
      <c r="D894" s="24"/>
      <c r="E894" s="24"/>
      <c r="F894" s="37">
        <f t="shared" si="38"/>
        <v>0</v>
      </c>
    </row>
    <row r="895" spans="2:6" ht="15" thickBot="1">
      <c r="B895" s="37">
        <v>3</v>
      </c>
      <c r="C895" s="35"/>
      <c r="D895" s="24"/>
      <c r="E895" s="24"/>
      <c r="F895" s="37">
        <f t="shared" si="38"/>
        <v>0</v>
      </c>
    </row>
    <row r="896" spans="2:6" ht="15" thickBot="1">
      <c r="B896" s="8"/>
      <c r="C896" s="8"/>
      <c r="D896" s="8"/>
      <c r="E896" s="8"/>
      <c r="F896" s="37">
        <f t="shared" si="38"/>
        <v>0</v>
      </c>
    </row>
    <row r="897" spans="2:7" ht="15" thickBot="1">
      <c r="B897" s="8"/>
      <c r="C897" s="8"/>
      <c r="D897" s="8"/>
      <c r="E897" s="8"/>
      <c r="F897" s="8"/>
    </row>
    <row r="898" spans="2:7" ht="15" thickBot="1">
      <c r="B898" s="606" t="s">
        <v>11</v>
      </c>
      <c r="C898" s="607"/>
      <c r="D898" s="593"/>
      <c r="E898" s="594"/>
      <c r="F898" s="9">
        <f>SUM(F893:F897)</f>
        <v>404000</v>
      </c>
      <c r="G898" s="211" t="s">
        <v>567</v>
      </c>
    </row>
    <row r="901" spans="2:7" ht="15" thickBot="1"/>
    <row r="902" spans="2:7" ht="26.4" thickBot="1">
      <c r="B902" s="603" t="s">
        <v>1617</v>
      </c>
      <c r="C902" s="604"/>
      <c r="D902" s="604"/>
      <c r="E902" s="604"/>
      <c r="F902" s="605"/>
    </row>
    <row r="904" spans="2:7" ht="15.6">
      <c r="B904" s="2" t="s">
        <v>1</v>
      </c>
      <c r="C904" s="1" t="s">
        <v>1621</v>
      </c>
    </row>
    <row r="906" spans="2:7" ht="15.6">
      <c r="B906" s="2" t="s">
        <v>2</v>
      </c>
      <c r="C906" s="34" t="s">
        <v>1618</v>
      </c>
      <c r="D906" s="2" t="s">
        <v>5</v>
      </c>
      <c r="E906" s="21">
        <v>45497</v>
      </c>
    </row>
    <row r="907" spans="2:7" ht="15.6">
      <c r="B907" s="2" t="s">
        <v>3</v>
      </c>
    </row>
    <row r="908" spans="2:7" ht="15.6">
      <c r="B908" s="2" t="s">
        <v>4</v>
      </c>
    </row>
    <row r="909" spans="2:7" ht="15" thickBot="1"/>
    <row r="910" spans="2:7" ht="16.2" thickBot="1">
      <c r="B910" s="10" t="s">
        <v>6</v>
      </c>
      <c r="C910" s="10" t="s">
        <v>7</v>
      </c>
      <c r="D910" s="4" t="s">
        <v>8</v>
      </c>
      <c r="E910" s="10" t="s">
        <v>9</v>
      </c>
      <c r="F910" s="5" t="s">
        <v>10</v>
      </c>
    </row>
    <row r="911" spans="2:7" ht="15" thickBot="1">
      <c r="B911" s="37">
        <v>1</v>
      </c>
      <c r="C911" t="s">
        <v>1409</v>
      </c>
      <c r="D911" s="420">
        <f>'IMEI Record'!N300</f>
        <v>1102.2</v>
      </c>
      <c r="E911" s="23">
        <v>1</v>
      </c>
      <c r="F911" s="37">
        <f t="shared" ref="F911:F927" si="39">D911*E911</f>
        <v>1102.2</v>
      </c>
    </row>
    <row r="912" spans="2:7" ht="15" thickBot="1">
      <c r="B912" s="37">
        <v>2</v>
      </c>
      <c r="C912" t="s">
        <v>1410</v>
      </c>
      <c r="D912" s="420">
        <f>'IMEI Record'!N301</f>
        <v>918.5</v>
      </c>
      <c r="E912" s="23">
        <v>1</v>
      </c>
      <c r="F912" s="37">
        <f t="shared" si="39"/>
        <v>918.5</v>
      </c>
    </row>
    <row r="913" spans="2:6" ht="15" thickBot="1">
      <c r="B913" s="37">
        <v>3</v>
      </c>
      <c r="C913" t="s">
        <v>1411</v>
      </c>
      <c r="D913" s="420">
        <f>'IMEI Record'!N309</f>
        <v>1616.56</v>
      </c>
      <c r="E913" s="23">
        <v>1</v>
      </c>
      <c r="F913" s="37">
        <f t="shared" si="39"/>
        <v>1616.56</v>
      </c>
    </row>
    <row r="914" spans="2:6" ht="15" thickBot="1">
      <c r="B914" s="37">
        <v>4</v>
      </c>
      <c r="C914" s="35" t="s">
        <v>1619</v>
      </c>
      <c r="D914" s="420">
        <f>'IMEI Record'!N359</f>
        <v>91.85</v>
      </c>
      <c r="E914" s="23">
        <v>1</v>
      </c>
      <c r="F914" s="37">
        <f t="shared" si="39"/>
        <v>91.85</v>
      </c>
    </row>
    <row r="915" spans="2:6" ht="15" thickBot="1">
      <c r="B915" s="37">
        <v>5</v>
      </c>
      <c r="C915" s="35" t="s">
        <v>1620</v>
      </c>
      <c r="D915" s="420">
        <f>'IMEI Record'!N360</f>
        <v>91.85</v>
      </c>
      <c r="E915" s="23">
        <v>1</v>
      </c>
      <c r="F915" s="37">
        <f t="shared" si="39"/>
        <v>91.85</v>
      </c>
    </row>
    <row r="916" spans="2:6" ht="15" thickBot="1">
      <c r="B916" s="37">
        <v>6</v>
      </c>
      <c r="C916" s="35" t="str">
        <f>Stock!Q168</f>
        <v>G-Play 128 SILVER</v>
      </c>
      <c r="D916" s="420">
        <f>'IMEI Record'!N361</f>
        <v>91.85</v>
      </c>
      <c r="E916" s="23">
        <v>1</v>
      </c>
      <c r="F916" s="37">
        <f t="shared" si="39"/>
        <v>91.85</v>
      </c>
    </row>
    <row r="917" spans="2:6" ht="15" thickBot="1">
      <c r="B917" s="37">
        <v>7</v>
      </c>
      <c r="C917" s="35" t="str">
        <f>Stock!Q169</f>
        <v>Galaxy A03s -- BLACK</v>
      </c>
      <c r="D917" s="420">
        <f>'IMEI Record'!N362</f>
        <v>91.85</v>
      </c>
      <c r="E917" s="23">
        <v>1</v>
      </c>
      <c r="F917" s="37">
        <f t="shared" si="39"/>
        <v>91.85</v>
      </c>
    </row>
    <row r="918" spans="2:6" ht="15" thickBot="1">
      <c r="B918" s="37">
        <v>8</v>
      </c>
      <c r="C918" s="35" t="str">
        <f>Stock!Q170</f>
        <v>Galaxy A03s -- BLUE</v>
      </c>
      <c r="D918" s="420">
        <f>'IMEI Record'!N363</f>
        <v>91.85</v>
      </c>
      <c r="E918" s="23">
        <v>1</v>
      </c>
      <c r="F918" s="37">
        <f t="shared" si="39"/>
        <v>91.85</v>
      </c>
    </row>
    <row r="919" spans="2:6" ht="15" thickBot="1">
      <c r="B919" s="37">
        <v>9</v>
      </c>
      <c r="C919" s="35" t="str">
        <f>Stock!Q171</f>
        <v>Galaxy A03s -- BLUE</v>
      </c>
      <c r="D919" s="420">
        <f>'IMEI Record'!N364</f>
        <v>91.85</v>
      </c>
      <c r="E919" s="23">
        <v>1</v>
      </c>
      <c r="F919" s="37">
        <f t="shared" si="39"/>
        <v>91.85</v>
      </c>
    </row>
    <row r="920" spans="2:6" ht="15" thickBot="1">
      <c r="B920" s="37">
        <v>10</v>
      </c>
      <c r="C920" s="35" t="str">
        <f>Stock!Q172</f>
        <v>Galaxy A11 32 BLACK</v>
      </c>
      <c r="D920" s="420">
        <f>'IMEI Record'!N365</f>
        <v>91.85</v>
      </c>
      <c r="E920" s="23">
        <v>1</v>
      </c>
      <c r="F920" s="37">
        <f t="shared" si="39"/>
        <v>91.85</v>
      </c>
    </row>
    <row r="921" spans="2:6" ht="15" thickBot="1">
      <c r="B921" s="37">
        <v>11</v>
      </c>
      <c r="C921" s="35" t="str">
        <f>Stock!Q173</f>
        <v>Galaxy A12 -- BLACK</v>
      </c>
      <c r="D921" s="420">
        <f>'IMEI Record'!N366</f>
        <v>91.85</v>
      </c>
      <c r="E921" s="23">
        <v>1</v>
      </c>
      <c r="F921" s="37">
        <f t="shared" si="39"/>
        <v>91.85</v>
      </c>
    </row>
    <row r="922" spans="2:6" ht="15" thickBot="1">
      <c r="B922" s="37">
        <v>12</v>
      </c>
      <c r="C922" s="35" t="str">
        <f>Stock!Q174</f>
        <v>Galaxy A12 -- BLACK</v>
      </c>
      <c r="D922" s="420">
        <f>'IMEI Record'!N367</f>
        <v>91.85</v>
      </c>
      <c r="E922" s="23">
        <v>1</v>
      </c>
      <c r="F922" s="37">
        <f t="shared" si="39"/>
        <v>91.85</v>
      </c>
    </row>
    <row r="923" spans="2:6" ht="15" thickBot="1">
      <c r="B923" s="37">
        <v>13</v>
      </c>
      <c r="C923" s="35" t="str">
        <f>Stock!Q175</f>
        <v>Galaxy A13 32 BLACK</v>
      </c>
      <c r="D923" s="420">
        <f>'IMEI Record'!N368</f>
        <v>91.85</v>
      </c>
      <c r="E923" s="23">
        <v>1</v>
      </c>
      <c r="F923" s="37">
        <f t="shared" si="39"/>
        <v>91.85</v>
      </c>
    </row>
    <row r="924" spans="2:6" ht="15" thickBot="1">
      <c r="B924" s="37">
        <v>14</v>
      </c>
      <c r="C924" s="35" t="str">
        <f>Stock!Q176</f>
        <v>Galaxy A13 -- BLACK</v>
      </c>
      <c r="D924" s="420">
        <f>'IMEI Record'!N369</f>
        <v>91.85</v>
      </c>
      <c r="E924" s="23">
        <v>1</v>
      </c>
      <c r="F924" s="37">
        <f t="shared" si="39"/>
        <v>91.85</v>
      </c>
    </row>
    <row r="925" spans="2:6" ht="15" thickBot="1">
      <c r="B925" s="37">
        <v>15</v>
      </c>
      <c r="C925" s="35" t="str">
        <f>Stock!Q177</f>
        <v>Galaxy A14 64 BLACK</v>
      </c>
      <c r="D925" s="420">
        <f>'IMEI Record'!N370</f>
        <v>146.96</v>
      </c>
      <c r="E925" s="23">
        <v>1</v>
      </c>
      <c r="F925" s="37">
        <f t="shared" si="39"/>
        <v>146.96</v>
      </c>
    </row>
    <row r="926" spans="2:6" ht="15" thickBot="1">
      <c r="B926" s="37">
        <v>16</v>
      </c>
      <c r="C926" s="35" t="str">
        <f>Stock!Q178</f>
        <v>Galaxy A20 -- BLACK</v>
      </c>
      <c r="D926" s="420">
        <f>'IMEI Record'!N371</f>
        <v>91.85</v>
      </c>
      <c r="E926" s="23">
        <v>1</v>
      </c>
      <c r="F926" s="37">
        <f t="shared" si="39"/>
        <v>91.85</v>
      </c>
    </row>
    <row r="927" spans="2:6" ht="15" thickBot="1">
      <c r="B927" s="37">
        <v>17</v>
      </c>
      <c r="C927" s="35" t="str">
        <f>Stock!Q179</f>
        <v>Galaxy A21`  BLACK</v>
      </c>
      <c r="D927" s="420">
        <f>'IMEI Record'!N372</f>
        <v>91.85</v>
      </c>
      <c r="E927" s="23">
        <v>1</v>
      </c>
      <c r="F927" s="37">
        <f t="shared" si="39"/>
        <v>91.85</v>
      </c>
    </row>
    <row r="928" spans="2:6" ht="15" thickBot="1">
      <c r="B928" s="37">
        <v>18</v>
      </c>
      <c r="C928" s="35" t="str">
        <f>Stock!Q180</f>
        <v>Galaxy A25 128 BLACK</v>
      </c>
      <c r="D928" s="420">
        <f>'IMEI Record'!N373</f>
        <v>293.92</v>
      </c>
      <c r="E928" s="23">
        <v>1</v>
      </c>
      <c r="F928" s="37">
        <f>D928*E928</f>
        <v>293.92</v>
      </c>
    </row>
    <row r="929" spans="2:6" ht="15" thickBot="1">
      <c r="B929" s="37">
        <v>19</v>
      </c>
      <c r="C929" s="35" t="str">
        <f>Stock!Q181</f>
        <v>Galaxy A25 128 BLACK</v>
      </c>
      <c r="D929" s="420">
        <f>'IMEI Record'!N374</f>
        <v>293.92</v>
      </c>
      <c r="E929" s="23">
        <v>1</v>
      </c>
      <c r="F929" s="37">
        <f t="shared" ref="F929" si="40">D929*E929</f>
        <v>293.92</v>
      </c>
    </row>
    <row r="930" spans="2:6" ht="15" thickBot="1">
      <c r="B930" s="37">
        <v>20</v>
      </c>
      <c r="C930" s="35" t="str">
        <f>Stock!Q182</f>
        <v>Galaxy A32 -- BLACK</v>
      </c>
      <c r="D930" s="420">
        <f>'IMEI Record'!N375</f>
        <v>110.22</v>
      </c>
      <c r="E930" s="23">
        <v>1</v>
      </c>
      <c r="F930" s="37">
        <f t="shared" ref="F930:F933" si="41">D930*E930</f>
        <v>110.22</v>
      </c>
    </row>
    <row r="931" spans="2:6" ht="15" thickBot="1">
      <c r="B931" s="37">
        <v>21</v>
      </c>
      <c r="C931" s="35" t="str">
        <f>Stock!Q183</f>
        <v>Galaxy Note 9 128 BLUE</v>
      </c>
      <c r="D931" s="420">
        <f>'IMEI Record'!N376</f>
        <v>128.59</v>
      </c>
      <c r="E931" s="23">
        <v>1</v>
      </c>
      <c r="F931" s="37">
        <f t="shared" si="41"/>
        <v>128.59</v>
      </c>
    </row>
    <row r="932" spans="2:6" ht="15" thickBot="1">
      <c r="B932" s="37">
        <v>22</v>
      </c>
      <c r="C932" s="35" t="str">
        <f>Stock!Q184</f>
        <v>Galaxy S20FE 128 BLUE</v>
      </c>
      <c r="D932" s="420">
        <f>'IMEI Record'!N377</f>
        <v>293.92</v>
      </c>
      <c r="E932" s="23">
        <v>1</v>
      </c>
      <c r="F932" s="37">
        <f t="shared" si="41"/>
        <v>293.92</v>
      </c>
    </row>
    <row r="933" spans="2:6" ht="15" thickBot="1">
      <c r="B933" s="37">
        <v>23</v>
      </c>
      <c r="C933" s="35" t="str">
        <f>Stock!Q185</f>
        <v>Galaxy S8 64 BLACK</v>
      </c>
      <c r="D933" s="420">
        <f>'IMEI Record'!N378</f>
        <v>91.85</v>
      </c>
      <c r="E933" s="23">
        <v>1</v>
      </c>
      <c r="F933" s="37">
        <f t="shared" si="41"/>
        <v>91.85</v>
      </c>
    </row>
    <row r="934" spans="2:6" ht="15" thickBot="1">
      <c r="B934" s="37">
        <v>24</v>
      </c>
      <c r="C934" s="35" t="str">
        <f>Stock!Q186</f>
        <v>Galaxy S8 64 BLUE</v>
      </c>
      <c r="D934" s="420">
        <f>'IMEI Record'!N379</f>
        <v>91.85</v>
      </c>
      <c r="E934" s="23">
        <v>1</v>
      </c>
      <c r="F934" s="37">
        <f t="shared" ref="F934" si="42">D934*E934</f>
        <v>91.85</v>
      </c>
    </row>
    <row r="935" spans="2:6" ht="15" thickBot="1">
      <c r="B935" s="606" t="s">
        <v>11</v>
      </c>
      <c r="C935" s="607"/>
      <c r="D935" s="593"/>
      <c r="E935" s="594"/>
      <c r="F935" s="9">
        <f>SUM(F928:F934)</f>
        <v>1304.27</v>
      </c>
    </row>
    <row r="938" spans="2:6" ht="15" thickBot="1"/>
    <row r="939" spans="2:6" ht="26.4" thickBot="1">
      <c r="B939" s="603" t="s">
        <v>0</v>
      </c>
      <c r="C939" s="604"/>
      <c r="D939" s="604"/>
      <c r="E939" s="604"/>
      <c r="F939" s="605"/>
    </row>
    <row r="941" spans="2:6" ht="15.6">
      <c r="B941" s="2" t="s">
        <v>1</v>
      </c>
      <c r="C941" s="1" t="s">
        <v>1685</v>
      </c>
    </row>
    <row r="943" spans="2:6" ht="15.6">
      <c r="B943" s="2" t="s">
        <v>2</v>
      </c>
      <c r="C943" s="34" t="s">
        <v>634</v>
      </c>
      <c r="D943" s="2" t="s">
        <v>5</v>
      </c>
      <c r="E943" s="21">
        <v>45503</v>
      </c>
    </row>
    <row r="944" spans="2:6" ht="15.6">
      <c r="B944" s="2" t="s">
        <v>3</v>
      </c>
    </row>
    <row r="945" spans="2:7" ht="15.6">
      <c r="B945" s="2" t="s">
        <v>4</v>
      </c>
    </row>
    <row r="946" spans="2:7" ht="15" thickBot="1"/>
    <row r="947" spans="2:7" ht="16.2" thickBot="1">
      <c r="B947" s="10" t="s">
        <v>6</v>
      </c>
      <c r="C947" s="10" t="s">
        <v>7</v>
      </c>
      <c r="D947" s="4" t="s">
        <v>8</v>
      </c>
      <c r="E947" s="10" t="s">
        <v>9</v>
      </c>
      <c r="F947" s="5" t="s">
        <v>10</v>
      </c>
    </row>
    <row r="948" spans="2:7" ht="15" thickBot="1">
      <c r="B948" s="6"/>
      <c r="F948" s="7"/>
    </row>
    <row r="949" spans="2:7" ht="15" thickBot="1">
      <c r="B949" s="37">
        <v>1</v>
      </c>
      <c r="C949" s="35" t="s">
        <v>636</v>
      </c>
      <c r="D949" s="24">
        <v>175000</v>
      </c>
      <c r="E949" s="23">
        <v>-3</v>
      </c>
      <c r="F949" s="37">
        <f t="shared" ref="F949:F952" si="43">D949*E949</f>
        <v>-525000</v>
      </c>
    </row>
    <row r="950" spans="2:7" ht="15" thickBot="1">
      <c r="B950" s="37">
        <v>2</v>
      </c>
      <c r="C950" s="35"/>
      <c r="D950" s="24"/>
      <c r="E950" s="24"/>
      <c r="F950" s="37">
        <f t="shared" si="43"/>
        <v>0</v>
      </c>
    </row>
    <row r="951" spans="2:7" ht="15" thickBot="1">
      <c r="B951" s="37">
        <v>3</v>
      </c>
      <c r="C951" s="35"/>
      <c r="D951" s="24"/>
      <c r="E951" s="24"/>
      <c r="F951" s="37">
        <f t="shared" si="43"/>
        <v>0</v>
      </c>
    </row>
    <row r="952" spans="2:7" ht="15" thickBot="1">
      <c r="B952" s="8"/>
      <c r="C952" s="8"/>
      <c r="D952" s="8"/>
      <c r="E952" s="8"/>
      <c r="F952" s="37">
        <f t="shared" si="43"/>
        <v>0</v>
      </c>
    </row>
    <row r="953" spans="2:7" ht="15" thickBot="1">
      <c r="B953" s="8"/>
      <c r="C953" s="8"/>
      <c r="D953" s="8"/>
      <c r="E953" s="8"/>
      <c r="F953" s="8"/>
    </row>
    <row r="954" spans="2:7" ht="15" thickBot="1">
      <c r="B954" s="606" t="s">
        <v>11</v>
      </c>
      <c r="C954" s="607"/>
      <c r="D954" s="593"/>
      <c r="E954" s="594"/>
      <c r="F954" s="9">
        <f>SUM(F949:F953)</f>
        <v>-525000</v>
      </c>
      <c r="G954" s="211" t="s">
        <v>567</v>
      </c>
    </row>
    <row r="956" spans="2:7" ht="15" thickBot="1"/>
    <row r="957" spans="2:7" ht="26.4" thickBot="1">
      <c r="B957" s="603" t="s">
        <v>0</v>
      </c>
      <c r="C957" s="604"/>
      <c r="D957" s="604"/>
      <c r="E957" s="604"/>
      <c r="F957" s="605"/>
    </row>
    <row r="959" spans="2:7" ht="15.6">
      <c r="B959" s="2" t="s">
        <v>1</v>
      </c>
      <c r="C959" s="1" t="s">
        <v>1687</v>
      </c>
    </row>
    <row r="961" spans="2:7" ht="15.6">
      <c r="B961" s="2" t="s">
        <v>2</v>
      </c>
      <c r="C961" s="34" t="s">
        <v>634</v>
      </c>
      <c r="D961" s="2" t="s">
        <v>5</v>
      </c>
      <c r="E961" s="21">
        <v>45503</v>
      </c>
    </row>
    <row r="962" spans="2:7" ht="15.6">
      <c r="B962" s="2" t="s">
        <v>3</v>
      </c>
    </row>
    <row r="963" spans="2:7" ht="15.6">
      <c r="B963" s="2" t="s">
        <v>4</v>
      </c>
    </row>
    <row r="964" spans="2:7" ht="15" thickBot="1"/>
    <row r="965" spans="2:7" ht="16.2" thickBot="1">
      <c r="B965" s="10" t="s">
        <v>6</v>
      </c>
      <c r="C965" s="10" t="s">
        <v>7</v>
      </c>
      <c r="D965" s="4" t="s">
        <v>8</v>
      </c>
      <c r="E965" s="10" t="s">
        <v>9</v>
      </c>
      <c r="F965" s="5" t="s">
        <v>10</v>
      </c>
    </row>
    <row r="966" spans="2:7" ht="15" thickBot="1">
      <c r="B966" s="6"/>
      <c r="F966" s="7"/>
    </row>
    <row r="967" spans="2:7" ht="15" thickBot="1">
      <c r="B967" s="37">
        <v>1</v>
      </c>
      <c r="C967" s="35" t="s">
        <v>636</v>
      </c>
      <c r="D967" s="24">
        <v>175000</v>
      </c>
      <c r="E967" s="23">
        <v>2</v>
      </c>
      <c r="F967" s="37">
        <f t="shared" ref="F967:F970" si="44">D967*E967</f>
        <v>350000</v>
      </c>
    </row>
    <row r="968" spans="2:7" ht="15" thickBot="1">
      <c r="B968" s="37">
        <v>2</v>
      </c>
      <c r="C968" s="35"/>
      <c r="D968" s="24"/>
      <c r="E968" s="24"/>
      <c r="F968" s="37">
        <f t="shared" si="44"/>
        <v>0</v>
      </c>
    </row>
    <row r="969" spans="2:7" ht="15" thickBot="1">
      <c r="B969" s="37">
        <v>3</v>
      </c>
      <c r="C969" s="35"/>
      <c r="D969" s="24"/>
      <c r="E969" s="24"/>
      <c r="F969" s="37">
        <f t="shared" si="44"/>
        <v>0</v>
      </c>
    </row>
    <row r="970" spans="2:7" ht="15" thickBot="1">
      <c r="B970" s="8"/>
      <c r="C970" s="8"/>
      <c r="D970" s="8"/>
      <c r="E970" s="8"/>
      <c r="F970" s="37">
        <f t="shared" si="44"/>
        <v>0</v>
      </c>
    </row>
    <row r="971" spans="2:7" ht="15" thickBot="1">
      <c r="B971" s="8"/>
      <c r="C971" s="8"/>
      <c r="D971" s="8"/>
      <c r="E971" s="8"/>
      <c r="F971" s="8"/>
    </row>
    <row r="972" spans="2:7" ht="15" thickBot="1">
      <c r="B972" s="606" t="s">
        <v>11</v>
      </c>
      <c r="C972" s="607"/>
      <c r="D972" s="593"/>
      <c r="E972" s="594"/>
      <c r="F972" s="9">
        <f>SUM(F967:F971)</f>
        <v>350000</v>
      </c>
      <c r="G972" s="211" t="s">
        <v>567</v>
      </c>
    </row>
    <row r="974" spans="2:7" ht="15" thickBot="1"/>
    <row r="975" spans="2:7" ht="26.4" thickBot="1">
      <c r="B975" s="603" t="s">
        <v>0</v>
      </c>
      <c r="C975" s="604"/>
      <c r="D975" s="604"/>
      <c r="E975" s="604"/>
      <c r="F975" s="605"/>
    </row>
    <row r="977" spans="2:7" ht="15.6">
      <c r="B977" s="2" t="s">
        <v>1</v>
      </c>
      <c r="C977" s="1" t="s">
        <v>1691</v>
      </c>
    </row>
    <row r="979" spans="2:7" ht="15.6">
      <c r="B979" s="2" t="s">
        <v>2</v>
      </c>
      <c r="C979" s="34" t="s">
        <v>634</v>
      </c>
      <c r="D979" s="2" t="s">
        <v>5</v>
      </c>
      <c r="E979" s="21">
        <v>45503</v>
      </c>
    </row>
    <row r="980" spans="2:7" ht="15.6">
      <c r="B980" s="2" t="s">
        <v>3</v>
      </c>
    </row>
    <row r="981" spans="2:7" ht="15.6">
      <c r="B981" s="2" t="s">
        <v>4</v>
      </c>
    </row>
    <row r="982" spans="2:7" ht="15" thickBot="1"/>
    <row r="983" spans="2:7" ht="16.2" thickBot="1">
      <c r="B983" s="10" t="s">
        <v>6</v>
      </c>
      <c r="C983" s="10" t="s">
        <v>7</v>
      </c>
      <c r="D983" s="4" t="s">
        <v>8</v>
      </c>
      <c r="E983" s="10" t="s">
        <v>9</v>
      </c>
      <c r="F983" s="5" t="s">
        <v>10</v>
      </c>
    </row>
    <row r="984" spans="2:7">
      <c r="B984" s="6"/>
      <c r="F984" s="7"/>
    </row>
    <row r="985" spans="2:7">
      <c r="B985" s="18">
        <v>1</v>
      </c>
      <c r="C985" s="17" t="s">
        <v>1689</v>
      </c>
      <c r="D985" s="25">
        <v>190000</v>
      </c>
      <c r="E985" s="25">
        <v>1</v>
      </c>
      <c r="F985" s="18">
        <f t="shared" ref="F985:F988" si="45">D985*E985</f>
        <v>190000</v>
      </c>
    </row>
    <row r="986" spans="2:7">
      <c r="B986" s="18">
        <v>2</v>
      </c>
      <c r="C986" s="17" t="s">
        <v>1611</v>
      </c>
      <c r="D986" s="25">
        <v>202000</v>
      </c>
      <c r="E986" s="25">
        <v>1</v>
      </c>
      <c r="F986" s="18">
        <f t="shared" si="45"/>
        <v>202000</v>
      </c>
    </row>
    <row r="987" spans="2:7">
      <c r="B987" s="18">
        <v>3</v>
      </c>
      <c r="C987" s="17" t="s">
        <v>1690</v>
      </c>
      <c r="D987" s="25">
        <v>185000</v>
      </c>
      <c r="E987" s="25">
        <v>1</v>
      </c>
      <c r="F987" s="18">
        <f t="shared" si="45"/>
        <v>185000</v>
      </c>
    </row>
    <row r="988" spans="2:7" ht="15" thickBot="1">
      <c r="B988" s="297"/>
      <c r="C988" s="297"/>
      <c r="D988" s="297"/>
      <c r="E988" s="297"/>
      <c r="F988" s="435">
        <f t="shared" si="45"/>
        <v>0</v>
      </c>
    </row>
    <row r="989" spans="2:7" ht="15" thickBot="1">
      <c r="B989" s="8"/>
      <c r="C989" s="8"/>
      <c r="D989" s="8"/>
      <c r="E989" s="8"/>
      <c r="F989" s="8"/>
    </row>
    <row r="990" spans="2:7" ht="15" thickBot="1">
      <c r="B990" s="606" t="s">
        <v>11</v>
      </c>
      <c r="C990" s="607"/>
      <c r="D990" s="593"/>
      <c r="E990" s="594"/>
      <c r="F990" s="9">
        <f>SUM(F985:F989)</f>
        <v>577000</v>
      </c>
      <c r="G990" s="211" t="s">
        <v>567</v>
      </c>
    </row>
    <row r="992" spans="2:7" ht="15" thickBot="1"/>
    <row r="993" spans="2:6" ht="26.4" thickBot="1">
      <c r="B993" s="603" t="s">
        <v>0</v>
      </c>
      <c r="C993" s="604"/>
      <c r="D993" s="604"/>
      <c r="E993" s="604"/>
      <c r="F993" s="605"/>
    </row>
    <row r="995" spans="2:6" ht="15.6">
      <c r="B995" s="2" t="s">
        <v>1</v>
      </c>
      <c r="C995" s="1" t="s">
        <v>1701</v>
      </c>
    </row>
    <row r="997" spans="2:6" ht="15.6">
      <c r="B997" s="2" t="s">
        <v>2</v>
      </c>
      <c r="C997" s="34" t="s">
        <v>1702</v>
      </c>
      <c r="D997" s="2" t="s">
        <v>5</v>
      </c>
      <c r="E997" s="21">
        <v>45504</v>
      </c>
    </row>
    <row r="998" spans="2:6" ht="15.6">
      <c r="B998" s="2" t="s">
        <v>3</v>
      </c>
    </row>
    <row r="999" spans="2:6" ht="15.6">
      <c r="B999" s="2" t="s">
        <v>4</v>
      </c>
    </row>
    <row r="1000" spans="2:6" ht="15" thickBot="1"/>
    <row r="1001" spans="2:6" ht="16.2" thickBot="1">
      <c r="B1001" s="10" t="s">
        <v>6</v>
      </c>
      <c r="C1001" s="10" t="s">
        <v>7</v>
      </c>
      <c r="D1001" s="4" t="s">
        <v>8</v>
      </c>
      <c r="E1001" s="10" t="s">
        <v>9</v>
      </c>
      <c r="F1001" s="5" t="s">
        <v>10</v>
      </c>
    </row>
    <row r="1002" spans="2:6">
      <c r="B1002" s="6"/>
      <c r="F1002" s="7"/>
    </row>
    <row r="1003" spans="2:6">
      <c r="B1003" s="18">
        <v>1</v>
      </c>
      <c r="C1003" s="17" t="s">
        <v>874</v>
      </c>
      <c r="D1003" s="25">
        <v>1170</v>
      </c>
      <c r="E1003" s="25">
        <v>17</v>
      </c>
      <c r="F1003" s="18">
        <f t="shared" ref="F1003:F1006" si="46">D1003*E1003</f>
        <v>19890</v>
      </c>
    </row>
    <row r="1004" spans="2:6">
      <c r="B1004" s="18">
        <v>2</v>
      </c>
      <c r="C1004" s="17" t="s">
        <v>1703</v>
      </c>
      <c r="D1004" s="25">
        <v>2792</v>
      </c>
      <c r="E1004" s="25">
        <v>5</v>
      </c>
      <c r="F1004" s="18">
        <f t="shared" si="46"/>
        <v>13960</v>
      </c>
    </row>
    <row r="1005" spans="2:6">
      <c r="B1005" s="18">
        <v>3</v>
      </c>
      <c r="C1005" s="17"/>
      <c r="D1005" s="25"/>
      <c r="E1005" s="25"/>
      <c r="F1005" s="18">
        <f t="shared" si="46"/>
        <v>0</v>
      </c>
    </row>
    <row r="1006" spans="2:6" ht="15" thickBot="1">
      <c r="B1006" s="297"/>
      <c r="C1006" s="297"/>
      <c r="D1006" s="297"/>
      <c r="E1006" s="297"/>
      <c r="F1006" s="435">
        <f t="shared" si="46"/>
        <v>0</v>
      </c>
    </row>
    <row r="1007" spans="2:6" ht="15" thickBot="1">
      <c r="B1007" s="8"/>
      <c r="C1007" s="8"/>
      <c r="D1007" s="8"/>
      <c r="E1007" s="8"/>
      <c r="F1007" s="8"/>
    </row>
    <row r="1008" spans="2:6" ht="15" thickBot="1">
      <c r="B1008" s="606" t="s">
        <v>11</v>
      </c>
      <c r="C1008" s="607"/>
      <c r="D1008" s="593"/>
      <c r="E1008" s="594"/>
      <c r="F1008" s="9">
        <f>SUM(F1003:F1007)</f>
        <v>33850</v>
      </c>
    </row>
    <row r="1010" spans="2:6" ht="15" thickBot="1"/>
    <row r="1011" spans="2:6" ht="26.4" thickBot="1">
      <c r="B1011" s="603" t="s">
        <v>0</v>
      </c>
      <c r="C1011" s="604"/>
      <c r="D1011" s="604"/>
      <c r="E1011" s="604"/>
      <c r="F1011" s="605"/>
    </row>
    <row r="1013" spans="2:6" ht="15.6">
      <c r="B1013" s="2" t="s">
        <v>1</v>
      </c>
      <c r="C1013" s="1" t="s">
        <v>1734</v>
      </c>
    </row>
    <row r="1015" spans="2:6" ht="15.6">
      <c r="B1015" s="2" t="s">
        <v>2</v>
      </c>
      <c r="C1015" s="34" t="s">
        <v>634</v>
      </c>
      <c r="D1015" s="2" t="s">
        <v>5</v>
      </c>
      <c r="E1015" s="21">
        <v>45510</v>
      </c>
    </row>
    <row r="1016" spans="2:6" ht="15.6">
      <c r="B1016" s="2" t="s">
        <v>3</v>
      </c>
    </row>
    <row r="1017" spans="2:6" ht="15.6">
      <c r="B1017" s="2" t="s">
        <v>4</v>
      </c>
    </row>
    <row r="1018" spans="2:6" ht="15" thickBot="1"/>
    <row r="1019" spans="2:6" ht="16.2" thickBot="1">
      <c r="B1019" s="10" t="s">
        <v>6</v>
      </c>
      <c r="C1019" s="10" t="s">
        <v>7</v>
      </c>
      <c r="D1019" s="4" t="s">
        <v>8</v>
      </c>
      <c r="E1019" s="10" t="s">
        <v>9</v>
      </c>
      <c r="F1019" s="5" t="s">
        <v>10</v>
      </c>
    </row>
    <row r="1020" spans="2:6">
      <c r="B1020" s="6"/>
      <c r="F1020" s="7"/>
    </row>
    <row r="1021" spans="2:6">
      <c r="B1021" s="18">
        <v>1</v>
      </c>
      <c r="C1021" s="309" t="s">
        <v>1735</v>
      </c>
      <c r="D1021" s="25">
        <v>175000</v>
      </c>
      <c r="E1021" s="25">
        <v>-1</v>
      </c>
      <c r="F1021" s="18">
        <f t="shared" ref="F1021:F1024" si="47">D1021*E1021</f>
        <v>-175000</v>
      </c>
    </row>
    <row r="1022" spans="2:6">
      <c r="B1022" s="18">
        <v>2</v>
      </c>
      <c r="C1022" s="17" t="s">
        <v>1736</v>
      </c>
      <c r="D1022" s="25">
        <v>145000</v>
      </c>
      <c r="E1022" s="25">
        <v>2</v>
      </c>
      <c r="F1022" s="18">
        <f t="shared" si="47"/>
        <v>290000</v>
      </c>
    </row>
    <row r="1023" spans="2:6">
      <c r="B1023" s="18">
        <v>3</v>
      </c>
      <c r="C1023" s="17" t="s">
        <v>1991</v>
      </c>
      <c r="D1023" s="25">
        <v>105000</v>
      </c>
      <c r="E1023" s="25">
        <v>1</v>
      </c>
      <c r="F1023" s="18">
        <f t="shared" si="47"/>
        <v>105000</v>
      </c>
    </row>
    <row r="1024" spans="2:6" ht="15" thickBot="1">
      <c r="B1024" s="297"/>
      <c r="C1024" s="297"/>
      <c r="D1024" s="297"/>
      <c r="E1024" s="297"/>
      <c r="F1024" s="435">
        <f t="shared" si="47"/>
        <v>0</v>
      </c>
    </row>
    <row r="1025" spans="2:7" ht="15" thickBot="1">
      <c r="B1025" s="8"/>
      <c r="C1025" s="8"/>
      <c r="D1025" s="8"/>
      <c r="E1025" s="8"/>
      <c r="F1025" s="8"/>
    </row>
    <row r="1026" spans="2:7" ht="15" thickBot="1">
      <c r="B1026" s="606" t="s">
        <v>11</v>
      </c>
      <c r="C1026" s="607"/>
      <c r="D1026" s="593"/>
      <c r="E1026" s="594"/>
      <c r="F1026" s="9">
        <f>SUM(F1021:F1025)</f>
        <v>220000</v>
      </c>
      <c r="G1026" s="211" t="s">
        <v>567</v>
      </c>
    </row>
    <row r="1028" spans="2:7" ht="15" thickBot="1"/>
    <row r="1029" spans="2:7" ht="26.4" thickBot="1">
      <c r="B1029" s="603" t="s">
        <v>0</v>
      </c>
      <c r="C1029" s="604"/>
      <c r="D1029" s="604"/>
      <c r="E1029" s="604"/>
      <c r="F1029" s="605"/>
    </row>
    <row r="1031" spans="2:7" ht="15.6">
      <c r="B1031" s="2" t="s">
        <v>1</v>
      </c>
      <c r="C1031" s="1" t="s">
        <v>1763</v>
      </c>
    </row>
    <row r="1033" spans="2:7" ht="15.6">
      <c r="B1033" s="2" t="s">
        <v>2</v>
      </c>
      <c r="C1033" s="34" t="s">
        <v>1782</v>
      </c>
      <c r="D1033" s="2" t="s">
        <v>5</v>
      </c>
      <c r="E1033" s="21">
        <v>45517</v>
      </c>
    </row>
    <row r="1034" spans="2:7" ht="15.6">
      <c r="B1034" s="2" t="s">
        <v>3</v>
      </c>
    </row>
    <row r="1035" spans="2:7" ht="15.6">
      <c r="B1035" s="2" t="s">
        <v>4</v>
      </c>
    </row>
    <row r="1037" spans="2:7" ht="15.6">
      <c r="B1037" s="460" t="s">
        <v>6</v>
      </c>
      <c r="C1037" s="460" t="s">
        <v>7</v>
      </c>
      <c r="D1037" s="460" t="s">
        <v>8</v>
      </c>
      <c r="E1037" s="460" t="s">
        <v>9</v>
      </c>
      <c r="F1037" s="460" t="s">
        <v>10</v>
      </c>
    </row>
    <row r="1038" spans="2:7">
      <c r="B1038" s="17"/>
      <c r="C1038" s="17"/>
      <c r="D1038" s="17"/>
      <c r="E1038" s="17"/>
      <c r="F1038" s="17"/>
    </row>
    <row r="1039" spans="2:7">
      <c r="B1039" s="18"/>
      <c r="C1039" s="207" t="s">
        <v>1783</v>
      </c>
      <c r="D1039" s="466">
        <f>'IMEI Record'!H510+'IMEI Record'!I510</f>
        <v>3138.9714285714285</v>
      </c>
      <c r="E1039" s="462">
        <v>2</v>
      </c>
      <c r="F1039" s="18">
        <f t="shared" ref="F1039:F1051" si="48">D1039*E1039</f>
        <v>6277.9428571428571</v>
      </c>
    </row>
    <row r="1040" spans="2:7">
      <c r="B1040" s="18"/>
      <c r="C1040" s="207" t="s">
        <v>1784</v>
      </c>
      <c r="D1040" s="466">
        <f>'IMEI Record'!H511+'IMEI Record'!I511</f>
        <v>2881.7914285714282</v>
      </c>
      <c r="E1040" s="462">
        <v>6</v>
      </c>
      <c r="F1040" s="18">
        <f t="shared" si="48"/>
        <v>17290.748571428569</v>
      </c>
    </row>
    <row r="1041" spans="2:6">
      <c r="B1041" s="18"/>
      <c r="C1041" s="17" t="s">
        <v>1785</v>
      </c>
      <c r="D1041" s="466">
        <f>'IMEI Record'!H512+'IMEI Record'!I512</f>
        <v>2110.2514285714283</v>
      </c>
      <c r="E1041" s="462">
        <v>1</v>
      </c>
      <c r="F1041" s="18">
        <f t="shared" si="48"/>
        <v>2110.2514285714283</v>
      </c>
    </row>
    <row r="1042" spans="2:6">
      <c r="B1042" s="18"/>
      <c r="C1042" s="17" t="s">
        <v>1786</v>
      </c>
      <c r="D1042" s="466">
        <f>'IMEI Record'!H513+'IMEI Record'!I513</f>
        <v>1595.8914285714286</v>
      </c>
      <c r="E1042" s="462">
        <v>1</v>
      </c>
      <c r="F1042" s="18">
        <f t="shared" si="48"/>
        <v>1595.8914285714286</v>
      </c>
    </row>
    <row r="1043" spans="2:6">
      <c r="B1043" s="18"/>
      <c r="C1043" s="17" t="s">
        <v>1787</v>
      </c>
      <c r="D1043" s="466">
        <f>'IMEI Record'!H514+'IMEI Record'!I514</f>
        <v>3120.6014285714282</v>
      </c>
      <c r="E1043" s="462">
        <v>1</v>
      </c>
      <c r="F1043" s="18">
        <f t="shared" si="48"/>
        <v>3120.6014285714282</v>
      </c>
    </row>
    <row r="1044" spans="2:6">
      <c r="B1044" s="18"/>
      <c r="C1044" s="17" t="s">
        <v>1788</v>
      </c>
      <c r="D1044" s="466">
        <f>'IMEI Record'!H515+'IMEI Record'!I515</f>
        <v>1504.0414285714287</v>
      </c>
      <c r="E1044" s="462">
        <v>1</v>
      </c>
      <c r="F1044" s="18">
        <f t="shared" si="48"/>
        <v>1504.0414285714287</v>
      </c>
    </row>
    <row r="1045" spans="2:6">
      <c r="B1045" s="18"/>
      <c r="C1045" s="17" t="s">
        <v>1789</v>
      </c>
      <c r="D1045" s="466">
        <f>'IMEI Record'!H516+'IMEI Record'!I516</f>
        <v>1228.4914285714287</v>
      </c>
      <c r="E1045" s="462">
        <v>2</v>
      </c>
      <c r="F1045" s="18">
        <f t="shared" si="48"/>
        <v>2456.9828571428575</v>
      </c>
    </row>
    <row r="1046" spans="2:6">
      <c r="B1046" s="18"/>
      <c r="C1046" s="17" t="s">
        <v>1790</v>
      </c>
      <c r="D1046" s="466">
        <f>'IMEI Record'!H517+'IMEI Record'!I517</f>
        <v>1816.3314285714287</v>
      </c>
      <c r="E1046" s="462">
        <v>1</v>
      </c>
      <c r="F1046" s="18">
        <f t="shared" si="48"/>
        <v>1816.3314285714287</v>
      </c>
    </row>
    <row r="1047" spans="2:6">
      <c r="B1047" s="18"/>
      <c r="C1047" s="17" t="s">
        <v>1791</v>
      </c>
      <c r="D1047" s="466">
        <f>'IMEI Record'!H518+'IMEI Record'!I518</f>
        <v>2110.2514285714283</v>
      </c>
      <c r="E1047" s="462">
        <v>4</v>
      </c>
      <c r="F1047" s="18">
        <f t="shared" si="48"/>
        <v>8441.0057142857131</v>
      </c>
    </row>
    <row r="1048" spans="2:6">
      <c r="B1048" s="18"/>
      <c r="C1048" s="17" t="s">
        <v>1792</v>
      </c>
      <c r="D1048" s="466">
        <f>'IMEI Record'!H519+'IMEI Record'!I519</f>
        <v>1118.2714285714287</v>
      </c>
      <c r="E1048" s="462">
        <v>1</v>
      </c>
      <c r="F1048" s="18">
        <f t="shared" si="48"/>
        <v>1118.2714285714287</v>
      </c>
    </row>
    <row r="1049" spans="2:6">
      <c r="B1049" s="18"/>
      <c r="C1049" s="17" t="s">
        <v>1793</v>
      </c>
      <c r="D1049" s="466">
        <f>'IMEI Record'!H520+'IMEI Record'!I520</f>
        <v>3910.5114285714285</v>
      </c>
      <c r="E1049" s="462">
        <v>5</v>
      </c>
      <c r="F1049" s="18">
        <f t="shared" si="48"/>
        <v>19552.557142857142</v>
      </c>
    </row>
    <row r="1050" spans="2:6">
      <c r="B1050" s="18"/>
      <c r="C1050" s="17" t="s">
        <v>1794</v>
      </c>
      <c r="D1050" s="466">
        <f>'IMEI Record'!H521+'IMEI Record'!I521</f>
        <v>3837.0314285714285</v>
      </c>
      <c r="E1050" s="462">
        <v>2</v>
      </c>
      <c r="F1050" s="18">
        <f t="shared" si="48"/>
        <v>7674.062857142857</v>
      </c>
    </row>
    <row r="1051" spans="2:6">
      <c r="B1051" s="18"/>
      <c r="C1051" s="17" t="s">
        <v>1795</v>
      </c>
      <c r="D1051" s="466">
        <f>'IMEI Record'!H522+'IMEI Record'!I522</f>
        <v>2955.2714285714283</v>
      </c>
      <c r="E1051" s="462">
        <v>1</v>
      </c>
      <c r="F1051" s="18">
        <f t="shared" si="48"/>
        <v>2955.2714285714283</v>
      </c>
    </row>
    <row r="1052" spans="2:6">
      <c r="B1052" s="17"/>
      <c r="C1052" s="17"/>
      <c r="D1052" s="25"/>
      <c r="E1052" s="17"/>
      <c r="F1052" s="18"/>
    </row>
    <row r="1053" spans="2:6">
      <c r="B1053" s="17"/>
      <c r="C1053" s="17"/>
      <c r="D1053" s="17"/>
      <c r="E1053" s="17"/>
      <c r="F1053" s="17"/>
    </row>
    <row r="1054" spans="2:6">
      <c r="B1054" s="613" t="s">
        <v>11</v>
      </c>
      <c r="C1054" s="613"/>
      <c r="D1054" s="614"/>
      <c r="E1054" s="614"/>
      <c r="F1054" s="461">
        <f>SUM(F1039:F1053)</f>
        <v>75913.960000000006</v>
      </c>
    </row>
    <row r="1057" spans="2:6" ht="15" thickBot="1"/>
    <row r="1058" spans="2:6" ht="26.4" thickBot="1">
      <c r="B1058" s="603" t="s">
        <v>0</v>
      </c>
      <c r="C1058" s="604"/>
      <c r="D1058" s="604"/>
      <c r="E1058" s="604"/>
      <c r="F1058" s="605"/>
    </row>
    <row r="1060" spans="2:6" ht="15.6">
      <c r="B1060" s="2" t="s">
        <v>1</v>
      </c>
      <c r="C1060" s="1" t="s">
        <v>1924</v>
      </c>
    </row>
    <row r="1062" spans="2:6" ht="15.6">
      <c r="B1062" s="2" t="s">
        <v>2</v>
      </c>
      <c r="C1062" s="34" t="s">
        <v>1974</v>
      </c>
      <c r="D1062" s="2" t="s">
        <v>5</v>
      </c>
      <c r="E1062" s="21">
        <v>45527</v>
      </c>
    </row>
    <row r="1063" spans="2:6" ht="15.6">
      <c r="B1063" s="2" t="s">
        <v>3</v>
      </c>
    </row>
    <row r="1064" spans="2:6" ht="15.6">
      <c r="B1064" s="2" t="s">
        <v>4</v>
      </c>
    </row>
    <row r="1066" spans="2:6" ht="15.6">
      <c r="B1066" s="460" t="s">
        <v>6</v>
      </c>
      <c r="C1066" s="460" t="s">
        <v>7</v>
      </c>
      <c r="D1066" s="460" t="s">
        <v>8</v>
      </c>
      <c r="E1066" s="460" t="s">
        <v>9</v>
      </c>
      <c r="F1066" s="460" t="s">
        <v>10</v>
      </c>
    </row>
    <row r="1067" spans="2:6">
      <c r="B1067" s="17"/>
      <c r="C1067" s="17"/>
      <c r="D1067" s="17"/>
      <c r="E1067" s="17"/>
      <c r="F1067" s="17"/>
    </row>
    <row r="1068" spans="2:6" ht="15.6">
      <c r="B1068" s="18"/>
      <c r="C1068" s="491" t="s">
        <v>1928</v>
      </c>
      <c r="D1068" s="466">
        <f>'IMEI Record'!J561</f>
        <v>3186</v>
      </c>
      <c r="E1068" s="1">
        <v>1</v>
      </c>
      <c r="F1068" s="18">
        <f t="shared" ref="F1068:F1075" si="49">D1068*E1068</f>
        <v>3186</v>
      </c>
    </row>
    <row r="1069" spans="2:6" ht="15.6">
      <c r="B1069" s="18"/>
      <c r="C1069" s="492" t="s">
        <v>1929</v>
      </c>
      <c r="D1069" s="466">
        <f>'IMEI Record'!J562/5</f>
        <v>3847.5</v>
      </c>
      <c r="E1069" s="1">
        <v>5</v>
      </c>
      <c r="F1069" s="18">
        <f t="shared" si="49"/>
        <v>19237.5</v>
      </c>
    </row>
    <row r="1070" spans="2:6" ht="15.6">
      <c r="B1070" s="18"/>
      <c r="C1070" s="492" t="s">
        <v>1930</v>
      </c>
      <c r="D1070" s="466">
        <f>'IMEI Record'!J567</f>
        <v>3847.5000000000005</v>
      </c>
      <c r="E1070" s="462">
        <v>1</v>
      </c>
      <c r="F1070" s="18">
        <f t="shared" si="49"/>
        <v>3847.5000000000005</v>
      </c>
    </row>
    <row r="1071" spans="2:6" ht="15.6">
      <c r="B1071" s="18"/>
      <c r="C1071" s="492" t="s">
        <v>1931</v>
      </c>
      <c r="D1071" s="466">
        <f>'IMEI Record'!J568</f>
        <v>4428</v>
      </c>
      <c r="E1071" s="462">
        <v>1</v>
      </c>
      <c r="F1071" s="18">
        <f t="shared" si="49"/>
        <v>4428</v>
      </c>
    </row>
    <row r="1072" spans="2:6" ht="15.6">
      <c r="B1072" s="18"/>
      <c r="C1072" s="492" t="s">
        <v>1932</v>
      </c>
      <c r="D1072" s="466">
        <f>'IMEI Record'!J569</f>
        <v>3645.0000000000005</v>
      </c>
      <c r="E1072" s="462">
        <v>1</v>
      </c>
      <c r="F1072" s="18">
        <f t="shared" si="49"/>
        <v>3645.0000000000005</v>
      </c>
    </row>
    <row r="1073" spans="2:6" ht="15.6">
      <c r="B1073" s="18"/>
      <c r="C1073" s="492" t="s">
        <v>1933</v>
      </c>
      <c r="D1073" s="466">
        <f>'IMEI Record'!J570</f>
        <v>3645.0000000000005</v>
      </c>
      <c r="E1073" s="462">
        <v>1</v>
      </c>
      <c r="F1073" s="18">
        <f t="shared" si="49"/>
        <v>3645.0000000000005</v>
      </c>
    </row>
    <row r="1074" spans="2:6" ht="15.6">
      <c r="B1074" s="18"/>
      <c r="C1074" s="492" t="s">
        <v>1934</v>
      </c>
      <c r="D1074" s="466">
        <f>'IMEI Record'!J572</f>
        <v>2079</v>
      </c>
      <c r="E1074" s="462">
        <v>1</v>
      </c>
      <c r="F1074" s="18">
        <f t="shared" si="49"/>
        <v>2079</v>
      </c>
    </row>
    <row r="1075" spans="2:6" ht="15.6">
      <c r="B1075" s="18"/>
      <c r="C1075" s="492" t="s">
        <v>1935</v>
      </c>
      <c r="D1075" s="466">
        <f>'IMEI Record'!J573/2</f>
        <v>2619</v>
      </c>
      <c r="E1075" s="462">
        <v>2</v>
      </c>
      <c r="F1075" s="18">
        <f t="shared" si="49"/>
        <v>5238</v>
      </c>
    </row>
    <row r="1076" spans="2:6">
      <c r="B1076" s="17"/>
      <c r="C1076" s="17"/>
      <c r="D1076" s="25"/>
      <c r="E1076" s="17"/>
      <c r="F1076" s="18"/>
    </row>
    <row r="1077" spans="2:6">
      <c r="B1077" s="17"/>
      <c r="C1077" s="17"/>
      <c r="D1077" s="17"/>
      <c r="E1077" s="17"/>
      <c r="F1077" s="17"/>
    </row>
    <row r="1078" spans="2:6">
      <c r="B1078" s="613" t="s">
        <v>11</v>
      </c>
      <c r="C1078" s="613"/>
      <c r="D1078" s="614"/>
      <c r="E1078" s="614"/>
      <c r="F1078" s="461">
        <f>SUM(F1068:F1077)</f>
        <v>45306</v>
      </c>
    </row>
    <row r="1080" spans="2:6" ht="15" thickBot="1"/>
    <row r="1081" spans="2:6" ht="26.4" thickBot="1">
      <c r="B1081" s="603" t="s">
        <v>2009</v>
      </c>
      <c r="C1081" s="604"/>
      <c r="D1081" s="604"/>
      <c r="E1081" s="604"/>
      <c r="F1081" s="605"/>
    </row>
    <row r="1083" spans="2:6" ht="15.6">
      <c r="B1083" s="2" t="s">
        <v>1</v>
      </c>
      <c r="C1083" s="1" t="s">
        <v>2010</v>
      </c>
    </row>
    <row r="1085" spans="2:6" ht="15.6">
      <c r="B1085" s="2" t="s">
        <v>2</v>
      </c>
      <c r="C1085" s="34" t="s">
        <v>1974</v>
      </c>
      <c r="D1085" s="2" t="s">
        <v>5</v>
      </c>
      <c r="E1085" s="21">
        <v>45542</v>
      </c>
    </row>
    <row r="1086" spans="2:6" ht="15.6">
      <c r="B1086" s="2" t="s">
        <v>3</v>
      </c>
    </row>
    <row r="1087" spans="2:6" ht="15.6">
      <c r="B1087" s="2" t="s">
        <v>4</v>
      </c>
    </row>
    <row r="1089" spans="2:6" ht="15.6">
      <c r="B1089" s="460" t="s">
        <v>6</v>
      </c>
      <c r="C1089" s="460" t="s">
        <v>7</v>
      </c>
      <c r="D1089" s="460" t="s">
        <v>8</v>
      </c>
      <c r="E1089" s="460" t="s">
        <v>9</v>
      </c>
      <c r="F1089" s="460" t="s">
        <v>10</v>
      </c>
    </row>
    <row r="1090" spans="2:6">
      <c r="B1090" s="17"/>
      <c r="C1090" s="17"/>
      <c r="D1090" s="17"/>
      <c r="E1090" s="17"/>
      <c r="F1090" s="17"/>
    </row>
    <row r="1091" spans="2:6">
      <c r="B1091" s="18"/>
      <c r="C1091" t="s">
        <v>1777</v>
      </c>
      <c r="D1091" s="466">
        <f>300*3.674</f>
        <v>1102.2</v>
      </c>
      <c r="E1091" s="1">
        <v>-1</v>
      </c>
      <c r="F1091" s="18">
        <f t="shared" ref="F1091:F1097" si="50">D1091*E1091</f>
        <v>-1102.2</v>
      </c>
    </row>
    <row r="1092" spans="2:6">
      <c r="B1092" s="18"/>
      <c r="C1092" t="s">
        <v>1771</v>
      </c>
      <c r="D1092" s="466">
        <f>430*3.674</f>
        <v>1579.82</v>
      </c>
      <c r="E1092" s="1">
        <v>-1</v>
      </c>
      <c r="F1092" s="18">
        <f t="shared" si="50"/>
        <v>-1579.82</v>
      </c>
    </row>
    <row r="1093" spans="2:6">
      <c r="B1093" s="18"/>
      <c r="C1093" t="s">
        <v>1775</v>
      </c>
      <c r="D1093" s="466">
        <f>490*3.674</f>
        <v>1800.26</v>
      </c>
      <c r="E1093" s="1">
        <v>-1</v>
      </c>
      <c r="F1093" s="18">
        <f t="shared" si="50"/>
        <v>-1800.26</v>
      </c>
    </row>
    <row r="1094" spans="2:6">
      <c r="B1094" s="18"/>
      <c r="C1094" t="s">
        <v>1768</v>
      </c>
      <c r="D1094" s="466">
        <f>570*3.674</f>
        <v>2094.1799999999998</v>
      </c>
      <c r="E1094" s="1">
        <v>-1</v>
      </c>
      <c r="F1094" s="18">
        <f t="shared" si="50"/>
        <v>-2094.1799999999998</v>
      </c>
    </row>
    <row r="1095" spans="2:6">
      <c r="B1095" s="18"/>
      <c r="C1095" t="s">
        <v>1776</v>
      </c>
      <c r="D1095" s="466">
        <f>570*3.674</f>
        <v>2094.1799999999998</v>
      </c>
      <c r="E1095" s="462">
        <v>-4</v>
      </c>
      <c r="F1095" s="18">
        <f t="shared" si="50"/>
        <v>-8376.7199999999993</v>
      </c>
    </row>
    <row r="1096" spans="2:6">
      <c r="B1096" s="18"/>
      <c r="C1096" t="s">
        <v>1766</v>
      </c>
      <c r="D1096" s="466">
        <f>850*3.674</f>
        <v>3122.9</v>
      </c>
      <c r="E1096" s="1">
        <v>-1</v>
      </c>
      <c r="F1096" s="18">
        <f t="shared" si="50"/>
        <v>-3122.9</v>
      </c>
    </row>
    <row r="1097" spans="2:6">
      <c r="B1097" s="18"/>
      <c r="C1097" t="s">
        <v>1767</v>
      </c>
      <c r="D1097" s="466">
        <f>780*3.674</f>
        <v>2865.72</v>
      </c>
      <c r="E1097" s="462">
        <v>-5</v>
      </c>
      <c r="F1097" s="18">
        <f t="shared" si="50"/>
        <v>-14328.599999999999</v>
      </c>
    </row>
    <row r="1098" spans="2:6">
      <c r="B1098" s="17"/>
      <c r="C1098" s="17"/>
      <c r="D1098" s="17"/>
      <c r="E1098" s="17"/>
      <c r="F1098" s="17"/>
    </row>
    <row r="1099" spans="2:6">
      <c r="B1099" s="613" t="s">
        <v>11</v>
      </c>
      <c r="C1099" s="613"/>
      <c r="D1099" s="614"/>
      <c r="E1099" s="614"/>
      <c r="F1099" s="461">
        <f>SUM(F1091:F1098)</f>
        <v>-32404.679999999997</v>
      </c>
    </row>
    <row r="1102" spans="2:6" ht="15" thickBot="1"/>
    <row r="1103" spans="2:6" ht="26.4" thickBot="1">
      <c r="B1103" s="603" t="s">
        <v>0</v>
      </c>
      <c r="C1103" s="604"/>
      <c r="D1103" s="604"/>
      <c r="E1103" s="604"/>
      <c r="F1103" s="605"/>
    </row>
    <row r="1105" spans="2:7" ht="15.6">
      <c r="B1105" s="2" t="s">
        <v>1</v>
      </c>
      <c r="C1105" s="1" t="s">
        <v>2138</v>
      </c>
    </row>
    <row r="1107" spans="2:7" ht="15.6">
      <c r="B1107" s="2" t="s">
        <v>2</v>
      </c>
      <c r="C1107" s="34" t="s">
        <v>634</v>
      </c>
      <c r="D1107" s="2" t="s">
        <v>5</v>
      </c>
      <c r="E1107" s="21">
        <v>45568</v>
      </c>
    </row>
    <row r="1108" spans="2:7" ht="15.6">
      <c r="B1108" s="2" t="s">
        <v>3</v>
      </c>
    </row>
    <row r="1109" spans="2:7" ht="15.6">
      <c r="B1109" s="2" t="s">
        <v>4</v>
      </c>
    </row>
    <row r="1110" spans="2:7" ht="15" thickBot="1"/>
    <row r="1111" spans="2:7" ht="16.2" thickBot="1">
      <c r="B1111" s="10" t="s">
        <v>6</v>
      </c>
      <c r="C1111" s="10" t="s">
        <v>7</v>
      </c>
      <c r="D1111" s="4" t="s">
        <v>8</v>
      </c>
      <c r="E1111" s="10" t="s">
        <v>9</v>
      </c>
      <c r="F1111" s="5" t="s">
        <v>10</v>
      </c>
    </row>
    <row r="1112" spans="2:7">
      <c r="B1112" s="6"/>
      <c r="F1112" s="7"/>
    </row>
    <row r="1113" spans="2:7">
      <c r="B1113" s="18">
        <v>1</v>
      </c>
      <c r="C1113" s="517" t="s">
        <v>2139</v>
      </c>
      <c r="D1113" s="25">
        <v>188000</v>
      </c>
      <c r="E1113" s="25">
        <v>4</v>
      </c>
      <c r="F1113" s="18">
        <f t="shared" ref="F1113:F1116" si="51">D1113*E1113</f>
        <v>752000</v>
      </c>
    </row>
    <row r="1114" spans="2:7">
      <c r="B1114" s="18">
        <v>2</v>
      </c>
      <c r="C1114" s="17"/>
      <c r="D1114" s="25"/>
      <c r="E1114" s="25"/>
      <c r="F1114" s="18">
        <f t="shared" si="51"/>
        <v>0</v>
      </c>
    </row>
    <row r="1115" spans="2:7">
      <c r="B1115" s="18">
        <v>3</v>
      </c>
      <c r="C1115" s="17"/>
      <c r="D1115" s="25"/>
      <c r="E1115" s="25"/>
      <c r="F1115" s="18">
        <f t="shared" si="51"/>
        <v>0</v>
      </c>
    </row>
    <row r="1116" spans="2:7" ht="15" thickBot="1">
      <c r="B1116" s="297"/>
      <c r="C1116" s="297"/>
      <c r="D1116" s="297"/>
      <c r="E1116" s="297"/>
      <c r="F1116" s="435">
        <f t="shared" si="51"/>
        <v>0</v>
      </c>
    </row>
    <row r="1117" spans="2:7" ht="15" thickBot="1">
      <c r="B1117" s="8"/>
      <c r="C1117" s="8"/>
      <c r="D1117" s="8"/>
      <c r="E1117" s="8"/>
      <c r="F1117" s="8"/>
    </row>
    <row r="1118" spans="2:7" ht="15" thickBot="1">
      <c r="B1118" s="606" t="s">
        <v>11</v>
      </c>
      <c r="C1118" s="607"/>
      <c r="D1118" s="593"/>
      <c r="E1118" s="594"/>
      <c r="F1118" s="9">
        <f>SUM(F1113:F1117)</f>
        <v>752000</v>
      </c>
      <c r="G1118" s="211" t="s">
        <v>567</v>
      </c>
    </row>
    <row r="1120" spans="2:7" ht="15" thickBot="1"/>
    <row r="1121" spans="2:9" ht="26.4" thickBot="1">
      <c r="B1121" s="608" t="s">
        <v>0</v>
      </c>
      <c r="C1121" s="609"/>
      <c r="D1121" s="609"/>
      <c r="E1121" s="609"/>
      <c r="F1121" s="610"/>
    </row>
    <row r="1122" spans="2:9">
      <c r="B1122" s="231"/>
      <c r="C1122" s="231"/>
      <c r="D1122" s="231"/>
      <c r="E1122" s="231"/>
      <c r="F1122" s="231"/>
    </row>
    <row r="1123" spans="2:9" ht="15.6">
      <c r="B1123" s="523" t="s">
        <v>1</v>
      </c>
      <c r="C1123" s="398" t="s">
        <v>2162</v>
      </c>
      <c r="D1123" s="231"/>
      <c r="E1123" s="231"/>
      <c r="F1123" s="231"/>
    </row>
    <row r="1124" spans="2:9">
      <c r="B1124" s="231"/>
      <c r="C1124" s="231"/>
      <c r="D1124" s="231"/>
      <c r="E1124" s="231"/>
      <c r="F1124" s="231"/>
    </row>
    <row r="1125" spans="2:9" ht="15.6">
      <c r="B1125" s="523" t="s">
        <v>2</v>
      </c>
      <c r="C1125" s="501" t="s">
        <v>1762</v>
      </c>
      <c r="D1125" s="523" t="s">
        <v>5</v>
      </c>
      <c r="E1125" s="306">
        <v>45572</v>
      </c>
      <c r="F1125" s="231"/>
    </row>
    <row r="1126" spans="2:9" ht="15.6">
      <c r="B1126" s="523" t="s">
        <v>3</v>
      </c>
      <c r="C1126" s="231"/>
      <c r="D1126" s="231"/>
      <c r="E1126" s="231"/>
      <c r="F1126" s="231"/>
    </row>
    <row r="1127" spans="2:9" ht="15.6">
      <c r="B1127" s="523" t="s">
        <v>4</v>
      </c>
      <c r="C1127" s="231"/>
      <c r="D1127" s="231"/>
      <c r="E1127" s="231"/>
      <c r="F1127" s="231"/>
    </row>
    <row r="1128" spans="2:9" ht="15" thickBot="1">
      <c r="B1128" s="231"/>
      <c r="C1128" s="231"/>
      <c r="D1128" s="231"/>
      <c r="E1128" s="231"/>
      <c r="F1128" s="231"/>
    </row>
    <row r="1129" spans="2:9" ht="16.2" thickBot="1">
      <c r="B1129" s="503" t="s">
        <v>6</v>
      </c>
      <c r="C1129" s="503" t="s">
        <v>7</v>
      </c>
      <c r="D1129" s="504" t="s">
        <v>8</v>
      </c>
      <c r="E1129" s="503" t="s">
        <v>9</v>
      </c>
      <c r="F1129" s="505" t="s">
        <v>10</v>
      </c>
    </row>
    <row r="1130" spans="2:9">
      <c r="B1130" s="524"/>
      <c r="C1130" s="231"/>
      <c r="D1130" s="231"/>
      <c r="E1130" s="231"/>
      <c r="F1130" s="525"/>
      <c r="I1130">
        <f>13754.7/8</f>
        <v>1719.3375000000001</v>
      </c>
    </row>
    <row r="1131" spans="2:9">
      <c r="B1131" s="526">
        <v>1</v>
      </c>
      <c r="C1131" s="527" t="s">
        <v>2163</v>
      </c>
      <c r="D1131" s="528">
        <f>1719.34*2.67</f>
        <v>4590.6377999999995</v>
      </c>
      <c r="E1131" s="528">
        <v>8</v>
      </c>
      <c r="F1131" s="539">
        <f t="shared" ref="F1131:F1134" si="52">D1131*E1131</f>
        <v>36725.102399999996</v>
      </c>
      <c r="I1131">
        <v>2.7</v>
      </c>
    </row>
    <row r="1132" spans="2:9">
      <c r="B1132" s="526">
        <v>2</v>
      </c>
      <c r="C1132" s="526" t="s">
        <v>2164</v>
      </c>
      <c r="D1132" s="528">
        <v>663.77</v>
      </c>
      <c r="E1132" s="528">
        <v>1</v>
      </c>
      <c r="F1132" s="526">
        <f t="shared" si="52"/>
        <v>663.77</v>
      </c>
    </row>
    <row r="1133" spans="2:9">
      <c r="B1133" s="526">
        <v>3</v>
      </c>
      <c r="C1133" s="526" t="s">
        <v>2165</v>
      </c>
      <c r="D1133" s="528">
        <v>600</v>
      </c>
      <c r="E1133" s="528">
        <v>1</v>
      </c>
      <c r="F1133" s="526">
        <f t="shared" si="52"/>
        <v>600</v>
      </c>
    </row>
    <row r="1134" spans="2:9" ht="15" thickBot="1">
      <c r="B1134" s="529"/>
      <c r="C1134" s="529"/>
      <c r="D1134" s="529"/>
      <c r="E1134" s="529"/>
      <c r="F1134" s="530">
        <f t="shared" si="52"/>
        <v>0</v>
      </c>
    </row>
    <row r="1135" spans="2:9" ht="15" thickBot="1">
      <c r="B1135" s="531"/>
      <c r="C1135" s="531"/>
      <c r="D1135" s="531"/>
      <c r="E1135" s="531"/>
      <c r="F1135" s="531"/>
    </row>
    <row r="1136" spans="2:9" ht="15" thickBot="1">
      <c r="B1136" s="611" t="s">
        <v>11</v>
      </c>
      <c r="C1136" s="612"/>
      <c r="D1136" s="597"/>
      <c r="E1136" s="598"/>
      <c r="F1136" s="510">
        <f>SUM(F1131:F1135)</f>
        <v>37988.872399999993</v>
      </c>
      <c r="G1136" s="302"/>
    </row>
    <row r="1138" spans="2:6" ht="15" thickBot="1"/>
    <row r="1139" spans="2:6" ht="26.4" thickBot="1">
      <c r="B1139" s="603" t="s">
        <v>0</v>
      </c>
      <c r="C1139" s="604"/>
      <c r="D1139" s="604"/>
      <c r="E1139" s="604"/>
      <c r="F1139" s="605"/>
    </row>
    <row r="1141" spans="2:6" ht="15.6">
      <c r="B1141" s="2" t="s">
        <v>1</v>
      </c>
      <c r="C1141" s="1" t="s">
        <v>2168</v>
      </c>
    </row>
    <row r="1143" spans="2:6" ht="15.6">
      <c r="B1143" s="2" t="s">
        <v>2</v>
      </c>
      <c r="C1143" s="34" t="s">
        <v>2169</v>
      </c>
      <c r="D1143" s="2" t="s">
        <v>5</v>
      </c>
      <c r="E1143" s="21">
        <v>45576</v>
      </c>
    </row>
    <row r="1144" spans="2:6" ht="15.6">
      <c r="B1144" s="2" t="s">
        <v>3</v>
      </c>
    </row>
    <row r="1145" spans="2:6" ht="15.6">
      <c r="B1145" s="2" t="s">
        <v>4</v>
      </c>
    </row>
    <row r="1146" spans="2:6" ht="15" thickBot="1"/>
    <row r="1147" spans="2:6" ht="16.2" thickBot="1">
      <c r="B1147" s="10" t="s">
        <v>6</v>
      </c>
      <c r="C1147" s="10" t="s">
        <v>7</v>
      </c>
      <c r="D1147" s="4" t="s">
        <v>8</v>
      </c>
      <c r="E1147" s="10" t="s">
        <v>9</v>
      </c>
      <c r="F1147" s="5" t="s">
        <v>10</v>
      </c>
    </row>
    <row r="1148" spans="2:6">
      <c r="B1148" s="6"/>
      <c r="F1148" s="7"/>
    </row>
    <row r="1149" spans="2:6">
      <c r="B1149" s="18">
        <v>1</v>
      </c>
      <c r="C1149" s="517" t="s">
        <v>2097</v>
      </c>
      <c r="D1149" s="25">
        <v>1210</v>
      </c>
      <c r="E1149" s="25">
        <v>204</v>
      </c>
      <c r="F1149" s="18">
        <f t="shared" ref="F1149:F1152" si="53">D1149*E1149</f>
        <v>246840</v>
      </c>
    </row>
    <row r="1150" spans="2:6">
      <c r="B1150" s="18">
        <v>2</v>
      </c>
      <c r="C1150" s="517" t="s">
        <v>2097</v>
      </c>
      <c r="D1150" s="25">
        <v>1160</v>
      </c>
      <c r="E1150" s="25">
        <v>42</v>
      </c>
      <c r="F1150" s="18">
        <f t="shared" si="53"/>
        <v>48720</v>
      </c>
    </row>
    <row r="1151" spans="2:6">
      <c r="B1151" s="18">
        <v>3</v>
      </c>
      <c r="C1151" s="517" t="s">
        <v>2097</v>
      </c>
      <c r="D1151" s="25">
        <v>1225</v>
      </c>
      <c r="E1151" s="25">
        <v>183</v>
      </c>
      <c r="F1151" s="18">
        <f t="shared" si="53"/>
        <v>224175</v>
      </c>
    </row>
    <row r="1152" spans="2:6" ht="15" thickBot="1">
      <c r="B1152" s="297"/>
      <c r="C1152" s="297"/>
      <c r="D1152" s="297"/>
      <c r="E1152" s="297"/>
      <c r="F1152" s="435">
        <f t="shared" si="53"/>
        <v>0</v>
      </c>
    </row>
    <row r="1153" spans="2:6" ht="15" thickBot="1">
      <c r="B1153" s="8"/>
      <c r="C1153" s="8"/>
      <c r="D1153" s="8"/>
      <c r="E1153" s="8"/>
      <c r="F1153" s="8"/>
    </row>
    <row r="1154" spans="2:6" ht="15" thickBot="1">
      <c r="B1154" s="606" t="s">
        <v>11</v>
      </c>
      <c r="C1154" s="607"/>
      <c r="D1154" s="593"/>
      <c r="E1154" s="594"/>
      <c r="F1154" s="9">
        <f>SUM(F1149:F1153)</f>
        <v>519735</v>
      </c>
    </row>
    <row r="1156" spans="2:6" ht="15" thickBot="1"/>
    <row r="1157" spans="2:6" ht="26.4" thickBot="1">
      <c r="B1157" s="603" t="s">
        <v>0</v>
      </c>
      <c r="C1157" s="604"/>
      <c r="D1157" s="604"/>
      <c r="E1157" s="604"/>
      <c r="F1157" s="605"/>
    </row>
    <row r="1159" spans="2:6" ht="15.6">
      <c r="B1159" s="2" t="s">
        <v>1</v>
      </c>
      <c r="C1159" s="1" t="s">
        <v>2170</v>
      </c>
    </row>
    <row r="1161" spans="2:6" ht="15.6">
      <c r="B1161" s="2" t="s">
        <v>2</v>
      </c>
      <c r="C1161" s="34" t="s">
        <v>2169</v>
      </c>
      <c r="D1161" s="2" t="s">
        <v>5</v>
      </c>
      <c r="E1161" s="21">
        <v>45576</v>
      </c>
    </row>
    <row r="1162" spans="2:6" ht="15.6">
      <c r="B1162" s="2" t="s">
        <v>3</v>
      </c>
    </row>
    <row r="1163" spans="2:6" ht="15.6">
      <c r="B1163" s="2" t="s">
        <v>4</v>
      </c>
    </row>
    <row r="1164" spans="2:6" ht="15" thickBot="1"/>
    <row r="1165" spans="2:6" ht="16.2" thickBot="1">
      <c r="B1165" s="10" t="s">
        <v>6</v>
      </c>
      <c r="C1165" s="10" t="s">
        <v>7</v>
      </c>
      <c r="D1165" s="4" t="s">
        <v>8</v>
      </c>
      <c r="E1165" s="10" t="s">
        <v>9</v>
      </c>
      <c r="F1165" s="5" t="s">
        <v>10</v>
      </c>
    </row>
    <row r="1166" spans="2:6">
      <c r="B1166" s="6"/>
      <c r="F1166" s="7"/>
    </row>
    <row r="1167" spans="2:6">
      <c r="B1167" s="18">
        <v>1</v>
      </c>
      <c r="C1167" s="517" t="s">
        <v>2027</v>
      </c>
      <c r="D1167" s="25">
        <v>2120</v>
      </c>
      <c r="E1167" s="25">
        <v>37</v>
      </c>
      <c r="F1167" s="18">
        <f t="shared" ref="F1167:F1170" si="54">D1167*E1167</f>
        <v>78440</v>
      </c>
    </row>
    <row r="1168" spans="2:6">
      <c r="B1168" s="18">
        <v>2</v>
      </c>
      <c r="C1168" s="517" t="s">
        <v>2027</v>
      </c>
      <c r="D1168" s="25">
        <v>2150</v>
      </c>
      <c r="E1168" s="25">
        <v>19</v>
      </c>
      <c r="F1168" s="18">
        <f t="shared" si="54"/>
        <v>40850</v>
      </c>
    </row>
    <row r="1169" spans="2:6">
      <c r="B1169" s="18">
        <v>3</v>
      </c>
      <c r="C1169" s="517"/>
      <c r="D1169" s="25"/>
      <c r="E1169" s="25"/>
      <c r="F1169" s="18">
        <f t="shared" si="54"/>
        <v>0</v>
      </c>
    </row>
    <row r="1170" spans="2:6" ht="15" thickBot="1">
      <c r="B1170" s="297"/>
      <c r="C1170" s="297"/>
      <c r="D1170" s="297"/>
      <c r="E1170" s="297"/>
      <c r="F1170" s="435">
        <f t="shared" si="54"/>
        <v>0</v>
      </c>
    </row>
    <row r="1171" spans="2:6" ht="15" thickBot="1">
      <c r="B1171" s="8"/>
      <c r="C1171" s="8"/>
      <c r="D1171" s="8"/>
      <c r="E1171" s="8"/>
      <c r="F1171" s="8"/>
    </row>
    <row r="1172" spans="2:6" ht="15" thickBot="1">
      <c r="B1172" s="606" t="s">
        <v>11</v>
      </c>
      <c r="C1172" s="607"/>
      <c r="D1172" s="593"/>
      <c r="E1172" s="594"/>
      <c r="F1172" s="9">
        <f>SUM(F1167:F1171)</f>
        <v>119290</v>
      </c>
    </row>
    <row r="1174" spans="2:6" ht="15" thickBot="1"/>
    <row r="1175" spans="2:6" ht="26.4" thickBot="1">
      <c r="B1175" s="603" t="s">
        <v>0</v>
      </c>
      <c r="C1175" s="604"/>
      <c r="D1175" s="604"/>
      <c r="E1175" s="604"/>
      <c r="F1175" s="605"/>
    </row>
    <row r="1177" spans="2:6" ht="15.6">
      <c r="B1177" s="2" t="s">
        <v>1</v>
      </c>
      <c r="C1177" s="1" t="s">
        <v>2171</v>
      </c>
    </row>
    <row r="1179" spans="2:6" ht="15.6">
      <c r="B1179" s="2" t="s">
        <v>2</v>
      </c>
      <c r="C1179" s="34" t="s">
        <v>634</v>
      </c>
      <c r="D1179" s="2" t="s">
        <v>5</v>
      </c>
      <c r="E1179" s="21">
        <v>45576</v>
      </c>
    </row>
    <row r="1180" spans="2:6" ht="15.6">
      <c r="B1180" s="2" t="s">
        <v>3</v>
      </c>
    </row>
    <row r="1181" spans="2:6" ht="15.6">
      <c r="B1181" s="2" t="s">
        <v>4</v>
      </c>
    </row>
    <row r="1182" spans="2:6" ht="15" thickBot="1"/>
    <row r="1183" spans="2:6" ht="16.2" thickBot="1">
      <c r="B1183" s="10" t="s">
        <v>6</v>
      </c>
      <c r="C1183" s="10" t="s">
        <v>7</v>
      </c>
      <c r="D1183" s="4" t="s">
        <v>8</v>
      </c>
      <c r="E1183" s="10" t="s">
        <v>9</v>
      </c>
      <c r="F1183" s="5" t="s">
        <v>10</v>
      </c>
    </row>
    <row r="1184" spans="2:6">
      <c r="B1184" s="6"/>
      <c r="F1184" s="7"/>
    </row>
    <row r="1185" spans="2:7">
      <c r="B1185" s="18">
        <v>1</v>
      </c>
      <c r="C1185" s="517" t="s">
        <v>2158</v>
      </c>
      <c r="D1185" s="25">
        <v>150000</v>
      </c>
      <c r="E1185" s="25">
        <v>3</v>
      </c>
      <c r="F1185" s="18">
        <f t="shared" ref="F1185:F1188" si="55">D1185*E1185</f>
        <v>450000</v>
      </c>
    </row>
    <row r="1186" spans="2:7">
      <c r="B1186" s="18">
        <v>2</v>
      </c>
      <c r="C1186" s="17"/>
      <c r="D1186" s="25"/>
      <c r="E1186" s="25"/>
      <c r="F1186" s="18">
        <f t="shared" si="55"/>
        <v>0</v>
      </c>
    </row>
    <row r="1187" spans="2:7">
      <c r="B1187" s="18">
        <v>3</v>
      </c>
      <c r="C1187" s="17"/>
      <c r="D1187" s="25"/>
      <c r="E1187" s="25"/>
      <c r="F1187" s="18">
        <f t="shared" si="55"/>
        <v>0</v>
      </c>
    </row>
    <row r="1188" spans="2:7" ht="15" thickBot="1">
      <c r="B1188" s="297"/>
      <c r="C1188" s="297"/>
      <c r="D1188" s="297"/>
      <c r="E1188" s="297"/>
      <c r="F1188" s="435">
        <f t="shared" si="55"/>
        <v>0</v>
      </c>
    </row>
    <row r="1189" spans="2:7" ht="15" thickBot="1">
      <c r="B1189" s="8"/>
      <c r="C1189" s="8"/>
      <c r="D1189" s="8"/>
      <c r="E1189" s="8"/>
      <c r="F1189" s="8"/>
    </row>
    <row r="1190" spans="2:7" ht="15" thickBot="1">
      <c r="B1190" s="606" t="s">
        <v>11</v>
      </c>
      <c r="C1190" s="607"/>
      <c r="D1190" s="593"/>
      <c r="E1190" s="594"/>
      <c r="F1190" s="9">
        <f>SUM(F1185:F1189)</f>
        <v>450000</v>
      </c>
      <c r="G1190" s="211" t="s">
        <v>567</v>
      </c>
    </row>
    <row r="1192" spans="2:7" ht="15" thickBot="1"/>
    <row r="1193" spans="2:7" ht="26.4" thickBot="1">
      <c r="B1193" s="603" t="s">
        <v>0</v>
      </c>
      <c r="C1193" s="604"/>
      <c r="D1193" s="604"/>
      <c r="E1193" s="604"/>
      <c r="F1193" s="605"/>
    </row>
    <row r="1195" spans="2:7" ht="15.6">
      <c r="B1195" s="2" t="s">
        <v>1</v>
      </c>
      <c r="C1195" s="1" t="s">
        <v>2273</v>
      </c>
    </row>
    <row r="1197" spans="2:7" ht="15.6">
      <c r="B1197" s="2" t="s">
        <v>2</v>
      </c>
      <c r="C1197" s="34" t="s">
        <v>2274</v>
      </c>
      <c r="D1197" s="2" t="s">
        <v>5</v>
      </c>
      <c r="E1197" s="21">
        <v>45580</v>
      </c>
    </row>
    <row r="1198" spans="2:7" ht="15.6">
      <c r="B1198" s="2" t="s">
        <v>3</v>
      </c>
    </row>
    <row r="1199" spans="2:7" ht="15.6">
      <c r="B1199" s="2" t="s">
        <v>4</v>
      </c>
    </row>
    <row r="1200" spans="2:7" ht="15" thickBot="1"/>
    <row r="1201" spans="2:7" ht="16.2" thickBot="1">
      <c r="B1201" s="10" t="s">
        <v>6</v>
      </c>
      <c r="C1201" s="10" t="s">
        <v>7</v>
      </c>
      <c r="D1201" s="4" t="s">
        <v>8</v>
      </c>
      <c r="E1201" s="10" t="s">
        <v>9</v>
      </c>
      <c r="F1201" s="5" t="s">
        <v>10</v>
      </c>
    </row>
    <row r="1202" spans="2:7">
      <c r="B1202" s="6"/>
      <c r="F1202" s="7"/>
    </row>
    <row r="1203" spans="2:7">
      <c r="B1203" s="18">
        <v>1</v>
      </c>
      <c r="C1203" s="517" t="s">
        <v>2097</v>
      </c>
      <c r="D1203" s="25">
        <v>1160</v>
      </c>
      <c r="E1203" s="25">
        <v>93</v>
      </c>
      <c r="F1203" s="18">
        <f t="shared" ref="F1203:F1206" si="56">D1203*E1203</f>
        <v>107880</v>
      </c>
    </row>
    <row r="1204" spans="2:7">
      <c r="B1204" s="18">
        <v>2</v>
      </c>
      <c r="C1204" s="517" t="s">
        <v>2027</v>
      </c>
      <c r="D1204" s="25">
        <v>2010</v>
      </c>
      <c r="E1204" s="25">
        <v>49</v>
      </c>
      <c r="F1204" s="18">
        <f t="shared" si="56"/>
        <v>98490</v>
      </c>
    </row>
    <row r="1205" spans="2:7">
      <c r="B1205" s="18">
        <v>3</v>
      </c>
      <c r="C1205" s="17" t="s">
        <v>470</v>
      </c>
      <c r="D1205" s="25">
        <v>160</v>
      </c>
      <c r="E1205" s="25">
        <v>1</v>
      </c>
      <c r="F1205" s="18">
        <f t="shared" si="56"/>
        <v>160</v>
      </c>
    </row>
    <row r="1206" spans="2:7" ht="15" thickBot="1">
      <c r="B1206" s="297"/>
      <c r="C1206" s="297"/>
      <c r="D1206" s="297"/>
      <c r="E1206" s="297"/>
      <c r="F1206" s="435">
        <f t="shared" si="56"/>
        <v>0</v>
      </c>
    </row>
    <row r="1207" spans="2:7" ht="15" thickBot="1">
      <c r="B1207" s="8"/>
      <c r="C1207" s="8"/>
      <c r="D1207" s="8"/>
      <c r="E1207" s="8"/>
      <c r="F1207" s="8"/>
    </row>
    <row r="1208" spans="2:7" ht="15" thickBot="1">
      <c r="B1208" s="606" t="s">
        <v>11</v>
      </c>
      <c r="C1208" s="607"/>
      <c r="D1208" s="593"/>
      <c r="E1208" s="594"/>
      <c r="F1208" s="9">
        <f>SUM(F1203:F1207)</f>
        <v>206530</v>
      </c>
      <c r="G1208" s="302"/>
    </row>
    <row r="1211" spans="2:7" ht="15" thickBot="1"/>
    <row r="1212" spans="2:7" ht="26.4" thickBot="1">
      <c r="B1212" s="603" t="s">
        <v>0</v>
      </c>
      <c r="C1212" s="604"/>
      <c r="D1212" s="604"/>
      <c r="E1212" s="604"/>
      <c r="F1212" s="605"/>
    </row>
    <row r="1214" spans="2:7" ht="15.6">
      <c r="B1214" s="2" t="s">
        <v>1</v>
      </c>
      <c r="C1214" s="1" t="s">
        <v>2299</v>
      </c>
    </row>
    <row r="1216" spans="2:7" ht="15.6">
      <c r="B1216" s="2" t="s">
        <v>2</v>
      </c>
      <c r="C1216" s="34" t="s">
        <v>1756</v>
      </c>
      <c r="D1216" s="2" t="s">
        <v>5</v>
      </c>
      <c r="E1216" s="21">
        <v>45587</v>
      </c>
    </row>
    <row r="1217" spans="2:7" ht="15.6">
      <c r="B1217" s="2" t="s">
        <v>3</v>
      </c>
    </row>
    <row r="1218" spans="2:7" ht="15.6">
      <c r="B1218" s="2" t="s">
        <v>4</v>
      </c>
    </row>
    <row r="1219" spans="2:7" ht="15" thickBot="1"/>
    <row r="1220" spans="2:7" ht="16.2" thickBot="1">
      <c r="B1220" s="10" t="s">
        <v>6</v>
      </c>
      <c r="C1220" s="10" t="s">
        <v>7</v>
      </c>
      <c r="D1220" s="4" t="s">
        <v>8</v>
      </c>
      <c r="E1220" s="10" t="s">
        <v>9</v>
      </c>
      <c r="F1220" s="5" t="s">
        <v>10</v>
      </c>
    </row>
    <row r="1221" spans="2:7">
      <c r="B1221" s="6"/>
      <c r="F1221" s="7"/>
    </row>
    <row r="1222" spans="2:7">
      <c r="B1222" s="18">
        <v>1</v>
      </c>
      <c r="C1222" s="517" t="s">
        <v>2297</v>
      </c>
      <c r="D1222" s="25">
        <v>130000</v>
      </c>
      <c r="E1222" s="25">
        <v>1</v>
      </c>
      <c r="F1222" s="18">
        <f t="shared" ref="F1222:F1225" si="57">D1222*E1222</f>
        <v>130000</v>
      </c>
    </row>
    <row r="1223" spans="2:7">
      <c r="B1223" s="18">
        <v>2</v>
      </c>
      <c r="C1223" s="517" t="s">
        <v>2300</v>
      </c>
      <c r="D1223" s="25">
        <v>150000</v>
      </c>
      <c r="E1223" s="25">
        <v>1</v>
      </c>
      <c r="F1223" s="18">
        <f t="shared" si="57"/>
        <v>150000</v>
      </c>
    </row>
    <row r="1224" spans="2:7">
      <c r="B1224" s="18">
        <v>3</v>
      </c>
      <c r="C1224" s="17"/>
      <c r="D1224" s="25"/>
      <c r="E1224" s="25"/>
      <c r="F1224" s="18">
        <f t="shared" si="57"/>
        <v>0</v>
      </c>
    </row>
    <row r="1225" spans="2:7" ht="15" thickBot="1">
      <c r="B1225" s="297"/>
      <c r="C1225" s="297"/>
      <c r="D1225" s="297"/>
      <c r="E1225" s="297"/>
      <c r="F1225" s="435">
        <f t="shared" si="57"/>
        <v>0</v>
      </c>
    </row>
    <row r="1226" spans="2:7" ht="15" thickBot="1">
      <c r="B1226" s="8"/>
      <c r="C1226" s="8"/>
      <c r="D1226" s="8"/>
      <c r="E1226" s="8"/>
      <c r="F1226" s="8"/>
    </row>
    <row r="1227" spans="2:7" ht="15" thickBot="1">
      <c r="B1227" s="606" t="s">
        <v>11</v>
      </c>
      <c r="C1227" s="607"/>
      <c r="D1227" s="593"/>
      <c r="E1227" s="594"/>
      <c r="F1227" s="9">
        <f>SUM(F1222:F1226)</f>
        <v>280000</v>
      </c>
      <c r="G1227" s="211" t="s">
        <v>567</v>
      </c>
    </row>
    <row r="1229" spans="2:7" ht="15" thickBot="1"/>
    <row r="1230" spans="2:7" ht="26.4" thickBot="1">
      <c r="B1230" s="603" t="s">
        <v>0</v>
      </c>
      <c r="C1230" s="604"/>
      <c r="D1230" s="604"/>
      <c r="E1230" s="604"/>
      <c r="F1230" s="605"/>
    </row>
    <row r="1232" spans="2:7" ht="15.6">
      <c r="B1232" s="2" t="s">
        <v>1</v>
      </c>
      <c r="C1232" s="1" t="s">
        <v>2303</v>
      </c>
    </row>
    <row r="1234" spans="2:6" ht="15.6">
      <c r="B1234" s="2" t="s">
        <v>2</v>
      </c>
      <c r="C1234" s="34" t="s">
        <v>2304</v>
      </c>
      <c r="D1234" s="2" t="s">
        <v>5</v>
      </c>
      <c r="E1234" s="21">
        <v>45586</v>
      </c>
    </row>
    <row r="1235" spans="2:6" ht="15.6">
      <c r="B1235" s="2" t="s">
        <v>3</v>
      </c>
    </row>
    <row r="1236" spans="2:6" ht="15.6">
      <c r="B1236" s="2" t="s">
        <v>4</v>
      </c>
    </row>
    <row r="1237" spans="2:6" ht="15" thickBot="1"/>
    <row r="1238" spans="2:6" ht="16.2" thickBot="1">
      <c r="B1238" s="10" t="s">
        <v>6</v>
      </c>
      <c r="C1238" s="10" t="s">
        <v>7</v>
      </c>
      <c r="D1238" s="4" t="s">
        <v>8</v>
      </c>
      <c r="E1238" s="10" t="s">
        <v>9</v>
      </c>
      <c r="F1238" s="5" t="s">
        <v>10</v>
      </c>
    </row>
    <row r="1239" spans="2:6">
      <c r="B1239" s="6"/>
      <c r="F1239" s="7"/>
    </row>
    <row r="1240" spans="2:6">
      <c r="B1240" s="18">
        <v>1</v>
      </c>
      <c r="C1240" s="517" t="s">
        <v>2097</v>
      </c>
      <c r="D1240" s="25">
        <v>1165</v>
      </c>
      <c r="E1240" s="25">
        <v>4</v>
      </c>
      <c r="F1240" s="18">
        <f t="shared" ref="F1240:F1243" si="58">D1240*E1240</f>
        <v>4660</v>
      </c>
    </row>
    <row r="1241" spans="2:6">
      <c r="B1241" s="18">
        <v>2</v>
      </c>
      <c r="C1241" s="517" t="s">
        <v>2027</v>
      </c>
      <c r="D1241" s="25">
        <v>1800</v>
      </c>
      <c r="E1241" s="25">
        <v>64</v>
      </c>
      <c r="F1241" s="18">
        <f t="shared" si="58"/>
        <v>115200</v>
      </c>
    </row>
    <row r="1242" spans="2:6">
      <c r="B1242" s="18">
        <v>3</v>
      </c>
      <c r="C1242" s="17"/>
      <c r="D1242" s="25"/>
      <c r="E1242" s="25"/>
      <c r="F1242" s="18">
        <f t="shared" si="58"/>
        <v>0</v>
      </c>
    </row>
    <row r="1243" spans="2:6" ht="15" thickBot="1">
      <c r="B1243" s="297"/>
      <c r="C1243" s="297"/>
      <c r="D1243" s="297"/>
      <c r="E1243" s="297"/>
      <c r="F1243" s="435">
        <f t="shared" si="58"/>
        <v>0</v>
      </c>
    </row>
    <row r="1244" spans="2:6" ht="15" thickBot="1">
      <c r="B1244" s="8"/>
      <c r="C1244" s="8"/>
      <c r="D1244" s="8"/>
      <c r="E1244" s="8"/>
      <c r="F1244" s="8"/>
    </row>
    <row r="1245" spans="2:6" ht="15" thickBot="1">
      <c r="B1245" s="606" t="s">
        <v>11</v>
      </c>
      <c r="C1245" s="607"/>
      <c r="D1245" s="593"/>
      <c r="E1245" s="594"/>
      <c r="F1245" s="9">
        <f>SUM(F1240:F1244)</f>
        <v>119860</v>
      </c>
    </row>
    <row r="1246" spans="2:6" ht="15" thickBot="1"/>
    <row r="1247" spans="2:6" ht="26.4" thickBot="1">
      <c r="B1247" s="603" t="s">
        <v>0</v>
      </c>
      <c r="C1247" s="604"/>
      <c r="D1247" s="604"/>
      <c r="E1247" s="604"/>
      <c r="F1247" s="605"/>
    </row>
    <row r="1249" spans="2:11" ht="15.6">
      <c r="B1249" s="2" t="s">
        <v>1</v>
      </c>
      <c r="C1249" s="1" t="s">
        <v>2303</v>
      </c>
    </row>
    <row r="1251" spans="2:11" ht="15.6">
      <c r="B1251" s="2" t="s">
        <v>2</v>
      </c>
      <c r="C1251" s="34" t="s">
        <v>2316</v>
      </c>
      <c r="D1251" s="2" t="s">
        <v>5</v>
      </c>
      <c r="E1251" s="21">
        <v>45587</v>
      </c>
    </row>
    <row r="1252" spans="2:11" ht="15.6">
      <c r="B1252" s="2" t="s">
        <v>3</v>
      </c>
    </row>
    <row r="1253" spans="2:11" ht="15.6">
      <c r="B1253" s="2" t="s">
        <v>4</v>
      </c>
    </row>
    <row r="1254" spans="2:11" ht="15" thickBot="1"/>
    <row r="1255" spans="2:11" ht="16.2" thickBot="1">
      <c r="B1255" s="10" t="s">
        <v>6</v>
      </c>
      <c r="C1255" s="10" t="s">
        <v>7</v>
      </c>
      <c r="D1255" s="4" t="s">
        <v>8</v>
      </c>
      <c r="E1255" s="10" t="s">
        <v>9</v>
      </c>
      <c r="F1255" s="5" t="s">
        <v>10</v>
      </c>
    </row>
    <row r="1256" spans="2:11">
      <c r="B1256" s="6"/>
      <c r="F1256" s="7"/>
    </row>
    <row r="1257" spans="2:11">
      <c r="B1257" s="18">
        <v>1</v>
      </c>
      <c r="C1257" s="517" t="s">
        <v>2317</v>
      </c>
      <c r="D1257" s="25"/>
      <c r="E1257" s="25">
        <v>53</v>
      </c>
      <c r="F1257" s="18">
        <f t="shared" ref="F1257:F1266" si="59">D1257*E1257</f>
        <v>0</v>
      </c>
      <c r="I1257">
        <v>53</v>
      </c>
      <c r="J1257">
        <v>0</v>
      </c>
      <c r="K1257">
        <f>I1257*J1257</f>
        <v>0</v>
      </c>
    </row>
    <row r="1258" spans="2:11">
      <c r="B1258" s="18">
        <v>2</v>
      </c>
      <c r="C1258" s="517" t="s">
        <v>1315</v>
      </c>
      <c r="D1258" s="25"/>
      <c r="E1258" s="25">
        <v>8</v>
      </c>
      <c r="F1258" s="18">
        <f t="shared" si="59"/>
        <v>0</v>
      </c>
      <c r="I1258">
        <v>8</v>
      </c>
      <c r="J1258">
        <v>0</v>
      </c>
      <c r="K1258">
        <f t="shared" ref="K1258" si="60">I1258*J1258</f>
        <v>0</v>
      </c>
    </row>
    <row r="1259" spans="2:11">
      <c r="B1259" s="18">
        <v>3</v>
      </c>
      <c r="C1259" s="517" t="s">
        <v>1324</v>
      </c>
      <c r="D1259" s="25"/>
      <c r="E1259" s="25">
        <v>4</v>
      </c>
      <c r="F1259" s="18">
        <f t="shared" si="59"/>
        <v>0</v>
      </c>
      <c r="I1259">
        <v>4</v>
      </c>
      <c r="J1259">
        <v>0</v>
      </c>
      <c r="K1259">
        <f>I1259*J1259</f>
        <v>0</v>
      </c>
    </row>
    <row r="1260" spans="2:11">
      <c r="B1260" s="18"/>
      <c r="C1260" s="517"/>
      <c r="D1260" s="25"/>
      <c r="E1260" s="25"/>
      <c r="F1260" s="18"/>
    </row>
    <row r="1261" spans="2:11">
      <c r="B1261" s="18">
        <v>4</v>
      </c>
      <c r="C1261" s="517" t="s">
        <v>2317</v>
      </c>
      <c r="D1261" s="25"/>
      <c r="E1261" s="25">
        <v>26</v>
      </c>
      <c r="F1261" s="18">
        <f t="shared" si="59"/>
        <v>0</v>
      </c>
      <c r="I1261">
        <v>26</v>
      </c>
      <c r="J1261">
        <v>0</v>
      </c>
      <c r="K1261">
        <f>I1261*J1261</f>
        <v>0</v>
      </c>
    </row>
    <row r="1262" spans="2:11">
      <c r="B1262" s="18">
        <v>5</v>
      </c>
      <c r="C1262" s="517" t="s">
        <v>1315</v>
      </c>
      <c r="D1262" s="25"/>
      <c r="E1262" s="25">
        <v>4</v>
      </c>
      <c r="F1262" s="18">
        <f t="shared" si="59"/>
        <v>0</v>
      </c>
      <c r="I1262">
        <v>4</v>
      </c>
      <c r="J1262">
        <v>0</v>
      </c>
      <c r="K1262">
        <f>I1262*J1262</f>
        <v>0</v>
      </c>
    </row>
    <row r="1263" spans="2:11">
      <c r="B1263" s="18">
        <v>6</v>
      </c>
      <c r="C1263" s="517" t="s">
        <v>2318</v>
      </c>
      <c r="D1263" s="25"/>
      <c r="E1263" s="25">
        <v>10</v>
      </c>
      <c r="F1263" s="18">
        <f t="shared" si="59"/>
        <v>0</v>
      </c>
      <c r="I1263">
        <v>10</v>
      </c>
      <c r="J1263">
        <v>605</v>
      </c>
      <c r="K1263">
        <f>I1263*J1263</f>
        <v>6050</v>
      </c>
    </row>
    <row r="1264" spans="2:11">
      <c r="B1264" s="18">
        <v>7</v>
      </c>
      <c r="C1264" s="517" t="s">
        <v>2319</v>
      </c>
      <c r="D1264" s="25"/>
      <c r="E1264" s="25">
        <v>40</v>
      </c>
      <c r="F1264" s="18">
        <f t="shared" si="59"/>
        <v>0</v>
      </c>
      <c r="I1264">
        <v>40</v>
      </c>
      <c r="J1264">
        <v>581</v>
      </c>
      <c r="K1264">
        <f>I1264*J1264</f>
        <v>23240</v>
      </c>
    </row>
    <row r="1265" spans="2:11">
      <c r="B1265" s="18"/>
      <c r="C1265" s="17"/>
      <c r="D1265" s="25"/>
      <c r="E1265" s="25"/>
      <c r="F1265" s="18">
        <f t="shared" si="59"/>
        <v>0</v>
      </c>
      <c r="K1265">
        <f>SUM(K1257:K1264)</f>
        <v>29290</v>
      </c>
    </row>
    <row r="1266" spans="2:11" ht="15" thickBot="1">
      <c r="B1266" s="297"/>
      <c r="C1266" s="297"/>
      <c r="D1266" s="297"/>
      <c r="E1266" s="297"/>
      <c r="F1266" s="435">
        <f t="shared" si="59"/>
        <v>0</v>
      </c>
    </row>
    <row r="1267" spans="2:11" ht="15" thickBot="1">
      <c r="B1267" s="8"/>
      <c r="C1267" s="8"/>
      <c r="D1267" s="8"/>
      <c r="E1267" s="8"/>
      <c r="F1267" s="8"/>
    </row>
    <row r="1268" spans="2:11" ht="15" thickBot="1">
      <c r="B1268" s="606" t="s">
        <v>11</v>
      </c>
      <c r="C1268" s="607"/>
      <c r="D1268" s="593"/>
      <c r="E1268" s="594"/>
      <c r="F1268" s="9">
        <f>SUM(F1257:F1267)</f>
        <v>0</v>
      </c>
    </row>
    <row r="1270" spans="2:11" ht="15" thickBot="1"/>
    <row r="1271" spans="2:11" ht="26.4" thickBot="1">
      <c r="B1271" s="603" t="s">
        <v>0</v>
      </c>
      <c r="C1271" s="604"/>
      <c r="D1271" s="604"/>
      <c r="E1271" s="604"/>
      <c r="F1271" s="605"/>
    </row>
    <row r="1273" spans="2:11" ht="15.6">
      <c r="B1273" s="2" t="s">
        <v>1</v>
      </c>
      <c r="C1273" s="1" t="s">
        <v>2341</v>
      </c>
    </row>
    <row r="1275" spans="2:11" ht="15.6">
      <c r="B1275" s="2" t="s">
        <v>2</v>
      </c>
      <c r="C1275" s="34" t="s">
        <v>1756</v>
      </c>
      <c r="D1275" s="2" t="s">
        <v>5</v>
      </c>
      <c r="E1275" s="21">
        <v>45589</v>
      </c>
    </row>
    <row r="1276" spans="2:11" ht="15.6">
      <c r="B1276" s="2" t="s">
        <v>3</v>
      </c>
    </row>
    <row r="1277" spans="2:11" ht="15.6">
      <c r="B1277" s="2" t="s">
        <v>4</v>
      </c>
    </row>
    <row r="1278" spans="2:11" ht="15" thickBot="1"/>
    <row r="1279" spans="2:11" ht="16.2" thickBot="1">
      <c r="B1279" s="10" t="s">
        <v>6</v>
      </c>
      <c r="C1279" s="10" t="s">
        <v>7</v>
      </c>
      <c r="D1279" s="4" t="s">
        <v>8</v>
      </c>
      <c r="E1279" s="10" t="s">
        <v>9</v>
      </c>
      <c r="F1279" s="5" t="s">
        <v>10</v>
      </c>
    </row>
    <row r="1280" spans="2:11">
      <c r="B1280" s="6"/>
      <c r="F1280" s="7"/>
    </row>
    <row r="1281" spans="2:7">
      <c r="B1281" s="18">
        <v>1</v>
      </c>
      <c r="C1281" s="517" t="s">
        <v>2342</v>
      </c>
      <c r="D1281" s="25">
        <v>245000</v>
      </c>
      <c r="E1281" s="25">
        <v>1</v>
      </c>
      <c r="F1281" s="18">
        <f t="shared" ref="F1281:F1284" si="61">D1281*E1281</f>
        <v>245000</v>
      </c>
    </row>
    <row r="1282" spans="2:7">
      <c r="B1282" s="18">
        <v>2</v>
      </c>
      <c r="C1282" s="517" t="s">
        <v>1611</v>
      </c>
      <c r="D1282" s="25">
        <v>190000</v>
      </c>
      <c r="E1282" s="25">
        <v>1</v>
      </c>
      <c r="F1282" s="18">
        <f t="shared" si="61"/>
        <v>190000</v>
      </c>
    </row>
    <row r="1283" spans="2:7">
      <c r="B1283" s="18">
        <v>3</v>
      </c>
      <c r="C1283" s="517" t="s">
        <v>2343</v>
      </c>
      <c r="D1283" s="25">
        <v>260000</v>
      </c>
      <c r="E1283" s="25">
        <v>1</v>
      </c>
      <c r="F1283" s="18">
        <f t="shared" si="61"/>
        <v>260000</v>
      </c>
    </row>
    <row r="1284" spans="2:7" ht="15" thickBot="1">
      <c r="B1284" s="297"/>
      <c r="C1284" s="297"/>
      <c r="D1284" s="297"/>
      <c r="E1284" s="297"/>
      <c r="F1284" s="435">
        <f t="shared" si="61"/>
        <v>0</v>
      </c>
    </row>
    <row r="1285" spans="2:7" ht="15" thickBot="1">
      <c r="B1285" s="8"/>
      <c r="C1285" s="8"/>
      <c r="D1285" s="8"/>
      <c r="E1285" s="8"/>
      <c r="F1285" s="8"/>
    </row>
    <row r="1286" spans="2:7" ht="15" thickBot="1">
      <c r="B1286" s="606" t="s">
        <v>11</v>
      </c>
      <c r="C1286" s="607"/>
      <c r="D1286" s="593"/>
      <c r="E1286" s="594"/>
      <c r="F1286" s="9">
        <f>SUM(F1281:F1285)</f>
        <v>695000</v>
      </c>
      <c r="G1286" s="211" t="s">
        <v>567</v>
      </c>
    </row>
    <row r="1287" spans="2:7" ht="15" thickBot="1"/>
    <row r="1288" spans="2:7" ht="26.4" thickBot="1">
      <c r="B1288" s="603" t="s">
        <v>0</v>
      </c>
      <c r="C1288" s="604"/>
      <c r="D1288" s="604"/>
      <c r="E1288" s="604"/>
      <c r="F1288" s="605"/>
    </row>
    <row r="1290" spans="2:7" ht="15.6">
      <c r="B1290" s="2" t="s">
        <v>1</v>
      </c>
      <c r="C1290" s="1" t="s">
        <v>2350</v>
      </c>
    </row>
    <row r="1292" spans="2:7" ht="15.6">
      <c r="B1292" s="2" t="s">
        <v>2</v>
      </c>
      <c r="C1292" s="34" t="s">
        <v>1756</v>
      </c>
      <c r="D1292" s="2" t="s">
        <v>5</v>
      </c>
      <c r="E1292" s="21">
        <v>45593</v>
      </c>
    </row>
    <row r="1293" spans="2:7" ht="15.6">
      <c r="B1293" s="2" t="s">
        <v>3</v>
      </c>
    </row>
    <row r="1294" spans="2:7" ht="15.6">
      <c r="B1294" s="2" t="s">
        <v>4</v>
      </c>
    </row>
    <row r="1295" spans="2:7" ht="15" thickBot="1"/>
    <row r="1296" spans="2:7" ht="16.2" thickBot="1">
      <c r="B1296" s="10" t="s">
        <v>6</v>
      </c>
      <c r="C1296" s="10" t="s">
        <v>7</v>
      </c>
      <c r="D1296" s="4" t="s">
        <v>8</v>
      </c>
      <c r="E1296" s="10" t="s">
        <v>9</v>
      </c>
      <c r="F1296" s="5" t="s">
        <v>10</v>
      </c>
    </row>
    <row r="1297" spans="2:7">
      <c r="B1297" s="6"/>
      <c r="F1297" s="7"/>
    </row>
    <row r="1298" spans="2:7">
      <c r="B1298" s="18">
        <v>1</v>
      </c>
      <c r="C1298" s="395" t="s">
        <v>2349</v>
      </c>
      <c r="D1298" s="25">
        <v>240000</v>
      </c>
      <c r="E1298" s="25">
        <v>1</v>
      </c>
      <c r="F1298" s="18">
        <f t="shared" ref="F1298:F1301" si="62">D1298*E1298</f>
        <v>240000</v>
      </c>
    </row>
    <row r="1299" spans="2:7">
      <c r="B1299" s="18">
        <v>2</v>
      </c>
      <c r="C1299" s="395" t="s">
        <v>2349</v>
      </c>
      <c r="D1299" s="25">
        <v>240000</v>
      </c>
      <c r="E1299" s="25">
        <v>1</v>
      </c>
      <c r="F1299" s="18">
        <f t="shared" si="62"/>
        <v>240000</v>
      </c>
    </row>
    <row r="1300" spans="2:7">
      <c r="B1300" s="18">
        <v>3</v>
      </c>
      <c r="C1300" s="395" t="s">
        <v>2338</v>
      </c>
      <c r="D1300" s="25">
        <v>245000</v>
      </c>
      <c r="E1300" s="25">
        <v>1</v>
      </c>
      <c r="F1300" s="18">
        <f t="shared" si="62"/>
        <v>245000</v>
      </c>
    </row>
    <row r="1301" spans="2:7" ht="15" thickBot="1">
      <c r="B1301" s="297"/>
      <c r="C1301" s="297"/>
      <c r="D1301" s="297"/>
      <c r="E1301" s="297"/>
      <c r="F1301" s="435">
        <f t="shared" si="62"/>
        <v>0</v>
      </c>
    </row>
    <row r="1302" spans="2:7" ht="15" thickBot="1">
      <c r="B1302" s="8"/>
      <c r="C1302" s="8"/>
      <c r="D1302" s="8"/>
      <c r="E1302" s="8"/>
      <c r="F1302" s="8"/>
    </row>
    <row r="1303" spans="2:7" ht="15" thickBot="1">
      <c r="B1303" s="606" t="s">
        <v>11</v>
      </c>
      <c r="C1303" s="607"/>
      <c r="D1303" s="593"/>
      <c r="E1303" s="594"/>
      <c r="F1303" s="9">
        <f>SUM(F1298:F1302)</f>
        <v>725000</v>
      </c>
      <c r="G1303" s="211" t="s">
        <v>567</v>
      </c>
    </row>
    <row r="1305" spans="2:7" ht="15" thickBot="1"/>
    <row r="1306" spans="2:7" ht="26.4" thickBot="1">
      <c r="B1306" s="603" t="s">
        <v>0</v>
      </c>
      <c r="C1306" s="604"/>
      <c r="D1306" s="604"/>
      <c r="E1306" s="604"/>
      <c r="F1306" s="605"/>
    </row>
    <row r="1308" spans="2:7" ht="15.6">
      <c r="B1308" s="2" t="s">
        <v>1</v>
      </c>
      <c r="C1308" s="1" t="s">
        <v>2360</v>
      </c>
    </row>
    <row r="1310" spans="2:7" ht="15.6">
      <c r="B1310" s="2" t="s">
        <v>2</v>
      </c>
      <c r="C1310" s="34" t="s">
        <v>1756</v>
      </c>
      <c r="D1310" s="2" t="s">
        <v>5</v>
      </c>
      <c r="E1310" s="21">
        <v>45598</v>
      </c>
    </row>
    <row r="1311" spans="2:7" ht="15.6">
      <c r="B1311" s="2" t="s">
        <v>3</v>
      </c>
    </row>
    <row r="1312" spans="2:7" ht="15.6">
      <c r="B1312" s="2" t="s">
        <v>4</v>
      </c>
    </row>
    <row r="1313" spans="2:7" ht="15" thickBot="1"/>
    <row r="1314" spans="2:7" ht="16.2" thickBot="1">
      <c r="B1314" s="10" t="s">
        <v>6</v>
      </c>
      <c r="C1314" s="10" t="s">
        <v>7</v>
      </c>
      <c r="D1314" s="4" t="s">
        <v>8</v>
      </c>
      <c r="E1314" s="10" t="s">
        <v>9</v>
      </c>
      <c r="F1314" s="5" t="s">
        <v>10</v>
      </c>
    </row>
    <row r="1315" spans="2:7">
      <c r="B1315" s="6"/>
      <c r="F1315" s="7"/>
    </row>
    <row r="1316" spans="2:7">
      <c r="B1316" s="18">
        <v>1</v>
      </c>
      <c r="C1316" s="517" t="s">
        <v>2343</v>
      </c>
      <c r="D1316" s="25">
        <v>260000</v>
      </c>
      <c r="E1316" s="25">
        <v>1</v>
      </c>
      <c r="F1316" s="18">
        <f t="shared" ref="F1316:F1319" si="63">D1316*E1316</f>
        <v>260000</v>
      </c>
    </row>
    <row r="1317" spans="2:7">
      <c r="B1317" s="18">
        <v>2</v>
      </c>
      <c r="C1317" s="395" t="s">
        <v>2338</v>
      </c>
      <c r="D1317" s="25">
        <v>245000</v>
      </c>
      <c r="E1317" s="25">
        <v>1</v>
      </c>
      <c r="F1317" s="18">
        <f t="shared" si="63"/>
        <v>245000</v>
      </c>
    </row>
    <row r="1318" spans="2:7">
      <c r="B1318" s="18">
        <v>3</v>
      </c>
      <c r="C1318" s="395" t="s">
        <v>2338</v>
      </c>
      <c r="D1318" s="25">
        <v>245000</v>
      </c>
      <c r="E1318" s="25">
        <v>1</v>
      </c>
      <c r="F1318" s="18">
        <f t="shared" si="63"/>
        <v>245000</v>
      </c>
    </row>
    <row r="1319" spans="2:7" ht="15" thickBot="1">
      <c r="B1319" s="297"/>
      <c r="C1319" s="297"/>
      <c r="D1319" s="297"/>
      <c r="E1319" s="297"/>
      <c r="F1319" s="435">
        <f t="shared" si="63"/>
        <v>0</v>
      </c>
    </row>
    <row r="1320" spans="2:7" ht="15" thickBot="1">
      <c r="B1320" s="8"/>
      <c r="C1320" s="8"/>
      <c r="D1320" s="8"/>
      <c r="E1320" s="8"/>
      <c r="F1320" s="8"/>
    </row>
    <row r="1321" spans="2:7" ht="15" thickBot="1">
      <c r="B1321" s="606" t="s">
        <v>11</v>
      </c>
      <c r="C1321" s="607"/>
      <c r="D1321" s="593"/>
      <c r="E1321" s="594"/>
      <c r="F1321" s="9">
        <f>SUM(F1316:F1320)</f>
        <v>750000</v>
      </c>
      <c r="G1321" s="211" t="s">
        <v>567</v>
      </c>
    </row>
  </sheetData>
  <mergeCells count="150">
    <mergeCell ref="B388:C388"/>
    <mergeCell ref="D388:E388"/>
    <mergeCell ref="B431:F431"/>
    <mergeCell ref="B1058:F1058"/>
    <mergeCell ref="B1078:C1078"/>
    <mergeCell ref="D1078:E1078"/>
    <mergeCell ref="B1029:F1029"/>
    <mergeCell ref="B1054:C1054"/>
    <mergeCell ref="D1054:E1054"/>
    <mergeCell ref="B957:F957"/>
    <mergeCell ref="B972:C972"/>
    <mergeCell ref="D972:E972"/>
    <mergeCell ref="B993:F993"/>
    <mergeCell ref="B447:C447"/>
    <mergeCell ref="D447:E447"/>
    <mergeCell ref="B391:F391"/>
    <mergeCell ref="B407:C407"/>
    <mergeCell ref="D407:E407"/>
    <mergeCell ref="B411:F411"/>
    <mergeCell ref="B427:C427"/>
    <mergeCell ref="D427:E427"/>
    <mergeCell ref="B450:F450"/>
    <mergeCell ref="B542:C542"/>
    <mergeCell ref="D542:E542"/>
    <mergeCell ref="B3:F3"/>
    <mergeCell ref="B25:F25"/>
    <mergeCell ref="B126:F126"/>
    <mergeCell ref="B184:C184"/>
    <mergeCell ref="D184:E184"/>
    <mergeCell ref="B123:C123"/>
    <mergeCell ref="D123:E123"/>
    <mergeCell ref="B76:F76"/>
    <mergeCell ref="D21:E21"/>
    <mergeCell ref="B21:C21"/>
    <mergeCell ref="B45:F45"/>
    <mergeCell ref="B43:C43"/>
    <mergeCell ref="D43:E43"/>
    <mergeCell ref="B74:C74"/>
    <mergeCell ref="D74:E74"/>
    <mergeCell ref="B187:F187"/>
    <mergeCell ref="B227:F227"/>
    <mergeCell ref="D224:E224"/>
    <mergeCell ref="B224:C224"/>
    <mergeCell ref="B245:C245"/>
    <mergeCell ref="D245:E245"/>
    <mergeCell ref="B248:F248"/>
    <mergeCell ref="D301:E301"/>
    <mergeCell ref="B323:F323"/>
    <mergeCell ref="B320:C320"/>
    <mergeCell ref="D320:E320"/>
    <mergeCell ref="B304:F304"/>
    <mergeCell ref="D264:E264"/>
    <mergeCell ref="B285:F285"/>
    <mergeCell ref="B267:F267"/>
    <mergeCell ref="B283:C283"/>
    <mergeCell ref="D283:E283"/>
    <mergeCell ref="B264:C264"/>
    <mergeCell ref="B301:C301"/>
    <mergeCell ref="D795:E795"/>
    <mergeCell ref="B829:F829"/>
    <mergeCell ref="B845:C845"/>
    <mergeCell ref="D845:E845"/>
    <mergeCell ref="B867:F867"/>
    <mergeCell ref="B800:F800"/>
    <mergeCell ref="B826:C826"/>
    <mergeCell ref="D826:E826"/>
    <mergeCell ref="B848:F848"/>
    <mergeCell ref="B863:C863"/>
    <mergeCell ref="D863:E863"/>
    <mergeCell ref="B1081:F1081"/>
    <mergeCell ref="B547:F547"/>
    <mergeCell ref="B563:C563"/>
    <mergeCell ref="D563:E563"/>
    <mergeCell ref="B642:F642"/>
    <mergeCell ref="B758:F758"/>
    <mergeCell ref="B701:F701"/>
    <mergeCell ref="B752:C752"/>
    <mergeCell ref="B568:F568"/>
    <mergeCell ref="B662:F662"/>
    <mergeCell ref="B637:C637"/>
    <mergeCell ref="D637:E637"/>
    <mergeCell ref="B658:C658"/>
    <mergeCell ref="D658:E658"/>
    <mergeCell ref="B678:C678"/>
    <mergeCell ref="D678:E678"/>
    <mergeCell ref="B681:F681"/>
    <mergeCell ref="D752:E752"/>
    <mergeCell ref="B697:C697"/>
    <mergeCell ref="D697:E697"/>
    <mergeCell ref="B775:C775"/>
    <mergeCell ref="D775:E775"/>
    <mergeCell ref="B779:F779"/>
    <mergeCell ref="B795:C795"/>
    <mergeCell ref="D1026:E1026"/>
    <mergeCell ref="B1008:C1008"/>
    <mergeCell ref="D1008:E1008"/>
    <mergeCell ref="B883:F883"/>
    <mergeCell ref="B898:C898"/>
    <mergeCell ref="D898:E898"/>
    <mergeCell ref="B902:F902"/>
    <mergeCell ref="B935:C935"/>
    <mergeCell ref="D935:E935"/>
    <mergeCell ref="B975:F975"/>
    <mergeCell ref="B990:C990"/>
    <mergeCell ref="D990:E990"/>
    <mergeCell ref="B939:F939"/>
    <mergeCell ref="B954:C954"/>
    <mergeCell ref="D954:E954"/>
    <mergeCell ref="B1193:F1193"/>
    <mergeCell ref="B1208:C1208"/>
    <mergeCell ref="D1208:E1208"/>
    <mergeCell ref="B880:C880"/>
    <mergeCell ref="D880:E880"/>
    <mergeCell ref="B1175:F1175"/>
    <mergeCell ref="B1190:C1190"/>
    <mergeCell ref="D1190:E1190"/>
    <mergeCell ref="B1121:F1121"/>
    <mergeCell ref="B1136:C1136"/>
    <mergeCell ref="D1136:E1136"/>
    <mergeCell ref="B1103:F1103"/>
    <mergeCell ref="B1118:C1118"/>
    <mergeCell ref="D1118:E1118"/>
    <mergeCell ref="B1139:F1139"/>
    <mergeCell ref="B1154:C1154"/>
    <mergeCell ref="D1154:E1154"/>
    <mergeCell ref="B1157:F1157"/>
    <mergeCell ref="B1172:C1172"/>
    <mergeCell ref="D1172:E1172"/>
    <mergeCell ref="B1099:C1099"/>
    <mergeCell ref="D1099:E1099"/>
    <mergeCell ref="B1011:F1011"/>
    <mergeCell ref="B1026:C1026"/>
    <mergeCell ref="B1306:F1306"/>
    <mergeCell ref="B1321:C1321"/>
    <mergeCell ref="D1321:E1321"/>
    <mergeCell ref="B1271:F1271"/>
    <mergeCell ref="B1286:C1286"/>
    <mergeCell ref="D1286:E1286"/>
    <mergeCell ref="B1212:F1212"/>
    <mergeCell ref="B1227:C1227"/>
    <mergeCell ref="D1227:E1227"/>
    <mergeCell ref="B1230:F1230"/>
    <mergeCell ref="B1245:C1245"/>
    <mergeCell ref="D1245:E1245"/>
    <mergeCell ref="B1247:F1247"/>
    <mergeCell ref="B1268:C1268"/>
    <mergeCell ref="D1268:E1268"/>
    <mergeCell ref="B1288:F1288"/>
    <mergeCell ref="B1303:C1303"/>
    <mergeCell ref="D1303:E1303"/>
  </mergeCells>
  <conditionalFormatting sqref="AE460:AE461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1489"/>
  <sheetViews>
    <sheetView topLeftCell="A337" zoomScale="65" zoomScaleNormal="65" workbookViewId="0">
      <selection activeCell="Q371" sqref="Q371"/>
    </sheetView>
  </sheetViews>
  <sheetFormatPr defaultRowHeight="14.4"/>
  <cols>
    <col min="1" max="1" width="10.44140625" bestFit="1" customWidth="1"/>
    <col min="2" max="2" width="4.21875" customWidth="1"/>
    <col min="3" max="3" width="14.33203125" customWidth="1"/>
    <col min="4" max="4" width="81" customWidth="1"/>
    <col min="5" max="5" width="11.5546875" customWidth="1"/>
    <col min="6" max="6" width="11" customWidth="1"/>
    <col min="7" max="7" width="13" customWidth="1"/>
    <col min="8" max="8" width="19.88671875" customWidth="1"/>
    <col min="10" max="10" width="10.44140625" bestFit="1" customWidth="1"/>
  </cols>
  <sheetData>
    <row r="2" spans="3:7" ht="18">
      <c r="D2" s="427" t="s">
        <v>1652</v>
      </c>
    </row>
    <row r="3" spans="3:7" ht="18">
      <c r="C3" s="428" t="s">
        <v>13</v>
      </c>
      <c r="D3" s="428" t="s">
        <v>256</v>
      </c>
      <c r="E3" s="428" t="s">
        <v>1648</v>
      </c>
      <c r="F3" s="428" t="s">
        <v>1649</v>
      </c>
      <c r="G3" s="428" t="s">
        <v>17</v>
      </c>
    </row>
    <row r="4" spans="3:7">
      <c r="C4" s="40">
        <v>45495</v>
      </c>
      <c r="D4" s="17" t="s">
        <v>1650</v>
      </c>
      <c r="E4" s="17"/>
      <c r="F4" s="17"/>
      <c r="G4" s="109">
        <v>46979.46</v>
      </c>
    </row>
    <row r="5" spans="3:7">
      <c r="C5" s="40">
        <v>45498</v>
      </c>
      <c r="D5" s="17" t="s">
        <v>1847</v>
      </c>
      <c r="E5" s="17"/>
      <c r="F5" s="17">
        <v>41</v>
      </c>
      <c r="G5" s="109">
        <f>G4+E5-F5</f>
        <v>46938.46</v>
      </c>
    </row>
    <row r="6" spans="3:7">
      <c r="C6" s="40">
        <v>45500</v>
      </c>
      <c r="D6" s="17" t="s">
        <v>1847</v>
      </c>
      <c r="E6" s="17"/>
      <c r="F6" s="17">
        <v>33.5</v>
      </c>
      <c r="G6" s="109">
        <f t="shared" ref="G6:G69" si="0">G5+E6-F6</f>
        <v>46904.959999999999</v>
      </c>
    </row>
    <row r="7" spans="3:7">
      <c r="C7" s="40">
        <v>45501</v>
      </c>
      <c r="D7" s="17" t="s">
        <v>1847</v>
      </c>
      <c r="E7" s="17"/>
      <c r="F7" s="17">
        <v>15.5</v>
      </c>
      <c r="G7" s="109">
        <f t="shared" si="0"/>
        <v>46889.46</v>
      </c>
    </row>
    <row r="8" spans="3:7">
      <c r="C8" s="40">
        <v>45501</v>
      </c>
      <c r="D8" s="17" t="s">
        <v>1847</v>
      </c>
      <c r="E8" s="17"/>
      <c r="F8" s="17">
        <v>1.5</v>
      </c>
      <c r="G8" s="109">
        <f t="shared" si="0"/>
        <v>46887.96</v>
      </c>
    </row>
    <row r="9" spans="3:7">
      <c r="C9" s="40">
        <v>45504</v>
      </c>
      <c r="D9" s="17" t="s">
        <v>1847</v>
      </c>
      <c r="E9" s="17"/>
      <c r="F9" s="17">
        <v>13.6</v>
      </c>
      <c r="G9" s="109">
        <f t="shared" si="0"/>
        <v>46874.36</v>
      </c>
    </row>
    <row r="10" spans="3:7">
      <c r="C10" s="40">
        <v>45504</v>
      </c>
      <c r="D10" s="17" t="s">
        <v>1847</v>
      </c>
      <c r="E10" s="17"/>
      <c r="F10" s="17">
        <v>19.5</v>
      </c>
      <c r="G10" s="109">
        <f t="shared" si="0"/>
        <v>46854.86</v>
      </c>
    </row>
    <row r="11" spans="3:7">
      <c r="C11" s="40">
        <v>45504</v>
      </c>
      <c r="D11" s="17" t="s">
        <v>1847</v>
      </c>
      <c r="E11" s="17"/>
      <c r="F11" s="17">
        <v>315</v>
      </c>
      <c r="G11" s="109">
        <f t="shared" si="0"/>
        <v>46539.86</v>
      </c>
    </row>
    <row r="12" spans="3:7">
      <c r="C12" s="40">
        <v>45504</v>
      </c>
      <c r="D12" s="17" t="s">
        <v>1847</v>
      </c>
      <c r="E12" s="17"/>
      <c r="F12" s="17">
        <v>8</v>
      </c>
      <c r="G12" s="109">
        <f t="shared" si="0"/>
        <v>46531.86</v>
      </c>
    </row>
    <row r="13" spans="3:7">
      <c r="C13" s="40">
        <v>45504</v>
      </c>
      <c r="D13" s="17" t="s">
        <v>1847</v>
      </c>
      <c r="E13" s="17"/>
      <c r="F13" s="17">
        <v>18.5</v>
      </c>
      <c r="G13" s="109">
        <f t="shared" si="0"/>
        <v>46513.36</v>
      </c>
    </row>
    <row r="14" spans="3:7">
      <c r="C14" s="40">
        <v>45505</v>
      </c>
      <c r="D14" s="17" t="s">
        <v>1847</v>
      </c>
      <c r="E14" s="17"/>
      <c r="F14" s="17">
        <v>10</v>
      </c>
      <c r="G14" s="109">
        <f t="shared" si="0"/>
        <v>46503.360000000001</v>
      </c>
    </row>
    <row r="15" spans="3:7">
      <c r="C15" s="40">
        <v>45505</v>
      </c>
      <c r="D15" s="17" t="s">
        <v>1848</v>
      </c>
      <c r="E15" s="17">
        <v>20000</v>
      </c>
      <c r="F15" s="17"/>
      <c r="G15" s="109">
        <f t="shared" si="0"/>
        <v>66503.360000000001</v>
      </c>
    </row>
    <row r="16" spans="3:7">
      <c r="C16" s="40">
        <v>45506</v>
      </c>
      <c r="D16" s="17" t="s">
        <v>1849</v>
      </c>
      <c r="E16" s="17"/>
      <c r="F16" s="17">
        <v>1.2</v>
      </c>
      <c r="G16" s="109">
        <f t="shared" si="0"/>
        <v>66502.16</v>
      </c>
    </row>
    <row r="17" spans="3:7">
      <c r="C17" s="40">
        <v>45506</v>
      </c>
      <c r="D17" s="17" t="s">
        <v>1850</v>
      </c>
      <c r="E17" s="17"/>
      <c r="F17" s="17">
        <v>108</v>
      </c>
      <c r="G17" s="109">
        <f t="shared" si="0"/>
        <v>66394.16</v>
      </c>
    </row>
    <row r="18" spans="3:7">
      <c r="C18" s="40">
        <v>45506</v>
      </c>
      <c r="D18" s="17" t="s">
        <v>1849</v>
      </c>
      <c r="E18" s="17"/>
      <c r="F18" s="17">
        <v>1.2</v>
      </c>
      <c r="G18" s="109">
        <f t="shared" si="0"/>
        <v>66392.960000000006</v>
      </c>
    </row>
    <row r="19" spans="3:7">
      <c r="C19" s="40">
        <v>45506</v>
      </c>
      <c r="D19" s="17" t="s">
        <v>1850</v>
      </c>
      <c r="E19" s="17"/>
      <c r="F19" s="17">
        <v>108</v>
      </c>
      <c r="G19" s="109">
        <f t="shared" si="0"/>
        <v>66284.960000000006</v>
      </c>
    </row>
    <row r="20" spans="3:7">
      <c r="C20" s="40">
        <v>45506</v>
      </c>
      <c r="D20" s="17" t="s">
        <v>1739</v>
      </c>
      <c r="E20" s="17"/>
      <c r="F20" s="17">
        <v>1</v>
      </c>
      <c r="G20" s="109">
        <f t="shared" si="0"/>
        <v>66283.960000000006</v>
      </c>
    </row>
    <row r="21" spans="3:7">
      <c r="C21" s="40">
        <v>45506</v>
      </c>
      <c r="D21" s="17" t="s">
        <v>1849</v>
      </c>
      <c r="E21" s="17"/>
      <c r="F21" s="17">
        <v>1.2</v>
      </c>
      <c r="G21" s="109">
        <f t="shared" si="0"/>
        <v>66282.760000000009</v>
      </c>
    </row>
    <row r="22" spans="3:7">
      <c r="C22" s="40">
        <v>45506</v>
      </c>
      <c r="D22" s="17" t="s">
        <v>1850</v>
      </c>
      <c r="E22" s="17"/>
      <c r="F22" s="17">
        <v>108</v>
      </c>
      <c r="G22" s="109">
        <f t="shared" si="0"/>
        <v>66174.760000000009</v>
      </c>
    </row>
    <row r="23" spans="3:7">
      <c r="C23" s="40">
        <v>45510</v>
      </c>
      <c r="D23" s="17" t="s">
        <v>1851</v>
      </c>
      <c r="E23" s="17"/>
      <c r="F23" s="17">
        <v>35</v>
      </c>
      <c r="G23" s="109">
        <f t="shared" si="0"/>
        <v>66139.760000000009</v>
      </c>
    </row>
    <row r="24" spans="3:7">
      <c r="C24" s="40">
        <v>45510</v>
      </c>
      <c r="D24" s="17" t="s">
        <v>1851</v>
      </c>
      <c r="E24" s="17"/>
      <c r="F24" s="17">
        <v>65</v>
      </c>
      <c r="G24" s="109">
        <f t="shared" si="0"/>
        <v>66074.760000000009</v>
      </c>
    </row>
    <row r="25" spans="3:7">
      <c r="C25" s="40">
        <v>45510</v>
      </c>
      <c r="D25" s="17" t="s">
        <v>1852</v>
      </c>
      <c r="E25" s="17"/>
      <c r="F25" s="17">
        <v>1170</v>
      </c>
      <c r="G25" s="109">
        <f t="shared" si="0"/>
        <v>64904.760000000009</v>
      </c>
    </row>
    <row r="26" spans="3:7">
      <c r="C26" s="40">
        <v>45512</v>
      </c>
      <c r="D26" s="17" t="s">
        <v>1846</v>
      </c>
      <c r="E26" s="17"/>
      <c r="F26" s="17">
        <v>39</v>
      </c>
      <c r="G26" s="109">
        <f t="shared" si="0"/>
        <v>64865.760000000009</v>
      </c>
    </row>
    <row r="27" spans="3:7">
      <c r="C27" s="40">
        <v>45512</v>
      </c>
      <c r="D27" s="17" t="s">
        <v>1853</v>
      </c>
      <c r="E27" s="17"/>
      <c r="F27" s="17">
        <v>18</v>
      </c>
      <c r="G27" s="109">
        <f t="shared" si="0"/>
        <v>64847.760000000009</v>
      </c>
    </row>
    <row r="28" spans="3:7">
      <c r="C28" s="40">
        <v>45512</v>
      </c>
      <c r="D28" s="17" t="s">
        <v>1854</v>
      </c>
      <c r="E28" s="17"/>
      <c r="F28" s="17">
        <v>11.75</v>
      </c>
      <c r="G28" s="109">
        <f t="shared" si="0"/>
        <v>64836.010000000009</v>
      </c>
    </row>
    <row r="29" spans="3:7">
      <c r="C29" s="40">
        <v>45512</v>
      </c>
      <c r="D29" s="17" t="s">
        <v>1853</v>
      </c>
      <c r="E29" s="17"/>
      <c r="F29" s="17">
        <v>8</v>
      </c>
      <c r="G29" s="109">
        <f t="shared" si="0"/>
        <v>64828.010000000009</v>
      </c>
    </row>
    <row r="30" spans="3:7">
      <c r="C30" s="40">
        <v>45512</v>
      </c>
      <c r="D30" s="17" t="s">
        <v>1855</v>
      </c>
      <c r="E30" s="17"/>
      <c r="F30" s="17">
        <v>40.200000000000003</v>
      </c>
      <c r="G30" s="109">
        <f t="shared" si="0"/>
        <v>64787.810000000012</v>
      </c>
    </row>
    <row r="31" spans="3:7">
      <c r="C31" s="40">
        <v>45514</v>
      </c>
      <c r="D31" s="17" t="s">
        <v>1856</v>
      </c>
      <c r="E31" s="17"/>
      <c r="F31" s="17">
        <v>96</v>
      </c>
      <c r="G31" s="109">
        <f t="shared" si="0"/>
        <v>64691.810000000012</v>
      </c>
    </row>
    <row r="32" spans="3:7">
      <c r="C32" s="40">
        <v>45514</v>
      </c>
      <c r="D32" s="17" t="s">
        <v>1855</v>
      </c>
      <c r="E32" s="17"/>
      <c r="F32" s="17">
        <v>10.99</v>
      </c>
      <c r="G32" s="109">
        <f t="shared" si="0"/>
        <v>64680.820000000014</v>
      </c>
    </row>
    <row r="33" spans="3:7">
      <c r="C33" s="40">
        <v>45514</v>
      </c>
      <c r="D33" s="17" t="s">
        <v>1857</v>
      </c>
      <c r="E33" s="17"/>
      <c r="F33" s="17">
        <v>43.8</v>
      </c>
      <c r="G33" s="109">
        <f t="shared" si="0"/>
        <v>64637.020000000011</v>
      </c>
    </row>
    <row r="34" spans="3:7">
      <c r="C34" s="40">
        <v>45514</v>
      </c>
      <c r="D34" s="17" t="s">
        <v>1858</v>
      </c>
      <c r="E34" s="17"/>
      <c r="F34" s="17">
        <v>118.01</v>
      </c>
      <c r="G34" s="109">
        <f t="shared" si="0"/>
        <v>64519.010000000009</v>
      </c>
    </row>
    <row r="35" spans="3:7">
      <c r="C35" s="40">
        <v>45514</v>
      </c>
      <c r="D35" s="17" t="s">
        <v>1859</v>
      </c>
      <c r="E35" s="17"/>
      <c r="F35" s="17">
        <v>34.799999999999997</v>
      </c>
      <c r="G35" s="109">
        <f t="shared" si="0"/>
        <v>64484.210000000006</v>
      </c>
    </row>
    <row r="36" spans="3:7">
      <c r="C36" s="40">
        <v>45514</v>
      </c>
      <c r="D36" s="17" t="s">
        <v>1860</v>
      </c>
      <c r="E36" s="17"/>
      <c r="F36" s="17">
        <v>24</v>
      </c>
      <c r="G36" s="109">
        <f t="shared" si="0"/>
        <v>64460.210000000006</v>
      </c>
    </row>
    <row r="37" spans="3:7">
      <c r="C37" s="40">
        <v>45517</v>
      </c>
      <c r="D37" s="17" t="s">
        <v>1893</v>
      </c>
      <c r="E37" s="17"/>
      <c r="F37" s="17">
        <v>13776.42</v>
      </c>
      <c r="G37" s="109">
        <f t="shared" si="0"/>
        <v>50683.790000000008</v>
      </c>
    </row>
    <row r="38" spans="3:7">
      <c r="C38" s="40">
        <v>45517</v>
      </c>
      <c r="D38" s="17" t="s">
        <v>1851</v>
      </c>
      <c r="E38" s="17"/>
      <c r="F38" s="17">
        <v>100</v>
      </c>
      <c r="G38" s="109">
        <f t="shared" si="0"/>
        <v>50583.790000000008</v>
      </c>
    </row>
    <row r="39" spans="3:7">
      <c r="C39" s="40">
        <v>45522</v>
      </c>
      <c r="D39" s="17" t="s">
        <v>1936</v>
      </c>
      <c r="E39" s="17"/>
      <c r="F39" s="17">
        <v>743</v>
      </c>
      <c r="G39" s="109">
        <f t="shared" si="0"/>
        <v>49840.790000000008</v>
      </c>
    </row>
    <row r="40" spans="3:7">
      <c r="C40" s="40"/>
      <c r="D40" s="17" t="s">
        <v>1593</v>
      </c>
      <c r="E40" s="17"/>
      <c r="F40" s="17"/>
      <c r="G40" s="109">
        <f t="shared" si="0"/>
        <v>49840.790000000008</v>
      </c>
    </row>
    <row r="41" spans="3:7">
      <c r="C41" s="40">
        <v>45537</v>
      </c>
      <c r="D41" s="17" t="s">
        <v>1851</v>
      </c>
      <c r="E41" s="17"/>
      <c r="F41" s="17">
        <v>20</v>
      </c>
      <c r="G41" s="109">
        <f t="shared" si="0"/>
        <v>49820.790000000008</v>
      </c>
    </row>
    <row r="42" spans="3:7">
      <c r="C42" s="40">
        <v>45538</v>
      </c>
      <c r="D42" s="17" t="s">
        <v>2013</v>
      </c>
      <c r="E42" s="17"/>
      <c r="F42" s="17">
        <v>26.25</v>
      </c>
      <c r="G42" s="109">
        <f t="shared" si="0"/>
        <v>49794.540000000008</v>
      </c>
    </row>
    <row r="43" spans="3:7">
      <c r="C43" s="40">
        <v>45539</v>
      </c>
      <c r="D43" s="17" t="s">
        <v>2011</v>
      </c>
      <c r="E43" s="17">
        <v>20000</v>
      </c>
      <c r="F43" s="17"/>
      <c r="G43" s="109">
        <f t="shared" si="0"/>
        <v>69794.540000000008</v>
      </c>
    </row>
    <row r="44" spans="3:7">
      <c r="C44" s="40">
        <v>45540</v>
      </c>
      <c r="D44" s="17" t="s">
        <v>1851</v>
      </c>
      <c r="E44" s="17"/>
      <c r="F44" s="17">
        <v>20</v>
      </c>
      <c r="G44" s="109">
        <f t="shared" si="0"/>
        <v>69774.540000000008</v>
      </c>
    </row>
    <row r="45" spans="3:7">
      <c r="C45" s="40">
        <v>45540</v>
      </c>
      <c r="D45" s="17" t="s">
        <v>2012</v>
      </c>
      <c r="E45" s="17"/>
      <c r="F45" s="17">
        <v>345.05</v>
      </c>
      <c r="G45" s="109">
        <f t="shared" si="0"/>
        <v>69429.490000000005</v>
      </c>
    </row>
    <row r="46" spans="3:7">
      <c r="C46" s="40">
        <v>45543</v>
      </c>
      <c r="D46" s="17" t="s">
        <v>2039</v>
      </c>
      <c r="E46" s="17"/>
      <c r="F46" s="17">
        <v>18</v>
      </c>
      <c r="G46" s="109">
        <f t="shared" si="0"/>
        <v>69411.490000000005</v>
      </c>
    </row>
    <row r="47" spans="3:7">
      <c r="C47" s="40">
        <v>45543</v>
      </c>
      <c r="D47" s="17" t="s">
        <v>2090</v>
      </c>
      <c r="E47" s="17"/>
      <c r="F47" s="17">
        <v>3000</v>
      </c>
      <c r="G47" s="109">
        <f t="shared" si="0"/>
        <v>66411.490000000005</v>
      </c>
    </row>
    <row r="48" spans="3:7">
      <c r="C48" s="40">
        <v>45543</v>
      </c>
      <c r="D48" s="17" t="s">
        <v>2090</v>
      </c>
      <c r="E48" s="17"/>
      <c r="F48" s="17">
        <v>14600</v>
      </c>
      <c r="G48" s="109">
        <f t="shared" si="0"/>
        <v>51811.490000000005</v>
      </c>
    </row>
    <row r="49" spans="3:11">
      <c r="C49" s="40">
        <v>45545</v>
      </c>
      <c r="D49" s="17" t="s">
        <v>2040</v>
      </c>
      <c r="E49" s="17"/>
      <c r="F49" s="17">
        <v>16</v>
      </c>
      <c r="G49" s="109">
        <f t="shared" si="0"/>
        <v>51795.490000000005</v>
      </c>
    </row>
    <row r="50" spans="3:11">
      <c r="C50" s="40">
        <v>45545</v>
      </c>
      <c r="D50" s="17" t="s">
        <v>2041</v>
      </c>
      <c r="E50" s="17"/>
      <c r="F50" s="17">
        <v>34</v>
      </c>
      <c r="G50" s="109">
        <f t="shared" si="0"/>
        <v>51761.490000000005</v>
      </c>
    </row>
    <row r="51" spans="3:11">
      <c r="C51" s="40">
        <v>45545</v>
      </c>
      <c r="D51" s="17" t="s">
        <v>2042</v>
      </c>
      <c r="E51" s="17"/>
      <c r="F51" s="17">
        <v>61.98</v>
      </c>
      <c r="G51" s="109">
        <f t="shared" si="0"/>
        <v>51699.51</v>
      </c>
    </row>
    <row r="52" spans="3:11">
      <c r="C52" s="40">
        <v>45545</v>
      </c>
      <c r="D52" s="17" t="s">
        <v>2040</v>
      </c>
      <c r="E52" s="17"/>
      <c r="F52" s="17">
        <v>144</v>
      </c>
      <c r="G52" s="109">
        <f t="shared" si="0"/>
        <v>51555.51</v>
      </c>
    </row>
    <row r="53" spans="3:11">
      <c r="C53" s="40">
        <v>45545</v>
      </c>
      <c r="D53" s="17" t="s">
        <v>2043</v>
      </c>
      <c r="E53" s="17"/>
      <c r="F53" s="17">
        <v>93.2</v>
      </c>
      <c r="G53" s="109">
        <f t="shared" si="0"/>
        <v>51462.310000000005</v>
      </c>
    </row>
    <row r="54" spans="3:11">
      <c r="C54" s="40">
        <v>45545</v>
      </c>
      <c r="D54" s="17" t="s">
        <v>1851</v>
      </c>
      <c r="E54" s="17"/>
      <c r="F54" s="17">
        <v>95</v>
      </c>
      <c r="G54" s="109">
        <f t="shared" si="0"/>
        <v>51367.310000000005</v>
      </c>
    </row>
    <row r="55" spans="3:11">
      <c r="C55" s="40">
        <v>45547</v>
      </c>
      <c r="D55" s="17" t="s">
        <v>2041</v>
      </c>
      <c r="E55" s="17"/>
      <c r="F55" s="17">
        <v>40.5</v>
      </c>
      <c r="G55" s="109">
        <f t="shared" si="0"/>
        <v>51326.810000000005</v>
      </c>
    </row>
    <row r="56" spans="3:11">
      <c r="C56" s="40">
        <v>45547</v>
      </c>
      <c r="D56" s="17" t="s">
        <v>2044</v>
      </c>
      <c r="E56" s="17"/>
      <c r="F56" s="17">
        <v>13.23</v>
      </c>
      <c r="G56" s="109">
        <f t="shared" si="0"/>
        <v>51313.58</v>
      </c>
    </row>
    <row r="57" spans="3:11">
      <c r="C57" s="40">
        <v>45548</v>
      </c>
      <c r="D57" s="17" t="s">
        <v>2045</v>
      </c>
      <c r="E57" s="17"/>
      <c r="F57" s="17">
        <v>0.5</v>
      </c>
      <c r="G57" s="109">
        <f t="shared" si="0"/>
        <v>51313.08</v>
      </c>
    </row>
    <row r="58" spans="3:11">
      <c r="C58" s="40">
        <v>45548</v>
      </c>
      <c r="D58" s="17" t="s">
        <v>2037</v>
      </c>
      <c r="E58" s="17"/>
      <c r="F58" s="17">
        <v>15600</v>
      </c>
      <c r="G58" s="109">
        <f t="shared" si="0"/>
        <v>35713.08</v>
      </c>
    </row>
    <row r="59" spans="3:11">
      <c r="C59" s="40">
        <v>45549</v>
      </c>
      <c r="D59" s="17" t="s">
        <v>1851</v>
      </c>
      <c r="E59" s="17"/>
      <c r="F59" s="17">
        <v>20</v>
      </c>
      <c r="G59" s="109">
        <f t="shared" si="0"/>
        <v>35693.08</v>
      </c>
    </row>
    <row r="60" spans="3:11">
      <c r="C60" s="40">
        <v>45557</v>
      </c>
      <c r="D60" s="17" t="s">
        <v>2117</v>
      </c>
      <c r="E60" s="17"/>
      <c r="F60" s="17">
        <v>10.9</v>
      </c>
      <c r="G60" s="109">
        <f t="shared" si="0"/>
        <v>35682.18</v>
      </c>
    </row>
    <row r="61" spans="3:11">
      <c r="C61" s="40">
        <v>45559</v>
      </c>
      <c r="D61" s="17" t="s">
        <v>1680</v>
      </c>
      <c r="E61" s="17"/>
      <c r="F61" s="17">
        <v>3855.48</v>
      </c>
      <c r="G61" s="109">
        <f t="shared" si="0"/>
        <v>31826.7</v>
      </c>
    </row>
    <row r="62" spans="3:11">
      <c r="C62" s="40">
        <v>45560</v>
      </c>
      <c r="D62" s="17" t="s">
        <v>1680</v>
      </c>
      <c r="E62" s="17"/>
      <c r="F62" s="17">
        <v>10365.450000000001</v>
      </c>
      <c r="G62" s="109">
        <f t="shared" si="0"/>
        <v>21461.25</v>
      </c>
      <c r="J62" s="21">
        <v>45556</v>
      </c>
      <c r="K62" t="s">
        <v>2200</v>
      </c>
    </row>
    <row r="63" spans="3:11">
      <c r="C63" s="40">
        <v>45560</v>
      </c>
      <c r="D63" s="17" t="s">
        <v>2118</v>
      </c>
      <c r="E63" s="17"/>
      <c r="F63" s="17">
        <v>3.37</v>
      </c>
      <c r="G63" s="109">
        <f t="shared" si="0"/>
        <v>21457.88</v>
      </c>
    </row>
    <row r="64" spans="3:11">
      <c r="C64" s="40">
        <v>45560</v>
      </c>
      <c r="D64" s="17" t="s">
        <v>1680</v>
      </c>
      <c r="E64" s="17"/>
      <c r="F64" s="17">
        <v>10365.450000000001</v>
      </c>
      <c r="G64" s="109">
        <f t="shared" si="0"/>
        <v>11092.43</v>
      </c>
      <c r="J64" s="21">
        <v>45556</v>
      </c>
      <c r="K64" t="s">
        <v>2200</v>
      </c>
    </row>
    <row r="65" spans="3:7">
      <c r="C65" s="40">
        <v>45566</v>
      </c>
      <c r="D65" s="17" t="s">
        <v>2119</v>
      </c>
      <c r="E65" s="17"/>
      <c r="F65" s="17">
        <v>26.19</v>
      </c>
      <c r="G65" s="109">
        <f t="shared" si="0"/>
        <v>11066.24</v>
      </c>
    </row>
    <row r="66" spans="3:7">
      <c r="C66" s="40">
        <v>45566</v>
      </c>
      <c r="D66" s="17" t="s">
        <v>2120</v>
      </c>
      <c r="E66" s="17">
        <v>20000</v>
      </c>
      <c r="F66" s="17"/>
      <c r="G66" s="109">
        <f t="shared" si="0"/>
        <v>31066.239999999998</v>
      </c>
    </row>
    <row r="67" spans="3:7">
      <c r="C67" s="40">
        <v>45571</v>
      </c>
      <c r="D67" s="17" t="s">
        <v>2372</v>
      </c>
      <c r="E67" s="17"/>
      <c r="F67" s="17">
        <v>36.72</v>
      </c>
      <c r="G67" s="109">
        <f t="shared" si="0"/>
        <v>31029.519999999997</v>
      </c>
    </row>
    <row r="68" spans="3:7">
      <c r="C68" s="40">
        <v>45571</v>
      </c>
      <c r="D68" s="17" t="s">
        <v>2373</v>
      </c>
      <c r="E68" s="17"/>
      <c r="F68" s="17">
        <v>465.32</v>
      </c>
      <c r="G68" s="109">
        <f t="shared" si="0"/>
        <v>30564.199999999997</v>
      </c>
    </row>
    <row r="69" spans="3:7">
      <c r="C69" s="40">
        <v>45576</v>
      </c>
      <c r="D69" s="17" t="s">
        <v>2117</v>
      </c>
      <c r="E69" s="17"/>
      <c r="F69" s="17">
        <v>10.27</v>
      </c>
      <c r="G69" s="109">
        <f t="shared" si="0"/>
        <v>30553.929999999997</v>
      </c>
    </row>
    <row r="70" spans="3:7">
      <c r="C70" s="40">
        <v>45577</v>
      </c>
      <c r="D70" s="17" t="s">
        <v>2374</v>
      </c>
      <c r="E70" s="17"/>
      <c r="F70" s="17">
        <v>25.69</v>
      </c>
      <c r="G70" s="109">
        <f t="shared" ref="G70:G134" si="1">G69+E70-F70</f>
        <v>30528.239999999998</v>
      </c>
    </row>
    <row r="71" spans="3:7">
      <c r="C71" s="40">
        <v>45582</v>
      </c>
      <c r="D71" s="17" t="s">
        <v>2403</v>
      </c>
      <c r="E71" s="17"/>
      <c r="F71" s="17">
        <v>40</v>
      </c>
      <c r="G71" s="109">
        <f t="shared" si="1"/>
        <v>30488.239999999998</v>
      </c>
    </row>
    <row r="72" spans="3:7">
      <c r="C72" s="543">
        <v>45582</v>
      </c>
      <c r="D72" s="477" t="s">
        <v>2404</v>
      </c>
      <c r="E72" s="477"/>
      <c r="F72" s="477">
        <v>60</v>
      </c>
      <c r="G72" s="109">
        <f t="shared" si="1"/>
        <v>30428.239999999998</v>
      </c>
    </row>
    <row r="73" spans="3:7">
      <c r="C73" s="40">
        <v>45583</v>
      </c>
      <c r="D73" s="17" t="s">
        <v>2403</v>
      </c>
      <c r="E73" s="17"/>
      <c r="F73" s="17">
        <v>4.09</v>
      </c>
      <c r="G73" s="109">
        <f t="shared" si="1"/>
        <v>30424.149999999998</v>
      </c>
    </row>
    <row r="74" spans="3:7">
      <c r="C74" s="543">
        <v>45583</v>
      </c>
      <c r="D74" s="477" t="s">
        <v>2403</v>
      </c>
      <c r="E74" s="477"/>
      <c r="F74" s="477">
        <v>7.5</v>
      </c>
      <c r="G74" s="109">
        <f t="shared" si="1"/>
        <v>30416.649999999998</v>
      </c>
    </row>
    <row r="75" spans="3:7">
      <c r="C75" s="40">
        <v>45583</v>
      </c>
      <c r="D75" s="17" t="s">
        <v>2403</v>
      </c>
      <c r="E75" s="17"/>
      <c r="F75" s="17">
        <v>18</v>
      </c>
      <c r="G75" s="109">
        <f t="shared" si="1"/>
        <v>30398.649999999998</v>
      </c>
    </row>
    <row r="76" spans="3:7">
      <c r="C76" s="543">
        <v>45584</v>
      </c>
      <c r="D76" s="477" t="s">
        <v>2403</v>
      </c>
      <c r="E76" s="477"/>
      <c r="F76" s="477">
        <v>561.5</v>
      </c>
      <c r="G76" s="109">
        <f t="shared" si="1"/>
        <v>29837.149999999998</v>
      </c>
    </row>
    <row r="77" spans="3:7">
      <c r="C77" s="40">
        <v>45584</v>
      </c>
      <c r="D77" s="17" t="s">
        <v>2403</v>
      </c>
      <c r="E77" s="17"/>
      <c r="F77" s="17">
        <v>83</v>
      </c>
      <c r="G77" s="109">
        <f t="shared" si="1"/>
        <v>29754.149999999998</v>
      </c>
    </row>
    <row r="78" spans="3:7">
      <c r="C78" s="543">
        <v>45585</v>
      </c>
      <c r="D78" s="477" t="s">
        <v>2404</v>
      </c>
      <c r="E78" s="477"/>
      <c r="F78" s="477">
        <v>20</v>
      </c>
      <c r="G78" s="109">
        <f t="shared" si="1"/>
        <v>29734.149999999998</v>
      </c>
    </row>
    <row r="79" spans="3:7">
      <c r="C79" s="40">
        <v>45587</v>
      </c>
      <c r="D79" s="17" t="s">
        <v>2405</v>
      </c>
      <c r="E79" s="17"/>
      <c r="F79" s="17">
        <v>50</v>
      </c>
      <c r="G79" s="109">
        <f t="shared" si="1"/>
        <v>29684.149999999998</v>
      </c>
    </row>
    <row r="80" spans="3:7">
      <c r="C80" s="543">
        <v>45588</v>
      </c>
      <c r="D80" s="477" t="s">
        <v>2406</v>
      </c>
      <c r="E80" s="477"/>
      <c r="F80" s="477">
        <v>6.5</v>
      </c>
      <c r="G80" s="109">
        <f t="shared" si="1"/>
        <v>29677.649999999998</v>
      </c>
    </row>
    <row r="81" spans="3:7">
      <c r="C81" s="40">
        <v>45588</v>
      </c>
      <c r="D81" s="17" t="s">
        <v>2407</v>
      </c>
      <c r="E81" s="17"/>
      <c r="F81" s="17">
        <v>11.45</v>
      </c>
      <c r="G81" s="109">
        <f t="shared" si="1"/>
        <v>29666.199999999997</v>
      </c>
    </row>
    <row r="82" spans="3:7">
      <c r="C82" s="543">
        <v>45588</v>
      </c>
      <c r="D82" s="477" t="s">
        <v>2408</v>
      </c>
      <c r="E82" s="477"/>
      <c r="F82" s="477">
        <v>84</v>
      </c>
      <c r="G82" s="109">
        <f t="shared" si="1"/>
        <v>29582.199999999997</v>
      </c>
    </row>
    <row r="83" spans="3:7">
      <c r="C83" s="40">
        <v>45589</v>
      </c>
      <c r="D83" s="17" t="s">
        <v>2409</v>
      </c>
      <c r="E83" s="17"/>
      <c r="F83" s="17">
        <v>41</v>
      </c>
      <c r="G83" s="109">
        <f t="shared" si="1"/>
        <v>29541.199999999997</v>
      </c>
    </row>
    <row r="84" spans="3:7">
      <c r="C84" s="543">
        <v>45589</v>
      </c>
      <c r="D84" s="477" t="s">
        <v>2403</v>
      </c>
      <c r="E84" s="477"/>
      <c r="F84" s="477">
        <v>6.5</v>
      </c>
      <c r="G84" s="109">
        <f t="shared" si="1"/>
        <v>29534.699999999997</v>
      </c>
    </row>
    <row r="85" spans="3:7">
      <c r="C85" s="40">
        <v>45590</v>
      </c>
      <c r="D85" s="17" t="s">
        <v>2410</v>
      </c>
      <c r="E85" s="17"/>
      <c r="F85" s="17">
        <v>5.54</v>
      </c>
      <c r="G85" s="109">
        <f t="shared" si="1"/>
        <v>29529.159999999996</v>
      </c>
    </row>
    <row r="86" spans="3:7">
      <c r="C86" s="543">
        <v>45590</v>
      </c>
      <c r="D86" s="477" t="s">
        <v>2404</v>
      </c>
      <c r="E86" s="477"/>
      <c r="F86" s="477">
        <v>20</v>
      </c>
      <c r="G86" s="109">
        <f t="shared" si="1"/>
        <v>29509.159999999996</v>
      </c>
    </row>
    <row r="87" spans="3:7">
      <c r="C87" s="40">
        <v>45592</v>
      </c>
      <c r="D87" s="17" t="s">
        <v>2411</v>
      </c>
      <c r="E87" s="17"/>
      <c r="F87" s="17">
        <v>78.180000000000007</v>
      </c>
      <c r="G87" s="109">
        <f t="shared" si="1"/>
        <v>29430.979999999996</v>
      </c>
    </row>
    <row r="88" spans="3:7">
      <c r="C88" s="543">
        <v>45594</v>
      </c>
      <c r="D88" s="477" t="s">
        <v>2412</v>
      </c>
      <c r="E88" s="477"/>
      <c r="F88" s="477">
        <v>90</v>
      </c>
      <c r="G88" s="109">
        <f t="shared" si="1"/>
        <v>29340.979999999996</v>
      </c>
    </row>
    <row r="89" spans="3:7">
      <c r="C89" s="40">
        <v>45594</v>
      </c>
      <c r="D89" s="17" t="s">
        <v>2413</v>
      </c>
      <c r="E89" s="17"/>
      <c r="F89" s="17">
        <v>10.99</v>
      </c>
      <c r="G89" s="109">
        <f t="shared" si="1"/>
        <v>29329.989999999994</v>
      </c>
    </row>
    <row r="90" spans="3:7">
      <c r="C90" s="543">
        <v>45594</v>
      </c>
      <c r="D90" s="477" t="s">
        <v>2414</v>
      </c>
      <c r="E90" s="477"/>
      <c r="F90" s="477">
        <v>25.5</v>
      </c>
      <c r="G90" s="109">
        <f t="shared" si="1"/>
        <v>29304.489999999994</v>
      </c>
    </row>
    <row r="91" spans="3:7">
      <c r="C91" s="40">
        <v>45594</v>
      </c>
      <c r="D91" s="17" t="s">
        <v>2415</v>
      </c>
      <c r="E91" s="17"/>
      <c r="F91" s="17">
        <v>29</v>
      </c>
      <c r="G91" s="109">
        <f t="shared" si="1"/>
        <v>29275.489999999994</v>
      </c>
    </row>
    <row r="92" spans="3:7">
      <c r="C92" s="543">
        <v>45594</v>
      </c>
      <c r="D92" s="477" t="s">
        <v>2416</v>
      </c>
      <c r="E92" s="477"/>
      <c r="F92" s="477">
        <v>1.5</v>
      </c>
      <c r="G92" s="109">
        <f t="shared" si="1"/>
        <v>29273.989999999994</v>
      </c>
    </row>
    <row r="93" spans="3:7">
      <c r="C93" s="40">
        <v>45594</v>
      </c>
      <c r="D93" s="17" t="s">
        <v>2417</v>
      </c>
      <c r="E93" s="17"/>
      <c r="F93" s="17">
        <v>61.24</v>
      </c>
      <c r="G93" s="109">
        <f t="shared" si="1"/>
        <v>29212.749999999993</v>
      </c>
    </row>
    <row r="94" spans="3:7">
      <c r="C94" s="543">
        <v>45594</v>
      </c>
      <c r="D94" s="477" t="s">
        <v>2418</v>
      </c>
      <c r="E94" s="477"/>
      <c r="F94" s="477">
        <v>1150</v>
      </c>
      <c r="G94" s="109">
        <f t="shared" si="1"/>
        <v>28062.749999999993</v>
      </c>
    </row>
    <row r="95" spans="3:7">
      <c r="C95" s="40">
        <v>45594</v>
      </c>
      <c r="D95" s="17" t="s">
        <v>2419</v>
      </c>
      <c r="E95" s="17"/>
      <c r="F95" s="17">
        <v>40.450000000000003</v>
      </c>
      <c r="G95" s="109">
        <f t="shared" si="1"/>
        <v>28022.299999999992</v>
      </c>
    </row>
    <row r="96" spans="3:7">
      <c r="C96" s="543">
        <v>45596</v>
      </c>
      <c r="D96" s="477" t="s">
        <v>2420</v>
      </c>
      <c r="E96" s="477"/>
      <c r="F96" s="477">
        <v>8.5</v>
      </c>
      <c r="G96" s="109">
        <f t="shared" si="1"/>
        <v>28013.799999999992</v>
      </c>
    </row>
    <row r="97" spans="2:7">
      <c r="C97" s="40">
        <v>45596</v>
      </c>
      <c r="D97" s="17" t="s">
        <v>2414</v>
      </c>
      <c r="E97" s="17"/>
      <c r="F97" s="17">
        <v>41.5</v>
      </c>
      <c r="G97" s="109">
        <f t="shared" si="1"/>
        <v>27972.299999999992</v>
      </c>
    </row>
    <row r="98" spans="2:7">
      <c r="C98" s="543">
        <v>45596</v>
      </c>
      <c r="D98" s="477" t="s">
        <v>2421</v>
      </c>
      <c r="E98" s="477"/>
      <c r="F98" s="477">
        <v>6.5</v>
      </c>
      <c r="G98" s="109">
        <f t="shared" si="1"/>
        <v>27965.799999999992</v>
      </c>
    </row>
    <row r="99" spans="2:7">
      <c r="C99" s="40">
        <v>45597</v>
      </c>
      <c r="D99" s="17" t="s">
        <v>2410</v>
      </c>
      <c r="E99" s="17"/>
      <c r="F99" s="17">
        <v>1.99</v>
      </c>
      <c r="G99" s="109">
        <f t="shared" si="1"/>
        <v>27963.80999999999</v>
      </c>
    </row>
    <row r="100" spans="2:7">
      <c r="C100" s="543">
        <v>45597</v>
      </c>
      <c r="D100" s="477" t="s">
        <v>2422</v>
      </c>
      <c r="E100" s="477"/>
      <c r="F100" s="477">
        <v>183.55</v>
      </c>
      <c r="G100" s="109">
        <f t="shared" si="1"/>
        <v>27780.259999999991</v>
      </c>
    </row>
    <row r="101" spans="2:7">
      <c r="B101" t="s">
        <v>1920</v>
      </c>
      <c r="C101" s="40">
        <v>45597</v>
      </c>
      <c r="D101" s="17" t="s">
        <v>2422</v>
      </c>
      <c r="E101" s="17"/>
      <c r="F101" s="17">
        <v>6118.27</v>
      </c>
      <c r="G101" s="109">
        <f t="shared" si="1"/>
        <v>21661.989999999991</v>
      </c>
    </row>
    <row r="102" spans="2:7">
      <c r="C102" s="543">
        <v>45598</v>
      </c>
      <c r="D102" s="477" t="s">
        <v>2410</v>
      </c>
      <c r="E102" s="477"/>
      <c r="F102" s="477">
        <v>12.64</v>
      </c>
      <c r="G102" s="109">
        <f t="shared" si="1"/>
        <v>21649.349999999991</v>
      </c>
    </row>
    <row r="103" spans="2:7">
      <c r="C103" s="40">
        <v>45599</v>
      </c>
      <c r="D103" s="17" t="s">
        <v>2423</v>
      </c>
      <c r="E103" s="17"/>
      <c r="F103" s="17">
        <v>16</v>
      </c>
      <c r="G103" s="109">
        <f t="shared" si="1"/>
        <v>21633.349999999991</v>
      </c>
    </row>
    <row r="104" spans="2:7">
      <c r="C104" s="543">
        <v>45600</v>
      </c>
      <c r="D104" s="477" t="s">
        <v>2120</v>
      </c>
      <c r="E104" s="477">
        <v>20000</v>
      </c>
      <c r="F104" s="477"/>
      <c r="G104" s="109">
        <f t="shared" si="1"/>
        <v>41633.349999999991</v>
      </c>
    </row>
    <row r="105" spans="2:7">
      <c r="C105" s="40">
        <v>45601</v>
      </c>
      <c r="D105" s="17" t="s">
        <v>2424</v>
      </c>
      <c r="E105" s="17"/>
      <c r="F105" s="17">
        <v>1020</v>
      </c>
      <c r="G105" s="109">
        <f t="shared" si="1"/>
        <v>40613.349999999991</v>
      </c>
    </row>
    <row r="106" spans="2:7">
      <c r="C106" s="543">
        <v>45602</v>
      </c>
      <c r="D106" s="477" t="s">
        <v>2404</v>
      </c>
      <c r="E106" s="477"/>
      <c r="F106" s="477">
        <v>20</v>
      </c>
      <c r="G106" s="109">
        <f t="shared" si="1"/>
        <v>40593.349999999991</v>
      </c>
    </row>
    <row r="107" spans="2:7">
      <c r="C107" s="40">
        <v>45602</v>
      </c>
      <c r="D107" s="17" t="s">
        <v>2410</v>
      </c>
      <c r="E107" s="17"/>
      <c r="F107" s="17">
        <v>4.6900000000000004</v>
      </c>
      <c r="G107" s="109">
        <f t="shared" si="1"/>
        <v>40588.659999999989</v>
      </c>
    </row>
    <row r="108" spans="2:7">
      <c r="C108" s="543">
        <v>45602</v>
      </c>
      <c r="D108" s="477" t="s">
        <v>2412</v>
      </c>
      <c r="E108" s="477"/>
      <c r="F108" s="477">
        <v>41</v>
      </c>
      <c r="G108" s="109">
        <f t="shared" si="1"/>
        <v>40547.659999999989</v>
      </c>
    </row>
    <row r="109" spans="2:7">
      <c r="B109" t="s">
        <v>2438</v>
      </c>
      <c r="C109" s="40">
        <v>45602</v>
      </c>
      <c r="D109" s="17" t="s">
        <v>2425</v>
      </c>
      <c r="E109" s="17"/>
      <c r="F109" s="17">
        <v>5675</v>
      </c>
      <c r="G109" s="109">
        <f t="shared" si="1"/>
        <v>34872.659999999989</v>
      </c>
    </row>
    <row r="110" spans="2:7">
      <c r="C110" s="543">
        <v>45605</v>
      </c>
      <c r="D110" s="477" t="s">
        <v>2426</v>
      </c>
      <c r="E110" s="477"/>
      <c r="F110" s="477">
        <v>18.18</v>
      </c>
      <c r="G110" s="109">
        <f t="shared" si="1"/>
        <v>34854.479999999989</v>
      </c>
    </row>
    <row r="111" spans="2:7">
      <c r="C111" s="40">
        <v>45609</v>
      </c>
      <c r="D111" s="17" t="s">
        <v>2426</v>
      </c>
      <c r="E111" s="17"/>
      <c r="F111" s="17">
        <v>30.29</v>
      </c>
      <c r="G111" s="109">
        <f t="shared" si="1"/>
        <v>34824.189999999988</v>
      </c>
    </row>
    <row r="112" spans="2:7">
      <c r="C112" s="543">
        <v>45609</v>
      </c>
      <c r="D112" s="477" t="s">
        <v>2427</v>
      </c>
      <c r="E112" s="477"/>
      <c r="F112" s="477">
        <v>4.04</v>
      </c>
      <c r="G112" s="109">
        <f t="shared" si="1"/>
        <v>34820.149999999987</v>
      </c>
    </row>
    <row r="113" spans="3:7">
      <c r="C113" s="40">
        <v>45609</v>
      </c>
      <c r="D113" s="17" t="s">
        <v>2428</v>
      </c>
      <c r="E113" s="17"/>
      <c r="F113" s="17">
        <v>8.08</v>
      </c>
      <c r="G113" s="109">
        <f t="shared" si="1"/>
        <v>34812.069999999985</v>
      </c>
    </row>
    <row r="114" spans="3:7">
      <c r="C114" s="543">
        <v>45609</v>
      </c>
      <c r="D114" s="477" t="s">
        <v>2429</v>
      </c>
      <c r="E114" s="477"/>
      <c r="F114" s="477">
        <v>84.84</v>
      </c>
      <c r="G114" s="109">
        <f t="shared" si="1"/>
        <v>34727.229999999989</v>
      </c>
    </row>
    <row r="115" spans="3:7">
      <c r="C115" s="40">
        <v>45609</v>
      </c>
      <c r="D115" s="17" t="s">
        <v>2430</v>
      </c>
      <c r="E115" s="17"/>
      <c r="F115" s="17">
        <v>6.06</v>
      </c>
      <c r="G115" s="109">
        <f t="shared" si="1"/>
        <v>34721.169999999991</v>
      </c>
    </row>
    <row r="116" spans="3:7">
      <c r="C116" s="543">
        <v>45609</v>
      </c>
      <c r="D116" s="477" t="s">
        <v>2429</v>
      </c>
      <c r="E116" s="477"/>
      <c r="F116" s="477">
        <v>42.42</v>
      </c>
      <c r="G116" s="109">
        <f t="shared" si="1"/>
        <v>34678.749999999993</v>
      </c>
    </row>
    <row r="117" spans="3:7">
      <c r="C117" s="40">
        <v>45612</v>
      </c>
      <c r="D117" s="17" t="s">
        <v>2414</v>
      </c>
      <c r="E117" s="17"/>
      <c r="F117" s="17">
        <v>54</v>
      </c>
      <c r="G117" s="109">
        <f t="shared" si="1"/>
        <v>34624.749999999993</v>
      </c>
    </row>
    <row r="118" spans="3:7">
      <c r="C118" s="543">
        <v>45612</v>
      </c>
      <c r="D118" s="477" t="s">
        <v>2431</v>
      </c>
      <c r="E118" s="477"/>
      <c r="F118" s="477">
        <v>130</v>
      </c>
      <c r="G118" s="109">
        <f t="shared" si="1"/>
        <v>34494.749999999993</v>
      </c>
    </row>
    <row r="119" spans="3:7">
      <c r="C119" s="40">
        <v>45612</v>
      </c>
      <c r="D119" s="17" t="s">
        <v>2426</v>
      </c>
      <c r="E119" s="17"/>
      <c r="F119" s="17">
        <v>39.39</v>
      </c>
      <c r="G119" s="109">
        <f t="shared" si="1"/>
        <v>34455.359999999993</v>
      </c>
    </row>
    <row r="120" spans="3:7">
      <c r="C120" s="543">
        <v>45612</v>
      </c>
      <c r="D120" s="477" t="s">
        <v>2432</v>
      </c>
      <c r="E120" s="477"/>
      <c r="F120" s="477">
        <v>33</v>
      </c>
      <c r="G120" s="109">
        <f t="shared" si="1"/>
        <v>34422.359999999993</v>
      </c>
    </row>
    <row r="121" spans="3:7">
      <c r="C121" s="40">
        <v>45612</v>
      </c>
      <c r="D121" s="17" t="s">
        <v>2431</v>
      </c>
      <c r="E121" s="17"/>
      <c r="F121" s="17">
        <v>15.75</v>
      </c>
      <c r="G121" s="109">
        <f t="shared" si="1"/>
        <v>34406.609999999993</v>
      </c>
    </row>
    <row r="122" spans="3:7">
      <c r="C122" s="543">
        <v>45612</v>
      </c>
      <c r="D122" s="477" t="s">
        <v>2431</v>
      </c>
      <c r="E122" s="477"/>
      <c r="F122" s="477">
        <v>48</v>
      </c>
      <c r="G122" s="109">
        <f t="shared" si="1"/>
        <v>34358.609999999993</v>
      </c>
    </row>
    <row r="123" spans="3:7">
      <c r="C123" s="40">
        <v>45612</v>
      </c>
      <c r="D123" s="17" t="s">
        <v>2413</v>
      </c>
      <c r="E123" s="17"/>
      <c r="F123" s="17">
        <v>177.83</v>
      </c>
      <c r="G123" s="109">
        <f t="shared" si="1"/>
        <v>34180.779999999992</v>
      </c>
    </row>
    <row r="124" spans="3:7">
      <c r="C124" s="543">
        <v>45613</v>
      </c>
      <c r="D124" s="477" t="s">
        <v>2433</v>
      </c>
      <c r="E124" s="477"/>
      <c r="F124" s="477">
        <v>46</v>
      </c>
      <c r="G124" s="109">
        <f t="shared" si="1"/>
        <v>34134.779999999992</v>
      </c>
    </row>
    <row r="125" spans="3:7">
      <c r="C125" s="40">
        <v>45613</v>
      </c>
      <c r="D125" s="17" t="s">
        <v>2413</v>
      </c>
      <c r="E125" s="17"/>
      <c r="F125" s="17">
        <v>96.12</v>
      </c>
      <c r="G125" s="109">
        <f t="shared" si="1"/>
        <v>34038.659999999989</v>
      </c>
    </row>
    <row r="126" spans="3:7">
      <c r="C126" s="543">
        <v>45613</v>
      </c>
      <c r="D126" s="477" t="s">
        <v>2434</v>
      </c>
      <c r="E126" s="477"/>
      <c r="F126" s="477">
        <v>15</v>
      </c>
      <c r="G126" s="109">
        <f t="shared" si="1"/>
        <v>34023.659999999989</v>
      </c>
    </row>
    <row r="127" spans="3:7">
      <c r="C127" s="40">
        <v>45613</v>
      </c>
      <c r="D127" s="17" t="s">
        <v>2434</v>
      </c>
      <c r="E127" s="17"/>
      <c r="F127" s="17">
        <v>10</v>
      </c>
      <c r="G127" s="109">
        <f t="shared" si="1"/>
        <v>34013.659999999989</v>
      </c>
    </row>
    <row r="128" spans="3:7">
      <c r="C128" s="543">
        <v>45613</v>
      </c>
      <c r="D128" s="477" t="s">
        <v>2435</v>
      </c>
      <c r="E128" s="477"/>
      <c r="F128" s="477">
        <v>4.75</v>
      </c>
      <c r="G128" s="109">
        <f t="shared" si="1"/>
        <v>34008.909999999989</v>
      </c>
    </row>
    <row r="129" spans="3:7">
      <c r="C129" s="40">
        <v>45613</v>
      </c>
      <c r="D129" s="17" t="s">
        <v>2436</v>
      </c>
      <c r="E129" s="17"/>
      <c r="F129" s="17">
        <v>229.11</v>
      </c>
      <c r="G129" s="109">
        <f t="shared" si="1"/>
        <v>33779.799999999988</v>
      </c>
    </row>
    <row r="130" spans="3:7">
      <c r="C130" s="543">
        <v>45613</v>
      </c>
      <c r="D130" s="477" t="s">
        <v>2437</v>
      </c>
      <c r="E130" s="477"/>
      <c r="F130" s="477">
        <v>5</v>
      </c>
      <c r="G130" s="109">
        <f t="shared" si="1"/>
        <v>33774.799999999988</v>
      </c>
    </row>
    <row r="131" spans="3:7">
      <c r="C131" s="40">
        <v>45613</v>
      </c>
      <c r="D131" s="17" t="s">
        <v>2433</v>
      </c>
      <c r="E131" s="17"/>
      <c r="F131" s="17">
        <v>10</v>
      </c>
      <c r="G131" s="109">
        <f t="shared" si="1"/>
        <v>33764.799999999988</v>
      </c>
    </row>
    <row r="132" spans="3:7">
      <c r="C132" s="40">
        <v>45614</v>
      </c>
      <c r="D132" s="17" t="s">
        <v>2404</v>
      </c>
      <c r="E132" s="17"/>
      <c r="F132" s="17">
        <v>40</v>
      </c>
      <c r="G132" s="109">
        <f t="shared" si="1"/>
        <v>33724.799999999988</v>
      </c>
    </row>
    <row r="133" spans="3:7">
      <c r="C133" s="40">
        <v>45615</v>
      </c>
      <c r="D133" s="17" t="s">
        <v>2412</v>
      </c>
      <c r="E133" s="17"/>
      <c r="F133" s="17">
        <v>90</v>
      </c>
      <c r="G133" s="109">
        <f t="shared" si="1"/>
        <v>33634.799999999988</v>
      </c>
    </row>
    <row r="134" spans="3:7">
      <c r="C134" s="40">
        <v>45615</v>
      </c>
      <c r="D134" s="17" t="s">
        <v>2516</v>
      </c>
      <c r="E134" s="17"/>
      <c r="F134" s="17">
        <v>20</v>
      </c>
      <c r="G134" s="109">
        <f t="shared" si="1"/>
        <v>33614.799999999988</v>
      </c>
    </row>
    <row r="135" spans="3:7">
      <c r="C135" s="40">
        <v>45616</v>
      </c>
      <c r="D135" s="17" t="s">
        <v>2517</v>
      </c>
      <c r="E135" s="17"/>
      <c r="F135" s="17">
        <v>168.51</v>
      </c>
      <c r="G135" s="109">
        <f t="shared" ref="G135:G160" si="2">G134+E135-F135</f>
        <v>33446.289999999986</v>
      </c>
    </row>
    <row r="136" spans="3:7">
      <c r="C136" s="40">
        <v>45616</v>
      </c>
      <c r="D136" s="17" t="s">
        <v>2518</v>
      </c>
      <c r="E136" s="17"/>
      <c r="F136" s="17">
        <v>272.23</v>
      </c>
      <c r="G136" s="109">
        <f t="shared" si="2"/>
        <v>33174.059999999983</v>
      </c>
    </row>
    <row r="137" spans="3:7">
      <c r="C137" s="40">
        <v>45617</v>
      </c>
      <c r="D137" s="17" t="s">
        <v>2404</v>
      </c>
      <c r="E137" s="17"/>
      <c r="F137" s="17">
        <v>20</v>
      </c>
      <c r="G137" s="109">
        <f t="shared" si="2"/>
        <v>33154.059999999983</v>
      </c>
    </row>
    <row r="138" spans="3:7">
      <c r="C138" s="40">
        <v>45618</v>
      </c>
      <c r="D138" s="17" t="s">
        <v>2406</v>
      </c>
      <c r="E138" s="17"/>
      <c r="F138" s="17">
        <v>34.75</v>
      </c>
      <c r="G138" s="109">
        <f t="shared" si="2"/>
        <v>33119.309999999983</v>
      </c>
    </row>
    <row r="139" spans="3:7">
      <c r="C139" s="40">
        <v>45618</v>
      </c>
      <c r="D139" s="17" t="s">
        <v>2410</v>
      </c>
      <c r="E139" s="17"/>
      <c r="F139" s="17">
        <v>3</v>
      </c>
      <c r="G139" s="109">
        <f t="shared" si="2"/>
        <v>33116.309999999983</v>
      </c>
    </row>
    <row r="140" spans="3:7">
      <c r="C140" s="40">
        <v>45622</v>
      </c>
      <c r="D140" s="17" t="s">
        <v>2519</v>
      </c>
      <c r="E140" s="17"/>
      <c r="F140" s="17">
        <v>231</v>
      </c>
      <c r="G140" s="109">
        <f t="shared" si="2"/>
        <v>32885.309999999983</v>
      </c>
    </row>
    <row r="141" spans="3:7">
      <c r="C141" s="40">
        <v>45622</v>
      </c>
      <c r="D141" s="17" t="s">
        <v>2411</v>
      </c>
      <c r="E141" s="17"/>
      <c r="F141" s="17">
        <v>7.01</v>
      </c>
      <c r="G141" s="109">
        <f t="shared" si="2"/>
        <v>32878.299999999981</v>
      </c>
    </row>
    <row r="142" spans="3:7">
      <c r="C142" s="40">
        <v>45622</v>
      </c>
      <c r="D142" s="17" t="s">
        <v>2421</v>
      </c>
      <c r="E142" s="17"/>
      <c r="F142" s="17">
        <v>7.5</v>
      </c>
      <c r="G142" s="109">
        <f t="shared" si="2"/>
        <v>32870.799999999981</v>
      </c>
    </row>
    <row r="143" spans="3:7">
      <c r="C143" s="40">
        <v>45623</v>
      </c>
      <c r="D143" s="17" t="s">
        <v>2520</v>
      </c>
      <c r="E143" s="17"/>
      <c r="F143" s="17">
        <v>40</v>
      </c>
      <c r="G143" s="109">
        <f t="shared" si="2"/>
        <v>32830.799999999981</v>
      </c>
    </row>
    <row r="144" spans="3:7">
      <c r="C144" s="40">
        <v>45624</v>
      </c>
      <c r="D144" s="17" t="s">
        <v>2521</v>
      </c>
      <c r="E144" s="17"/>
      <c r="F144" s="17">
        <v>7</v>
      </c>
      <c r="G144" s="109">
        <f t="shared" si="2"/>
        <v>32823.799999999981</v>
      </c>
    </row>
    <row r="145" spans="3:7">
      <c r="C145" s="40">
        <v>45624</v>
      </c>
      <c r="D145" s="17" t="s">
        <v>2522</v>
      </c>
      <c r="E145" s="17"/>
      <c r="F145" s="17">
        <v>8</v>
      </c>
      <c r="G145" s="109">
        <f t="shared" si="2"/>
        <v>32815.799999999981</v>
      </c>
    </row>
    <row r="146" spans="3:7">
      <c r="C146" s="40">
        <v>45624</v>
      </c>
      <c r="D146" s="17" t="s">
        <v>2523</v>
      </c>
      <c r="E146" s="17"/>
      <c r="F146" s="17">
        <v>62</v>
      </c>
      <c r="G146" s="109">
        <f t="shared" si="2"/>
        <v>32753.799999999981</v>
      </c>
    </row>
    <row r="147" spans="3:7">
      <c r="C147" s="40">
        <v>45624</v>
      </c>
      <c r="D147" s="17" t="s">
        <v>2522</v>
      </c>
      <c r="E147" s="17"/>
      <c r="F147" s="17">
        <v>45</v>
      </c>
      <c r="G147" s="109">
        <f t="shared" si="2"/>
        <v>32708.799999999981</v>
      </c>
    </row>
    <row r="148" spans="3:7">
      <c r="C148" s="40">
        <v>45624</v>
      </c>
      <c r="D148" s="17" t="s">
        <v>2422</v>
      </c>
      <c r="E148" s="17"/>
      <c r="F148" s="17">
        <v>1449.77</v>
      </c>
      <c r="G148" s="109">
        <f t="shared" si="2"/>
        <v>31259.029999999981</v>
      </c>
    </row>
    <row r="149" spans="3:7">
      <c r="C149" s="40">
        <v>45624</v>
      </c>
      <c r="D149" s="17" t="s">
        <v>2524</v>
      </c>
      <c r="E149" s="17">
        <v>20000</v>
      </c>
      <c r="F149" s="17"/>
      <c r="G149" s="109">
        <f t="shared" si="2"/>
        <v>51259.029999999984</v>
      </c>
    </row>
    <row r="150" spans="3:7">
      <c r="C150" s="40">
        <v>45625</v>
      </c>
      <c r="D150" s="17" t="s">
        <v>2525</v>
      </c>
      <c r="E150" s="17"/>
      <c r="F150" s="17">
        <v>10</v>
      </c>
      <c r="G150" s="109">
        <f t="shared" si="2"/>
        <v>51249.029999999984</v>
      </c>
    </row>
    <row r="151" spans="3:7">
      <c r="C151" s="40">
        <v>45625</v>
      </c>
      <c r="D151" s="17" t="s">
        <v>2525</v>
      </c>
      <c r="E151" s="17"/>
      <c r="F151" s="17">
        <v>15</v>
      </c>
      <c r="G151" s="109">
        <f t="shared" si="2"/>
        <v>51234.029999999984</v>
      </c>
    </row>
    <row r="152" spans="3:7">
      <c r="C152" s="40">
        <v>45625</v>
      </c>
      <c r="D152" s="17" t="s">
        <v>2525</v>
      </c>
      <c r="E152" s="17"/>
      <c r="F152" s="17">
        <v>30</v>
      </c>
      <c r="G152" s="109">
        <f t="shared" si="2"/>
        <v>51204.029999999984</v>
      </c>
    </row>
    <row r="153" spans="3:7">
      <c r="C153" s="40">
        <v>45625</v>
      </c>
      <c r="D153" s="17" t="s">
        <v>2525</v>
      </c>
      <c r="E153" s="17"/>
      <c r="F153" s="17">
        <v>55</v>
      </c>
      <c r="G153" s="109">
        <f t="shared" si="2"/>
        <v>51149.029999999984</v>
      </c>
    </row>
    <row r="154" spans="3:7">
      <c r="C154" s="40">
        <v>45625</v>
      </c>
      <c r="D154" s="17" t="s">
        <v>2526</v>
      </c>
      <c r="E154" s="17"/>
      <c r="F154" s="17">
        <v>5.75</v>
      </c>
      <c r="G154" s="109">
        <f t="shared" si="2"/>
        <v>51143.279999999984</v>
      </c>
    </row>
    <row r="155" spans="3:7">
      <c r="C155" s="40">
        <v>45625</v>
      </c>
      <c r="D155" s="17" t="s">
        <v>2527</v>
      </c>
      <c r="E155" s="17"/>
      <c r="F155" s="17">
        <v>75</v>
      </c>
      <c r="G155" s="109">
        <f t="shared" si="2"/>
        <v>51068.279999999984</v>
      </c>
    </row>
    <row r="156" spans="3:7">
      <c r="C156" s="40">
        <v>45625</v>
      </c>
      <c r="D156" s="17" t="s">
        <v>2528</v>
      </c>
      <c r="E156" s="17"/>
      <c r="F156" s="17">
        <v>6</v>
      </c>
      <c r="G156" s="109">
        <f t="shared" si="2"/>
        <v>51062.279999999984</v>
      </c>
    </row>
    <row r="157" spans="3:7">
      <c r="C157" s="40">
        <v>45625</v>
      </c>
      <c r="D157" s="17" t="s">
        <v>2529</v>
      </c>
      <c r="E157" s="17"/>
      <c r="F157" s="17">
        <v>20</v>
      </c>
      <c r="G157" s="109">
        <f t="shared" si="2"/>
        <v>51042.279999999984</v>
      </c>
    </row>
    <row r="158" spans="3:7">
      <c r="C158" s="40">
        <v>45626</v>
      </c>
      <c r="D158" s="17" t="s">
        <v>2530</v>
      </c>
      <c r="E158" s="17"/>
      <c r="F158" s="17">
        <v>15.48</v>
      </c>
      <c r="G158" s="109">
        <f t="shared" si="2"/>
        <v>51026.799999999981</v>
      </c>
    </row>
    <row r="159" spans="3:7">
      <c r="C159" s="40">
        <v>45626</v>
      </c>
      <c r="D159" s="17" t="s">
        <v>2531</v>
      </c>
      <c r="E159" s="17"/>
      <c r="F159" s="17">
        <v>6</v>
      </c>
      <c r="G159" s="109">
        <f t="shared" si="2"/>
        <v>51020.799999999981</v>
      </c>
    </row>
    <row r="160" spans="3:7">
      <c r="C160" s="40">
        <v>45626</v>
      </c>
      <c r="D160" s="17" t="s">
        <v>2532</v>
      </c>
      <c r="E160" s="17"/>
      <c r="F160" s="17">
        <v>1444.82</v>
      </c>
      <c r="G160" s="109">
        <f t="shared" si="2"/>
        <v>49575.979999999981</v>
      </c>
    </row>
    <row r="161" spans="3:7">
      <c r="C161" s="40">
        <v>45626</v>
      </c>
      <c r="D161" s="17" t="s">
        <v>2533</v>
      </c>
      <c r="E161" s="17"/>
      <c r="F161" s="17">
        <v>261</v>
      </c>
      <c r="G161" s="109">
        <f t="shared" ref="G161:G224" si="3">G160+E161-F161</f>
        <v>49314.979999999981</v>
      </c>
    </row>
    <row r="162" spans="3:7">
      <c r="C162" s="40">
        <v>45626</v>
      </c>
      <c r="D162" s="17" t="s">
        <v>2534</v>
      </c>
      <c r="E162" s="17"/>
      <c r="F162" s="17">
        <v>14.5</v>
      </c>
      <c r="G162" s="109">
        <f t="shared" si="3"/>
        <v>49300.479999999981</v>
      </c>
    </row>
    <row r="163" spans="3:7">
      <c r="C163" s="40">
        <v>45627</v>
      </c>
      <c r="D163" s="17" t="s">
        <v>2409</v>
      </c>
      <c r="E163" s="17"/>
      <c r="F163" s="17">
        <v>87</v>
      </c>
      <c r="G163" s="109">
        <f t="shared" si="3"/>
        <v>49213.479999999981</v>
      </c>
    </row>
    <row r="164" spans="3:7">
      <c r="C164" s="40">
        <v>45627</v>
      </c>
      <c r="D164" s="17" t="s">
        <v>2535</v>
      </c>
      <c r="E164" s="17"/>
      <c r="F164" s="17">
        <v>231.02</v>
      </c>
      <c r="G164" s="109">
        <f t="shared" si="3"/>
        <v>48982.459999999985</v>
      </c>
    </row>
    <row r="165" spans="3:7">
      <c r="C165" s="40">
        <v>45627</v>
      </c>
      <c r="D165" s="17" t="s">
        <v>2526</v>
      </c>
      <c r="E165" s="17"/>
      <c r="F165" s="17">
        <v>8.9499999999999993</v>
      </c>
      <c r="G165" s="109">
        <f t="shared" si="3"/>
        <v>48973.509999999987</v>
      </c>
    </row>
    <row r="166" spans="3:7">
      <c r="C166" s="40">
        <v>45627</v>
      </c>
      <c r="D166" s="17" t="s">
        <v>2432</v>
      </c>
      <c r="E166" s="17"/>
      <c r="F166" s="17">
        <v>20.5</v>
      </c>
      <c r="G166" s="109">
        <f t="shared" si="3"/>
        <v>48953.009999999987</v>
      </c>
    </row>
    <row r="167" spans="3:7">
      <c r="C167" s="40">
        <v>45627</v>
      </c>
      <c r="D167" s="17" t="s">
        <v>2414</v>
      </c>
      <c r="E167" s="17"/>
      <c r="F167" s="17">
        <v>14.5</v>
      </c>
      <c r="G167" s="109">
        <f t="shared" si="3"/>
        <v>48938.509999999987</v>
      </c>
    </row>
    <row r="168" spans="3:7">
      <c r="C168" s="40">
        <v>45627</v>
      </c>
      <c r="D168" s="17" t="s">
        <v>2414</v>
      </c>
      <c r="E168" s="17"/>
      <c r="F168" s="17">
        <v>12</v>
      </c>
      <c r="G168" s="109">
        <f t="shared" si="3"/>
        <v>48926.509999999987</v>
      </c>
    </row>
    <row r="169" spans="3:7">
      <c r="C169" s="40">
        <v>45631</v>
      </c>
      <c r="D169" s="17" t="s">
        <v>2536</v>
      </c>
      <c r="E169" s="17"/>
      <c r="F169" s="17">
        <v>80</v>
      </c>
      <c r="G169" s="109">
        <f t="shared" si="3"/>
        <v>48846.509999999987</v>
      </c>
    </row>
    <row r="170" spans="3:7">
      <c r="C170" s="40">
        <v>45631</v>
      </c>
      <c r="D170" s="17" t="s">
        <v>2537</v>
      </c>
      <c r="E170" s="17"/>
      <c r="F170" s="17">
        <v>2576.2800000000002</v>
      </c>
      <c r="G170" s="109">
        <f t="shared" si="3"/>
        <v>46270.229999999989</v>
      </c>
    </row>
    <row r="171" spans="3:7">
      <c r="C171" s="40">
        <v>45631</v>
      </c>
      <c r="D171" s="17" t="s">
        <v>2432</v>
      </c>
      <c r="E171" s="17"/>
      <c r="F171" s="17">
        <v>27.5</v>
      </c>
      <c r="G171" s="109">
        <f t="shared" si="3"/>
        <v>46242.729999999989</v>
      </c>
    </row>
    <row r="172" spans="3:7">
      <c r="C172" s="40">
        <v>45631</v>
      </c>
      <c r="D172" s="17" t="s">
        <v>2432</v>
      </c>
      <c r="E172" s="17"/>
      <c r="F172" s="17">
        <v>12.5</v>
      </c>
      <c r="G172" s="109">
        <f t="shared" si="3"/>
        <v>46230.229999999989</v>
      </c>
    </row>
    <row r="173" spans="3:7">
      <c r="C173" s="40">
        <v>45631</v>
      </c>
      <c r="D173" s="17" t="s">
        <v>2538</v>
      </c>
      <c r="E173" s="17"/>
      <c r="F173" s="17">
        <v>159.25</v>
      </c>
      <c r="G173" s="109">
        <f t="shared" si="3"/>
        <v>46070.979999999989</v>
      </c>
    </row>
    <row r="174" spans="3:7">
      <c r="C174" s="40">
        <v>45631</v>
      </c>
      <c r="D174" s="17" t="s">
        <v>2534</v>
      </c>
      <c r="E174" s="17"/>
      <c r="F174" s="17">
        <v>64</v>
      </c>
      <c r="G174" s="109">
        <f t="shared" si="3"/>
        <v>46006.979999999989</v>
      </c>
    </row>
    <row r="175" spans="3:7">
      <c r="C175" s="40">
        <v>45632</v>
      </c>
      <c r="D175" s="17" t="s">
        <v>2414</v>
      </c>
      <c r="E175" s="17"/>
      <c r="F175" s="17">
        <v>43.5</v>
      </c>
      <c r="G175" s="109">
        <f t="shared" si="3"/>
        <v>45963.479999999989</v>
      </c>
    </row>
    <row r="176" spans="3:7">
      <c r="C176" s="40">
        <v>45632</v>
      </c>
      <c r="D176" s="17" t="s">
        <v>2530</v>
      </c>
      <c r="E176" s="17"/>
      <c r="F176" s="17">
        <v>23.5</v>
      </c>
      <c r="G176" s="109">
        <f t="shared" si="3"/>
        <v>45939.979999999989</v>
      </c>
    </row>
    <row r="177" spans="3:7">
      <c r="C177" s="40">
        <v>45632</v>
      </c>
      <c r="D177" s="17" t="s">
        <v>2412</v>
      </c>
      <c r="E177" s="17"/>
      <c r="F177" s="17">
        <v>140</v>
      </c>
      <c r="G177" s="109">
        <f t="shared" si="3"/>
        <v>45799.979999999989</v>
      </c>
    </row>
    <row r="178" spans="3:7">
      <c r="C178" s="40">
        <v>45632</v>
      </c>
      <c r="D178" s="17" t="s">
        <v>2539</v>
      </c>
      <c r="E178" s="17"/>
      <c r="F178" s="17">
        <v>1230</v>
      </c>
      <c r="G178" s="109">
        <f t="shared" si="3"/>
        <v>44569.979999999989</v>
      </c>
    </row>
    <row r="179" spans="3:7">
      <c r="C179" s="40">
        <v>45632</v>
      </c>
      <c r="D179" s="17" t="s">
        <v>2414</v>
      </c>
      <c r="E179" s="17"/>
      <c r="F179" s="17">
        <v>25</v>
      </c>
      <c r="G179" s="109">
        <f t="shared" si="3"/>
        <v>44544.979999999989</v>
      </c>
    </row>
    <row r="180" spans="3:7">
      <c r="C180" s="40">
        <v>45632</v>
      </c>
      <c r="D180" s="17" t="s">
        <v>2534</v>
      </c>
      <c r="E180" s="17"/>
      <c r="F180" s="17">
        <v>12</v>
      </c>
      <c r="G180" s="109">
        <f t="shared" si="3"/>
        <v>44532.979999999989</v>
      </c>
    </row>
    <row r="181" spans="3:7">
      <c r="C181" s="40">
        <v>45632</v>
      </c>
      <c r="D181" s="17" t="s">
        <v>2414</v>
      </c>
      <c r="E181" s="17"/>
      <c r="F181" s="17">
        <v>19.5</v>
      </c>
      <c r="G181" s="109">
        <f t="shared" si="3"/>
        <v>44513.479999999989</v>
      </c>
    </row>
    <row r="182" spans="3:7">
      <c r="C182" s="40">
        <v>45632</v>
      </c>
      <c r="D182" s="17" t="s">
        <v>2540</v>
      </c>
      <c r="E182" s="17"/>
      <c r="F182" s="17">
        <v>26</v>
      </c>
      <c r="G182" s="109">
        <f t="shared" si="3"/>
        <v>44487.479999999989</v>
      </c>
    </row>
    <row r="183" spans="3:7">
      <c r="C183" s="40">
        <v>45633</v>
      </c>
      <c r="D183" s="17" t="s">
        <v>2414</v>
      </c>
      <c r="E183" s="17"/>
      <c r="F183" s="17">
        <v>41.5</v>
      </c>
      <c r="G183" s="109">
        <f t="shared" si="3"/>
        <v>44445.979999999989</v>
      </c>
    </row>
    <row r="184" spans="3:7">
      <c r="C184" s="40">
        <v>45634</v>
      </c>
      <c r="D184" s="17" t="s">
        <v>2541</v>
      </c>
      <c r="E184" s="17"/>
      <c r="F184" s="17">
        <v>1170</v>
      </c>
      <c r="G184" s="109">
        <f t="shared" si="3"/>
        <v>43275.979999999989</v>
      </c>
    </row>
    <row r="185" spans="3:7">
      <c r="C185" s="40">
        <v>45634</v>
      </c>
      <c r="D185" s="17" t="s">
        <v>2542</v>
      </c>
      <c r="E185" s="17"/>
      <c r="F185" s="17">
        <v>22</v>
      </c>
      <c r="G185" s="109">
        <f t="shared" si="3"/>
        <v>43253.979999999989</v>
      </c>
    </row>
    <row r="186" spans="3:7">
      <c r="C186" s="40">
        <v>45636</v>
      </c>
      <c r="D186" s="17" t="s">
        <v>2519</v>
      </c>
      <c r="E186" s="17"/>
      <c r="F186" s="17">
        <v>115.5</v>
      </c>
      <c r="G186" s="109">
        <f t="shared" si="3"/>
        <v>43138.479999999989</v>
      </c>
    </row>
    <row r="187" spans="3:7">
      <c r="C187" s="40">
        <v>45636</v>
      </c>
      <c r="D187" s="17" t="s">
        <v>2543</v>
      </c>
      <c r="E187" s="17"/>
      <c r="F187" s="17">
        <v>3</v>
      </c>
      <c r="G187" s="109">
        <f t="shared" si="3"/>
        <v>43135.479999999989</v>
      </c>
    </row>
    <row r="188" spans="3:7">
      <c r="C188" s="40">
        <v>45636</v>
      </c>
      <c r="D188" s="17" t="s">
        <v>2437</v>
      </c>
      <c r="E188" s="17"/>
      <c r="F188" s="17">
        <v>15</v>
      </c>
      <c r="G188" s="109">
        <f t="shared" si="3"/>
        <v>43120.479999999989</v>
      </c>
    </row>
    <row r="189" spans="3:7">
      <c r="C189" s="40">
        <v>45637</v>
      </c>
      <c r="D189" s="17" t="s">
        <v>2544</v>
      </c>
      <c r="E189" s="17"/>
      <c r="F189" s="17">
        <v>1260</v>
      </c>
      <c r="G189" s="109">
        <f t="shared" si="3"/>
        <v>41860.479999999989</v>
      </c>
    </row>
    <row r="190" spans="3:7">
      <c r="C190" s="40">
        <v>45639</v>
      </c>
      <c r="D190" s="17" t="s">
        <v>2545</v>
      </c>
      <c r="E190" s="17"/>
      <c r="F190" s="17">
        <v>9</v>
      </c>
      <c r="G190" s="109">
        <f t="shared" si="3"/>
        <v>41851.479999999989</v>
      </c>
    </row>
    <row r="191" spans="3:7">
      <c r="C191" s="40">
        <v>45639</v>
      </c>
      <c r="D191" s="17" t="s">
        <v>2410</v>
      </c>
      <c r="E191" s="17"/>
      <c r="F191" s="17">
        <v>1.75</v>
      </c>
      <c r="G191" s="109">
        <f t="shared" si="3"/>
        <v>41849.729999999989</v>
      </c>
    </row>
    <row r="192" spans="3:7">
      <c r="C192" s="40">
        <v>45640</v>
      </c>
      <c r="D192" s="17" t="s">
        <v>2546</v>
      </c>
      <c r="E192" s="17"/>
      <c r="F192" s="17">
        <v>1951.85</v>
      </c>
      <c r="G192" s="109">
        <f t="shared" si="3"/>
        <v>39897.87999999999</v>
      </c>
    </row>
    <row r="193" spans="3:7">
      <c r="C193" s="40">
        <v>45643</v>
      </c>
      <c r="D193" s="17" t="s">
        <v>2547</v>
      </c>
      <c r="E193" s="17"/>
      <c r="F193" s="17">
        <v>20749.78</v>
      </c>
      <c r="G193" s="109">
        <f t="shared" si="3"/>
        <v>19148.099999999991</v>
      </c>
    </row>
    <row r="194" spans="3:7">
      <c r="C194" s="40">
        <v>45646</v>
      </c>
      <c r="D194" s="17" t="s">
        <v>2410</v>
      </c>
      <c r="E194" s="17"/>
      <c r="F194" s="17">
        <v>11.91</v>
      </c>
      <c r="G194" s="109">
        <f t="shared" si="3"/>
        <v>19136.189999999991</v>
      </c>
    </row>
    <row r="195" spans="3:7">
      <c r="C195" s="40">
        <v>45648</v>
      </c>
      <c r="D195" s="17" t="s">
        <v>2435</v>
      </c>
      <c r="E195" s="17"/>
      <c r="F195" s="17">
        <v>2</v>
      </c>
      <c r="G195" s="109">
        <f t="shared" si="3"/>
        <v>19134.189999999991</v>
      </c>
    </row>
    <row r="196" spans="3:7">
      <c r="C196" s="40">
        <v>45650</v>
      </c>
      <c r="D196" s="17" t="s">
        <v>2404</v>
      </c>
      <c r="E196" s="17"/>
      <c r="F196" s="17">
        <v>20</v>
      </c>
      <c r="G196" s="109">
        <f t="shared" si="3"/>
        <v>19114.189999999991</v>
      </c>
    </row>
    <row r="197" spans="3:7">
      <c r="C197" s="40">
        <v>45651</v>
      </c>
      <c r="D197" s="17" t="s">
        <v>2548</v>
      </c>
      <c r="E197" s="17"/>
      <c r="F197" s="17">
        <v>14</v>
      </c>
      <c r="G197" s="109">
        <f t="shared" si="3"/>
        <v>19100.189999999991</v>
      </c>
    </row>
    <row r="198" spans="3:7">
      <c r="C198" s="40">
        <v>45651</v>
      </c>
      <c r="D198" s="17" t="s">
        <v>2530</v>
      </c>
      <c r="E198" s="17"/>
      <c r="F198" s="17">
        <v>32.5</v>
      </c>
      <c r="G198" s="109">
        <f t="shared" si="3"/>
        <v>19067.689999999991</v>
      </c>
    </row>
    <row r="199" spans="3:7">
      <c r="C199" s="40">
        <v>45651</v>
      </c>
      <c r="D199" s="17" t="s">
        <v>2410</v>
      </c>
      <c r="E199" s="17"/>
      <c r="F199" s="17">
        <v>8.15</v>
      </c>
      <c r="G199" s="109">
        <f t="shared" si="3"/>
        <v>19059.53999999999</v>
      </c>
    </row>
    <row r="200" spans="3:7">
      <c r="C200" s="40">
        <v>45651</v>
      </c>
      <c r="D200" s="17" t="s">
        <v>2435</v>
      </c>
      <c r="E200" s="17"/>
      <c r="F200" s="17">
        <v>2</v>
      </c>
      <c r="G200" s="109">
        <f t="shared" si="3"/>
        <v>19057.53999999999</v>
      </c>
    </row>
    <row r="201" spans="3:7">
      <c r="C201" s="40">
        <v>45652</v>
      </c>
      <c r="D201" s="17" t="s">
        <v>2549</v>
      </c>
      <c r="E201" s="17"/>
      <c r="F201" s="17">
        <v>29</v>
      </c>
      <c r="G201" s="109">
        <f t="shared" si="3"/>
        <v>19028.53999999999</v>
      </c>
    </row>
    <row r="202" spans="3:7">
      <c r="C202" s="40">
        <v>45652</v>
      </c>
      <c r="D202" s="17" t="s">
        <v>2550</v>
      </c>
      <c r="E202" s="17"/>
      <c r="F202" s="17">
        <v>39</v>
      </c>
      <c r="G202" s="109">
        <f t="shared" si="3"/>
        <v>18989.53999999999</v>
      </c>
    </row>
    <row r="203" spans="3:7">
      <c r="C203" s="40">
        <v>45653</v>
      </c>
      <c r="D203" s="17" t="s">
        <v>2530</v>
      </c>
      <c r="E203" s="17"/>
      <c r="F203" s="17">
        <v>21.5</v>
      </c>
      <c r="G203" s="109">
        <f t="shared" si="3"/>
        <v>18968.03999999999</v>
      </c>
    </row>
    <row r="204" spans="3:7">
      <c r="C204" s="40">
        <v>45653</v>
      </c>
      <c r="D204" s="17" t="s">
        <v>2551</v>
      </c>
      <c r="E204" s="17"/>
      <c r="F204" s="17">
        <v>3000</v>
      </c>
      <c r="G204" s="109">
        <f t="shared" si="3"/>
        <v>15968.03999999999</v>
      </c>
    </row>
    <row r="205" spans="3:7">
      <c r="C205" s="40">
        <v>45653</v>
      </c>
      <c r="D205" s="17" t="s">
        <v>2410</v>
      </c>
      <c r="E205" s="17"/>
      <c r="F205" s="17">
        <v>12.14</v>
      </c>
      <c r="G205" s="109">
        <f t="shared" si="3"/>
        <v>15955.899999999991</v>
      </c>
    </row>
    <row r="206" spans="3:7">
      <c r="C206" s="40">
        <v>45653</v>
      </c>
      <c r="D206" s="17" t="s">
        <v>2530</v>
      </c>
      <c r="E206" s="17"/>
      <c r="F206" s="17">
        <v>18</v>
      </c>
      <c r="G206" s="109">
        <f t="shared" si="3"/>
        <v>15937.899999999991</v>
      </c>
    </row>
    <row r="207" spans="3:7">
      <c r="C207" s="40">
        <v>45654</v>
      </c>
      <c r="D207" s="17" t="s">
        <v>2552</v>
      </c>
      <c r="E207" s="17"/>
      <c r="F207" s="17">
        <v>32</v>
      </c>
      <c r="G207" s="109">
        <f t="shared" si="3"/>
        <v>15905.899999999991</v>
      </c>
    </row>
    <row r="208" spans="3:7">
      <c r="C208" s="40">
        <v>45654</v>
      </c>
      <c r="D208" s="17" t="s">
        <v>2404</v>
      </c>
      <c r="E208" s="17"/>
      <c r="F208" s="17">
        <v>20</v>
      </c>
      <c r="G208" s="109">
        <f t="shared" si="3"/>
        <v>15885.899999999991</v>
      </c>
    </row>
    <row r="209" spans="3:7">
      <c r="C209" s="40">
        <v>45654</v>
      </c>
      <c r="D209" s="17" t="s">
        <v>2423</v>
      </c>
      <c r="E209" s="17"/>
      <c r="F209" s="17">
        <v>8</v>
      </c>
      <c r="G209" s="109">
        <f t="shared" si="3"/>
        <v>15877.899999999991</v>
      </c>
    </row>
    <row r="210" spans="3:7">
      <c r="C210" s="40">
        <v>45655</v>
      </c>
      <c r="D210" s="17" t="s">
        <v>2410</v>
      </c>
      <c r="E210" s="17"/>
      <c r="F210" s="17">
        <v>29.92</v>
      </c>
      <c r="G210" s="109">
        <f t="shared" si="3"/>
        <v>15847.97999999999</v>
      </c>
    </row>
    <row r="211" spans="3:7">
      <c r="C211" s="40">
        <v>45655</v>
      </c>
      <c r="D211" s="17" t="s">
        <v>2519</v>
      </c>
      <c r="E211" s="17"/>
      <c r="F211" s="17">
        <v>293.5</v>
      </c>
      <c r="G211" s="109">
        <f t="shared" si="3"/>
        <v>15554.47999999999</v>
      </c>
    </row>
    <row r="212" spans="3:7">
      <c r="C212" s="40">
        <v>45655</v>
      </c>
      <c r="D212" s="17" t="s">
        <v>2534</v>
      </c>
      <c r="E212" s="17"/>
      <c r="F212" s="17">
        <v>18.5</v>
      </c>
      <c r="G212" s="109">
        <f t="shared" si="3"/>
        <v>15535.97999999999</v>
      </c>
    </row>
    <row r="213" spans="3:7">
      <c r="C213" s="40">
        <v>45655</v>
      </c>
      <c r="D213" s="17" t="s">
        <v>2553</v>
      </c>
      <c r="E213" s="17"/>
      <c r="F213" s="17">
        <v>455</v>
      </c>
      <c r="G213" s="109">
        <f t="shared" si="3"/>
        <v>15080.97999999999</v>
      </c>
    </row>
    <row r="214" spans="3:7">
      <c r="C214" s="40">
        <v>45657</v>
      </c>
      <c r="D214" s="17" t="s">
        <v>2554</v>
      </c>
      <c r="E214" s="17"/>
      <c r="F214" s="17">
        <v>52.5</v>
      </c>
      <c r="G214" s="109">
        <f t="shared" si="3"/>
        <v>15028.47999999999</v>
      </c>
    </row>
    <row r="215" spans="3:7">
      <c r="C215" s="40">
        <v>45657</v>
      </c>
      <c r="D215" s="17" t="s">
        <v>2555</v>
      </c>
      <c r="E215" s="17"/>
      <c r="F215" s="17">
        <v>56</v>
      </c>
      <c r="G215" s="109">
        <f t="shared" si="3"/>
        <v>14972.47999999999</v>
      </c>
    </row>
    <row r="216" spans="3:7">
      <c r="C216" s="40">
        <v>45657</v>
      </c>
      <c r="D216" s="17" t="s">
        <v>2556</v>
      </c>
      <c r="E216" s="17"/>
      <c r="F216" s="17">
        <v>118</v>
      </c>
      <c r="G216" s="109">
        <f t="shared" si="3"/>
        <v>14854.47999999999</v>
      </c>
    </row>
    <row r="217" spans="3:7">
      <c r="C217" s="40">
        <v>45657</v>
      </c>
      <c r="D217" s="17" t="s">
        <v>2421</v>
      </c>
      <c r="E217" s="17"/>
      <c r="F217" s="17">
        <v>70.25</v>
      </c>
      <c r="G217" s="109">
        <f t="shared" si="3"/>
        <v>14784.22999999999</v>
      </c>
    </row>
    <row r="218" spans="3:7">
      <c r="C218" s="40">
        <v>45657</v>
      </c>
      <c r="D218" s="17" t="s">
        <v>2545</v>
      </c>
      <c r="E218" s="17"/>
      <c r="F218" s="17">
        <v>3</v>
      </c>
      <c r="G218" s="109">
        <f t="shared" si="3"/>
        <v>14781.22999999999</v>
      </c>
    </row>
    <row r="219" spans="3:7">
      <c r="C219" s="40">
        <v>45657</v>
      </c>
      <c r="D219" s="17" t="s">
        <v>2557</v>
      </c>
      <c r="E219" s="17"/>
      <c r="F219" s="17">
        <v>20</v>
      </c>
      <c r="G219" s="109">
        <f t="shared" si="3"/>
        <v>14761.22999999999</v>
      </c>
    </row>
    <row r="220" spans="3:7">
      <c r="C220" s="40">
        <v>45657</v>
      </c>
      <c r="D220" s="17" t="s">
        <v>2546</v>
      </c>
      <c r="E220" s="17"/>
      <c r="F220" s="17">
        <v>875.5</v>
      </c>
      <c r="G220" s="109">
        <f t="shared" si="3"/>
        <v>13885.72999999999</v>
      </c>
    </row>
    <row r="221" spans="3:7">
      <c r="C221" s="40">
        <v>45659</v>
      </c>
      <c r="D221" s="17" t="s">
        <v>2436</v>
      </c>
      <c r="E221" s="17"/>
      <c r="F221" s="17">
        <v>59.25</v>
      </c>
      <c r="G221" s="109">
        <f t="shared" si="3"/>
        <v>13826.47999999999</v>
      </c>
    </row>
    <row r="222" spans="3:7">
      <c r="C222" s="40">
        <v>45660</v>
      </c>
      <c r="D222" s="17" t="s">
        <v>2413</v>
      </c>
      <c r="E222" s="17"/>
      <c r="F222" s="17">
        <v>21.98</v>
      </c>
      <c r="G222" s="109">
        <f t="shared" si="3"/>
        <v>13804.499999999991</v>
      </c>
    </row>
    <row r="223" spans="3:7">
      <c r="C223" s="40">
        <v>45660</v>
      </c>
      <c r="D223" s="17" t="s">
        <v>2403</v>
      </c>
      <c r="E223" s="17"/>
      <c r="F223" s="17">
        <v>100</v>
      </c>
      <c r="G223" s="109">
        <f t="shared" si="3"/>
        <v>13704.499999999991</v>
      </c>
    </row>
    <row r="224" spans="3:7">
      <c r="C224" s="40">
        <v>45660</v>
      </c>
      <c r="D224" s="17" t="s">
        <v>2558</v>
      </c>
      <c r="E224" s="17"/>
      <c r="F224" s="17">
        <v>3467.9</v>
      </c>
      <c r="G224" s="109">
        <f t="shared" si="3"/>
        <v>10236.599999999991</v>
      </c>
    </row>
    <row r="225" spans="3:7">
      <c r="C225" s="40">
        <v>45661</v>
      </c>
      <c r="D225" s="17" t="s">
        <v>2559</v>
      </c>
      <c r="E225" s="17"/>
      <c r="F225" s="17">
        <v>30.3</v>
      </c>
      <c r="G225" s="109">
        <f t="shared" ref="G225:G235" si="4">G224+E225-F225</f>
        <v>10206.299999999992</v>
      </c>
    </row>
    <row r="226" spans="3:7">
      <c r="C226" s="40">
        <v>45661</v>
      </c>
      <c r="D226" s="17" t="s">
        <v>2560</v>
      </c>
      <c r="E226" s="17"/>
      <c r="F226" s="17">
        <v>110</v>
      </c>
      <c r="G226" s="109">
        <f t="shared" si="4"/>
        <v>10096.299999999992</v>
      </c>
    </row>
    <row r="227" spans="3:7">
      <c r="C227" s="40">
        <v>45661</v>
      </c>
      <c r="D227" s="17" t="s">
        <v>2561</v>
      </c>
      <c r="E227" s="17"/>
      <c r="F227" s="17">
        <v>12.5</v>
      </c>
      <c r="G227" s="109">
        <f t="shared" si="4"/>
        <v>10083.799999999992</v>
      </c>
    </row>
    <row r="228" spans="3:7">
      <c r="C228" s="40">
        <v>45661</v>
      </c>
      <c r="D228" s="17" t="s">
        <v>2410</v>
      </c>
      <c r="E228" s="17"/>
      <c r="F228" s="17">
        <v>22.34</v>
      </c>
      <c r="G228" s="109">
        <f t="shared" si="4"/>
        <v>10061.459999999992</v>
      </c>
    </row>
    <row r="229" spans="3:7">
      <c r="C229" s="40">
        <v>45661</v>
      </c>
      <c r="D229" s="17" t="s">
        <v>2414</v>
      </c>
      <c r="E229" s="17"/>
      <c r="F229" s="17">
        <v>97.5</v>
      </c>
      <c r="G229" s="109">
        <f t="shared" si="4"/>
        <v>9963.9599999999919</v>
      </c>
    </row>
    <row r="230" spans="3:7">
      <c r="C230" s="40">
        <v>45661</v>
      </c>
      <c r="D230" s="17" t="s">
        <v>2412</v>
      </c>
      <c r="E230" s="17"/>
      <c r="F230" s="17">
        <v>110</v>
      </c>
      <c r="G230" s="109">
        <f t="shared" si="4"/>
        <v>9853.9599999999919</v>
      </c>
    </row>
    <row r="231" spans="3:7">
      <c r="C231" s="40">
        <v>45661</v>
      </c>
      <c r="D231" s="17" t="s">
        <v>2562</v>
      </c>
      <c r="E231" s="17"/>
      <c r="F231" s="17">
        <v>5675</v>
      </c>
      <c r="G231" s="109">
        <f t="shared" si="4"/>
        <v>4178.9599999999919</v>
      </c>
    </row>
    <row r="232" spans="3:7">
      <c r="C232" s="40">
        <v>45661</v>
      </c>
      <c r="D232" s="17" t="s">
        <v>2404</v>
      </c>
      <c r="E232" s="17"/>
      <c r="F232" s="17">
        <v>20</v>
      </c>
      <c r="G232" s="109">
        <f t="shared" si="4"/>
        <v>4158.9599999999919</v>
      </c>
    </row>
    <row r="233" spans="3:7">
      <c r="C233" s="40"/>
      <c r="D233" s="17"/>
      <c r="E233" s="17"/>
      <c r="F233" s="17"/>
      <c r="G233" s="109">
        <f t="shared" si="4"/>
        <v>4158.9599999999919</v>
      </c>
    </row>
    <row r="234" spans="3:7">
      <c r="C234" s="40"/>
      <c r="D234" s="17"/>
      <c r="E234" s="17"/>
      <c r="F234" s="17"/>
      <c r="G234" s="109">
        <f t="shared" si="4"/>
        <v>4158.9599999999919</v>
      </c>
    </row>
    <row r="235" spans="3:7">
      <c r="C235" s="40"/>
      <c r="D235" s="17"/>
      <c r="E235" s="17"/>
      <c r="F235" s="17"/>
      <c r="G235" s="109">
        <f t="shared" si="4"/>
        <v>4158.9599999999919</v>
      </c>
    </row>
    <row r="236" spans="3:7">
      <c r="C236" s="40"/>
      <c r="D236" s="17"/>
      <c r="E236" s="17"/>
      <c r="F236" s="17"/>
      <c r="G236" s="109"/>
    </row>
    <row r="237" spans="3:7">
      <c r="C237" s="21"/>
      <c r="G237" s="179"/>
    </row>
    <row r="238" spans="3:7" ht="18">
      <c r="D238" s="427" t="s">
        <v>1653</v>
      </c>
    </row>
    <row r="239" spans="3:7" ht="18">
      <c r="C239" s="428" t="s">
        <v>13</v>
      </c>
      <c r="D239" s="428" t="s">
        <v>256</v>
      </c>
      <c r="E239" s="428" t="s">
        <v>1648</v>
      </c>
      <c r="F239" s="428" t="s">
        <v>1649</v>
      </c>
      <c r="G239" s="428" t="s">
        <v>17</v>
      </c>
    </row>
    <row r="240" spans="3:7">
      <c r="C240" s="40">
        <v>45474</v>
      </c>
      <c r="D240" s="17" t="s">
        <v>1650</v>
      </c>
      <c r="E240" s="17"/>
      <c r="F240" s="17"/>
      <c r="G240" s="109">
        <v>1032</v>
      </c>
    </row>
    <row r="241" spans="3:7">
      <c r="C241" s="140">
        <v>45482</v>
      </c>
      <c r="D241" s="429" t="s">
        <v>1655</v>
      </c>
      <c r="E241" s="431"/>
      <c r="F241" s="431">
        <v>59.38</v>
      </c>
      <c r="G241" s="109">
        <f>G240+E241-F241</f>
        <v>972.62</v>
      </c>
    </row>
    <row r="242" spans="3:7">
      <c r="C242" s="140">
        <v>45482</v>
      </c>
      <c r="D242" s="429" t="s">
        <v>1656</v>
      </c>
      <c r="E242" s="431"/>
      <c r="F242" s="431">
        <v>10.62</v>
      </c>
      <c r="G242" s="109">
        <f t="shared" ref="G242:G322" si="5">G241+E242-F242</f>
        <v>962</v>
      </c>
    </row>
    <row r="243" spans="3:7">
      <c r="C243" s="140">
        <v>45483</v>
      </c>
      <c r="D243" s="429" t="s">
        <v>1657</v>
      </c>
      <c r="E243" s="431">
        <v>20000</v>
      </c>
      <c r="F243" s="431"/>
      <c r="G243" s="109">
        <f t="shared" si="5"/>
        <v>20962</v>
      </c>
    </row>
    <row r="244" spans="3:7">
      <c r="C244" s="140">
        <v>45487</v>
      </c>
      <c r="D244" s="429" t="s">
        <v>1658</v>
      </c>
      <c r="E244" s="431"/>
      <c r="F244" s="431">
        <v>919.45</v>
      </c>
      <c r="G244" s="109">
        <f t="shared" si="5"/>
        <v>20042.55</v>
      </c>
    </row>
    <row r="245" spans="3:7">
      <c r="C245" s="140">
        <v>45488</v>
      </c>
      <c r="D245" s="429" t="s">
        <v>1659</v>
      </c>
      <c r="E245" s="431"/>
      <c r="F245" s="431">
        <v>1849.2</v>
      </c>
      <c r="G245" s="109">
        <f t="shared" si="5"/>
        <v>18193.349999999999</v>
      </c>
    </row>
    <row r="246" spans="3:7">
      <c r="C246" s="140">
        <v>45488</v>
      </c>
      <c r="D246" s="429" t="s">
        <v>1660</v>
      </c>
      <c r="E246" s="431"/>
      <c r="F246" s="431">
        <v>3698.39</v>
      </c>
      <c r="G246" s="109">
        <f t="shared" si="5"/>
        <v>14494.96</v>
      </c>
    </row>
    <row r="247" spans="3:7">
      <c r="C247" s="140">
        <v>45492</v>
      </c>
      <c r="D247" s="429" t="s">
        <v>1657</v>
      </c>
      <c r="E247" s="431">
        <v>30000</v>
      </c>
      <c r="F247" s="431"/>
      <c r="G247" s="109">
        <f t="shared" si="5"/>
        <v>44494.96</v>
      </c>
    </row>
    <row r="248" spans="3:7">
      <c r="C248" s="140">
        <v>45493</v>
      </c>
      <c r="D248" s="429" t="s">
        <v>1657</v>
      </c>
      <c r="E248" s="431">
        <v>29800</v>
      </c>
      <c r="F248" s="431"/>
      <c r="G248" s="109">
        <f t="shared" si="5"/>
        <v>74294.959999999992</v>
      </c>
    </row>
    <row r="249" spans="3:7">
      <c r="C249" s="140">
        <v>45493</v>
      </c>
      <c r="D249" s="429" t="s">
        <v>1657</v>
      </c>
      <c r="E249" s="431">
        <v>200</v>
      </c>
      <c r="F249" s="431"/>
      <c r="G249" s="109">
        <f t="shared" si="5"/>
        <v>74494.959999999992</v>
      </c>
    </row>
    <row r="250" spans="3:7">
      <c r="C250" s="140">
        <v>45494</v>
      </c>
      <c r="D250" s="192" t="s">
        <v>1661</v>
      </c>
      <c r="E250" s="431"/>
      <c r="F250" s="431">
        <v>7.68</v>
      </c>
      <c r="G250" s="109">
        <f t="shared" si="5"/>
        <v>74487.28</v>
      </c>
    </row>
    <row r="251" spans="3:7">
      <c r="C251" s="140">
        <v>45494</v>
      </c>
      <c r="D251" s="429" t="s">
        <v>1662</v>
      </c>
      <c r="E251" s="431"/>
      <c r="F251" s="431">
        <v>7312.98</v>
      </c>
      <c r="G251" s="109">
        <f t="shared" si="5"/>
        <v>67174.3</v>
      </c>
    </row>
    <row r="252" spans="3:7">
      <c r="C252" s="140">
        <v>45494</v>
      </c>
      <c r="D252" s="429" t="s">
        <v>1663</v>
      </c>
      <c r="E252" s="432"/>
      <c r="F252" s="431">
        <v>3656.49</v>
      </c>
      <c r="G252" s="109">
        <f t="shared" si="5"/>
        <v>63517.810000000005</v>
      </c>
    </row>
    <row r="253" spans="3:7">
      <c r="C253" s="140">
        <v>45494</v>
      </c>
      <c r="D253" s="429" t="s">
        <v>1657</v>
      </c>
      <c r="E253" s="431">
        <v>20000</v>
      </c>
      <c r="F253" s="432"/>
      <c r="G253" s="109">
        <f t="shared" si="5"/>
        <v>83517.81</v>
      </c>
    </row>
    <row r="254" spans="3:7">
      <c r="C254" s="140">
        <v>45495</v>
      </c>
      <c r="D254" s="429" t="s">
        <v>1664</v>
      </c>
      <c r="E254" s="432"/>
      <c r="F254" s="431">
        <v>7301.07</v>
      </c>
      <c r="G254" s="109">
        <f t="shared" si="5"/>
        <v>76216.739999999991</v>
      </c>
    </row>
    <row r="255" spans="3:7">
      <c r="C255" s="140">
        <v>45495</v>
      </c>
      <c r="D255" s="429" t="s">
        <v>1665</v>
      </c>
      <c r="E255" s="432"/>
      <c r="F255" s="431">
        <v>3650.54</v>
      </c>
      <c r="G255" s="109">
        <f t="shared" si="5"/>
        <v>72566.2</v>
      </c>
    </row>
    <row r="256" spans="3:7">
      <c r="C256" s="140">
        <v>45495</v>
      </c>
      <c r="D256" s="429" t="s">
        <v>1666</v>
      </c>
      <c r="E256" s="432"/>
      <c r="F256" s="431">
        <v>6388.44</v>
      </c>
      <c r="G256" s="109">
        <f t="shared" si="5"/>
        <v>66177.759999999995</v>
      </c>
    </row>
    <row r="257" spans="3:7">
      <c r="C257" s="140">
        <v>45496</v>
      </c>
      <c r="D257" s="429" t="s">
        <v>1667</v>
      </c>
      <c r="E257" s="432"/>
      <c r="F257" s="431">
        <v>9078.99</v>
      </c>
      <c r="G257" s="109">
        <f t="shared" si="5"/>
        <v>57098.77</v>
      </c>
    </row>
    <row r="258" spans="3:7">
      <c r="C258" s="140">
        <v>45496</v>
      </c>
      <c r="D258" s="429" t="s">
        <v>1668</v>
      </c>
      <c r="E258" s="432"/>
      <c r="F258" s="431">
        <v>5447.4</v>
      </c>
      <c r="G258" s="109">
        <f t="shared" si="5"/>
        <v>51651.369999999995</v>
      </c>
    </row>
    <row r="259" spans="3:7">
      <c r="C259" s="140">
        <v>45497</v>
      </c>
      <c r="D259" s="429" t="s">
        <v>1669</v>
      </c>
      <c r="E259" s="432"/>
      <c r="F259" s="431">
        <v>5447.4</v>
      </c>
      <c r="G259" s="109">
        <f t="shared" si="5"/>
        <v>46203.969999999994</v>
      </c>
    </row>
    <row r="260" spans="3:7">
      <c r="C260" s="140">
        <v>45497</v>
      </c>
      <c r="D260" s="429" t="s">
        <v>1670</v>
      </c>
      <c r="E260" s="432"/>
      <c r="F260" s="431">
        <v>3631.6</v>
      </c>
      <c r="G260" s="109">
        <f t="shared" si="5"/>
        <v>42572.369999999995</v>
      </c>
    </row>
    <row r="261" spans="3:7">
      <c r="C261" s="140">
        <v>45497</v>
      </c>
      <c r="D261" s="429" t="s">
        <v>1671</v>
      </c>
      <c r="E261" s="432"/>
      <c r="F261" s="431">
        <v>4539.5</v>
      </c>
      <c r="G261" s="109">
        <f t="shared" si="5"/>
        <v>38032.869999999995</v>
      </c>
    </row>
    <row r="262" spans="3:7">
      <c r="C262" s="140">
        <v>45497</v>
      </c>
      <c r="D262" s="429" t="s">
        <v>1672</v>
      </c>
      <c r="E262" s="432"/>
      <c r="F262" s="431">
        <v>3631.6</v>
      </c>
      <c r="G262" s="109">
        <f t="shared" si="5"/>
        <v>34401.269999999997</v>
      </c>
    </row>
    <row r="263" spans="3:7">
      <c r="C263" s="140">
        <v>45497</v>
      </c>
      <c r="D263" s="429" t="s">
        <v>1673</v>
      </c>
      <c r="E263" s="432"/>
      <c r="F263" s="431">
        <v>10894.79</v>
      </c>
      <c r="G263" s="109">
        <f t="shared" si="5"/>
        <v>23506.479999999996</v>
      </c>
    </row>
    <row r="264" spans="3:7">
      <c r="C264" s="40">
        <v>45501</v>
      </c>
      <c r="D264" s="17" t="s">
        <v>1680</v>
      </c>
      <c r="E264" s="189"/>
      <c r="F264" s="189">
        <v>2680.05</v>
      </c>
      <c r="G264" s="109">
        <f t="shared" si="5"/>
        <v>20826.429999999997</v>
      </c>
    </row>
    <row r="265" spans="3:7">
      <c r="C265" s="40">
        <v>45502</v>
      </c>
      <c r="D265" s="17" t="s">
        <v>1680</v>
      </c>
      <c r="E265" s="189"/>
      <c r="F265" s="189">
        <v>2674.03</v>
      </c>
      <c r="G265" s="109">
        <f t="shared" si="5"/>
        <v>18152.399999999998</v>
      </c>
    </row>
    <row r="266" spans="3:7">
      <c r="C266" s="40">
        <v>45502</v>
      </c>
      <c r="D266" s="17" t="s">
        <v>1680</v>
      </c>
      <c r="E266" s="189"/>
      <c r="F266" s="189">
        <v>1782.68</v>
      </c>
      <c r="G266" s="109">
        <f t="shared" si="5"/>
        <v>16369.719999999998</v>
      </c>
    </row>
    <row r="267" spans="3:7">
      <c r="C267" s="40">
        <v>45502</v>
      </c>
      <c r="D267" s="17" t="s">
        <v>1681</v>
      </c>
      <c r="E267" s="189"/>
      <c r="F267" s="189">
        <v>1787.66</v>
      </c>
      <c r="G267" s="109">
        <f t="shared" si="5"/>
        <v>14582.059999999998</v>
      </c>
    </row>
    <row r="268" spans="3:7">
      <c r="C268" s="40">
        <v>45502</v>
      </c>
      <c r="D268" s="17" t="s">
        <v>1681</v>
      </c>
      <c r="E268" s="189"/>
      <c r="F268" s="189">
        <v>1787.66</v>
      </c>
      <c r="G268" s="109">
        <f t="shared" si="5"/>
        <v>12794.399999999998</v>
      </c>
    </row>
    <row r="269" spans="3:7">
      <c r="C269" s="40">
        <v>45502</v>
      </c>
      <c r="D269" s="17" t="s">
        <v>1678</v>
      </c>
      <c r="E269" s="189">
        <v>17500</v>
      </c>
      <c r="F269" s="189"/>
      <c r="G269" s="109">
        <f t="shared" si="5"/>
        <v>30294.399999999998</v>
      </c>
    </row>
    <row r="270" spans="3:7">
      <c r="C270" s="40">
        <v>45504</v>
      </c>
      <c r="D270" s="17" t="s">
        <v>1681</v>
      </c>
      <c r="E270" s="189"/>
      <c r="F270" s="189">
        <v>1787.66</v>
      </c>
      <c r="G270" s="109">
        <f t="shared" si="5"/>
        <v>28506.739999999998</v>
      </c>
    </row>
    <row r="271" spans="3:7">
      <c r="C271" s="40">
        <v>45504</v>
      </c>
      <c r="D271" s="17" t="s">
        <v>1681</v>
      </c>
      <c r="E271" s="189"/>
      <c r="F271" s="189">
        <v>1787.66</v>
      </c>
      <c r="G271" s="109">
        <f t="shared" si="5"/>
        <v>26719.079999999998</v>
      </c>
    </row>
    <row r="272" spans="3:7">
      <c r="C272" s="40">
        <v>45504</v>
      </c>
      <c r="D272" s="17" t="s">
        <v>1681</v>
      </c>
      <c r="E272" s="189"/>
      <c r="F272" s="189">
        <v>1787.66</v>
      </c>
      <c r="G272" s="109">
        <f t="shared" si="5"/>
        <v>24931.42</v>
      </c>
    </row>
    <row r="273" spans="3:7">
      <c r="C273" s="40">
        <v>45504</v>
      </c>
      <c r="D273" s="17" t="s">
        <v>1681</v>
      </c>
      <c r="E273" s="189"/>
      <c r="F273" s="189">
        <v>1787.66</v>
      </c>
      <c r="G273" s="109">
        <f t="shared" si="5"/>
        <v>23143.759999999998</v>
      </c>
    </row>
    <row r="274" spans="3:7">
      <c r="C274" s="40">
        <v>45504</v>
      </c>
      <c r="D274" s="17" t="s">
        <v>1681</v>
      </c>
      <c r="E274" s="189"/>
      <c r="F274" s="189">
        <v>1787.66</v>
      </c>
      <c r="G274" s="109">
        <f t="shared" si="5"/>
        <v>21356.1</v>
      </c>
    </row>
    <row r="275" spans="3:7">
      <c r="C275" s="40">
        <v>45505</v>
      </c>
      <c r="D275" s="17" t="s">
        <v>1680</v>
      </c>
      <c r="E275" s="189"/>
      <c r="F275" s="189">
        <v>2673.95</v>
      </c>
      <c r="G275" s="109">
        <f t="shared" si="5"/>
        <v>18682.149999999998</v>
      </c>
    </row>
    <row r="276" spans="3:7">
      <c r="C276" s="40">
        <v>45516</v>
      </c>
      <c r="D276" s="17" t="s">
        <v>1833</v>
      </c>
      <c r="E276" s="189"/>
      <c r="F276" s="189">
        <v>2522.5100000000002</v>
      </c>
      <c r="G276" s="109">
        <f t="shared" si="5"/>
        <v>16159.639999999998</v>
      </c>
    </row>
    <row r="277" spans="3:7">
      <c r="C277" s="40">
        <v>45516</v>
      </c>
      <c r="D277" s="17" t="s">
        <v>1834</v>
      </c>
      <c r="E277" s="189"/>
      <c r="F277" s="189">
        <v>20</v>
      </c>
      <c r="G277" s="109">
        <f t="shared" si="5"/>
        <v>16139.639999999998</v>
      </c>
    </row>
    <row r="278" spans="3:7">
      <c r="C278" s="40">
        <v>45516</v>
      </c>
      <c r="D278" s="17" t="s">
        <v>1834</v>
      </c>
      <c r="E278" s="189"/>
      <c r="F278" s="189">
        <v>1</v>
      </c>
      <c r="G278" s="109">
        <f t="shared" si="5"/>
        <v>16138.639999999998</v>
      </c>
    </row>
    <row r="279" spans="3:7">
      <c r="C279" s="40">
        <v>45516</v>
      </c>
      <c r="D279" s="17" t="s">
        <v>1833</v>
      </c>
      <c r="E279" s="189"/>
      <c r="F279" s="189">
        <v>2522.5100000000002</v>
      </c>
      <c r="G279" s="109">
        <f t="shared" si="5"/>
        <v>13616.129999999997</v>
      </c>
    </row>
    <row r="280" spans="3:7">
      <c r="C280" s="40">
        <v>45516</v>
      </c>
      <c r="D280" s="17" t="s">
        <v>1834</v>
      </c>
      <c r="E280" s="189"/>
      <c r="F280" s="189">
        <v>20</v>
      </c>
      <c r="G280" s="109">
        <f t="shared" si="5"/>
        <v>13596.129999999997</v>
      </c>
    </row>
    <row r="281" spans="3:7">
      <c r="C281" s="40">
        <v>45516</v>
      </c>
      <c r="D281" s="17" t="s">
        <v>1834</v>
      </c>
      <c r="E281" s="189"/>
      <c r="F281" s="189">
        <v>1</v>
      </c>
      <c r="G281" s="109">
        <f t="shared" si="5"/>
        <v>13595.129999999997</v>
      </c>
    </row>
    <row r="282" spans="3:7">
      <c r="C282" s="40">
        <v>45518</v>
      </c>
      <c r="D282" s="17" t="s">
        <v>1835</v>
      </c>
      <c r="E282" s="189">
        <v>216</v>
      </c>
      <c r="F282" s="189"/>
      <c r="G282" s="109">
        <f t="shared" si="5"/>
        <v>13811.129999999997</v>
      </c>
    </row>
    <row r="283" spans="3:7">
      <c r="C283" s="40">
        <v>45518</v>
      </c>
      <c r="D283" s="17" t="s">
        <v>1835</v>
      </c>
      <c r="E283" s="189">
        <v>20</v>
      </c>
      <c r="F283" s="189"/>
      <c r="G283" s="109">
        <f t="shared" si="5"/>
        <v>13831.129999999997</v>
      </c>
    </row>
    <row r="284" spans="3:7">
      <c r="C284" s="40">
        <v>45518</v>
      </c>
      <c r="D284" s="17" t="s">
        <v>1835</v>
      </c>
      <c r="E284" s="189">
        <v>1</v>
      </c>
      <c r="F284" s="189"/>
      <c r="G284" s="109">
        <f t="shared" si="5"/>
        <v>13832.129999999997</v>
      </c>
    </row>
    <row r="285" spans="3:7">
      <c r="C285" s="40">
        <v>45518</v>
      </c>
      <c r="D285" s="17" t="s">
        <v>1835</v>
      </c>
      <c r="E285" s="189">
        <v>20</v>
      </c>
      <c r="F285" s="189"/>
      <c r="G285" s="109">
        <f t="shared" si="5"/>
        <v>13852.129999999997</v>
      </c>
    </row>
    <row r="286" spans="3:7">
      <c r="C286" s="40">
        <v>45518</v>
      </c>
      <c r="D286" s="17" t="s">
        <v>1835</v>
      </c>
      <c r="E286" s="189">
        <v>1</v>
      </c>
      <c r="F286" s="189"/>
      <c r="G286" s="109">
        <f t="shared" si="5"/>
        <v>13853.129999999997</v>
      </c>
    </row>
    <row r="287" spans="3:7">
      <c r="C287" s="40">
        <v>45518</v>
      </c>
      <c r="D287" s="17" t="s">
        <v>1836</v>
      </c>
      <c r="E287" s="189"/>
      <c r="F287" s="189">
        <v>174.46</v>
      </c>
      <c r="G287" s="109">
        <f t="shared" si="5"/>
        <v>13678.669999999998</v>
      </c>
    </row>
    <row r="288" spans="3:7">
      <c r="C288" s="40">
        <v>45518</v>
      </c>
      <c r="D288" s="17" t="s">
        <v>1837</v>
      </c>
      <c r="E288" s="189"/>
      <c r="F288" s="189">
        <v>398.05</v>
      </c>
      <c r="G288" s="109">
        <f t="shared" si="5"/>
        <v>13280.619999999999</v>
      </c>
    </row>
    <row r="289" spans="3:7">
      <c r="C289" s="40">
        <v>45519</v>
      </c>
      <c r="D289" s="17" t="s">
        <v>1833</v>
      </c>
      <c r="E289" s="189"/>
      <c r="F289" s="189">
        <v>2522.5100000000002</v>
      </c>
      <c r="G289" s="109">
        <f t="shared" si="5"/>
        <v>10758.109999999999</v>
      </c>
    </row>
    <row r="290" spans="3:7">
      <c r="C290" s="40">
        <v>45519</v>
      </c>
      <c r="D290" s="17" t="s">
        <v>1834</v>
      </c>
      <c r="E290" s="189"/>
      <c r="F290" s="189">
        <v>20</v>
      </c>
      <c r="G290" s="109">
        <f t="shared" si="5"/>
        <v>10738.109999999999</v>
      </c>
    </row>
    <row r="291" spans="3:7">
      <c r="C291" s="40">
        <v>45519</v>
      </c>
      <c r="D291" s="17" t="s">
        <v>1834</v>
      </c>
      <c r="E291" s="189"/>
      <c r="F291" s="189">
        <v>1</v>
      </c>
      <c r="G291" s="109">
        <f t="shared" si="5"/>
        <v>10737.109999999999</v>
      </c>
    </row>
    <row r="292" spans="3:7">
      <c r="C292" s="40">
        <v>45519</v>
      </c>
      <c r="D292" s="17" t="s">
        <v>1833</v>
      </c>
      <c r="E292" s="189"/>
      <c r="F292" s="189">
        <v>5026.24</v>
      </c>
      <c r="G292" s="109">
        <f t="shared" si="5"/>
        <v>5710.869999999999</v>
      </c>
    </row>
    <row r="293" spans="3:7">
      <c r="C293" s="40">
        <v>45519</v>
      </c>
      <c r="D293" s="17" t="s">
        <v>1834</v>
      </c>
      <c r="E293" s="189"/>
      <c r="F293" s="189">
        <v>20</v>
      </c>
      <c r="G293" s="109">
        <f t="shared" si="5"/>
        <v>5690.869999999999</v>
      </c>
    </row>
    <row r="294" spans="3:7">
      <c r="C294" s="40">
        <v>45519</v>
      </c>
      <c r="D294" s="17" t="s">
        <v>1834</v>
      </c>
      <c r="E294" s="189"/>
      <c r="F294" s="189">
        <v>1</v>
      </c>
      <c r="G294" s="109">
        <f t="shared" si="5"/>
        <v>5689.869999999999</v>
      </c>
    </row>
    <row r="295" spans="3:7">
      <c r="C295" s="40">
        <v>45519</v>
      </c>
      <c r="D295" s="17" t="s">
        <v>1833</v>
      </c>
      <c r="E295" s="189"/>
      <c r="F295" s="189">
        <v>5026.24</v>
      </c>
      <c r="G295" s="109">
        <f t="shared" si="5"/>
        <v>663.6299999999992</v>
      </c>
    </row>
    <row r="296" spans="3:7">
      <c r="C296" s="40">
        <v>45519</v>
      </c>
      <c r="D296" s="17" t="s">
        <v>1834</v>
      </c>
      <c r="E296" s="189"/>
      <c r="F296" s="189">
        <v>20</v>
      </c>
      <c r="G296" s="109">
        <f t="shared" si="5"/>
        <v>643.6299999999992</v>
      </c>
    </row>
    <row r="297" spans="3:7">
      <c r="C297" s="40">
        <v>45519</v>
      </c>
      <c r="D297" s="17" t="s">
        <v>1834</v>
      </c>
      <c r="E297" s="189"/>
      <c r="F297" s="189">
        <v>1</v>
      </c>
      <c r="G297" s="109">
        <f t="shared" si="5"/>
        <v>642.6299999999992</v>
      </c>
    </row>
    <row r="298" spans="3:7">
      <c r="C298" s="40">
        <v>45520</v>
      </c>
      <c r="D298" s="17" t="s">
        <v>1913</v>
      </c>
      <c r="E298" s="189">
        <v>63</v>
      </c>
      <c r="F298" s="189"/>
      <c r="G298" s="109">
        <f t="shared" si="5"/>
        <v>705.6299999999992</v>
      </c>
    </row>
    <row r="299" spans="3:7">
      <c r="C299" s="40">
        <v>45548</v>
      </c>
      <c r="D299" s="17" t="s">
        <v>2038</v>
      </c>
      <c r="E299" s="189">
        <v>15600</v>
      </c>
      <c r="F299" s="189"/>
      <c r="G299" s="109">
        <f t="shared" si="5"/>
        <v>16305.63</v>
      </c>
    </row>
    <row r="300" spans="3:7">
      <c r="C300" s="40">
        <v>45554</v>
      </c>
      <c r="D300" s="17" t="s">
        <v>2091</v>
      </c>
      <c r="E300" s="189"/>
      <c r="F300" s="189">
        <v>760.31</v>
      </c>
      <c r="G300" s="109">
        <f t="shared" si="5"/>
        <v>15545.32</v>
      </c>
    </row>
    <row r="301" spans="3:7">
      <c r="C301" s="40">
        <v>45556</v>
      </c>
      <c r="D301" s="17" t="s">
        <v>2092</v>
      </c>
      <c r="E301" s="189"/>
      <c r="F301" s="189">
        <v>767.69</v>
      </c>
      <c r="G301" s="109">
        <f t="shared" si="5"/>
        <v>14777.63</v>
      </c>
    </row>
    <row r="302" spans="3:7">
      <c r="C302" s="40">
        <v>45556</v>
      </c>
      <c r="D302" s="17" t="s">
        <v>2093</v>
      </c>
      <c r="E302" s="189"/>
      <c r="F302" s="189">
        <v>772.86</v>
      </c>
      <c r="G302" s="109">
        <f t="shared" si="5"/>
        <v>14004.769999999999</v>
      </c>
    </row>
    <row r="303" spans="3:7">
      <c r="C303" s="40">
        <v>45558</v>
      </c>
      <c r="D303" s="17" t="s">
        <v>2094</v>
      </c>
      <c r="E303" s="189"/>
      <c r="F303" s="189">
        <v>5177.21</v>
      </c>
      <c r="G303" s="109">
        <f t="shared" si="5"/>
        <v>8827.5599999999977</v>
      </c>
    </row>
    <row r="304" spans="3:7">
      <c r="C304" s="40">
        <v>45559</v>
      </c>
      <c r="D304" s="17" t="s">
        <v>2091</v>
      </c>
      <c r="E304" s="189"/>
      <c r="F304" s="189">
        <v>1537.63</v>
      </c>
      <c r="G304" s="109">
        <f t="shared" si="5"/>
        <v>7289.9299999999976</v>
      </c>
    </row>
    <row r="305" spans="3:7">
      <c r="C305" s="40">
        <v>45560</v>
      </c>
      <c r="D305" s="17" t="s">
        <v>2092</v>
      </c>
      <c r="E305" s="189"/>
      <c r="F305" s="189">
        <v>768.82</v>
      </c>
      <c r="G305" s="109">
        <f t="shared" si="5"/>
        <v>6521.1099999999979</v>
      </c>
    </row>
    <row r="306" spans="3:7">
      <c r="C306" s="40">
        <v>45560</v>
      </c>
      <c r="D306" s="17" t="s">
        <v>2094</v>
      </c>
      <c r="E306" s="189"/>
      <c r="F306" s="189">
        <v>771.4</v>
      </c>
      <c r="G306" s="109">
        <f t="shared" si="5"/>
        <v>5749.7099999999982</v>
      </c>
    </row>
    <row r="307" spans="3:7">
      <c r="C307" s="40"/>
      <c r="D307" s="17"/>
      <c r="E307" s="189"/>
      <c r="F307" s="189"/>
      <c r="G307" s="109">
        <f t="shared" si="5"/>
        <v>5749.7099999999982</v>
      </c>
    </row>
    <row r="308" spans="3:7">
      <c r="C308" s="40">
        <v>45566</v>
      </c>
      <c r="D308" s="17" t="s">
        <v>2093</v>
      </c>
      <c r="E308" s="189"/>
      <c r="F308" s="189">
        <v>786.23</v>
      </c>
      <c r="G308" s="109">
        <f t="shared" si="5"/>
        <v>4963.4799999999977</v>
      </c>
    </row>
    <row r="309" spans="3:7">
      <c r="C309" s="40">
        <v>45566</v>
      </c>
      <c r="D309" s="17" t="s">
        <v>2093</v>
      </c>
      <c r="E309" s="189"/>
      <c r="F309" s="189">
        <v>786.23</v>
      </c>
      <c r="G309" s="109">
        <f t="shared" si="5"/>
        <v>4177.2499999999982</v>
      </c>
    </row>
    <row r="310" spans="3:7">
      <c r="C310" s="40">
        <v>45567</v>
      </c>
      <c r="D310" s="17" t="s">
        <v>2093</v>
      </c>
      <c r="E310" s="189"/>
      <c r="F310" s="189">
        <v>786.23</v>
      </c>
      <c r="G310" s="109">
        <f t="shared" si="5"/>
        <v>3391.0199999999982</v>
      </c>
    </row>
    <row r="311" spans="3:7">
      <c r="C311" s="40"/>
      <c r="D311" s="17"/>
      <c r="E311" s="189"/>
      <c r="F311" s="189"/>
      <c r="G311" s="109">
        <f t="shared" si="5"/>
        <v>3391.0199999999982</v>
      </c>
    </row>
    <row r="312" spans="3:7">
      <c r="C312" s="40">
        <v>45572</v>
      </c>
      <c r="D312" s="17" t="s">
        <v>2093</v>
      </c>
      <c r="E312" s="189"/>
      <c r="F312" s="189">
        <v>776.71</v>
      </c>
      <c r="G312" s="109">
        <f t="shared" si="5"/>
        <v>2614.3099999999981</v>
      </c>
    </row>
    <row r="313" spans="3:7">
      <c r="C313" s="40">
        <v>45572</v>
      </c>
      <c r="D313" s="17" t="s">
        <v>2093</v>
      </c>
      <c r="E313" s="189"/>
      <c r="F313" s="189">
        <v>776.71</v>
      </c>
      <c r="G313" s="109">
        <f t="shared" si="5"/>
        <v>1837.5999999999981</v>
      </c>
    </row>
    <row r="314" spans="3:7">
      <c r="C314" s="40">
        <v>45593</v>
      </c>
      <c r="D314" s="17" t="s">
        <v>2439</v>
      </c>
      <c r="E314" s="189"/>
      <c r="F314" s="189">
        <v>10.08</v>
      </c>
      <c r="G314" s="109">
        <f t="shared" si="5"/>
        <v>1827.5199999999982</v>
      </c>
    </row>
    <row r="315" spans="3:7">
      <c r="C315" s="40"/>
      <c r="D315" s="17"/>
      <c r="E315" s="189"/>
      <c r="F315" s="189"/>
      <c r="G315" s="109">
        <f t="shared" si="5"/>
        <v>1827.5199999999982</v>
      </c>
    </row>
    <row r="316" spans="3:7">
      <c r="C316" s="40"/>
      <c r="D316" s="17"/>
      <c r="E316" s="189"/>
      <c r="F316" s="189"/>
      <c r="G316" s="109">
        <f t="shared" si="5"/>
        <v>1827.5199999999982</v>
      </c>
    </row>
    <row r="317" spans="3:7">
      <c r="C317" s="40"/>
      <c r="D317" s="17"/>
      <c r="E317" s="189"/>
      <c r="F317" s="189"/>
      <c r="G317" s="109">
        <f t="shared" si="5"/>
        <v>1827.5199999999982</v>
      </c>
    </row>
    <row r="318" spans="3:7">
      <c r="C318" s="40">
        <v>45664</v>
      </c>
      <c r="D318" s="17" t="s">
        <v>2563</v>
      </c>
      <c r="E318" s="189">
        <v>3000</v>
      </c>
      <c r="F318" s="189"/>
      <c r="G318" s="109">
        <f t="shared" si="5"/>
        <v>4827.5199999999986</v>
      </c>
    </row>
    <row r="319" spans="3:7">
      <c r="C319" s="40"/>
      <c r="D319" s="17"/>
      <c r="E319" s="189"/>
      <c r="F319" s="189"/>
      <c r="G319" s="109">
        <f t="shared" si="5"/>
        <v>4827.5199999999986</v>
      </c>
    </row>
    <row r="320" spans="3:7">
      <c r="C320" s="40"/>
      <c r="D320" s="17"/>
      <c r="E320" s="189"/>
      <c r="F320" s="189"/>
      <c r="G320" s="109">
        <f t="shared" si="5"/>
        <v>4827.5199999999986</v>
      </c>
    </row>
    <row r="321" spans="2:7">
      <c r="C321" s="17"/>
      <c r="D321" s="17"/>
      <c r="E321" s="189"/>
      <c r="F321" s="189"/>
      <c r="G321" s="109">
        <f t="shared" si="5"/>
        <v>4827.5199999999986</v>
      </c>
    </row>
    <row r="322" spans="2:7">
      <c r="C322" s="17"/>
      <c r="D322" s="17"/>
      <c r="E322" s="189"/>
      <c r="F322" s="189"/>
      <c r="G322" s="109">
        <f t="shared" si="5"/>
        <v>4827.5199999999986</v>
      </c>
    </row>
    <row r="328" spans="2:7" ht="18">
      <c r="D328" s="427" t="s">
        <v>1679</v>
      </c>
    </row>
    <row r="329" spans="2:7" ht="18">
      <c r="C329" s="428" t="s">
        <v>13</v>
      </c>
      <c r="D329" s="428" t="s">
        <v>256</v>
      </c>
      <c r="E329" s="428" t="s">
        <v>1648</v>
      </c>
      <c r="F329" s="428" t="s">
        <v>1649</v>
      </c>
      <c r="G329" s="428" t="s">
        <v>17</v>
      </c>
    </row>
    <row r="330" spans="2:7">
      <c r="B330" t="s">
        <v>2174</v>
      </c>
      <c r="C330" s="40">
        <v>45495</v>
      </c>
      <c r="D330" s="17" t="s">
        <v>1650</v>
      </c>
      <c r="E330" s="17"/>
      <c r="F330" s="17"/>
      <c r="G330" s="109">
        <v>0</v>
      </c>
    </row>
    <row r="331" spans="2:7">
      <c r="C331" s="40">
        <v>45502</v>
      </c>
      <c r="D331" s="17" t="s">
        <v>1719</v>
      </c>
      <c r="E331" s="17"/>
      <c r="F331" s="25">
        <v>20</v>
      </c>
      <c r="G331" s="109">
        <f>G330+E331-F331</f>
        <v>-20</v>
      </c>
    </row>
    <row r="332" spans="2:7">
      <c r="C332" s="40">
        <v>45502</v>
      </c>
      <c r="D332" s="17" t="s">
        <v>1719</v>
      </c>
      <c r="E332" s="17"/>
      <c r="F332" s="25">
        <v>16</v>
      </c>
      <c r="G332" s="109">
        <f t="shared" ref="G332:G420" si="6">G331+E332-F332</f>
        <v>-36</v>
      </c>
    </row>
    <row r="333" spans="2:7">
      <c r="C333" s="40">
        <v>45502</v>
      </c>
      <c r="D333" s="17" t="s">
        <v>1719</v>
      </c>
      <c r="E333" s="17"/>
      <c r="F333" s="25">
        <v>87</v>
      </c>
      <c r="G333" s="109">
        <f t="shared" si="6"/>
        <v>-123</v>
      </c>
    </row>
    <row r="334" spans="2:7">
      <c r="C334" s="495">
        <v>45502</v>
      </c>
      <c r="D334" s="496" t="s">
        <v>1983</v>
      </c>
      <c r="E334" s="494">
        <v>2600</v>
      </c>
      <c r="F334" s="25"/>
      <c r="G334" s="109">
        <f t="shared" si="6"/>
        <v>2477</v>
      </c>
    </row>
    <row r="335" spans="2:7">
      <c r="C335" s="495">
        <v>45502</v>
      </c>
      <c r="D335" s="496" t="s">
        <v>1984</v>
      </c>
      <c r="E335" s="494">
        <v>3000</v>
      </c>
      <c r="F335" s="25"/>
      <c r="G335" s="109">
        <f t="shared" si="6"/>
        <v>5477</v>
      </c>
    </row>
    <row r="336" spans="2:7">
      <c r="C336" s="495">
        <v>45502</v>
      </c>
      <c r="D336" s="496" t="s">
        <v>1985</v>
      </c>
      <c r="E336" s="494">
        <v>4200</v>
      </c>
      <c r="F336" s="25"/>
      <c r="G336" s="109">
        <f t="shared" si="6"/>
        <v>9677</v>
      </c>
    </row>
    <row r="337" spans="2:7">
      <c r="C337" s="495">
        <v>45502</v>
      </c>
      <c r="D337" s="496" t="s">
        <v>1986</v>
      </c>
      <c r="E337" s="494">
        <v>3900</v>
      </c>
      <c r="F337" s="25"/>
      <c r="G337" s="109">
        <f t="shared" si="6"/>
        <v>13577</v>
      </c>
    </row>
    <row r="338" spans="2:7">
      <c r="C338" s="495">
        <v>45502</v>
      </c>
      <c r="D338" s="496" t="s">
        <v>1987</v>
      </c>
      <c r="E338" s="494">
        <v>3600</v>
      </c>
      <c r="F338" s="25"/>
      <c r="G338" s="109">
        <f t="shared" si="6"/>
        <v>17177</v>
      </c>
    </row>
    <row r="339" spans="2:7">
      <c r="C339" s="495">
        <v>45502</v>
      </c>
      <c r="D339" s="496" t="s">
        <v>1988</v>
      </c>
      <c r="E339" s="494">
        <v>2700</v>
      </c>
      <c r="F339" s="25"/>
      <c r="G339" s="109">
        <f t="shared" si="6"/>
        <v>19877</v>
      </c>
    </row>
    <row r="340" spans="2:7">
      <c r="C340" s="40">
        <v>45503</v>
      </c>
      <c r="D340" s="17" t="s">
        <v>2046</v>
      </c>
      <c r="E340" s="17"/>
      <c r="F340" s="25">
        <v>1792.31</v>
      </c>
      <c r="G340" s="109">
        <f t="shared" si="6"/>
        <v>18084.689999999999</v>
      </c>
    </row>
    <row r="341" spans="2:7">
      <c r="C341" s="40">
        <v>45503</v>
      </c>
      <c r="D341" s="17" t="s">
        <v>2047</v>
      </c>
      <c r="E341" s="17"/>
      <c r="F341" s="25">
        <v>7169.25</v>
      </c>
      <c r="G341" s="109">
        <f t="shared" si="6"/>
        <v>10915.439999999999</v>
      </c>
    </row>
    <row r="342" spans="2:7">
      <c r="C342" s="40">
        <v>45503</v>
      </c>
      <c r="D342" s="17" t="s">
        <v>2048</v>
      </c>
      <c r="E342" s="17"/>
      <c r="F342" s="25">
        <v>1797.37</v>
      </c>
      <c r="G342" s="109">
        <f t="shared" si="6"/>
        <v>9118.07</v>
      </c>
    </row>
    <row r="343" spans="2:7">
      <c r="C343" s="40">
        <v>45503</v>
      </c>
      <c r="D343" s="17" t="s">
        <v>2049</v>
      </c>
      <c r="E343" s="17"/>
      <c r="F343" s="25">
        <v>898.2</v>
      </c>
      <c r="G343" s="109">
        <f t="shared" si="6"/>
        <v>8219.869999999999</v>
      </c>
    </row>
    <row r="344" spans="2:7">
      <c r="B344" t="s">
        <v>2218</v>
      </c>
      <c r="C344" s="40">
        <v>45504</v>
      </c>
      <c r="D344" s="17" t="s">
        <v>2050</v>
      </c>
      <c r="E344" s="17"/>
      <c r="F344" s="25">
        <v>5279.67</v>
      </c>
      <c r="G344" s="109">
        <f t="shared" si="6"/>
        <v>2940.1999999999989</v>
      </c>
    </row>
    <row r="345" spans="2:7">
      <c r="C345" s="40">
        <v>45504</v>
      </c>
      <c r="D345" s="17" t="s">
        <v>2051</v>
      </c>
      <c r="E345" s="17"/>
      <c r="F345" s="25">
        <v>99.38</v>
      </c>
      <c r="G345" s="109">
        <f t="shared" si="6"/>
        <v>2840.8199999999988</v>
      </c>
    </row>
    <row r="346" spans="2:7">
      <c r="C346" s="40">
        <v>45504</v>
      </c>
      <c r="D346" s="496" t="s">
        <v>2052</v>
      </c>
      <c r="E346" s="494"/>
      <c r="F346" s="25">
        <v>898.68</v>
      </c>
      <c r="G346" s="109">
        <f t="shared" si="6"/>
        <v>1942.139999999999</v>
      </c>
    </row>
    <row r="347" spans="2:7">
      <c r="C347" s="40">
        <v>45504</v>
      </c>
      <c r="D347" s="496" t="s">
        <v>2053</v>
      </c>
      <c r="E347" s="494"/>
      <c r="F347" s="25">
        <v>1797.37</v>
      </c>
      <c r="G347" s="109">
        <f t="shared" si="6"/>
        <v>144.76999999999907</v>
      </c>
    </row>
    <row r="348" spans="2:7">
      <c r="C348" s="40">
        <v>45504</v>
      </c>
      <c r="D348" s="496" t="s">
        <v>2054</v>
      </c>
      <c r="E348" s="494"/>
      <c r="F348" s="25">
        <v>2252.98</v>
      </c>
      <c r="G348" s="109">
        <f t="shared" si="6"/>
        <v>-2108.2100000000009</v>
      </c>
    </row>
    <row r="349" spans="2:7">
      <c r="C349" s="40">
        <v>45504</v>
      </c>
      <c r="D349" s="496" t="s">
        <v>2052</v>
      </c>
      <c r="E349" s="494"/>
      <c r="F349" s="25">
        <v>898.68</v>
      </c>
      <c r="G349" s="109">
        <f t="shared" si="6"/>
        <v>-3006.8900000000008</v>
      </c>
    </row>
    <row r="350" spans="2:7">
      <c r="C350" s="40">
        <v>45504</v>
      </c>
      <c r="D350" s="496" t="s">
        <v>2053</v>
      </c>
      <c r="E350" s="494"/>
      <c r="F350" s="25">
        <v>1797.37</v>
      </c>
      <c r="G350" s="109">
        <f t="shared" si="6"/>
        <v>-4804.26</v>
      </c>
    </row>
    <row r="351" spans="2:7">
      <c r="C351" s="40">
        <v>45504</v>
      </c>
      <c r="D351" s="496" t="s">
        <v>2055</v>
      </c>
      <c r="E351" s="494"/>
      <c r="F351" s="25">
        <v>3594.74</v>
      </c>
      <c r="G351" s="109">
        <f t="shared" si="6"/>
        <v>-8399</v>
      </c>
    </row>
    <row r="352" spans="2:7">
      <c r="C352" s="40">
        <v>45509</v>
      </c>
      <c r="D352" s="497" t="s">
        <v>2056</v>
      </c>
      <c r="E352" s="498"/>
      <c r="F352" s="516">
        <v>2688.46</v>
      </c>
      <c r="G352" s="109">
        <f t="shared" si="6"/>
        <v>-11087.46</v>
      </c>
    </row>
    <row r="353" spans="1:7">
      <c r="C353" s="40">
        <v>45509</v>
      </c>
      <c r="D353" s="497" t="s">
        <v>2056</v>
      </c>
      <c r="E353" s="498"/>
      <c r="F353" s="516">
        <v>2688.46</v>
      </c>
      <c r="G353" s="109">
        <f t="shared" si="6"/>
        <v>-13775.919999999998</v>
      </c>
    </row>
    <row r="354" spans="1:7">
      <c r="C354" s="40"/>
      <c r="D354" s="17"/>
      <c r="E354" s="17"/>
      <c r="F354" s="18"/>
      <c r="G354" s="109">
        <f t="shared" si="6"/>
        <v>-13775.919999999998</v>
      </c>
    </row>
    <row r="355" spans="1:7">
      <c r="B355" t="s">
        <v>2175</v>
      </c>
      <c r="C355" s="40">
        <v>45513</v>
      </c>
      <c r="D355" s="17" t="s">
        <v>2057</v>
      </c>
      <c r="E355" s="17"/>
      <c r="F355" s="18">
        <v>3581.35</v>
      </c>
      <c r="G355" s="109">
        <f t="shared" si="6"/>
        <v>-17357.269999999997</v>
      </c>
    </row>
    <row r="356" spans="1:7">
      <c r="C356" s="40">
        <v>45517</v>
      </c>
      <c r="D356" s="17" t="s">
        <v>1894</v>
      </c>
      <c r="E356" s="17">
        <v>13776.42</v>
      </c>
      <c r="F356" s="18"/>
      <c r="G356" s="109">
        <f t="shared" si="6"/>
        <v>-3580.8499999999967</v>
      </c>
    </row>
    <row r="357" spans="1:7">
      <c r="C357" s="40">
        <v>45518</v>
      </c>
      <c r="D357" s="17" t="s">
        <v>2058</v>
      </c>
      <c r="E357" s="17"/>
      <c r="F357" s="18">
        <v>51.33</v>
      </c>
      <c r="G357" s="109">
        <f t="shared" si="6"/>
        <v>-3632.1799999999967</v>
      </c>
    </row>
    <row r="358" spans="1:7">
      <c r="C358" s="40">
        <v>45518</v>
      </c>
      <c r="D358" s="17" t="s">
        <v>2059</v>
      </c>
      <c r="E358" s="17"/>
      <c r="F358" s="18">
        <v>1.07</v>
      </c>
      <c r="G358" s="109">
        <f t="shared" si="6"/>
        <v>-3633.2499999999968</v>
      </c>
    </row>
    <row r="359" spans="1:7">
      <c r="C359" s="40">
        <v>45518</v>
      </c>
      <c r="D359" s="17" t="s">
        <v>2060</v>
      </c>
      <c r="E359" s="17"/>
      <c r="F359" s="18">
        <v>33.11</v>
      </c>
      <c r="G359" s="109">
        <f t="shared" si="6"/>
        <v>-3666.3599999999969</v>
      </c>
    </row>
    <row r="360" spans="1:7">
      <c r="C360" s="40">
        <v>45520</v>
      </c>
      <c r="D360" s="17" t="s">
        <v>2061</v>
      </c>
      <c r="E360" s="17"/>
      <c r="F360" s="18">
        <v>111.34</v>
      </c>
      <c r="G360" s="109">
        <f t="shared" si="6"/>
        <v>-3777.6999999999971</v>
      </c>
    </row>
    <row r="361" spans="1:7">
      <c r="C361" s="40">
        <v>45520</v>
      </c>
      <c r="D361" s="17" t="s">
        <v>2062</v>
      </c>
      <c r="E361" s="17"/>
      <c r="F361" s="18">
        <v>55.68</v>
      </c>
      <c r="G361" s="109">
        <f t="shared" si="6"/>
        <v>-3833.3799999999969</v>
      </c>
    </row>
    <row r="362" spans="1:7">
      <c r="C362" s="40">
        <v>45520</v>
      </c>
      <c r="D362" s="17" t="s">
        <v>2063</v>
      </c>
      <c r="E362" s="17"/>
      <c r="F362" s="18">
        <v>50.29</v>
      </c>
      <c r="G362" s="109">
        <f t="shared" si="6"/>
        <v>-3883.6699999999969</v>
      </c>
    </row>
    <row r="363" spans="1:7">
      <c r="B363" t="s">
        <v>2199</v>
      </c>
      <c r="C363" s="40">
        <v>45520</v>
      </c>
      <c r="D363" s="17" t="s">
        <v>2064</v>
      </c>
      <c r="E363" s="17"/>
      <c r="F363" s="18">
        <v>52.58</v>
      </c>
      <c r="G363" s="109">
        <f t="shared" si="6"/>
        <v>-3936.2499999999968</v>
      </c>
    </row>
    <row r="364" spans="1:7">
      <c r="B364" t="s">
        <v>2199</v>
      </c>
      <c r="C364" s="40">
        <v>45520</v>
      </c>
      <c r="D364" s="17" t="s">
        <v>2065</v>
      </c>
      <c r="E364" s="17"/>
      <c r="F364" s="18">
        <v>64.52</v>
      </c>
      <c r="G364" s="109">
        <f t="shared" si="6"/>
        <v>-4000.7699999999968</v>
      </c>
    </row>
    <row r="365" spans="1:7">
      <c r="B365" t="s">
        <v>2199</v>
      </c>
      <c r="C365" s="40">
        <v>45520</v>
      </c>
      <c r="D365" s="17" t="s">
        <v>2066</v>
      </c>
      <c r="E365" s="17"/>
      <c r="F365" s="18">
        <v>34.299999999999997</v>
      </c>
      <c r="G365" s="109">
        <f t="shared" si="6"/>
        <v>-4035.069999999997</v>
      </c>
    </row>
    <row r="366" spans="1:7">
      <c r="C366" s="40">
        <v>45520</v>
      </c>
      <c r="D366" s="17" t="s">
        <v>2067</v>
      </c>
      <c r="E366" s="17"/>
      <c r="F366" s="18">
        <v>18.16</v>
      </c>
      <c r="G366" s="109">
        <f t="shared" si="6"/>
        <v>-4053.2299999999968</v>
      </c>
    </row>
    <row r="367" spans="1:7">
      <c r="A367" t="s">
        <v>941</v>
      </c>
      <c r="C367" s="40">
        <v>45520</v>
      </c>
      <c r="D367" s="17" t="s">
        <v>2068</v>
      </c>
      <c r="E367" s="17"/>
      <c r="F367" s="18">
        <v>40277.19</v>
      </c>
      <c r="G367" s="109">
        <f t="shared" si="6"/>
        <v>-44330.42</v>
      </c>
    </row>
    <row r="368" spans="1:7">
      <c r="A368" t="s">
        <v>941</v>
      </c>
      <c r="C368" s="40">
        <v>45520</v>
      </c>
      <c r="D368" s="17" t="s">
        <v>2069</v>
      </c>
      <c r="E368" s="17"/>
      <c r="F368" s="18">
        <v>10069.299999999999</v>
      </c>
      <c r="G368" s="109">
        <f t="shared" si="6"/>
        <v>-54399.72</v>
      </c>
    </row>
    <row r="369" spans="3:7">
      <c r="C369" s="40">
        <v>45521</v>
      </c>
      <c r="D369" s="17" t="s">
        <v>2070</v>
      </c>
      <c r="E369" s="17"/>
      <c r="F369" s="18">
        <v>280.57</v>
      </c>
      <c r="G369" s="109">
        <f t="shared" si="6"/>
        <v>-54680.29</v>
      </c>
    </row>
    <row r="370" spans="3:7">
      <c r="C370" s="40">
        <v>45525</v>
      </c>
      <c r="D370" s="17" t="s">
        <v>2067</v>
      </c>
      <c r="E370" s="17"/>
      <c r="F370" s="18">
        <v>18.25</v>
      </c>
      <c r="G370" s="109">
        <f t="shared" si="6"/>
        <v>-54698.54</v>
      </c>
    </row>
    <row r="371" spans="3:7">
      <c r="C371" s="40">
        <v>45527</v>
      </c>
      <c r="D371" s="17" t="s">
        <v>2071</v>
      </c>
      <c r="E371" s="17"/>
      <c r="F371" s="18">
        <v>143.29</v>
      </c>
      <c r="G371" s="109">
        <f t="shared" si="6"/>
        <v>-54841.83</v>
      </c>
    </row>
    <row r="372" spans="3:7">
      <c r="C372" s="40">
        <v>45534</v>
      </c>
      <c r="D372" s="17" t="s">
        <v>1982</v>
      </c>
      <c r="E372" s="17">
        <v>60000</v>
      </c>
      <c r="F372" s="17"/>
      <c r="G372" s="109">
        <f t="shared" si="6"/>
        <v>5158.1699999999983</v>
      </c>
    </row>
    <row r="373" spans="3:7">
      <c r="C373" s="40">
        <v>45538</v>
      </c>
      <c r="D373" s="17" t="s">
        <v>2072</v>
      </c>
      <c r="E373" s="17"/>
      <c r="F373" s="18">
        <v>36.46</v>
      </c>
      <c r="G373" s="109">
        <f t="shared" si="6"/>
        <v>5121.7099999999982</v>
      </c>
    </row>
    <row r="374" spans="3:7">
      <c r="C374" s="40">
        <v>45538</v>
      </c>
      <c r="D374" s="17" t="s">
        <v>2073</v>
      </c>
      <c r="E374" s="17"/>
      <c r="F374" s="18">
        <v>5901.04</v>
      </c>
      <c r="G374" s="109">
        <f t="shared" si="6"/>
        <v>-779.33000000000175</v>
      </c>
    </row>
    <row r="375" spans="3:7">
      <c r="C375" s="40">
        <v>45539</v>
      </c>
      <c r="D375" s="17" t="s">
        <v>2074</v>
      </c>
      <c r="E375" s="17"/>
      <c r="F375" s="18">
        <v>47.24</v>
      </c>
      <c r="G375" s="109">
        <f t="shared" si="6"/>
        <v>-826.57000000000176</v>
      </c>
    </row>
    <row r="376" spans="3:7">
      <c r="C376" s="40">
        <v>45539</v>
      </c>
      <c r="D376" s="17" t="s">
        <v>2075</v>
      </c>
      <c r="E376" s="17"/>
      <c r="F376" s="18">
        <v>45.68</v>
      </c>
      <c r="G376" s="109">
        <f t="shared" si="6"/>
        <v>-872.25000000000171</v>
      </c>
    </row>
    <row r="377" spans="3:7">
      <c r="C377" s="40">
        <v>45540</v>
      </c>
      <c r="D377" s="17" t="s">
        <v>2076</v>
      </c>
      <c r="E377" s="17"/>
      <c r="F377" s="18">
        <v>2130</v>
      </c>
      <c r="G377" s="109">
        <f t="shared" si="6"/>
        <v>-3002.2500000000018</v>
      </c>
    </row>
    <row r="378" spans="3:7">
      <c r="C378" s="40">
        <v>45540</v>
      </c>
      <c r="D378" s="17" t="s">
        <v>2077</v>
      </c>
      <c r="E378" s="17"/>
      <c r="F378" s="18">
        <v>66</v>
      </c>
      <c r="G378" s="109">
        <f t="shared" si="6"/>
        <v>-3068.2500000000018</v>
      </c>
    </row>
    <row r="379" spans="3:7">
      <c r="C379" s="40">
        <v>45540</v>
      </c>
      <c r="D379" s="17" t="s">
        <v>2077</v>
      </c>
      <c r="E379" s="17"/>
      <c r="F379" s="18">
        <v>95.21</v>
      </c>
      <c r="G379" s="109">
        <f t="shared" si="6"/>
        <v>-3163.4600000000019</v>
      </c>
    </row>
    <row r="380" spans="3:7">
      <c r="C380" s="40">
        <v>45543</v>
      </c>
      <c r="D380" s="17" t="s">
        <v>2089</v>
      </c>
      <c r="E380" s="17">
        <v>14600</v>
      </c>
      <c r="F380" s="17"/>
      <c r="G380" s="109">
        <f t="shared" si="6"/>
        <v>11436.539999999997</v>
      </c>
    </row>
    <row r="381" spans="3:7">
      <c r="C381" s="40">
        <v>45543</v>
      </c>
      <c r="D381" s="17" t="s">
        <v>2089</v>
      </c>
      <c r="E381" s="17">
        <v>3000</v>
      </c>
      <c r="F381" s="17"/>
      <c r="G381" s="109">
        <f t="shared" si="6"/>
        <v>14436.539999999997</v>
      </c>
    </row>
    <row r="382" spans="3:7">
      <c r="C382" s="40">
        <v>45513</v>
      </c>
      <c r="D382" s="17" t="s">
        <v>2078</v>
      </c>
      <c r="E382" s="17"/>
      <c r="F382" s="18">
        <v>2279.1</v>
      </c>
      <c r="G382" s="109">
        <f t="shared" si="6"/>
        <v>12157.439999999997</v>
      </c>
    </row>
    <row r="383" spans="3:7">
      <c r="C383" s="40">
        <v>45517</v>
      </c>
      <c r="D383" s="17" t="s">
        <v>2079</v>
      </c>
      <c r="E383" s="17"/>
      <c r="F383" s="18">
        <v>32.69</v>
      </c>
      <c r="G383" s="109">
        <f t="shared" si="6"/>
        <v>12124.749999999996</v>
      </c>
    </row>
    <row r="384" spans="3:7">
      <c r="C384" s="40">
        <v>45517</v>
      </c>
      <c r="D384" s="17" t="s">
        <v>2080</v>
      </c>
      <c r="E384" s="17"/>
      <c r="F384" s="18">
        <v>26.25</v>
      </c>
      <c r="G384" s="109">
        <f t="shared" si="6"/>
        <v>12098.499999999996</v>
      </c>
    </row>
    <row r="385" spans="1:7">
      <c r="C385" s="40"/>
      <c r="D385" s="17"/>
      <c r="E385" s="17"/>
      <c r="F385" s="18"/>
      <c r="G385" s="109">
        <f t="shared" si="6"/>
        <v>12098.499999999996</v>
      </c>
    </row>
    <row r="386" spans="1:7">
      <c r="B386" t="s">
        <v>2176</v>
      </c>
      <c r="C386" s="40">
        <v>45544</v>
      </c>
      <c r="D386" s="17" t="s">
        <v>2177</v>
      </c>
      <c r="E386" s="17"/>
      <c r="F386" s="197">
        <v>30</v>
      </c>
      <c r="G386" s="109">
        <f t="shared" si="6"/>
        <v>12068.499999999996</v>
      </c>
    </row>
    <row r="387" spans="1:7">
      <c r="A387" t="s">
        <v>2201</v>
      </c>
      <c r="C387" s="40">
        <v>45545</v>
      </c>
      <c r="D387" s="17" t="s">
        <v>2178</v>
      </c>
      <c r="E387" s="17"/>
      <c r="F387" s="109">
        <v>12380.07</v>
      </c>
      <c r="G387" s="109">
        <f t="shared" si="6"/>
        <v>-311.57000000000335</v>
      </c>
    </row>
    <row r="388" spans="1:7">
      <c r="A388" t="s">
        <v>2201</v>
      </c>
      <c r="C388" s="40">
        <v>45545</v>
      </c>
      <c r="D388" s="17" t="s">
        <v>2179</v>
      </c>
      <c r="E388" s="17"/>
      <c r="F388" s="109">
        <v>3095.02</v>
      </c>
      <c r="G388" s="109">
        <f t="shared" si="6"/>
        <v>-3406.5900000000033</v>
      </c>
    </row>
    <row r="389" spans="1:7">
      <c r="A389" t="s">
        <v>2201</v>
      </c>
      <c r="C389" s="40">
        <v>45545</v>
      </c>
      <c r="D389" s="17" t="s">
        <v>2181</v>
      </c>
      <c r="E389" s="17"/>
      <c r="F389" s="109">
        <v>9929.85</v>
      </c>
      <c r="G389" s="109">
        <f t="shared" si="6"/>
        <v>-13336.440000000004</v>
      </c>
    </row>
    <row r="390" spans="1:7">
      <c r="A390" t="s">
        <v>2201</v>
      </c>
      <c r="C390" s="40">
        <v>45545</v>
      </c>
      <c r="D390" s="17" t="s">
        <v>2180</v>
      </c>
      <c r="E390" s="17"/>
      <c r="F390" s="109">
        <v>4121.54</v>
      </c>
      <c r="G390" s="109">
        <f t="shared" si="6"/>
        <v>-17457.980000000003</v>
      </c>
    </row>
    <row r="391" spans="1:7">
      <c r="A391" t="s">
        <v>2201</v>
      </c>
      <c r="C391" s="40">
        <v>45545</v>
      </c>
      <c r="D391" s="17" t="s">
        <v>2182</v>
      </c>
      <c r="E391" s="17"/>
      <c r="F391" s="109">
        <v>15640.16</v>
      </c>
      <c r="G391" s="109">
        <f t="shared" si="6"/>
        <v>-33098.14</v>
      </c>
    </row>
    <row r="392" spans="1:7">
      <c r="A392" t="s">
        <v>2201</v>
      </c>
      <c r="C392" s="40">
        <v>45545</v>
      </c>
      <c r="D392" s="17" t="s">
        <v>2183</v>
      </c>
      <c r="E392" s="17"/>
      <c r="F392" s="109">
        <v>5764.47</v>
      </c>
      <c r="G392" s="109">
        <f t="shared" si="6"/>
        <v>-38862.61</v>
      </c>
    </row>
    <row r="393" spans="1:7">
      <c r="A393" t="s">
        <v>2201</v>
      </c>
      <c r="C393" s="40">
        <v>45545</v>
      </c>
      <c r="D393" s="17" t="s">
        <v>2184</v>
      </c>
      <c r="E393" s="17"/>
      <c r="F393" s="109">
        <v>1921.49</v>
      </c>
      <c r="G393" s="109">
        <f t="shared" si="6"/>
        <v>-40784.1</v>
      </c>
    </row>
    <row r="394" spans="1:7">
      <c r="A394" t="s">
        <v>2201</v>
      </c>
      <c r="C394" s="40">
        <v>45545</v>
      </c>
      <c r="D394" s="17" t="s">
        <v>2185</v>
      </c>
      <c r="E394" s="17"/>
      <c r="F394" s="109">
        <v>4023.52</v>
      </c>
      <c r="G394" s="109">
        <f t="shared" si="6"/>
        <v>-44807.619999999995</v>
      </c>
    </row>
    <row r="395" spans="1:7">
      <c r="C395" s="40">
        <v>45548</v>
      </c>
      <c r="D395" s="17" t="s">
        <v>1982</v>
      </c>
      <c r="E395" s="17">
        <v>50000</v>
      </c>
      <c r="F395" s="18"/>
      <c r="G395" s="109">
        <f t="shared" si="6"/>
        <v>5192.3800000000047</v>
      </c>
    </row>
    <row r="396" spans="1:7">
      <c r="A396" t="s">
        <v>2203</v>
      </c>
      <c r="C396" s="40">
        <v>45551</v>
      </c>
      <c r="D396" s="17" t="s">
        <v>2186</v>
      </c>
      <c r="E396" s="17"/>
      <c r="F396" s="17">
        <v>762.13</v>
      </c>
      <c r="G396" s="109">
        <f t="shared" si="6"/>
        <v>4430.2500000000045</v>
      </c>
    </row>
    <row r="397" spans="1:7">
      <c r="A397" t="s">
        <v>2203</v>
      </c>
      <c r="C397" s="40">
        <v>45552</v>
      </c>
      <c r="D397" s="17" t="s">
        <v>2187</v>
      </c>
      <c r="E397" s="17"/>
      <c r="F397" s="109">
        <v>1770.6</v>
      </c>
      <c r="G397" s="109">
        <f t="shared" si="6"/>
        <v>2659.6500000000046</v>
      </c>
    </row>
    <row r="398" spans="1:7">
      <c r="A398" t="s">
        <v>2202</v>
      </c>
      <c r="C398" s="40">
        <v>45552</v>
      </c>
      <c r="D398" s="17" t="s">
        <v>2188</v>
      </c>
      <c r="E398" s="17"/>
      <c r="F398" s="109">
        <v>22037.56</v>
      </c>
      <c r="G398" s="109">
        <f t="shared" si="6"/>
        <v>-19377.909999999996</v>
      </c>
    </row>
    <row r="399" spans="1:7">
      <c r="A399" t="s">
        <v>2202</v>
      </c>
      <c r="C399" s="40">
        <v>45552</v>
      </c>
      <c r="D399" s="17" t="s">
        <v>2189</v>
      </c>
      <c r="E399" s="17"/>
      <c r="F399" s="109">
        <v>25630.080000000002</v>
      </c>
      <c r="G399" s="109">
        <f t="shared" si="6"/>
        <v>-45007.99</v>
      </c>
    </row>
    <row r="400" spans="1:7">
      <c r="A400" t="s">
        <v>2203</v>
      </c>
      <c r="C400" s="40">
        <v>45552</v>
      </c>
      <c r="D400" s="17" t="s">
        <v>2190</v>
      </c>
      <c r="E400" s="17"/>
      <c r="F400" s="109">
        <v>4572.7700000000004</v>
      </c>
      <c r="G400" s="109">
        <f t="shared" si="6"/>
        <v>-49580.759999999995</v>
      </c>
    </row>
    <row r="401" spans="1:7">
      <c r="A401" t="s">
        <v>2203</v>
      </c>
      <c r="C401" s="40">
        <v>45552</v>
      </c>
      <c r="D401" s="17" t="s">
        <v>2191</v>
      </c>
      <c r="E401" s="17"/>
      <c r="F401" s="109">
        <v>7621.28</v>
      </c>
      <c r="G401" s="109">
        <f t="shared" si="6"/>
        <v>-57202.039999999994</v>
      </c>
    </row>
    <row r="402" spans="1:7">
      <c r="C402" s="40">
        <v>45554</v>
      </c>
      <c r="D402" s="17" t="s">
        <v>2192</v>
      </c>
      <c r="E402" s="17"/>
      <c r="F402" s="17">
        <v>767.01</v>
      </c>
      <c r="G402" s="109">
        <f t="shared" si="6"/>
        <v>-57969.049999999996</v>
      </c>
    </row>
    <row r="403" spans="1:7">
      <c r="C403" s="40">
        <v>45556</v>
      </c>
      <c r="D403" s="17" t="s">
        <v>1982</v>
      </c>
      <c r="E403" s="17">
        <v>60000</v>
      </c>
      <c r="F403" s="18"/>
      <c r="G403" s="109">
        <f t="shared" si="6"/>
        <v>2030.9500000000044</v>
      </c>
    </row>
    <row r="404" spans="1:7">
      <c r="C404" s="40">
        <v>45562</v>
      </c>
      <c r="D404" s="17" t="s">
        <v>2193</v>
      </c>
      <c r="E404" s="17"/>
      <c r="F404" s="17">
        <v>780.11</v>
      </c>
      <c r="G404" s="109">
        <f t="shared" si="6"/>
        <v>1250.8400000000042</v>
      </c>
    </row>
    <row r="405" spans="1:7">
      <c r="C405" s="40">
        <v>45562</v>
      </c>
      <c r="D405" s="17" t="s">
        <v>2194</v>
      </c>
      <c r="E405" s="17"/>
      <c r="F405" s="17">
        <v>782.75</v>
      </c>
      <c r="G405" s="109">
        <f t="shared" si="6"/>
        <v>468.09000000000424</v>
      </c>
    </row>
    <row r="406" spans="1:7">
      <c r="C406" s="40">
        <v>45562</v>
      </c>
      <c r="D406" s="17" t="s">
        <v>2195</v>
      </c>
      <c r="E406" s="17"/>
      <c r="F406" s="17">
        <v>806.38</v>
      </c>
      <c r="G406" s="109">
        <f t="shared" si="6"/>
        <v>-338.28999999999576</v>
      </c>
    </row>
    <row r="407" spans="1:7">
      <c r="C407" s="40">
        <v>45563</v>
      </c>
      <c r="D407" s="17" t="s">
        <v>2193</v>
      </c>
      <c r="E407" s="17"/>
      <c r="F407" s="17">
        <v>781.93</v>
      </c>
      <c r="G407" s="109">
        <f t="shared" si="6"/>
        <v>-1120.2199999999957</v>
      </c>
    </row>
    <row r="408" spans="1:7">
      <c r="C408" s="40">
        <v>45563</v>
      </c>
      <c r="D408" s="17" t="s">
        <v>2195</v>
      </c>
      <c r="E408" s="17"/>
      <c r="F408" s="17">
        <v>806.38</v>
      </c>
      <c r="G408" s="109">
        <f t="shared" si="6"/>
        <v>-1926.5999999999958</v>
      </c>
    </row>
    <row r="409" spans="1:7">
      <c r="C409" s="40">
        <v>45565</v>
      </c>
      <c r="D409" s="17" t="s">
        <v>2193</v>
      </c>
      <c r="E409" s="17">
        <v>721.15</v>
      </c>
      <c r="F409" s="17"/>
      <c r="G409" s="109">
        <f t="shared" si="6"/>
        <v>-1205.4499999999957</v>
      </c>
    </row>
    <row r="410" spans="1:7">
      <c r="C410" s="40">
        <v>45566</v>
      </c>
      <c r="D410" s="17" t="s">
        <v>2193</v>
      </c>
      <c r="E410" s="17"/>
      <c r="F410" s="17">
        <v>785.21</v>
      </c>
      <c r="G410" s="109">
        <f t="shared" si="6"/>
        <v>-1990.6599999999958</v>
      </c>
    </row>
    <row r="411" spans="1:7">
      <c r="C411" s="40">
        <v>45566</v>
      </c>
      <c r="D411" s="17" t="s">
        <v>2193</v>
      </c>
      <c r="E411" s="17"/>
      <c r="F411" s="17">
        <v>785.21</v>
      </c>
      <c r="G411" s="109">
        <f t="shared" si="6"/>
        <v>-2775.8699999999958</v>
      </c>
    </row>
    <row r="412" spans="1:7">
      <c r="C412" s="40">
        <v>45566</v>
      </c>
      <c r="D412" s="17" t="s">
        <v>2193</v>
      </c>
      <c r="E412" s="17">
        <v>721.15</v>
      </c>
      <c r="F412" s="17"/>
      <c r="G412" s="109">
        <f t="shared" si="6"/>
        <v>-2054.7199999999957</v>
      </c>
    </row>
    <row r="413" spans="1:7">
      <c r="C413" s="40">
        <v>45566</v>
      </c>
      <c r="D413" s="17" t="s">
        <v>2193</v>
      </c>
      <c r="E413" s="17"/>
      <c r="F413" s="17">
        <v>785.21</v>
      </c>
      <c r="G413" s="109">
        <f t="shared" si="6"/>
        <v>-2839.9299999999957</v>
      </c>
    </row>
    <row r="414" spans="1:7">
      <c r="C414" s="40">
        <v>45566</v>
      </c>
      <c r="D414" s="17" t="s">
        <v>2196</v>
      </c>
      <c r="E414" s="17"/>
      <c r="F414" s="17">
        <v>787.85</v>
      </c>
      <c r="G414" s="109">
        <f t="shared" si="6"/>
        <v>-3627.7799999999957</v>
      </c>
    </row>
    <row r="415" spans="1:7">
      <c r="C415" s="40">
        <v>45566</v>
      </c>
      <c r="D415" s="17" t="s">
        <v>2197</v>
      </c>
      <c r="E415" s="17"/>
      <c r="F415" s="17">
        <v>785.21</v>
      </c>
      <c r="G415" s="109">
        <f t="shared" si="6"/>
        <v>-4412.9899999999961</v>
      </c>
    </row>
    <row r="416" spans="1:7">
      <c r="C416" s="40">
        <v>45568</v>
      </c>
      <c r="D416" s="17" t="s">
        <v>2198</v>
      </c>
      <c r="E416" s="17"/>
      <c r="F416" s="17">
        <v>800.94</v>
      </c>
      <c r="G416" s="109">
        <f t="shared" si="6"/>
        <v>-5213.9299999999967</v>
      </c>
    </row>
    <row r="417" spans="3:7">
      <c r="C417" s="40">
        <v>45568</v>
      </c>
      <c r="D417" s="17" t="s">
        <v>2193</v>
      </c>
      <c r="E417" s="17"/>
      <c r="F417" s="17">
        <v>785.21</v>
      </c>
      <c r="G417" s="109">
        <f t="shared" si="6"/>
        <v>-5999.1399999999967</v>
      </c>
    </row>
    <row r="418" spans="3:7">
      <c r="C418" s="40">
        <v>45568</v>
      </c>
      <c r="D418" s="17" t="s">
        <v>2193</v>
      </c>
      <c r="E418" s="17">
        <v>719.89</v>
      </c>
      <c r="F418" s="17"/>
      <c r="G418" s="109">
        <f t="shared" si="6"/>
        <v>-5279.2499999999964</v>
      </c>
    </row>
    <row r="419" spans="3:7">
      <c r="C419" s="40">
        <v>45568</v>
      </c>
      <c r="D419" s="17" t="s">
        <v>2198</v>
      </c>
      <c r="E419" s="17">
        <v>734.31</v>
      </c>
      <c r="F419" s="17"/>
      <c r="G419" s="109">
        <f t="shared" si="6"/>
        <v>-4544.9399999999969</v>
      </c>
    </row>
    <row r="420" spans="3:7">
      <c r="C420" s="40">
        <v>45568</v>
      </c>
      <c r="D420" s="17" t="s">
        <v>2197</v>
      </c>
      <c r="E420" s="17"/>
      <c r="F420" s="17">
        <v>785.21</v>
      </c>
      <c r="G420" s="109">
        <f t="shared" si="6"/>
        <v>-5330.1499999999969</v>
      </c>
    </row>
    <row r="421" spans="3:7">
      <c r="C421" s="40">
        <v>45569</v>
      </c>
      <c r="D421" s="17" t="s">
        <v>2196</v>
      </c>
      <c r="E421" s="17"/>
      <c r="F421" s="17">
        <v>787.62</v>
      </c>
      <c r="G421" s="109">
        <f t="shared" ref="G421:G434" si="7">G420+E421-F421</f>
        <v>-6117.7699999999968</v>
      </c>
    </row>
    <row r="422" spans="3:7">
      <c r="C422" s="512">
        <v>45574</v>
      </c>
      <c r="D422" s="119" t="s">
        <v>2448</v>
      </c>
      <c r="E422" s="119"/>
      <c r="F422" s="119">
        <v>644.74</v>
      </c>
      <c r="G422" s="109">
        <f t="shared" si="7"/>
        <v>-6762.5099999999966</v>
      </c>
    </row>
    <row r="423" spans="3:7">
      <c r="C423" s="512">
        <v>45576</v>
      </c>
      <c r="D423" s="119" t="s">
        <v>2449</v>
      </c>
      <c r="E423" s="119"/>
      <c r="F423" s="119">
        <v>12.9</v>
      </c>
      <c r="G423" s="109">
        <f t="shared" si="7"/>
        <v>-6775.4099999999962</v>
      </c>
    </row>
    <row r="424" spans="3:7">
      <c r="C424" s="512">
        <v>45582</v>
      </c>
      <c r="D424" s="119" t="s">
        <v>2450</v>
      </c>
      <c r="E424" s="119"/>
      <c r="F424" s="119">
        <v>668.95</v>
      </c>
      <c r="G424" s="109">
        <f t="shared" si="7"/>
        <v>-7444.359999999996</v>
      </c>
    </row>
    <row r="425" spans="3:7">
      <c r="C425" s="40">
        <v>45584</v>
      </c>
      <c r="D425" s="17" t="s">
        <v>2451</v>
      </c>
      <c r="E425" s="17"/>
      <c r="F425" s="17">
        <v>0.03</v>
      </c>
      <c r="G425" s="109">
        <f t="shared" si="7"/>
        <v>-7444.3899999999958</v>
      </c>
    </row>
    <row r="426" spans="3:7">
      <c r="C426" s="512">
        <v>45584</v>
      </c>
      <c r="D426" s="119" t="s">
        <v>2452</v>
      </c>
      <c r="E426" s="119"/>
      <c r="F426" s="119">
        <v>38.01</v>
      </c>
      <c r="G426" s="109">
        <f t="shared" si="7"/>
        <v>-7482.399999999996</v>
      </c>
    </row>
    <row r="427" spans="3:7">
      <c r="C427" s="512">
        <v>45587</v>
      </c>
      <c r="D427" s="119" t="s">
        <v>2453</v>
      </c>
      <c r="E427" s="119">
        <v>200</v>
      </c>
      <c r="F427" s="119"/>
      <c r="G427" s="109">
        <f t="shared" si="7"/>
        <v>-7282.399999999996</v>
      </c>
    </row>
    <row r="428" spans="3:7">
      <c r="C428" s="512">
        <v>45587</v>
      </c>
      <c r="D428" s="119" t="s">
        <v>2454</v>
      </c>
      <c r="E428" s="119"/>
      <c r="F428" s="119">
        <v>197.75</v>
      </c>
      <c r="G428" s="109">
        <f t="shared" si="7"/>
        <v>-7480.149999999996</v>
      </c>
    </row>
    <row r="429" spans="3:7">
      <c r="C429" s="512">
        <v>45588</v>
      </c>
      <c r="D429" s="119" t="s">
        <v>2455</v>
      </c>
      <c r="E429" s="119"/>
      <c r="F429" s="119">
        <v>6.5</v>
      </c>
      <c r="G429" s="109">
        <f t="shared" si="7"/>
        <v>-7486.649999999996</v>
      </c>
    </row>
    <row r="430" spans="3:7">
      <c r="C430" s="512">
        <v>45590</v>
      </c>
      <c r="D430" s="119" t="s">
        <v>2456</v>
      </c>
      <c r="E430" s="119"/>
      <c r="F430" s="119">
        <v>264.44</v>
      </c>
      <c r="G430" s="109">
        <f t="shared" si="7"/>
        <v>-7751.0899999999956</v>
      </c>
    </row>
    <row r="431" spans="3:7">
      <c r="C431" s="40">
        <v>45597</v>
      </c>
      <c r="D431" s="17" t="s">
        <v>2457</v>
      </c>
      <c r="E431" s="17">
        <v>183.55</v>
      </c>
      <c r="F431" s="17"/>
      <c r="G431" s="109">
        <f t="shared" si="7"/>
        <v>-7567.5399999999954</v>
      </c>
    </row>
    <row r="432" spans="3:7">
      <c r="C432" s="40">
        <v>45597</v>
      </c>
      <c r="D432" s="17" t="s">
        <v>2457</v>
      </c>
      <c r="E432" s="109">
        <v>6118.27</v>
      </c>
      <c r="F432" s="17"/>
      <c r="G432" s="109">
        <f t="shared" si="7"/>
        <v>-1449.269999999995</v>
      </c>
    </row>
    <row r="433" spans="3:7">
      <c r="C433" s="17"/>
      <c r="D433" s="17"/>
      <c r="E433" s="17"/>
      <c r="F433" s="17"/>
      <c r="G433" s="109">
        <f t="shared" si="7"/>
        <v>-1449.269999999995</v>
      </c>
    </row>
    <row r="434" spans="3:7">
      <c r="C434" s="17"/>
      <c r="D434" s="17"/>
      <c r="E434" s="17"/>
      <c r="F434" s="17"/>
      <c r="G434" s="109">
        <f t="shared" si="7"/>
        <v>-1449.269999999995</v>
      </c>
    </row>
    <row r="494" spans="3:7" ht="18">
      <c r="D494" s="427" t="s">
        <v>1654</v>
      </c>
    </row>
    <row r="495" spans="3:7" ht="18">
      <c r="C495" s="428" t="s">
        <v>13</v>
      </c>
      <c r="D495" s="428" t="s">
        <v>256</v>
      </c>
      <c r="E495" s="428" t="s">
        <v>1648</v>
      </c>
      <c r="F495" s="428" t="s">
        <v>1649</v>
      </c>
      <c r="G495" s="428" t="s">
        <v>17</v>
      </c>
    </row>
    <row r="496" spans="3:7">
      <c r="C496" s="40">
        <v>45505</v>
      </c>
      <c r="D496" s="17" t="s">
        <v>1650</v>
      </c>
      <c r="E496" s="17"/>
      <c r="F496" s="17"/>
      <c r="G496" s="109">
        <v>1589633.42</v>
      </c>
    </row>
    <row r="497" spans="2:8">
      <c r="C497" s="40">
        <v>45505</v>
      </c>
      <c r="D497" s="17" t="s">
        <v>1739</v>
      </c>
      <c r="E497" s="17"/>
      <c r="F497" s="191">
        <v>75</v>
      </c>
      <c r="G497" s="109">
        <f>G496+E497-F497</f>
        <v>1589558.42</v>
      </c>
    </row>
    <row r="498" spans="2:8">
      <c r="C498" s="40">
        <v>45505</v>
      </c>
      <c r="D498" s="17" t="s">
        <v>253</v>
      </c>
      <c r="E498" s="17">
        <v>250000</v>
      </c>
      <c r="F498" s="17"/>
      <c r="G498" s="109">
        <f t="shared" ref="G498:G751" si="8">G497+E498-F498</f>
        <v>1839558.42</v>
      </c>
    </row>
    <row r="499" spans="2:8">
      <c r="C499" s="40">
        <v>45505</v>
      </c>
      <c r="D499" s="17" t="s">
        <v>253</v>
      </c>
      <c r="E499" s="17">
        <v>250000</v>
      </c>
      <c r="F499" s="17"/>
      <c r="G499" s="109">
        <f t="shared" si="8"/>
        <v>2089558.42</v>
      </c>
    </row>
    <row r="500" spans="2:8" hidden="1">
      <c r="C500" s="40">
        <v>45505</v>
      </c>
      <c r="D500" s="17" t="s">
        <v>1729</v>
      </c>
      <c r="E500" s="17"/>
      <c r="F500" s="17">
        <v>100000</v>
      </c>
      <c r="G500" s="109">
        <f t="shared" si="8"/>
        <v>1989558.42</v>
      </c>
    </row>
    <row r="501" spans="2:8">
      <c r="C501" s="444">
        <v>45506</v>
      </c>
      <c r="D501" s="191" t="s">
        <v>1742</v>
      </c>
      <c r="E501" s="191"/>
      <c r="F501" s="191">
        <v>100000</v>
      </c>
      <c r="G501" s="109">
        <f t="shared" si="8"/>
        <v>1889558.42</v>
      </c>
    </row>
    <row r="502" spans="2:8">
      <c r="C502" s="444">
        <v>45507</v>
      </c>
      <c r="D502" s="191" t="s">
        <v>1743</v>
      </c>
      <c r="E502" s="191"/>
      <c r="F502" s="191">
        <v>2447</v>
      </c>
      <c r="G502" s="109">
        <f t="shared" si="8"/>
        <v>1887111.42</v>
      </c>
      <c r="H502" t="s">
        <v>982</v>
      </c>
    </row>
    <row r="503" spans="2:8">
      <c r="B503" t="s">
        <v>2102</v>
      </c>
      <c r="C503" s="444">
        <v>45509</v>
      </c>
      <c r="D503" s="191" t="s">
        <v>1744</v>
      </c>
      <c r="E503" s="191"/>
      <c r="F503" s="191">
        <v>4582</v>
      </c>
      <c r="G503" s="109">
        <f t="shared" si="8"/>
        <v>1882529.42</v>
      </c>
      <c r="H503" t="s">
        <v>982</v>
      </c>
    </row>
    <row r="504" spans="2:8">
      <c r="B504" t="s">
        <v>2102</v>
      </c>
      <c r="C504" s="444">
        <v>45509</v>
      </c>
      <c r="D504" s="191" t="s">
        <v>1745</v>
      </c>
      <c r="E504" s="191"/>
      <c r="F504" s="191">
        <v>1700</v>
      </c>
      <c r="G504" s="109">
        <f t="shared" si="8"/>
        <v>1880829.42</v>
      </c>
      <c r="H504" t="s">
        <v>982</v>
      </c>
    </row>
    <row r="505" spans="2:8">
      <c r="C505" s="444">
        <v>45509</v>
      </c>
      <c r="D505" s="191" t="s">
        <v>1746</v>
      </c>
      <c r="E505" s="191"/>
      <c r="F505" s="191">
        <v>877</v>
      </c>
      <c r="G505" s="109">
        <f t="shared" si="8"/>
        <v>1879952.42</v>
      </c>
      <c r="H505" t="s">
        <v>982</v>
      </c>
    </row>
    <row r="506" spans="2:8">
      <c r="C506" s="444">
        <v>45509</v>
      </c>
      <c r="D506" s="191" t="s">
        <v>1747</v>
      </c>
      <c r="E506" s="191"/>
      <c r="F506" s="191">
        <v>20000</v>
      </c>
      <c r="G506" s="109">
        <f t="shared" si="8"/>
        <v>1859952.42</v>
      </c>
      <c r="H506" t="s">
        <v>982</v>
      </c>
    </row>
    <row r="507" spans="2:8">
      <c r="C507" s="444">
        <v>45509</v>
      </c>
      <c r="D507" s="191" t="s">
        <v>1740</v>
      </c>
      <c r="E507" s="191"/>
      <c r="F507" s="191">
        <v>30000</v>
      </c>
      <c r="G507" s="109">
        <f t="shared" si="8"/>
        <v>1829952.42</v>
      </c>
      <c r="H507" t="s">
        <v>982</v>
      </c>
    </row>
    <row r="508" spans="2:8">
      <c r="C508" s="444">
        <v>45509</v>
      </c>
      <c r="D508" s="191" t="s">
        <v>1738</v>
      </c>
      <c r="E508" s="191"/>
      <c r="F508" s="191">
        <v>172500</v>
      </c>
      <c r="G508" s="109">
        <f t="shared" si="8"/>
        <v>1657452.42</v>
      </c>
      <c r="H508" t="s">
        <v>982</v>
      </c>
    </row>
    <row r="509" spans="2:8">
      <c r="C509" s="444">
        <v>45509</v>
      </c>
      <c r="D509" s="191" t="s">
        <v>1741</v>
      </c>
      <c r="E509" s="191"/>
      <c r="F509" s="456">
        <v>500000</v>
      </c>
      <c r="G509" s="109">
        <f t="shared" si="8"/>
        <v>1157452.42</v>
      </c>
      <c r="H509" t="s">
        <v>982</v>
      </c>
    </row>
    <row r="510" spans="2:8">
      <c r="B510" t="s">
        <v>2102</v>
      </c>
      <c r="C510" s="444">
        <v>45509</v>
      </c>
      <c r="D510" s="191" t="s">
        <v>1726</v>
      </c>
      <c r="E510" s="191"/>
      <c r="F510" s="191">
        <v>65000</v>
      </c>
      <c r="G510" s="109">
        <f t="shared" si="8"/>
        <v>1092452.42</v>
      </c>
      <c r="H510" t="s">
        <v>982</v>
      </c>
    </row>
    <row r="511" spans="2:8">
      <c r="B511" t="s">
        <v>2102</v>
      </c>
      <c r="C511" s="444">
        <v>45509</v>
      </c>
      <c r="D511" s="191" t="s">
        <v>1730</v>
      </c>
      <c r="E511" s="191"/>
      <c r="F511" s="191">
        <v>500000</v>
      </c>
      <c r="G511" s="109">
        <f t="shared" si="8"/>
        <v>592452.41999999993</v>
      </c>
      <c r="H511" t="s">
        <v>982</v>
      </c>
    </row>
    <row r="512" spans="2:8">
      <c r="C512" s="444">
        <v>45510</v>
      </c>
      <c r="D512" s="191" t="s">
        <v>1731</v>
      </c>
      <c r="E512" s="191"/>
      <c r="F512" s="191">
        <v>67774</v>
      </c>
      <c r="G512" s="109">
        <f t="shared" si="8"/>
        <v>524678.41999999993</v>
      </c>
    </row>
    <row r="513" spans="3:7">
      <c r="C513" s="444">
        <v>45510</v>
      </c>
      <c r="D513" s="191" t="s">
        <v>1731</v>
      </c>
      <c r="E513" s="191"/>
      <c r="F513" s="191">
        <v>164448</v>
      </c>
      <c r="G513" s="109">
        <f t="shared" si="8"/>
        <v>360230.41999999993</v>
      </c>
    </row>
    <row r="514" spans="3:7">
      <c r="C514" s="444">
        <v>45510</v>
      </c>
      <c r="D514" s="191" t="s">
        <v>1730</v>
      </c>
      <c r="E514" s="191"/>
      <c r="F514" s="191">
        <v>300000</v>
      </c>
      <c r="G514" s="109">
        <f t="shared" si="8"/>
        <v>60230.419999999925</v>
      </c>
    </row>
    <row r="515" spans="3:7">
      <c r="C515" s="444">
        <v>45510</v>
      </c>
      <c r="D515" s="191" t="s">
        <v>1748</v>
      </c>
      <c r="E515" s="191"/>
      <c r="F515" s="191">
        <v>1600</v>
      </c>
      <c r="G515" s="109">
        <f t="shared" si="8"/>
        <v>58630.419999999925</v>
      </c>
    </row>
    <row r="516" spans="3:7">
      <c r="C516" s="444">
        <v>45510</v>
      </c>
      <c r="D516" s="191" t="s">
        <v>1749</v>
      </c>
      <c r="E516" s="191"/>
      <c r="F516" s="191">
        <v>16000</v>
      </c>
      <c r="G516" s="109">
        <f t="shared" si="8"/>
        <v>42630.419999999925</v>
      </c>
    </row>
    <row r="517" spans="3:7">
      <c r="C517" s="444">
        <v>45510</v>
      </c>
      <c r="D517" s="191" t="s">
        <v>1750</v>
      </c>
      <c r="E517" s="191"/>
      <c r="F517" s="191">
        <v>10000</v>
      </c>
      <c r="G517" s="109">
        <f t="shared" si="8"/>
        <v>32630.419999999925</v>
      </c>
    </row>
    <row r="518" spans="3:7">
      <c r="C518" s="444">
        <v>45514</v>
      </c>
      <c r="D518" s="191" t="s">
        <v>1838</v>
      </c>
      <c r="E518" s="191"/>
      <c r="F518" s="191">
        <v>869</v>
      </c>
      <c r="G518" s="109">
        <f t="shared" si="8"/>
        <v>31761.419999999925</v>
      </c>
    </row>
    <row r="519" spans="3:7">
      <c r="C519" s="40">
        <v>45517</v>
      </c>
      <c r="D519" s="17" t="s">
        <v>1808</v>
      </c>
      <c r="E519" s="17">
        <v>200000</v>
      </c>
      <c r="F519" s="191"/>
      <c r="G519" s="109">
        <f t="shared" si="8"/>
        <v>231761.41999999993</v>
      </c>
    </row>
    <row r="520" spans="3:7">
      <c r="C520" s="40">
        <v>45517</v>
      </c>
      <c r="D520" s="191" t="s">
        <v>1839</v>
      </c>
      <c r="E520" s="191"/>
      <c r="F520" s="191">
        <v>75.78</v>
      </c>
      <c r="G520" s="109">
        <f t="shared" si="8"/>
        <v>231685.63999999993</v>
      </c>
    </row>
    <row r="521" spans="3:7">
      <c r="C521" s="40">
        <v>45517</v>
      </c>
      <c r="D521" s="191" t="s">
        <v>1840</v>
      </c>
      <c r="E521" s="191"/>
      <c r="F521" s="191">
        <v>601.46</v>
      </c>
      <c r="G521" s="109">
        <f t="shared" si="8"/>
        <v>231084.17999999993</v>
      </c>
    </row>
    <row r="522" spans="3:7">
      <c r="C522" s="40">
        <v>45519</v>
      </c>
      <c r="D522" s="191" t="s">
        <v>1841</v>
      </c>
      <c r="E522" s="191">
        <v>60000</v>
      </c>
      <c r="F522" s="191"/>
      <c r="G522" s="109">
        <f t="shared" si="8"/>
        <v>291084.17999999993</v>
      </c>
    </row>
    <row r="523" spans="3:7">
      <c r="C523" s="40">
        <v>45519</v>
      </c>
      <c r="D523" s="191" t="s">
        <v>1842</v>
      </c>
      <c r="E523" s="191"/>
      <c r="F523" s="191">
        <v>6000</v>
      </c>
      <c r="G523" s="109">
        <f t="shared" si="8"/>
        <v>285084.17999999993</v>
      </c>
    </row>
    <row r="524" spans="3:7">
      <c r="C524" s="40">
        <v>45519</v>
      </c>
      <c r="D524" s="191" t="s">
        <v>1842</v>
      </c>
      <c r="E524" s="191"/>
      <c r="F524" s="191">
        <v>6000</v>
      </c>
      <c r="G524" s="109">
        <f t="shared" si="8"/>
        <v>279084.17999999993</v>
      </c>
    </row>
    <row r="525" spans="3:7">
      <c r="C525" s="40">
        <v>45519</v>
      </c>
      <c r="D525" s="17" t="s">
        <v>1843</v>
      </c>
      <c r="E525" s="17"/>
      <c r="F525" s="17">
        <v>25060</v>
      </c>
      <c r="G525" s="109">
        <f t="shared" si="8"/>
        <v>254024.17999999993</v>
      </c>
    </row>
    <row r="526" spans="3:7">
      <c r="C526" s="40">
        <v>45519</v>
      </c>
      <c r="D526" s="17" t="s">
        <v>1843</v>
      </c>
      <c r="E526" s="17"/>
      <c r="F526" s="17">
        <v>12356</v>
      </c>
      <c r="G526" s="109">
        <f t="shared" si="8"/>
        <v>241668.17999999993</v>
      </c>
    </row>
    <row r="527" spans="3:7">
      <c r="C527" s="40">
        <v>45519</v>
      </c>
      <c r="D527" s="17" t="s">
        <v>1844</v>
      </c>
      <c r="E527" s="17"/>
      <c r="F527" s="17">
        <v>50000</v>
      </c>
      <c r="G527" s="109">
        <f t="shared" si="8"/>
        <v>191668.17999999993</v>
      </c>
    </row>
    <row r="528" spans="3:7">
      <c r="C528" s="40">
        <v>45520</v>
      </c>
      <c r="D528" s="17" t="s">
        <v>1845</v>
      </c>
      <c r="E528" s="17">
        <v>150000</v>
      </c>
      <c r="F528" s="17"/>
      <c r="G528" s="109">
        <f t="shared" si="8"/>
        <v>341668.17999999993</v>
      </c>
    </row>
    <row r="529" spans="2:7">
      <c r="C529" s="40">
        <v>45520</v>
      </c>
      <c r="D529" s="17" t="s">
        <v>1899</v>
      </c>
      <c r="E529" s="17"/>
      <c r="F529" s="17">
        <v>200000</v>
      </c>
      <c r="G529" s="109">
        <f t="shared" si="8"/>
        <v>141668.17999999993</v>
      </c>
    </row>
    <row r="530" spans="2:7">
      <c r="C530" s="40">
        <v>45521</v>
      </c>
      <c r="D530" s="17" t="s">
        <v>1949</v>
      </c>
      <c r="E530" s="17">
        <v>36100</v>
      </c>
      <c r="F530" s="17"/>
      <c r="G530" s="109">
        <f t="shared" si="8"/>
        <v>177768.17999999993</v>
      </c>
    </row>
    <row r="531" spans="2:7">
      <c r="C531" s="40">
        <v>45523</v>
      </c>
      <c r="D531" s="17" t="s">
        <v>1950</v>
      </c>
      <c r="E531" s="17"/>
      <c r="F531" s="17">
        <v>100000</v>
      </c>
      <c r="G531" s="109">
        <f t="shared" si="8"/>
        <v>77768.179999999935</v>
      </c>
    </row>
    <row r="532" spans="2:7">
      <c r="C532" s="40">
        <v>45525</v>
      </c>
      <c r="D532" s="17" t="s">
        <v>1952</v>
      </c>
      <c r="E532" s="17"/>
      <c r="F532" s="17">
        <v>1500</v>
      </c>
      <c r="G532" s="109">
        <f t="shared" si="8"/>
        <v>76268.179999999935</v>
      </c>
    </row>
    <row r="533" spans="2:7">
      <c r="C533" s="40">
        <v>45527</v>
      </c>
      <c r="D533" s="17" t="s">
        <v>253</v>
      </c>
      <c r="E533" s="17">
        <v>100000</v>
      </c>
      <c r="F533" s="17"/>
      <c r="G533" s="109">
        <f t="shared" si="8"/>
        <v>176268.17999999993</v>
      </c>
    </row>
    <row r="534" spans="2:7">
      <c r="C534" s="40">
        <v>45527</v>
      </c>
      <c r="D534" s="17" t="s">
        <v>253</v>
      </c>
      <c r="E534" s="17">
        <v>166000</v>
      </c>
      <c r="F534" s="17"/>
      <c r="G534" s="109">
        <f t="shared" si="8"/>
        <v>342268.17999999993</v>
      </c>
    </row>
    <row r="535" spans="2:7">
      <c r="C535" s="40">
        <v>45527</v>
      </c>
      <c r="D535" s="17" t="s">
        <v>868</v>
      </c>
      <c r="E535" s="17"/>
      <c r="F535" s="17">
        <v>100000</v>
      </c>
      <c r="G535" s="109">
        <f t="shared" si="8"/>
        <v>242268.17999999993</v>
      </c>
    </row>
    <row r="536" spans="2:7">
      <c r="C536" s="40">
        <v>45527</v>
      </c>
      <c r="D536" s="17" t="s">
        <v>868</v>
      </c>
      <c r="E536" s="17"/>
      <c r="F536" s="17">
        <v>166000</v>
      </c>
      <c r="G536" s="109">
        <f t="shared" si="8"/>
        <v>76268.179999999935</v>
      </c>
    </row>
    <row r="537" spans="2:7">
      <c r="C537" s="40">
        <v>45527</v>
      </c>
      <c r="D537" s="17" t="s">
        <v>1833</v>
      </c>
      <c r="E537" s="17"/>
      <c r="F537" s="17">
        <v>25000</v>
      </c>
      <c r="G537" s="109">
        <f t="shared" si="8"/>
        <v>51268.179999999935</v>
      </c>
    </row>
    <row r="538" spans="2:7">
      <c r="C538" s="40">
        <v>45530</v>
      </c>
      <c r="D538" s="17" t="s">
        <v>1952</v>
      </c>
      <c r="E538" s="17"/>
      <c r="F538" s="17">
        <v>10000</v>
      </c>
      <c r="G538" s="109">
        <f t="shared" si="8"/>
        <v>41268.179999999935</v>
      </c>
    </row>
    <row r="539" spans="2:7">
      <c r="C539" s="40">
        <v>45530</v>
      </c>
      <c r="D539" s="17" t="s">
        <v>1952</v>
      </c>
      <c r="E539" s="17"/>
      <c r="F539" s="17">
        <v>20000</v>
      </c>
      <c r="G539" s="109">
        <f t="shared" si="8"/>
        <v>21268.179999999935</v>
      </c>
    </row>
    <row r="540" spans="2:7">
      <c r="B540" t="s">
        <v>2288</v>
      </c>
      <c r="C540" s="40">
        <v>45530</v>
      </c>
      <c r="D540" s="17" t="s">
        <v>1952</v>
      </c>
      <c r="E540" s="17"/>
      <c r="F540" s="17">
        <v>1661</v>
      </c>
      <c r="G540" s="109">
        <f t="shared" si="8"/>
        <v>19607.179999999935</v>
      </c>
    </row>
    <row r="541" spans="2:7">
      <c r="B541" t="s">
        <v>2288</v>
      </c>
      <c r="C541" s="40">
        <v>45532</v>
      </c>
      <c r="D541" s="17" t="s">
        <v>1952</v>
      </c>
      <c r="E541" s="17"/>
      <c r="F541" s="17">
        <v>3250</v>
      </c>
      <c r="G541" s="109">
        <f t="shared" si="8"/>
        <v>16357.179999999935</v>
      </c>
    </row>
    <row r="542" spans="2:7">
      <c r="B542" t="s">
        <v>2216</v>
      </c>
      <c r="C542" s="40">
        <v>45532</v>
      </c>
      <c r="D542" s="17" t="s">
        <v>2014</v>
      </c>
      <c r="E542" s="17"/>
      <c r="F542" s="17">
        <v>11</v>
      </c>
      <c r="G542" s="109">
        <f t="shared" si="8"/>
        <v>16346.179999999935</v>
      </c>
    </row>
    <row r="543" spans="2:7">
      <c r="C543" s="40">
        <v>45532</v>
      </c>
      <c r="D543" s="17" t="s">
        <v>2015</v>
      </c>
      <c r="E543" s="17"/>
      <c r="F543" s="17">
        <v>11000</v>
      </c>
      <c r="G543" s="109">
        <f t="shared" si="8"/>
        <v>5346.1799999999348</v>
      </c>
    </row>
    <row r="544" spans="2:7">
      <c r="C544" s="40">
        <v>45537</v>
      </c>
      <c r="D544" s="17" t="s">
        <v>253</v>
      </c>
      <c r="E544" s="17">
        <v>100000</v>
      </c>
      <c r="F544" s="17"/>
      <c r="G544" s="109">
        <f t="shared" si="8"/>
        <v>105346.17999999993</v>
      </c>
    </row>
    <row r="545" spans="2:7">
      <c r="C545" s="40">
        <v>45537</v>
      </c>
      <c r="D545" s="17" t="s">
        <v>2016</v>
      </c>
      <c r="E545" s="17"/>
      <c r="F545" s="17">
        <v>40000</v>
      </c>
      <c r="G545" s="109">
        <f t="shared" si="8"/>
        <v>65346.179999999935</v>
      </c>
    </row>
    <row r="546" spans="2:7">
      <c r="C546" s="40">
        <v>45537</v>
      </c>
      <c r="D546" s="17" t="s">
        <v>1842</v>
      </c>
      <c r="E546" s="17"/>
      <c r="F546" s="17">
        <v>6000</v>
      </c>
      <c r="G546" s="109">
        <f t="shared" si="8"/>
        <v>59346.179999999935</v>
      </c>
    </row>
    <row r="547" spans="2:7">
      <c r="C547" s="40">
        <v>45537</v>
      </c>
      <c r="D547" s="17" t="s">
        <v>1842</v>
      </c>
      <c r="E547" s="17"/>
      <c r="F547" s="17">
        <v>6000</v>
      </c>
      <c r="G547" s="109">
        <f t="shared" si="8"/>
        <v>53346.179999999935</v>
      </c>
    </row>
    <row r="548" spans="2:7">
      <c r="C548" s="40">
        <v>45537</v>
      </c>
      <c r="D548" s="17" t="s">
        <v>2016</v>
      </c>
      <c r="E548" s="17"/>
      <c r="F548" s="17">
        <v>20000</v>
      </c>
      <c r="G548" s="109">
        <f t="shared" si="8"/>
        <v>33346.179999999935</v>
      </c>
    </row>
    <row r="549" spans="2:7">
      <c r="C549" s="40">
        <v>45537</v>
      </c>
      <c r="D549" s="17" t="s">
        <v>2017</v>
      </c>
      <c r="E549" s="17"/>
      <c r="F549" s="17">
        <v>4930</v>
      </c>
      <c r="G549" s="109">
        <f t="shared" si="8"/>
        <v>28416.179999999935</v>
      </c>
    </row>
    <row r="550" spans="2:7">
      <c r="C550" s="40">
        <v>45537</v>
      </c>
      <c r="D550" s="17" t="s">
        <v>2018</v>
      </c>
      <c r="E550" s="17"/>
      <c r="F550" s="17">
        <v>25000</v>
      </c>
      <c r="G550" s="109">
        <f t="shared" si="8"/>
        <v>3416.1799999999348</v>
      </c>
    </row>
    <row r="551" spans="2:7">
      <c r="C551" s="40">
        <v>45542</v>
      </c>
      <c r="D551" s="17" t="s">
        <v>2019</v>
      </c>
      <c r="E551" s="17"/>
      <c r="F551" s="17">
        <v>1600</v>
      </c>
      <c r="G551" s="109">
        <f t="shared" si="8"/>
        <v>1816.1799999999348</v>
      </c>
    </row>
    <row r="552" spans="2:7">
      <c r="C552" s="40">
        <v>45542</v>
      </c>
      <c r="D552" s="17" t="s">
        <v>2116</v>
      </c>
      <c r="E552" s="17">
        <v>546700</v>
      </c>
      <c r="F552" s="17"/>
      <c r="G552" s="109">
        <f t="shared" si="8"/>
        <v>548516.17999999993</v>
      </c>
    </row>
    <row r="553" spans="2:7">
      <c r="C553" s="40">
        <v>45542</v>
      </c>
      <c r="D553" s="17" t="s">
        <v>2103</v>
      </c>
      <c r="E553" s="17"/>
      <c r="F553" s="17">
        <v>50000</v>
      </c>
      <c r="G553" s="109">
        <f t="shared" si="8"/>
        <v>498516.17999999993</v>
      </c>
    </row>
    <row r="554" spans="2:7">
      <c r="C554" s="40">
        <v>45542</v>
      </c>
      <c r="D554" s="17" t="s">
        <v>2103</v>
      </c>
      <c r="E554" s="17"/>
      <c r="F554" s="17">
        <v>50000</v>
      </c>
      <c r="G554" s="109">
        <f t="shared" si="8"/>
        <v>448516.17999999993</v>
      </c>
    </row>
    <row r="555" spans="2:7">
      <c r="C555" s="40">
        <v>45544</v>
      </c>
      <c r="D555" s="17" t="s">
        <v>1745</v>
      </c>
      <c r="E555" s="17"/>
      <c r="F555" s="17">
        <v>1371</v>
      </c>
      <c r="G555" s="109">
        <f t="shared" si="8"/>
        <v>447145.17999999993</v>
      </c>
    </row>
    <row r="556" spans="2:7">
      <c r="B556" t="s">
        <v>2217</v>
      </c>
      <c r="C556" s="40">
        <v>45544</v>
      </c>
      <c r="D556" s="17" t="s">
        <v>1745</v>
      </c>
      <c r="E556" s="17"/>
      <c r="F556" s="17">
        <v>11110</v>
      </c>
      <c r="G556" s="109">
        <f t="shared" si="8"/>
        <v>436035.17999999993</v>
      </c>
    </row>
    <row r="557" spans="2:7">
      <c r="C557" s="40">
        <v>45542</v>
      </c>
      <c r="D557" s="17" t="s">
        <v>1562</v>
      </c>
      <c r="E557" s="17"/>
      <c r="F557" s="17">
        <v>65000</v>
      </c>
      <c r="G557" s="109">
        <f t="shared" si="8"/>
        <v>371035.17999999993</v>
      </c>
    </row>
    <row r="558" spans="2:7">
      <c r="B558" t="s">
        <v>1513</v>
      </c>
      <c r="C558" s="40">
        <v>45544</v>
      </c>
      <c r="D558" s="17" t="s">
        <v>1746</v>
      </c>
      <c r="E558" s="17"/>
      <c r="F558" s="17">
        <v>677</v>
      </c>
      <c r="G558" s="109">
        <f t="shared" si="8"/>
        <v>370358.17999999993</v>
      </c>
    </row>
    <row r="559" spans="2:7">
      <c r="C559" s="40">
        <v>45544</v>
      </c>
      <c r="D559" s="17" t="s">
        <v>1746</v>
      </c>
      <c r="E559" s="17"/>
      <c r="F559" s="17">
        <v>1328</v>
      </c>
      <c r="G559" s="109">
        <f t="shared" si="8"/>
        <v>369030.17999999993</v>
      </c>
    </row>
    <row r="560" spans="2:7">
      <c r="C560" s="40">
        <v>45544</v>
      </c>
      <c r="D560" s="17" t="s">
        <v>2103</v>
      </c>
      <c r="E560" s="17"/>
      <c r="F560" s="17">
        <v>100000</v>
      </c>
      <c r="G560" s="109">
        <f t="shared" si="8"/>
        <v>269030.17999999993</v>
      </c>
    </row>
    <row r="561" spans="2:7">
      <c r="B561" t="s">
        <v>1513</v>
      </c>
      <c r="C561" s="40">
        <v>45544</v>
      </c>
      <c r="D561" s="17" t="s">
        <v>2103</v>
      </c>
      <c r="E561" s="17"/>
      <c r="F561" s="17">
        <v>100000</v>
      </c>
      <c r="G561" s="109">
        <f t="shared" si="8"/>
        <v>169030.17999999993</v>
      </c>
    </row>
    <row r="562" spans="2:7">
      <c r="C562" s="40">
        <v>45544</v>
      </c>
      <c r="D562" s="17" t="s">
        <v>2104</v>
      </c>
      <c r="E562" s="17"/>
      <c r="F562" s="17">
        <v>3260</v>
      </c>
      <c r="G562" s="109">
        <f t="shared" si="8"/>
        <v>165770.17999999993</v>
      </c>
    </row>
    <row r="563" spans="2:7">
      <c r="C563" s="40">
        <v>45544</v>
      </c>
      <c r="D563" s="17" t="s">
        <v>2105</v>
      </c>
      <c r="E563" s="17"/>
      <c r="F563" s="17">
        <v>2</v>
      </c>
      <c r="G563" s="109">
        <f t="shared" si="8"/>
        <v>165768.17999999993</v>
      </c>
    </row>
    <row r="564" spans="2:7">
      <c r="C564" s="40">
        <v>45545</v>
      </c>
      <c r="D564" s="17" t="s">
        <v>2106</v>
      </c>
      <c r="E564" s="17"/>
      <c r="F564" s="17">
        <v>16000</v>
      </c>
      <c r="G564" s="109">
        <f t="shared" si="8"/>
        <v>149768.17999999993</v>
      </c>
    </row>
    <row r="565" spans="2:7">
      <c r="C565" s="40">
        <v>45546</v>
      </c>
      <c r="D565" s="17" t="s">
        <v>2101</v>
      </c>
      <c r="E565" s="17">
        <v>200000</v>
      </c>
      <c r="F565" s="17"/>
      <c r="G565" s="109">
        <f t="shared" si="8"/>
        <v>349768.17999999993</v>
      </c>
    </row>
    <row r="566" spans="2:7">
      <c r="C566" s="40">
        <v>45548</v>
      </c>
      <c r="D566" s="17" t="s">
        <v>2107</v>
      </c>
      <c r="E566" s="17"/>
      <c r="F566" s="17">
        <v>76.05</v>
      </c>
      <c r="G566" s="109">
        <f t="shared" si="8"/>
        <v>349692.12999999995</v>
      </c>
    </row>
    <row r="567" spans="2:7">
      <c r="C567" s="40">
        <v>45548</v>
      </c>
      <c r="D567" s="17" t="s">
        <v>1840</v>
      </c>
      <c r="E567" s="17"/>
      <c r="F567" s="17">
        <v>603.61</v>
      </c>
      <c r="G567" s="109">
        <f t="shared" si="8"/>
        <v>349088.51999999996</v>
      </c>
    </row>
    <row r="568" spans="2:7">
      <c r="C568" s="40">
        <v>45548</v>
      </c>
      <c r="D568" s="17" t="s">
        <v>1843</v>
      </c>
      <c r="E568" s="17"/>
      <c r="F568" s="17">
        <v>13442</v>
      </c>
      <c r="G568" s="109">
        <f t="shared" si="8"/>
        <v>335646.51999999996</v>
      </c>
    </row>
    <row r="569" spans="2:7">
      <c r="C569" s="40">
        <v>45548</v>
      </c>
      <c r="D569" s="17" t="s">
        <v>1843</v>
      </c>
      <c r="E569" s="17"/>
      <c r="F569" s="17">
        <v>5746</v>
      </c>
      <c r="G569" s="109">
        <f t="shared" si="8"/>
        <v>329900.51999999996</v>
      </c>
    </row>
    <row r="570" spans="2:7">
      <c r="C570" s="40">
        <v>45548</v>
      </c>
      <c r="D570" s="17" t="s">
        <v>1838</v>
      </c>
      <c r="E570" s="17"/>
      <c r="F570" s="17">
        <v>869</v>
      </c>
      <c r="G570" s="109">
        <f t="shared" si="8"/>
        <v>329031.51999999996</v>
      </c>
    </row>
    <row r="571" spans="2:7">
      <c r="C571" s="40">
        <v>45548</v>
      </c>
      <c r="D571" s="17" t="s">
        <v>2109</v>
      </c>
      <c r="E571" s="17"/>
      <c r="F571" s="17">
        <v>10000</v>
      </c>
      <c r="G571" s="109">
        <f t="shared" si="8"/>
        <v>319031.51999999996</v>
      </c>
    </row>
    <row r="572" spans="2:7">
      <c r="C572" s="40">
        <v>45551</v>
      </c>
      <c r="D572" s="17" t="s">
        <v>2108</v>
      </c>
      <c r="E572" s="17"/>
      <c r="F572" s="17">
        <v>10000</v>
      </c>
      <c r="G572" s="109">
        <f t="shared" si="8"/>
        <v>309031.51999999996</v>
      </c>
    </row>
    <row r="573" spans="2:7">
      <c r="C573" s="40">
        <v>45551</v>
      </c>
      <c r="D573" s="17" t="s">
        <v>2109</v>
      </c>
      <c r="E573" s="17"/>
      <c r="F573" s="17">
        <v>50000</v>
      </c>
      <c r="G573" s="109">
        <f t="shared" si="8"/>
        <v>259031.51999999996</v>
      </c>
    </row>
    <row r="574" spans="2:7">
      <c r="C574" s="40">
        <v>45555</v>
      </c>
      <c r="D574" s="17" t="s">
        <v>2110</v>
      </c>
      <c r="E574" s="17"/>
      <c r="F574" s="17">
        <v>10000</v>
      </c>
      <c r="G574" s="109">
        <f t="shared" si="8"/>
        <v>249031.51999999996</v>
      </c>
    </row>
    <row r="575" spans="2:7">
      <c r="C575" s="40">
        <v>45556</v>
      </c>
      <c r="D575" s="17" t="s">
        <v>2111</v>
      </c>
      <c r="E575" s="17"/>
      <c r="F575" s="17">
        <v>1900</v>
      </c>
      <c r="G575" s="109">
        <f t="shared" si="8"/>
        <v>247131.51999999996</v>
      </c>
    </row>
    <row r="576" spans="2:7">
      <c r="C576" s="40">
        <v>45558</v>
      </c>
      <c r="D576" s="17" t="s">
        <v>2108</v>
      </c>
      <c r="E576" s="17"/>
      <c r="F576" s="17">
        <v>20000</v>
      </c>
      <c r="G576" s="109">
        <f t="shared" si="8"/>
        <v>227131.51999999996</v>
      </c>
    </row>
    <row r="577" spans="3:8">
      <c r="C577" s="40">
        <v>45562</v>
      </c>
      <c r="D577" s="17" t="s">
        <v>2112</v>
      </c>
      <c r="E577" s="17">
        <v>500000</v>
      </c>
      <c r="F577" s="17"/>
      <c r="G577" s="109">
        <f t="shared" si="8"/>
        <v>727131.52</v>
      </c>
    </row>
    <row r="578" spans="3:8">
      <c r="C578" s="40">
        <v>45563</v>
      </c>
      <c r="D578" s="17" t="s">
        <v>2113</v>
      </c>
      <c r="E578" s="17"/>
      <c r="F578" s="17">
        <v>164448</v>
      </c>
      <c r="G578" s="109">
        <f t="shared" si="8"/>
        <v>562683.52</v>
      </c>
    </row>
    <row r="579" spans="3:8">
      <c r="C579" s="40">
        <v>45563</v>
      </c>
      <c r="D579" s="17" t="s">
        <v>2113</v>
      </c>
      <c r="E579" s="17"/>
      <c r="F579" s="17">
        <v>164448</v>
      </c>
      <c r="G579" s="109">
        <f t="shared" si="8"/>
        <v>398235.52</v>
      </c>
    </row>
    <row r="580" spans="3:8">
      <c r="C580" s="40">
        <v>45563</v>
      </c>
      <c r="D580" s="17" t="s">
        <v>2113</v>
      </c>
      <c r="E580" s="17"/>
      <c r="F580" s="17">
        <v>97774</v>
      </c>
      <c r="G580" s="109">
        <f t="shared" si="8"/>
        <v>300461.52</v>
      </c>
    </row>
    <row r="581" spans="3:8">
      <c r="C581" s="40">
        <v>45563</v>
      </c>
      <c r="D581" s="17" t="s">
        <v>2113</v>
      </c>
      <c r="E581" s="17"/>
      <c r="F581" s="17">
        <v>97774</v>
      </c>
      <c r="G581" s="109">
        <f t="shared" si="8"/>
        <v>202687.52000000002</v>
      </c>
    </row>
    <row r="582" spans="3:8">
      <c r="C582" s="40">
        <v>45565</v>
      </c>
      <c r="D582" s="17" t="s">
        <v>2114</v>
      </c>
      <c r="E582" s="17">
        <v>40000</v>
      </c>
      <c r="F582" s="17"/>
      <c r="G582" s="109">
        <f t="shared" si="8"/>
        <v>242687.52000000002</v>
      </c>
    </row>
    <row r="583" spans="3:8">
      <c r="C583" s="40">
        <v>45566</v>
      </c>
      <c r="D583" s="17" t="s">
        <v>2108</v>
      </c>
      <c r="E583" s="17"/>
      <c r="F583" s="17">
        <v>100000</v>
      </c>
      <c r="G583" s="109">
        <f t="shared" si="8"/>
        <v>142687.52000000002</v>
      </c>
    </row>
    <row r="584" spans="3:8">
      <c r="C584" s="40">
        <v>45569</v>
      </c>
      <c r="D584" s="17" t="s">
        <v>2204</v>
      </c>
      <c r="E584" s="17"/>
      <c r="F584" s="17">
        <v>6000</v>
      </c>
      <c r="G584" s="109">
        <f t="shared" si="8"/>
        <v>136687.52000000002</v>
      </c>
    </row>
    <row r="585" spans="3:8">
      <c r="C585" s="40">
        <v>45569</v>
      </c>
      <c r="D585" s="17" t="s">
        <v>2204</v>
      </c>
      <c r="E585" s="17"/>
      <c r="F585" s="17">
        <v>6000</v>
      </c>
      <c r="G585" s="109">
        <f t="shared" si="8"/>
        <v>130687.52000000002</v>
      </c>
    </row>
    <row r="586" spans="3:8">
      <c r="C586" s="40">
        <v>45569</v>
      </c>
      <c r="D586" s="17" t="s">
        <v>2205</v>
      </c>
      <c r="E586" s="17"/>
      <c r="F586" s="17">
        <v>10000</v>
      </c>
      <c r="G586" s="109">
        <f t="shared" si="8"/>
        <v>120687.52000000002</v>
      </c>
    </row>
    <row r="587" spans="3:8">
      <c r="C587" s="40">
        <v>45569</v>
      </c>
      <c r="D587" s="17" t="s">
        <v>2206</v>
      </c>
      <c r="E587" s="17"/>
      <c r="F587" s="17">
        <v>16000</v>
      </c>
      <c r="G587" s="109">
        <f t="shared" si="8"/>
        <v>104687.52000000002</v>
      </c>
    </row>
    <row r="588" spans="3:8">
      <c r="C588" s="40">
        <v>45576</v>
      </c>
      <c r="D588" s="17" t="s">
        <v>2207</v>
      </c>
      <c r="E588" s="17"/>
      <c r="F588" s="17">
        <v>1000</v>
      </c>
      <c r="G588" s="109">
        <f t="shared" si="8"/>
        <v>103687.52000000002</v>
      </c>
    </row>
    <row r="589" spans="3:8">
      <c r="C589" s="40">
        <v>45576</v>
      </c>
      <c r="D589" s="17" t="s">
        <v>2207</v>
      </c>
      <c r="E589" s="17"/>
      <c r="F589" s="17">
        <v>1000</v>
      </c>
      <c r="G589" s="109">
        <f t="shared" si="8"/>
        <v>102687.52000000002</v>
      </c>
      <c r="H589" t="s">
        <v>2498</v>
      </c>
    </row>
    <row r="590" spans="3:8">
      <c r="C590" s="40">
        <v>45576</v>
      </c>
      <c r="D590" s="17" t="s">
        <v>252</v>
      </c>
      <c r="E590" s="17">
        <v>250000</v>
      </c>
      <c r="F590" s="17"/>
      <c r="G590" s="109">
        <f t="shared" si="8"/>
        <v>352687.52</v>
      </c>
      <c r="H590" t="s">
        <v>2498</v>
      </c>
    </row>
    <row r="591" spans="3:8">
      <c r="C591" s="40">
        <v>45576</v>
      </c>
      <c r="D591" s="17" t="s">
        <v>252</v>
      </c>
      <c r="E591" s="17">
        <v>250000</v>
      </c>
      <c r="F591" s="17"/>
      <c r="G591" s="109">
        <f t="shared" si="8"/>
        <v>602687.52</v>
      </c>
      <c r="H591" t="s">
        <v>2498</v>
      </c>
    </row>
    <row r="592" spans="3:8">
      <c r="C592" s="40">
        <v>45576</v>
      </c>
      <c r="D592" s="17" t="s">
        <v>1819</v>
      </c>
      <c r="E592" s="17"/>
      <c r="F592" s="17">
        <v>3997</v>
      </c>
      <c r="G592" s="109">
        <f t="shared" si="8"/>
        <v>598690.52</v>
      </c>
      <c r="H592" t="s">
        <v>2498</v>
      </c>
    </row>
    <row r="593" spans="3:8">
      <c r="C593" s="40">
        <v>45577</v>
      </c>
      <c r="D593" s="17" t="s">
        <v>2208</v>
      </c>
      <c r="E593" s="17">
        <v>200000</v>
      </c>
      <c r="F593" s="17"/>
      <c r="G593" s="109">
        <f t="shared" si="8"/>
        <v>798690.52</v>
      </c>
      <c r="H593" t="s">
        <v>2498</v>
      </c>
    </row>
    <row r="594" spans="3:8">
      <c r="C594" s="40">
        <v>45577</v>
      </c>
      <c r="D594" s="17" t="s">
        <v>2208</v>
      </c>
      <c r="E594" s="17">
        <v>198000</v>
      </c>
      <c r="F594" s="17"/>
      <c r="G594" s="109">
        <f t="shared" si="8"/>
        <v>996690.52</v>
      </c>
      <c r="H594" t="s">
        <v>2498</v>
      </c>
    </row>
    <row r="595" spans="3:8">
      <c r="C595" s="40">
        <v>45579</v>
      </c>
      <c r="D595" s="17" t="s">
        <v>1745</v>
      </c>
      <c r="E595" s="17"/>
      <c r="F595" s="17">
        <v>3090</v>
      </c>
      <c r="G595" s="109">
        <f t="shared" si="8"/>
        <v>993600.52</v>
      </c>
      <c r="H595" t="s">
        <v>2498</v>
      </c>
    </row>
    <row r="596" spans="3:8">
      <c r="C596" s="40">
        <v>45579</v>
      </c>
      <c r="D596" s="17" t="s">
        <v>2209</v>
      </c>
      <c r="E596" s="17">
        <v>3090</v>
      </c>
      <c r="F596" s="17"/>
      <c r="G596" s="109">
        <f t="shared" si="8"/>
        <v>996690.52</v>
      </c>
    </row>
    <row r="597" spans="3:8">
      <c r="C597" s="40">
        <v>45579</v>
      </c>
      <c r="D597" s="17" t="s">
        <v>1745</v>
      </c>
      <c r="E597" s="17"/>
      <c r="F597" s="17">
        <v>3090</v>
      </c>
      <c r="G597" s="109">
        <f t="shared" si="8"/>
        <v>993600.52</v>
      </c>
    </row>
    <row r="598" spans="3:8">
      <c r="C598" s="40">
        <v>45579</v>
      </c>
      <c r="D598" s="17" t="s">
        <v>1838</v>
      </c>
      <c r="E598" s="17"/>
      <c r="F598" s="17">
        <v>1490</v>
      </c>
      <c r="G598" s="109">
        <f t="shared" si="8"/>
        <v>992110.52</v>
      </c>
    </row>
    <row r="599" spans="3:8">
      <c r="C599" s="40">
        <v>45579</v>
      </c>
      <c r="D599" s="17" t="s">
        <v>2107</v>
      </c>
      <c r="E599" s="17"/>
      <c r="F599" s="17">
        <v>101.13</v>
      </c>
      <c r="G599" s="109">
        <f t="shared" si="8"/>
        <v>992009.39</v>
      </c>
      <c r="H599" t="s">
        <v>2498</v>
      </c>
    </row>
    <row r="600" spans="3:8">
      <c r="C600" s="40">
        <v>45579</v>
      </c>
      <c r="D600" s="17" t="s">
        <v>1840</v>
      </c>
      <c r="E600" s="17"/>
      <c r="F600" s="17">
        <v>802.51</v>
      </c>
      <c r="G600" s="109">
        <f t="shared" si="8"/>
        <v>991206.88</v>
      </c>
    </row>
    <row r="601" spans="3:8">
      <c r="C601" s="512">
        <v>45579</v>
      </c>
      <c r="D601" s="119" t="s">
        <v>2210</v>
      </c>
      <c r="E601" s="119"/>
      <c r="F601" s="119">
        <v>20000</v>
      </c>
      <c r="G601" s="109">
        <f t="shared" si="8"/>
        <v>971206.88</v>
      </c>
    </row>
    <row r="602" spans="3:8">
      <c r="C602" s="512">
        <v>45579</v>
      </c>
      <c r="D602" s="119" t="s">
        <v>2211</v>
      </c>
      <c r="E602" s="119"/>
      <c r="F602" s="119">
        <v>2600</v>
      </c>
      <c r="G602" s="109">
        <f t="shared" si="8"/>
        <v>968606.88</v>
      </c>
    </row>
    <row r="603" spans="3:8">
      <c r="C603" s="512">
        <v>45579</v>
      </c>
      <c r="D603" s="119" t="s">
        <v>2212</v>
      </c>
      <c r="E603" s="119"/>
      <c r="F603" s="119">
        <v>2840</v>
      </c>
      <c r="G603" s="109">
        <f t="shared" si="8"/>
        <v>965766.88</v>
      </c>
    </row>
    <row r="604" spans="3:8">
      <c r="C604" s="40">
        <v>45579</v>
      </c>
      <c r="D604" s="17" t="s">
        <v>2213</v>
      </c>
      <c r="E604" s="17">
        <v>398000</v>
      </c>
      <c r="F604" s="17"/>
      <c r="G604" s="109">
        <f t="shared" si="8"/>
        <v>1363766.88</v>
      </c>
    </row>
    <row r="605" spans="3:8">
      <c r="C605" s="40">
        <v>45579</v>
      </c>
      <c r="D605" s="17" t="s">
        <v>2014</v>
      </c>
      <c r="E605" s="17"/>
      <c r="F605" s="17">
        <v>25</v>
      </c>
      <c r="G605" s="109">
        <f t="shared" si="8"/>
        <v>1363741.88</v>
      </c>
    </row>
    <row r="606" spans="3:8">
      <c r="C606" s="512">
        <v>45579</v>
      </c>
      <c r="D606" s="119" t="s">
        <v>2214</v>
      </c>
      <c r="E606" s="119"/>
      <c r="F606" s="119">
        <v>50000</v>
      </c>
      <c r="G606" s="109">
        <f t="shared" si="8"/>
        <v>1313741.8799999999</v>
      </c>
    </row>
    <row r="607" spans="3:8">
      <c r="C607" s="40">
        <v>45579</v>
      </c>
      <c r="D607" s="17" t="s">
        <v>1739</v>
      </c>
      <c r="E607" s="17"/>
      <c r="F607" s="17">
        <v>23.44</v>
      </c>
      <c r="G607" s="109">
        <f t="shared" si="8"/>
        <v>1313718.44</v>
      </c>
    </row>
    <row r="608" spans="3:8">
      <c r="C608" s="40">
        <v>45579</v>
      </c>
      <c r="D608" s="17" t="s">
        <v>2016</v>
      </c>
      <c r="E608" s="17"/>
      <c r="F608" s="17">
        <v>25000</v>
      </c>
      <c r="G608" s="109">
        <f t="shared" si="8"/>
        <v>1288718.44</v>
      </c>
      <c r="H608" t="s">
        <v>2498</v>
      </c>
    </row>
    <row r="609" spans="3:8">
      <c r="C609" s="40">
        <v>45579</v>
      </c>
      <c r="D609" s="17" t="s">
        <v>2107</v>
      </c>
      <c r="E609" s="17"/>
      <c r="F609" s="17">
        <v>619.91999999999996</v>
      </c>
      <c r="G609" s="109">
        <f t="shared" si="8"/>
        <v>1288098.52</v>
      </c>
    </row>
    <row r="610" spans="3:8">
      <c r="C610" s="40">
        <v>45579</v>
      </c>
      <c r="D610" s="17" t="s">
        <v>1840</v>
      </c>
      <c r="E610" s="17"/>
      <c r="F610" s="17">
        <v>4920.07</v>
      </c>
      <c r="G610" s="109">
        <f t="shared" si="8"/>
        <v>1283178.45</v>
      </c>
    </row>
    <row r="611" spans="3:8">
      <c r="C611" s="40">
        <v>45579</v>
      </c>
      <c r="D611" s="17" t="s">
        <v>2016</v>
      </c>
      <c r="E611" s="17"/>
      <c r="F611" s="17">
        <v>20000</v>
      </c>
      <c r="G611" s="109">
        <f t="shared" si="8"/>
        <v>1263178.45</v>
      </c>
    </row>
    <row r="612" spans="3:8">
      <c r="C612" s="40">
        <v>45579</v>
      </c>
      <c r="D612" s="17" t="s">
        <v>1745</v>
      </c>
      <c r="E612" s="17"/>
      <c r="F612" s="17">
        <v>1800</v>
      </c>
      <c r="G612" s="109">
        <f t="shared" si="8"/>
        <v>1261378.45</v>
      </c>
    </row>
    <row r="613" spans="3:8">
      <c r="C613" s="512">
        <v>45579</v>
      </c>
      <c r="D613" s="119" t="s">
        <v>2215</v>
      </c>
      <c r="E613" s="119">
        <v>1000</v>
      </c>
      <c r="F613" s="17"/>
      <c r="G613" s="109">
        <f t="shared" si="8"/>
        <v>1262378.45</v>
      </c>
    </row>
    <row r="614" spans="3:8">
      <c r="C614" s="40">
        <v>45579</v>
      </c>
      <c r="D614" s="17" t="s">
        <v>1745</v>
      </c>
      <c r="E614" s="17"/>
      <c r="F614" s="17">
        <v>489</v>
      </c>
      <c r="G614" s="109">
        <f t="shared" si="8"/>
        <v>1261889.45</v>
      </c>
    </row>
    <row r="615" spans="3:8">
      <c r="C615" s="512">
        <v>45580</v>
      </c>
      <c r="D615" s="542" t="s">
        <v>2375</v>
      </c>
      <c r="E615" s="119"/>
      <c r="F615" s="119">
        <v>19800</v>
      </c>
      <c r="G615" s="109">
        <f t="shared" si="8"/>
        <v>1242089.45</v>
      </c>
    </row>
    <row r="616" spans="3:8">
      <c r="C616" s="40">
        <v>45581</v>
      </c>
      <c r="D616" s="17" t="s">
        <v>2264</v>
      </c>
      <c r="E616" s="17">
        <v>16000</v>
      </c>
      <c r="F616" s="17"/>
      <c r="G616" s="109">
        <f t="shared" si="8"/>
        <v>1258089.45</v>
      </c>
    </row>
    <row r="617" spans="3:8">
      <c r="C617" s="40">
        <v>45581</v>
      </c>
      <c r="D617" s="17" t="s">
        <v>2376</v>
      </c>
      <c r="E617" s="17"/>
      <c r="F617" s="17">
        <v>14208</v>
      </c>
      <c r="G617" s="109">
        <f t="shared" si="8"/>
        <v>1243881.45</v>
      </c>
    </row>
    <row r="618" spans="3:8">
      <c r="C618" s="40">
        <v>45581</v>
      </c>
      <c r="D618" s="17" t="s">
        <v>2376</v>
      </c>
      <c r="E618" s="17"/>
      <c r="F618" s="17">
        <v>4508</v>
      </c>
      <c r="G618" s="109">
        <f t="shared" si="8"/>
        <v>1239373.45</v>
      </c>
    </row>
    <row r="619" spans="3:8">
      <c r="C619" s="40">
        <v>45581</v>
      </c>
      <c r="D619" s="17" t="s">
        <v>2377</v>
      </c>
      <c r="E619" s="17"/>
      <c r="F619" s="17">
        <v>4167</v>
      </c>
      <c r="G619" s="109">
        <f t="shared" si="8"/>
        <v>1235206.45</v>
      </c>
    </row>
    <row r="620" spans="3:8">
      <c r="C620" s="512">
        <v>45581</v>
      </c>
      <c r="D620" s="119" t="s">
        <v>2378</v>
      </c>
      <c r="E620" s="119"/>
      <c r="F620" s="119">
        <v>50000</v>
      </c>
      <c r="G620" s="109">
        <f t="shared" si="8"/>
        <v>1185206.45</v>
      </c>
    </row>
    <row r="621" spans="3:8">
      <c r="C621" s="512">
        <v>45581</v>
      </c>
      <c r="D621" s="119" t="s">
        <v>2378</v>
      </c>
      <c r="E621" s="119"/>
      <c r="F621" s="119">
        <v>50000</v>
      </c>
      <c r="G621" s="109">
        <f t="shared" si="8"/>
        <v>1135206.45</v>
      </c>
    </row>
    <row r="622" spans="3:8">
      <c r="C622" s="40">
        <v>45581</v>
      </c>
      <c r="D622" s="17" t="s">
        <v>2014</v>
      </c>
      <c r="E622" s="17"/>
      <c r="F622" s="17">
        <v>200</v>
      </c>
      <c r="G622" s="109">
        <f t="shared" si="8"/>
        <v>1135006.45</v>
      </c>
    </row>
    <row r="623" spans="3:8">
      <c r="C623" s="512">
        <v>45581</v>
      </c>
      <c r="D623" s="119" t="s">
        <v>2379</v>
      </c>
      <c r="E623" s="119"/>
      <c r="F623" s="119">
        <v>250000</v>
      </c>
      <c r="G623" s="109">
        <f t="shared" si="8"/>
        <v>885006.45</v>
      </c>
    </row>
    <row r="624" spans="3:8">
      <c r="C624" s="40">
        <v>45581</v>
      </c>
      <c r="D624" s="17" t="s">
        <v>2014</v>
      </c>
      <c r="E624" s="17"/>
      <c r="F624" s="17">
        <v>100</v>
      </c>
      <c r="G624" s="109">
        <f t="shared" si="8"/>
        <v>884906.45</v>
      </c>
      <c r="H624" t="s">
        <v>2498</v>
      </c>
    </row>
    <row r="625" spans="3:8">
      <c r="C625" s="512">
        <v>45581</v>
      </c>
      <c r="D625" s="119" t="s">
        <v>2379</v>
      </c>
      <c r="E625" s="119"/>
      <c r="F625" s="119">
        <v>100000</v>
      </c>
      <c r="G625" s="109">
        <f t="shared" si="8"/>
        <v>784906.45</v>
      </c>
      <c r="H625" t="s">
        <v>2498</v>
      </c>
    </row>
    <row r="626" spans="3:8">
      <c r="C626" s="40">
        <v>45582</v>
      </c>
      <c r="D626" s="17" t="s">
        <v>2104</v>
      </c>
      <c r="E626" s="17"/>
      <c r="F626" s="17">
        <v>6200</v>
      </c>
      <c r="G626" s="109">
        <f t="shared" si="8"/>
        <v>778706.45</v>
      </c>
      <c r="H626" t="s">
        <v>2498</v>
      </c>
    </row>
    <row r="627" spans="3:8">
      <c r="C627" s="40">
        <v>45582</v>
      </c>
      <c r="D627" s="17" t="s">
        <v>2380</v>
      </c>
      <c r="E627" s="17"/>
      <c r="F627" s="17">
        <v>15000</v>
      </c>
      <c r="G627" s="109">
        <f t="shared" si="8"/>
        <v>763706.45</v>
      </c>
      <c r="H627" t="s">
        <v>2498</v>
      </c>
    </row>
    <row r="628" spans="3:8">
      <c r="C628" s="40">
        <v>45583</v>
      </c>
      <c r="D628" s="17" t="s">
        <v>2014</v>
      </c>
      <c r="E628" s="17"/>
      <c r="F628" s="17">
        <v>200</v>
      </c>
      <c r="G628" s="109">
        <f t="shared" si="8"/>
        <v>763506.45</v>
      </c>
      <c r="H628" t="s">
        <v>2498</v>
      </c>
    </row>
    <row r="629" spans="3:8">
      <c r="C629" s="512">
        <v>45583</v>
      </c>
      <c r="D629" s="119" t="s">
        <v>2381</v>
      </c>
      <c r="E629" s="119"/>
      <c r="F629" s="119">
        <v>200000</v>
      </c>
      <c r="G629" s="109">
        <f t="shared" si="8"/>
        <v>563506.44999999995</v>
      </c>
    </row>
    <row r="630" spans="3:8">
      <c r="C630" s="512">
        <v>45583</v>
      </c>
      <c r="D630" s="119" t="s">
        <v>2210</v>
      </c>
      <c r="E630" s="119"/>
      <c r="F630" s="119">
        <v>45000</v>
      </c>
      <c r="G630" s="109">
        <f t="shared" si="8"/>
        <v>518506.44999999995</v>
      </c>
    </row>
    <row r="631" spans="3:8">
      <c r="C631" s="512">
        <v>45586</v>
      </c>
      <c r="D631" s="119" t="s">
        <v>2382</v>
      </c>
      <c r="E631" s="119"/>
      <c r="F631" s="119">
        <v>355725</v>
      </c>
      <c r="G631" s="109">
        <f t="shared" si="8"/>
        <v>162781.44999999995</v>
      </c>
      <c r="H631" t="s">
        <v>2498</v>
      </c>
    </row>
    <row r="632" spans="3:8">
      <c r="C632" s="512">
        <v>45586</v>
      </c>
      <c r="D632" s="119" t="s">
        <v>2383</v>
      </c>
      <c r="E632" s="119"/>
      <c r="F632" s="119">
        <v>100000</v>
      </c>
      <c r="G632" s="109">
        <f t="shared" si="8"/>
        <v>62781.449999999953</v>
      </c>
    </row>
    <row r="633" spans="3:8">
      <c r="C633" s="40">
        <v>45589</v>
      </c>
      <c r="D633" s="17" t="s">
        <v>2014</v>
      </c>
      <c r="E633" s="17"/>
      <c r="F633" s="17">
        <v>55</v>
      </c>
      <c r="G633" s="109">
        <f t="shared" si="8"/>
        <v>62726.449999999953</v>
      </c>
    </row>
    <row r="634" spans="3:8">
      <c r="C634" s="512">
        <v>45589</v>
      </c>
      <c r="D634" s="119" t="s">
        <v>2384</v>
      </c>
      <c r="E634" s="119"/>
      <c r="F634" s="119">
        <v>55000</v>
      </c>
      <c r="G634" s="109">
        <f t="shared" si="8"/>
        <v>7726.4499999999534</v>
      </c>
    </row>
    <row r="635" spans="3:8">
      <c r="C635" s="512">
        <v>45590</v>
      </c>
      <c r="D635" s="119" t="s">
        <v>2385</v>
      </c>
      <c r="E635" s="119">
        <v>61899</v>
      </c>
      <c r="F635" s="17"/>
      <c r="G635" s="109">
        <f t="shared" si="8"/>
        <v>69625.449999999953</v>
      </c>
    </row>
    <row r="636" spans="3:8">
      <c r="C636" s="40">
        <v>45591</v>
      </c>
      <c r="D636" s="17" t="s">
        <v>2207</v>
      </c>
      <c r="E636" s="17"/>
      <c r="F636" s="17">
        <v>300</v>
      </c>
      <c r="G636" s="109">
        <f t="shared" si="8"/>
        <v>69325.449999999953</v>
      </c>
      <c r="H636" t="s">
        <v>2498</v>
      </c>
    </row>
    <row r="637" spans="3:8">
      <c r="C637" s="40">
        <v>45591</v>
      </c>
      <c r="D637" s="17" t="s">
        <v>2207</v>
      </c>
      <c r="E637" s="17"/>
      <c r="F637" s="17">
        <v>200</v>
      </c>
      <c r="G637" s="109">
        <f t="shared" si="8"/>
        <v>69125.449999999953</v>
      </c>
    </row>
    <row r="638" spans="3:8">
      <c r="C638" s="512">
        <v>45591</v>
      </c>
      <c r="D638" s="119" t="s">
        <v>2378</v>
      </c>
      <c r="E638" s="119"/>
      <c r="F638" s="119">
        <v>25000</v>
      </c>
      <c r="G638" s="109">
        <f t="shared" si="8"/>
        <v>44125.449999999953</v>
      </c>
    </row>
    <row r="639" spans="3:8">
      <c r="C639" s="40">
        <v>45591</v>
      </c>
      <c r="D639" s="17" t="s">
        <v>2386</v>
      </c>
      <c r="E639" s="17">
        <v>100000</v>
      </c>
      <c r="F639" s="17"/>
      <c r="G639" s="109">
        <f t="shared" si="8"/>
        <v>144125.44999999995</v>
      </c>
      <c r="H639" t="s">
        <v>2498</v>
      </c>
    </row>
    <row r="640" spans="3:8">
      <c r="C640" s="40">
        <v>45591</v>
      </c>
      <c r="D640" s="17" t="s">
        <v>2387</v>
      </c>
      <c r="E640" s="17">
        <v>172000</v>
      </c>
      <c r="F640" s="17"/>
      <c r="G640" s="109">
        <f t="shared" si="8"/>
        <v>316125.44999999995</v>
      </c>
      <c r="H640" t="s">
        <v>2498</v>
      </c>
    </row>
    <row r="641" spans="3:8">
      <c r="C641" s="40">
        <v>45591</v>
      </c>
      <c r="D641" s="17" t="s">
        <v>2388</v>
      </c>
      <c r="E641" s="17">
        <v>200000</v>
      </c>
      <c r="F641" s="17"/>
      <c r="G641" s="109">
        <f t="shared" si="8"/>
        <v>516125.44999999995</v>
      </c>
      <c r="H641" t="s">
        <v>2498</v>
      </c>
    </row>
    <row r="642" spans="3:8">
      <c r="C642" s="40">
        <v>45591</v>
      </c>
      <c r="D642" s="17" t="s">
        <v>2388</v>
      </c>
      <c r="E642" s="17">
        <v>50000</v>
      </c>
      <c r="F642" s="17"/>
      <c r="G642" s="109">
        <f t="shared" si="8"/>
        <v>566125.44999999995</v>
      </c>
      <c r="H642" t="s">
        <v>2498</v>
      </c>
    </row>
    <row r="643" spans="3:8">
      <c r="C643" s="40">
        <v>45591</v>
      </c>
      <c r="D643" s="17" t="s">
        <v>2386</v>
      </c>
      <c r="E643" s="17">
        <v>160000</v>
      </c>
      <c r="F643" s="17"/>
      <c r="G643" s="109">
        <f t="shared" si="8"/>
        <v>726125.45</v>
      </c>
      <c r="H643" t="s">
        <v>2498</v>
      </c>
    </row>
    <row r="644" spans="3:8">
      <c r="C644" s="40">
        <v>45593</v>
      </c>
      <c r="D644" s="17" t="s">
        <v>2389</v>
      </c>
      <c r="E644" s="17">
        <v>122000</v>
      </c>
      <c r="F644" s="17"/>
      <c r="G644" s="109">
        <f t="shared" si="8"/>
        <v>848125.45</v>
      </c>
      <c r="H644" t="s">
        <v>2498</v>
      </c>
    </row>
    <row r="645" spans="3:8">
      <c r="C645" s="40">
        <v>45593</v>
      </c>
      <c r="D645" s="17" t="s">
        <v>2386</v>
      </c>
      <c r="E645" s="17">
        <v>300000</v>
      </c>
      <c r="F645" s="17"/>
      <c r="G645" s="109">
        <f t="shared" si="8"/>
        <v>1148125.45</v>
      </c>
    </row>
    <row r="646" spans="3:8">
      <c r="C646" s="40">
        <v>45593</v>
      </c>
      <c r="D646" s="17" t="s">
        <v>1739</v>
      </c>
      <c r="E646" s="17"/>
      <c r="F646" s="17">
        <v>23.44</v>
      </c>
      <c r="G646" s="109">
        <f t="shared" si="8"/>
        <v>1148102.01</v>
      </c>
      <c r="H646" t="s">
        <v>2499</v>
      </c>
    </row>
    <row r="647" spans="3:8">
      <c r="C647" s="512">
        <v>45593</v>
      </c>
      <c r="D647" s="119" t="s">
        <v>2016</v>
      </c>
      <c r="E647" s="119"/>
      <c r="F647" s="119">
        <v>1000</v>
      </c>
      <c r="G647" s="109">
        <f t="shared" si="8"/>
        <v>1147102.01</v>
      </c>
    </row>
    <row r="648" spans="3:8">
      <c r="C648" s="512">
        <v>45593</v>
      </c>
      <c r="D648" s="119" t="s">
        <v>2390</v>
      </c>
      <c r="E648" s="119"/>
      <c r="F648" s="119">
        <v>2782</v>
      </c>
      <c r="G648" s="109">
        <f t="shared" si="8"/>
        <v>1144320.01</v>
      </c>
      <c r="H648" t="s">
        <v>2498</v>
      </c>
    </row>
    <row r="649" spans="3:8">
      <c r="C649" s="40">
        <v>45593</v>
      </c>
      <c r="D649" s="17" t="s">
        <v>2391</v>
      </c>
      <c r="E649" s="17">
        <v>381000</v>
      </c>
      <c r="F649" s="17"/>
      <c r="G649" s="109">
        <f t="shared" si="8"/>
        <v>1525320.01</v>
      </c>
      <c r="H649" t="s">
        <v>2498</v>
      </c>
    </row>
    <row r="650" spans="3:8">
      <c r="C650" s="512">
        <v>45593</v>
      </c>
      <c r="D650" s="119" t="s">
        <v>2377</v>
      </c>
      <c r="E650" s="119"/>
      <c r="F650" s="119">
        <v>2381</v>
      </c>
      <c r="G650" s="109">
        <f t="shared" si="8"/>
        <v>1522939.01</v>
      </c>
      <c r="H650" t="s">
        <v>2498</v>
      </c>
    </row>
    <row r="651" spans="3:8">
      <c r="C651" s="40">
        <v>45593</v>
      </c>
      <c r="D651" s="17" t="s">
        <v>2392</v>
      </c>
      <c r="E651" s="17"/>
      <c r="F651" s="17">
        <v>500000</v>
      </c>
      <c r="G651" s="109">
        <f t="shared" si="8"/>
        <v>1022939.01</v>
      </c>
      <c r="H651" t="s">
        <v>2498</v>
      </c>
    </row>
    <row r="652" spans="3:8">
      <c r="C652" s="40">
        <v>45593</v>
      </c>
      <c r="D652" s="17" t="s">
        <v>2105</v>
      </c>
      <c r="E652" s="17"/>
      <c r="F652" s="17">
        <v>1.5</v>
      </c>
      <c r="G652" s="109">
        <f t="shared" si="8"/>
        <v>1022937.51</v>
      </c>
    </row>
    <row r="653" spans="3:8">
      <c r="C653" s="40">
        <v>45594</v>
      </c>
      <c r="D653" s="17" t="s">
        <v>2264</v>
      </c>
      <c r="E653" s="17">
        <v>16000</v>
      </c>
      <c r="F653" s="17"/>
      <c r="G653" s="109">
        <f t="shared" si="8"/>
        <v>1038937.51</v>
      </c>
    </row>
    <row r="654" spans="3:8">
      <c r="C654" s="512">
        <v>45594</v>
      </c>
      <c r="D654" s="119" t="s">
        <v>2393</v>
      </c>
      <c r="E654" s="119"/>
      <c r="F654" s="119">
        <v>115670</v>
      </c>
      <c r="G654" s="109">
        <f t="shared" si="8"/>
        <v>923267.51</v>
      </c>
    </row>
    <row r="655" spans="3:8">
      <c r="C655" s="512">
        <v>45594</v>
      </c>
      <c r="D655" s="119" t="s">
        <v>2380</v>
      </c>
      <c r="E655" s="119"/>
      <c r="F655" s="119">
        <v>50000</v>
      </c>
      <c r="G655" s="109">
        <f t="shared" si="8"/>
        <v>873267.51</v>
      </c>
      <c r="H655" t="s">
        <v>2498</v>
      </c>
    </row>
    <row r="656" spans="3:8">
      <c r="C656" s="512">
        <v>45594</v>
      </c>
      <c r="D656" s="119" t="s">
        <v>2393</v>
      </c>
      <c r="E656" s="119"/>
      <c r="F656" s="119">
        <v>10000</v>
      </c>
      <c r="G656" s="109">
        <f t="shared" si="8"/>
        <v>863267.51</v>
      </c>
      <c r="H656" t="s">
        <v>2498</v>
      </c>
    </row>
    <row r="657" spans="3:8">
      <c r="C657" s="40">
        <v>45594</v>
      </c>
      <c r="D657" s="17" t="s">
        <v>1748</v>
      </c>
      <c r="E657" s="17"/>
      <c r="F657" s="17">
        <v>1199</v>
      </c>
      <c r="G657" s="109">
        <f t="shared" si="8"/>
        <v>862068.51</v>
      </c>
    </row>
    <row r="658" spans="3:8">
      <c r="C658" s="40">
        <v>45594</v>
      </c>
      <c r="D658" s="17" t="s">
        <v>2386</v>
      </c>
      <c r="E658" s="17">
        <v>38650</v>
      </c>
      <c r="F658" s="17"/>
      <c r="G658" s="109">
        <f t="shared" si="8"/>
        <v>900718.51</v>
      </c>
      <c r="H658" t="s">
        <v>2500</v>
      </c>
    </row>
    <row r="659" spans="3:8">
      <c r="C659" s="40">
        <v>45595</v>
      </c>
      <c r="D659" s="17" t="s">
        <v>2394</v>
      </c>
      <c r="E659" s="17"/>
      <c r="F659" s="17">
        <v>500000</v>
      </c>
      <c r="G659" s="109">
        <f t="shared" si="8"/>
        <v>400718.51</v>
      </c>
    </row>
    <row r="660" spans="3:8">
      <c r="C660" s="40">
        <v>45595</v>
      </c>
      <c r="D660" s="17" t="s">
        <v>2204</v>
      </c>
      <c r="E660" s="17"/>
      <c r="F660" s="17">
        <v>6000</v>
      </c>
      <c r="G660" s="109">
        <f t="shared" si="8"/>
        <v>394718.51</v>
      </c>
      <c r="H660" t="s">
        <v>2500</v>
      </c>
    </row>
    <row r="661" spans="3:8">
      <c r="C661" s="40">
        <v>45595</v>
      </c>
      <c r="D661" s="17" t="s">
        <v>2204</v>
      </c>
      <c r="E661" s="17"/>
      <c r="F661" s="17">
        <v>6000</v>
      </c>
      <c r="G661" s="109">
        <f t="shared" si="8"/>
        <v>388718.51</v>
      </c>
      <c r="H661" t="s">
        <v>2500</v>
      </c>
    </row>
    <row r="662" spans="3:8">
      <c r="C662" s="40">
        <v>45595</v>
      </c>
      <c r="D662" s="17" t="s">
        <v>2014</v>
      </c>
      <c r="E662" s="17"/>
      <c r="F662" s="17">
        <v>3.1</v>
      </c>
      <c r="G662" s="109">
        <f t="shared" si="8"/>
        <v>388715.41000000003</v>
      </c>
    </row>
    <row r="663" spans="3:8">
      <c r="C663" s="512">
        <v>45595</v>
      </c>
      <c r="D663" s="119" t="s">
        <v>2395</v>
      </c>
      <c r="E663" s="119"/>
      <c r="F663" s="119">
        <v>3100</v>
      </c>
      <c r="G663" s="109">
        <f t="shared" si="8"/>
        <v>385615.41000000003</v>
      </c>
    </row>
    <row r="664" spans="3:8">
      <c r="C664" s="512">
        <v>45600</v>
      </c>
      <c r="D664" s="119" t="s">
        <v>2396</v>
      </c>
      <c r="E664" s="119"/>
      <c r="F664" s="119">
        <v>16000</v>
      </c>
      <c r="G664" s="109">
        <f t="shared" si="8"/>
        <v>369615.41000000003</v>
      </c>
    </row>
    <row r="665" spans="3:8">
      <c r="C665" s="512">
        <v>45600</v>
      </c>
      <c r="D665" s="119" t="s">
        <v>2397</v>
      </c>
      <c r="E665" s="119"/>
      <c r="F665" s="119">
        <v>100000</v>
      </c>
      <c r="G665" s="109">
        <f t="shared" si="8"/>
        <v>269615.41000000003</v>
      </c>
    </row>
    <row r="666" spans="3:8">
      <c r="C666" s="512">
        <v>45600</v>
      </c>
      <c r="D666" s="119" t="s">
        <v>2398</v>
      </c>
      <c r="E666" s="119"/>
      <c r="F666" s="119">
        <v>14000</v>
      </c>
      <c r="G666" s="109">
        <f t="shared" si="8"/>
        <v>255615.41000000003</v>
      </c>
    </row>
    <row r="667" spans="3:8">
      <c r="C667" s="40">
        <v>45601</v>
      </c>
      <c r="D667" s="17" t="s">
        <v>2207</v>
      </c>
      <c r="E667" s="17"/>
      <c r="F667" s="17">
        <v>400</v>
      </c>
      <c r="G667" s="109">
        <f t="shared" si="8"/>
        <v>255215.41000000003</v>
      </c>
    </row>
    <row r="668" spans="3:8">
      <c r="C668" s="512">
        <v>45601</v>
      </c>
      <c r="D668" s="119" t="s">
        <v>2399</v>
      </c>
      <c r="E668" s="119"/>
      <c r="F668" s="119">
        <v>3460</v>
      </c>
      <c r="G668" s="109">
        <f t="shared" si="8"/>
        <v>251755.41000000003</v>
      </c>
    </row>
    <row r="669" spans="3:8">
      <c r="C669" s="40">
        <v>45601</v>
      </c>
      <c r="D669" s="17" t="s">
        <v>2400</v>
      </c>
      <c r="E669" s="17"/>
      <c r="F669" s="17">
        <v>901</v>
      </c>
      <c r="G669" s="109">
        <f t="shared" si="8"/>
        <v>250854.41000000003</v>
      </c>
    </row>
    <row r="670" spans="3:8">
      <c r="C670" s="40">
        <v>45601</v>
      </c>
      <c r="D670" s="17" t="s">
        <v>1739</v>
      </c>
      <c r="E670" s="17"/>
      <c r="F670" s="17">
        <v>23.44</v>
      </c>
      <c r="G670" s="109">
        <f t="shared" si="8"/>
        <v>250830.97000000003</v>
      </c>
    </row>
    <row r="671" spans="3:8">
      <c r="C671" s="512">
        <v>45601</v>
      </c>
      <c r="D671" s="119" t="s">
        <v>2401</v>
      </c>
      <c r="E671" s="119"/>
      <c r="F671" s="119">
        <v>20000</v>
      </c>
      <c r="G671" s="109">
        <f t="shared" si="8"/>
        <v>230830.97000000003</v>
      </c>
    </row>
    <row r="672" spans="3:8">
      <c r="C672" s="512">
        <v>45601</v>
      </c>
      <c r="D672" s="119" t="s">
        <v>2206</v>
      </c>
      <c r="E672" s="119"/>
      <c r="F672" s="119">
        <v>16000</v>
      </c>
      <c r="G672" s="109">
        <f t="shared" si="8"/>
        <v>214830.97000000003</v>
      </c>
    </row>
    <row r="673" spans="3:7">
      <c r="C673" s="40">
        <v>45601</v>
      </c>
      <c r="D673" s="17" t="s">
        <v>2105</v>
      </c>
      <c r="E673" s="17"/>
      <c r="F673" s="17">
        <v>2</v>
      </c>
      <c r="G673" s="109">
        <f t="shared" si="8"/>
        <v>214828.97000000003</v>
      </c>
    </row>
    <row r="674" spans="3:7">
      <c r="C674" s="40">
        <v>45602</v>
      </c>
      <c r="D674" s="17" t="s">
        <v>2402</v>
      </c>
      <c r="E674" s="17">
        <v>292500</v>
      </c>
      <c r="F674" s="17"/>
      <c r="G674" s="109">
        <f t="shared" si="8"/>
        <v>507328.97000000003</v>
      </c>
    </row>
    <row r="675" spans="3:7">
      <c r="C675" s="40">
        <v>45602</v>
      </c>
      <c r="D675" s="17" t="s">
        <v>2402</v>
      </c>
      <c r="E675" s="17">
        <v>155000</v>
      </c>
      <c r="F675" s="17"/>
      <c r="G675" s="109">
        <f t="shared" si="8"/>
        <v>662328.97</v>
      </c>
    </row>
    <row r="676" spans="3:7">
      <c r="C676" s="40">
        <v>45603</v>
      </c>
      <c r="D676" s="17" t="s">
        <v>2402</v>
      </c>
      <c r="E676" s="17">
        <v>300000</v>
      </c>
      <c r="F676" s="17"/>
      <c r="G676" s="109">
        <f t="shared" si="8"/>
        <v>962328.97</v>
      </c>
    </row>
    <row r="677" spans="3:7">
      <c r="C677" s="40">
        <v>45604</v>
      </c>
      <c r="D677" s="17" t="s">
        <v>2264</v>
      </c>
      <c r="E677" s="17">
        <v>15500</v>
      </c>
      <c r="F677" s="17"/>
      <c r="G677" s="109">
        <f t="shared" si="8"/>
        <v>977828.97</v>
      </c>
    </row>
    <row r="678" spans="3:7">
      <c r="C678" s="40">
        <v>45607</v>
      </c>
      <c r="D678" s="17" t="s">
        <v>2402</v>
      </c>
      <c r="E678" s="17">
        <v>300000</v>
      </c>
      <c r="F678" s="17"/>
      <c r="G678" s="109">
        <f t="shared" si="8"/>
        <v>1277828.97</v>
      </c>
    </row>
    <row r="679" spans="3:7">
      <c r="C679" s="40">
        <v>45609</v>
      </c>
      <c r="D679" s="17" t="s">
        <v>1739</v>
      </c>
      <c r="E679" s="17"/>
      <c r="F679" s="17">
        <v>101.18</v>
      </c>
      <c r="G679" s="109">
        <f t="shared" si="8"/>
        <v>1277727.79</v>
      </c>
    </row>
    <row r="680" spans="3:7">
      <c r="C680" s="40">
        <v>45609</v>
      </c>
      <c r="D680" s="17" t="s">
        <v>1840</v>
      </c>
      <c r="E680" s="17"/>
      <c r="F680" s="17">
        <v>802.94</v>
      </c>
      <c r="G680" s="109">
        <f t="shared" si="8"/>
        <v>1276924.8500000001</v>
      </c>
    </row>
    <row r="681" spans="3:7">
      <c r="C681" s="40">
        <v>45609</v>
      </c>
      <c r="D681" s="17" t="s">
        <v>2402</v>
      </c>
      <c r="E681" s="17">
        <v>74000</v>
      </c>
      <c r="F681" s="17"/>
      <c r="G681" s="109">
        <f t="shared" si="8"/>
        <v>1350924.85</v>
      </c>
    </row>
    <row r="682" spans="3:7">
      <c r="C682" s="40">
        <v>45611</v>
      </c>
      <c r="D682" s="17" t="s">
        <v>1838</v>
      </c>
      <c r="E682" s="17"/>
      <c r="F682" s="17">
        <v>1076</v>
      </c>
      <c r="G682" s="109">
        <f t="shared" si="8"/>
        <v>1349848.85</v>
      </c>
    </row>
    <row r="683" spans="3:7">
      <c r="C683" s="40">
        <v>45611</v>
      </c>
      <c r="D683" s="17" t="s">
        <v>1843</v>
      </c>
      <c r="E683" s="17"/>
      <c r="F683" s="17">
        <v>5133</v>
      </c>
      <c r="G683" s="109">
        <f t="shared" si="8"/>
        <v>1344715.85</v>
      </c>
    </row>
    <row r="684" spans="3:7">
      <c r="C684" s="40">
        <v>45611</v>
      </c>
      <c r="D684" s="17" t="s">
        <v>1843</v>
      </c>
      <c r="E684" s="17"/>
      <c r="F684" s="17">
        <v>23095</v>
      </c>
      <c r="G684" s="109">
        <f t="shared" si="8"/>
        <v>1321620.8500000001</v>
      </c>
    </row>
    <row r="685" spans="3:7">
      <c r="C685" s="40">
        <v>45611</v>
      </c>
      <c r="D685" s="17" t="s">
        <v>2207</v>
      </c>
      <c r="E685" s="17"/>
      <c r="F685" s="17">
        <v>400</v>
      </c>
      <c r="G685" s="109">
        <f t="shared" si="8"/>
        <v>1321220.8500000001</v>
      </c>
    </row>
    <row r="686" spans="3:7">
      <c r="C686" s="40">
        <v>45614</v>
      </c>
      <c r="D686" s="17" t="s">
        <v>2462</v>
      </c>
      <c r="E686" s="17">
        <v>100000</v>
      </c>
      <c r="F686" s="17"/>
      <c r="G686" s="109">
        <f t="shared" si="8"/>
        <v>1421220.85</v>
      </c>
    </row>
    <row r="687" spans="3:7">
      <c r="C687" s="512">
        <v>45614</v>
      </c>
      <c r="D687" s="119" t="s">
        <v>2460</v>
      </c>
      <c r="E687" s="119"/>
      <c r="F687" s="119">
        <v>10000</v>
      </c>
      <c r="G687" s="109">
        <f t="shared" si="8"/>
        <v>1411220.85</v>
      </c>
    </row>
    <row r="688" spans="3:7">
      <c r="C688" s="512">
        <v>45614</v>
      </c>
      <c r="D688" s="119" t="s">
        <v>2016</v>
      </c>
      <c r="E688" s="119"/>
      <c r="F688" s="119">
        <v>20000</v>
      </c>
      <c r="G688" s="109">
        <f t="shared" si="8"/>
        <v>1391220.85</v>
      </c>
    </row>
    <row r="689" spans="3:8">
      <c r="C689" s="40">
        <v>45614</v>
      </c>
      <c r="D689" s="17" t="s">
        <v>2461</v>
      </c>
      <c r="E689" s="17">
        <v>500000</v>
      </c>
      <c r="F689" s="17"/>
      <c r="G689" s="109">
        <f t="shared" si="8"/>
        <v>1891220.85</v>
      </c>
    </row>
    <row r="690" spans="3:8">
      <c r="C690" s="40">
        <v>45614</v>
      </c>
      <c r="D690" s="17" t="s">
        <v>2462</v>
      </c>
      <c r="E690" s="17">
        <v>200000</v>
      </c>
      <c r="F690" s="17"/>
      <c r="G690" s="109">
        <f t="shared" si="8"/>
        <v>2091220.85</v>
      </c>
    </row>
    <row r="691" spans="3:8">
      <c r="C691" s="40">
        <v>45614</v>
      </c>
      <c r="D691" s="17" t="s">
        <v>2463</v>
      </c>
      <c r="E691" s="17">
        <v>200000</v>
      </c>
      <c r="F691" s="17"/>
      <c r="G691" s="109">
        <f t="shared" si="8"/>
        <v>2291220.85</v>
      </c>
      <c r="H691" t="s">
        <v>2501</v>
      </c>
    </row>
    <row r="692" spans="3:8">
      <c r="C692" s="40">
        <v>45614</v>
      </c>
      <c r="D692" s="17" t="s">
        <v>2463</v>
      </c>
      <c r="E692" s="17">
        <v>200000</v>
      </c>
      <c r="F692" s="17"/>
      <c r="G692" s="109">
        <f t="shared" si="8"/>
        <v>2491220.85</v>
      </c>
    </row>
    <row r="693" spans="3:8">
      <c r="C693" s="40">
        <v>45614</v>
      </c>
      <c r="D693" s="17" t="s">
        <v>2464</v>
      </c>
      <c r="E693" s="17">
        <v>64000</v>
      </c>
      <c r="F693" s="17"/>
      <c r="G693" s="109">
        <f t="shared" si="8"/>
        <v>2555220.85</v>
      </c>
    </row>
    <row r="694" spans="3:8">
      <c r="C694" s="40">
        <v>45615</v>
      </c>
      <c r="D694" s="17" t="s">
        <v>2465</v>
      </c>
      <c r="E694" s="17">
        <v>200000</v>
      </c>
      <c r="F694" s="17"/>
      <c r="G694" s="109">
        <f t="shared" si="8"/>
        <v>2755220.85</v>
      </c>
    </row>
    <row r="695" spans="3:8">
      <c r="C695" s="512">
        <v>45615</v>
      </c>
      <c r="D695" s="119" t="s">
        <v>2466</v>
      </c>
      <c r="E695" s="119"/>
      <c r="F695" s="119">
        <v>50000</v>
      </c>
      <c r="G695" s="109">
        <f t="shared" si="8"/>
        <v>2705220.85</v>
      </c>
    </row>
    <row r="696" spans="3:8">
      <c r="C696" s="40">
        <v>45615</v>
      </c>
      <c r="D696" s="17" t="s">
        <v>2467</v>
      </c>
      <c r="E696" s="17"/>
      <c r="F696" s="17">
        <v>25000</v>
      </c>
      <c r="G696" s="109">
        <f t="shared" si="8"/>
        <v>2680220.85</v>
      </c>
    </row>
    <row r="697" spans="3:8">
      <c r="C697" s="512">
        <v>45615</v>
      </c>
      <c r="D697" s="119" t="s">
        <v>2469</v>
      </c>
      <c r="E697" s="119">
        <v>14300</v>
      </c>
      <c r="F697" s="17"/>
      <c r="G697" s="109">
        <f t="shared" si="8"/>
        <v>2694520.85</v>
      </c>
    </row>
    <row r="698" spans="3:8">
      <c r="C698" s="40">
        <v>45615</v>
      </c>
      <c r="D698" s="17" t="s">
        <v>2462</v>
      </c>
      <c r="E698" s="17">
        <v>100000</v>
      </c>
      <c r="F698" s="17"/>
      <c r="G698" s="109">
        <f t="shared" si="8"/>
        <v>2794520.85</v>
      </c>
    </row>
    <row r="699" spans="3:8">
      <c r="C699" s="40">
        <v>45615</v>
      </c>
      <c r="D699" s="17" t="s">
        <v>2463</v>
      </c>
      <c r="E699" s="17">
        <v>14000</v>
      </c>
      <c r="F699" s="17"/>
      <c r="G699" s="109">
        <f t="shared" si="8"/>
        <v>2808520.85</v>
      </c>
    </row>
    <row r="700" spans="3:8">
      <c r="C700" s="40">
        <v>45617</v>
      </c>
      <c r="D700" s="17" t="s">
        <v>2470</v>
      </c>
      <c r="E700" s="17">
        <v>70000</v>
      </c>
      <c r="F700" s="17"/>
      <c r="G700" s="109">
        <f t="shared" si="8"/>
        <v>2878520.85</v>
      </c>
    </row>
    <row r="701" spans="3:8">
      <c r="C701" s="40">
        <v>45617</v>
      </c>
      <c r="D701" s="17" t="s">
        <v>2468</v>
      </c>
      <c r="E701" s="17">
        <v>100000</v>
      </c>
      <c r="F701" s="17"/>
      <c r="G701" s="109">
        <f t="shared" si="8"/>
        <v>2978520.85</v>
      </c>
    </row>
    <row r="702" spans="3:8">
      <c r="C702" s="40">
        <v>45618</v>
      </c>
      <c r="D702" s="17" t="s">
        <v>2014</v>
      </c>
      <c r="E702" s="17"/>
      <c r="F702" s="17">
        <v>11</v>
      </c>
      <c r="G702" s="109">
        <f t="shared" si="8"/>
        <v>2978509.85</v>
      </c>
    </row>
    <row r="703" spans="3:8">
      <c r="C703" s="512">
        <v>45618</v>
      </c>
      <c r="D703" s="119" t="s">
        <v>2471</v>
      </c>
      <c r="E703" s="119"/>
      <c r="F703" s="119">
        <v>20000</v>
      </c>
      <c r="G703" s="109">
        <f t="shared" si="8"/>
        <v>2958509.85</v>
      </c>
    </row>
    <row r="704" spans="3:8">
      <c r="C704" s="512">
        <v>45618</v>
      </c>
      <c r="D704" s="119" t="s">
        <v>2472</v>
      </c>
      <c r="E704" s="119"/>
      <c r="F704" s="119">
        <v>10000</v>
      </c>
      <c r="G704" s="109">
        <f t="shared" si="8"/>
        <v>2948509.85</v>
      </c>
    </row>
    <row r="705" spans="3:7">
      <c r="C705" s="40">
        <v>45618</v>
      </c>
      <c r="D705" s="17" t="s">
        <v>2473</v>
      </c>
      <c r="E705" s="17">
        <v>250000</v>
      </c>
      <c r="F705" s="17"/>
      <c r="G705" s="109">
        <f t="shared" si="8"/>
        <v>3198509.85</v>
      </c>
    </row>
    <row r="706" spans="3:7">
      <c r="C706" s="40">
        <v>45623</v>
      </c>
      <c r="D706" s="17" t="s">
        <v>1657</v>
      </c>
      <c r="E706" s="17">
        <v>50000</v>
      </c>
      <c r="F706" s="17"/>
      <c r="G706" s="109">
        <f t="shared" si="8"/>
        <v>3248509.85</v>
      </c>
    </row>
    <row r="707" spans="3:7">
      <c r="C707" s="40">
        <v>45624</v>
      </c>
      <c r="D707" s="17" t="s">
        <v>2207</v>
      </c>
      <c r="E707" s="17"/>
      <c r="F707" s="17">
        <v>120</v>
      </c>
      <c r="G707" s="109">
        <f t="shared" si="8"/>
        <v>3248389.85</v>
      </c>
    </row>
    <row r="708" spans="3:7">
      <c r="C708" s="40">
        <v>45624</v>
      </c>
      <c r="D708" s="17" t="s">
        <v>2474</v>
      </c>
      <c r="E708" s="17"/>
      <c r="F708" s="17">
        <v>450000</v>
      </c>
      <c r="G708" s="109">
        <f t="shared" si="8"/>
        <v>2798389.85</v>
      </c>
    </row>
    <row r="709" spans="3:7">
      <c r="C709" s="40">
        <v>45624</v>
      </c>
      <c r="D709" s="17" t="s">
        <v>2207</v>
      </c>
      <c r="E709" s="17"/>
      <c r="F709" s="17">
        <v>600</v>
      </c>
      <c r="G709" s="109">
        <f t="shared" si="8"/>
        <v>2797789.85</v>
      </c>
    </row>
    <row r="710" spans="3:7">
      <c r="C710" s="40">
        <v>45628</v>
      </c>
      <c r="D710" s="17" t="s">
        <v>2474</v>
      </c>
      <c r="E710" s="17"/>
      <c r="F710" s="17">
        <v>500000</v>
      </c>
      <c r="G710" s="109">
        <f t="shared" si="8"/>
        <v>2297789.85</v>
      </c>
    </row>
    <row r="711" spans="3:7">
      <c r="C711" s="40">
        <v>45628</v>
      </c>
      <c r="D711" s="17" t="s">
        <v>2474</v>
      </c>
      <c r="E711" s="17"/>
      <c r="F711" s="17">
        <v>500000</v>
      </c>
      <c r="G711" s="109">
        <f t="shared" si="8"/>
        <v>1797789.85</v>
      </c>
    </row>
    <row r="712" spans="3:7">
      <c r="C712" s="512">
        <v>45628</v>
      </c>
      <c r="D712" s="119" t="s">
        <v>2103</v>
      </c>
      <c r="E712" s="119"/>
      <c r="F712" s="119">
        <v>20000</v>
      </c>
      <c r="G712" s="109">
        <f t="shared" si="8"/>
        <v>1777789.85</v>
      </c>
    </row>
    <row r="713" spans="3:7">
      <c r="C713" s="512">
        <v>45628</v>
      </c>
      <c r="D713" s="119" t="s">
        <v>2475</v>
      </c>
      <c r="E713" s="119"/>
      <c r="F713" s="119">
        <v>12401</v>
      </c>
      <c r="G713" s="109">
        <f t="shared" si="8"/>
        <v>1765388.85</v>
      </c>
    </row>
    <row r="714" spans="3:7">
      <c r="C714" s="512">
        <v>45628</v>
      </c>
      <c r="D714" s="119" t="s">
        <v>2476</v>
      </c>
      <c r="E714" s="119"/>
      <c r="F714" s="119">
        <v>3099</v>
      </c>
      <c r="G714" s="109">
        <f t="shared" si="8"/>
        <v>1762289.85</v>
      </c>
    </row>
    <row r="715" spans="3:7">
      <c r="C715" s="512">
        <v>45628</v>
      </c>
      <c r="D715" s="119" t="s">
        <v>2477</v>
      </c>
      <c r="E715" s="119"/>
      <c r="F715" s="119">
        <v>4500</v>
      </c>
      <c r="G715" s="109">
        <f t="shared" si="8"/>
        <v>1757789.85</v>
      </c>
    </row>
    <row r="716" spans="3:7">
      <c r="C716" s="512">
        <v>45629</v>
      </c>
      <c r="D716" s="119" t="s">
        <v>2478</v>
      </c>
      <c r="E716" s="119"/>
      <c r="F716" s="119">
        <v>20000</v>
      </c>
      <c r="G716" s="109">
        <f t="shared" si="8"/>
        <v>1737789.85</v>
      </c>
    </row>
    <row r="717" spans="3:7">
      <c r="C717" s="512">
        <v>45629</v>
      </c>
      <c r="D717" s="542" t="s">
        <v>2479</v>
      </c>
      <c r="E717" s="119"/>
      <c r="F717" s="119">
        <v>8000</v>
      </c>
      <c r="G717" s="109">
        <f t="shared" si="8"/>
        <v>1729789.85</v>
      </c>
    </row>
    <row r="718" spans="3:7">
      <c r="C718" s="40">
        <v>45630</v>
      </c>
      <c r="D718" s="17" t="s">
        <v>2480</v>
      </c>
      <c r="E718" s="17"/>
      <c r="F718" s="17">
        <v>100</v>
      </c>
      <c r="G718" s="109">
        <f t="shared" si="8"/>
        <v>1729689.85</v>
      </c>
    </row>
    <row r="719" spans="3:7">
      <c r="C719" s="40">
        <v>45630</v>
      </c>
      <c r="D719" s="17" t="s">
        <v>2481</v>
      </c>
      <c r="E719" s="17"/>
      <c r="F719" s="17">
        <v>6000</v>
      </c>
      <c r="G719" s="109">
        <f t="shared" si="8"/>
        <v>1723689.85</v>
      </c>
    </row>
    <row r="720" spans="3:7">
      <c r="C720" s="40">
        <v>45630</v>
      </c>
      <c r="D720" s="17" t="s">
        <v>2481</v>
      </c>
      <c r="E720" s="17"/>
      <c r="F720" s="17">
        <v>6000</v>
      </c>
      <c r="G720" s="109">
        <f t="shared" si="8"/>
        <v>1717689.85</v>
      </c>
    </row>
    <row r="721" spans="3:8">
      <c r="C721" s="512">
        <v>45630</v>
      </c>
      <c r="D721" s="119" t="s">
        <v>2103</v>
      </c>
      <c r="E721" s="119"/>
      <c r="F721" s="119">
        <v>100000</v>
      </c>
      <c r="G721" s="109">
        <f t="shared" si="8"/>
        <v>1617689.85</v>
      </c>
    </row>
    <row r="722" spans="3:8">
      <c r="C722" s="512">
        <v>45630</v>
      </c>
      <c r="D722" s="119" t="s">
        <v>2482</v>
      </c>
      <c r="E722" s="119"/>
      <c r="F722" s="119">
        <v>8001</v>
      </c>
      <c r="G722" s="109">
        <f t="shared" si="8"/>
        <v>1609688.85</v>
      </c>
    </row>
    <row r="723" spans="3:8">
      <c r="C723" s="512">
        <v>45630</v>
      </c>
      <c r="D723" s="119" t="s">
        <v>2483</v>
      </c>
      <c r="E723" s="119"/>
      <c r="F723" s="119">
        <v>1760</v>
      </c>
      <c r="G723" s="109">
        <f t="shared" si="8"/>
        <v>1607928.85</v>
      </c>
      <c r="H723" t="s">
        <v>2597</v>
      </c>
    </row>
    <row r="724" spans="3:8">
      <c r="C724" s="512">
        <v>45630</v>
      </c>
      <c r="D724" s="119" t="s">
        <v>2483</v>
      </c>
      <c r="E724" s="119"/>
      <c r="F724" s="119">
        <v>620</v>
      </c>
      <c r="G724" s="109">
        <f t="shared" si="8"/>
        <v>1607308.85</v>
      </c>
    </row>
    <row r="725" spans="3:8">
      <c r="C725" s="512">
        <v>45630</v>
      </c>
      <c r="D725" s="119" t="s">
        <v>2484</v>
      </c>
      <c r="E725" s="119"/>
      <c r="F725" s="119">
        <v>1727</v>
      </c>
      <c r="G725" s="109">
        <f t="shared" si="8"/>
        <v>1605581.85</v>
      </c>
    </row>
    <row r="726" spans="3:8">
      <c r="C726" s="512">
        <v>45630</v>
      </c>
      <c r="D726" s="119" t="s">
        <v>2483</v>
      </c>
      <c r="E726" s="119"/>
      <c r="F726" s="119">
        <v>450</v>
      </c>
      <c r="G726" s="109">
        <f t="shared" si="8"/>
        <v>1605131.85</v>
      </c>
      <c r="H726" t="s">
        <v>2597</v>
      </c>
    </row>
    <row r="727" spans="3:8">
      <c r="C727" s="512">
        <v>45630</v>
      </c>
      <c r="D727" s="119" t="s">
        <v>2485</v>
      </c>
      <c r="E727" s="119"/>
      <c r="F727" s="119">
        <v>2500</v>
      </c>
      <c r="G727" s="109">
        <f t="shared" si="8"/>
        <v>1602631.85</v>
      </c>
      <c r="H727" t="s">
        <v>2597</v>
      </c>
    </row>
    <row r="728" spans="3:8">
      <c r="C728" s="512">
        <v>45631</v>
      </c>
      <c r="D728" s="119" t="s">
        <v>2486</v>
      </c>
      <c r="E728" s="119">
        <v>6000</v>
      </c>
      <c r="F728" s="119"/>
      <c r="G728" s="109">
        <f t="shared" si="8"/>
        <v>1608631.85</v>
      </c>
      <c r="H728" t="s">
        <v>2597</v>
      </c>
    </row>
    <row r="729" spans="3:8">
      <c r="C729" s="512">
        <v>45631</v>
      </c>
      <c r="D729" s="119" t="s">
        <v>2487</v>
      </c>
      <c r="E729" s="119"/>
      <c r="F729" s="119">
        <v>6680</v>
      </c>
      <c r="G729" s="109">
        <f t="shared" si="8"/>
        <v>1601951.85</v>
      </c>
    </row>
    <row r="730" spans="3:8">
      <c r="C730" s="40">
        <v>45635</v>
      </c>
      <c r="D730" s="17" t="s">
        <v>2207</v>
      </c>
      <c r="E730" s="17"/>
      <c r="F730" s="17">
        <v>500</v>
      </c>
      <c r="G730" s="109">
        <f t="shared" si="8"/>
        <v>1601451.85</v>
      </c>
    </row>
    <row r="731" spans="3:8">
      <c r="C731" s="512">
        <v>45635</v>
      </c>
      <c r="D731" s="119" t="s">
        <v>2488</v>
      </c>
      <c r="E731" s="119"/>
      <c r="F731" s="119">
        <v>10000</v>
      </c>
      <c r="G731" s="109">
        <f t="shared" si="8"/>
        <v>1591451.85</v>
      </c>
      <c r="H731" t="s">
        <v>2597</v>
      </c>
    </row>
    <row r="732" spans="3:8">
      <c r="C732" s="512">
        <v>45635</v>
      </c>
      <c r="D732" s="119" t="s">
        <v>2489</v>
      </c>
      <c r="E732" s="119"/>
      <c r="F732" s="119">
        <v>1600</v>
      </c>
      <c r="G732" s="109">
        <f t="shared" si="8"/>
        <v>1589851.85</v>
      </c>
      <c r="H732" t="s">
        <v>2597</v>
      </c>
    </row>
    <row r="733" spans="3:8">
      <c r="C733" s="512">
        <v>45635</v>
      </c>
      <c r="D733" s="119" t="s">
        <v>2490</v>
      </c>
      <c r="E733" s="119"/>
      <c r="F733" s="119">
        <v>1500</v>
      </c>
      <c r="G733" s="109">
        <f t="shared" si="8"/>
        <v>1588351.85</v>
      </c>
      <c r="H733" t="s">
        <v>2597</v>
      </c>
    </row>
    <row r="734" spans="3:8">
      <c r="C734" s="40">
        <v>45635</v>
      </c>
      <c r="D734" s="17" t="s">
        <v>2014</v>
      </c>
      <c r="E734" s="17"/>
      <c r="F734" s="17">
        <v>113</v>
      </c>
      <c r="G734" s="109">
        <f t="shared" si="8"/>
        <v>1588238.85</v>
      </c>
    </row>
    <row r="735" spans="3:8">
      <c r="C735" s="512">
        <v>45635</v>
      </c>
      <c r="D735" s="119" t="s">
        <v>2491</v>
      </c>
      <c r="E735" s="119"/>
      <c r="F735" s="119">
        <v>138000</v>
      </c>
      <c r="G735" s="109">
        <f t="shared" si="8"/>
        <v>1450238.85</v>
      </c>
    </row>
    <row r="736" spans="3:8">
      <c r="C736" s="40">
        <v>45635</v>
      </c>
      <c r="D736" s="17" t="s">
        <v>1833</v>
      </c>
      <c r="E736" s="17"/>
      <c r="F736" s="17">
        <v>450000</v>
      </c>
      <c r="G736" s="109">
        <f t="shared" si="8"/>
        <v>1000238.8500000001</v>
      </c>
    </row>
    <row r="737" spans="3:8">
      <c r="C737" s="512">
        <v>45636</v>
      </c>
      <c r="D737" s="119" t="s">
        <v>2492</v>
      </c>
      <c r="E737" s="119"/>
      <c r="F737" s="119">
        <v>10000</v>
      </c>
      <c r="G737" s="109">
        <f t="shared" si="8"/>
        <v>990238.85000000009</v>
      </c>
    </row>
    <row r="738" spans="3:8">
      <c r="C738" s="40">
        <v>45636</v>
      </c>
      <c r="D738" s="17" t="s">
        <v>2493</v>
      </c>
      <c r="E738" s="17"/>
      <c r="F738" s="17">
        <v>1.5</v>
      </c>
      <c r="G738" s="109">
        <f t="shared" si="8"/>
        <v>990237.35000000009</v>
      </c>
    </row>
    <row r="739" spans="3:8">
      <c r="C739" s="512">
        <v>45636</v>
      </c>
      <c r="D739" s="119" t="s">
        <v>2494</v>
      </c>
      <c r="E739" s="119"/>
      <c r="F739" s="119">
        <v>16000</v>
      </c>
      <c r="G739" s="109">
        <f t="shared" si="8"/>
        <v>974237.35000000009</v>
      </c>
    </row>
    <row r="740" spans="3:8">
      <c r="C740" s="512">
        <v>45636</v>
      </c>
      <c r="D740" s="119" t="s">
        <v>2494</v>
      </c>
      <c r="E740" s="119"/>
      <c r="F740" s="119">
        <v>10000</v>
      </c>
      <c r="G740" s="109">
        <f t="shared" si="8"/>
        <v>964237.35000000009</v>
      </c>
    </row>
    <row r="741" spans="3:8">
      <c r="C741" s="40">
        <v>45637</v>
      </c>
      <c r="D741" s="17" t="s">
        <v>2495</v>
      </c>
      <c r="E741" s="17">
        <v>19770</v>
      </c>
      <c r="F741" s="17"/>
      <c r="G741" s="109">
        <f t="shared" si="8"/>
        <v>984007.35000000009</v>
      </c>
    </row>
    <row r="742" spans="3:8">
      <c r="C742" s="512">
        <v>45638</v>
      </c>
      <c r="D742" s="119" t="s">
        <v>2103</v>
      </c>
      <c r="E742" s="119"/>
      <c r="F742" s="119">
        <v>25000</v>
      </c>
      <c r="G742" s="109">
        <f t="shared" si="8"/>
        <v>959007.35000000009</v>
      </c>
      <c r="H742" t="s">
        <v>2656</v>
      </c>
    </row>
    <row r="743" spans="3:8">
      <c r="C743" s="40">
        <v>45638</v>
      </c>
      <c r="D743" s="17" t="s">
        <v>2496</v>
      </c>
      <c r="E743" s="17"/>
      <c r="F743" s="17">
        <v>443700</v>
      </c>
      <c r="G743" s="109">
        <f t="shared" si="8"/>
        <v>515307.35000000009</v>
      </c>
      <c r="H743" t="s">
        <v>2656</v>
      </c>
    </row>
    <row r="744" spans="3:8">
      <c r="C744" s="40">
        <v>45639</v>
      </c>
      <c r="D744" s="17" t="s">
        <v>2107</v>
      </c>
      <c r="E744" s="17"/>
      <c r="F744" s="17">
        <v>101.3</v>
      </c>
      <c r="G744" s="109">
        <f t="shared" si="8"/>
        <v>515206.0500000001</v>
      </c>
    </row>
    <row r="745" spans="3:8">
      <c r="C745" s="40">
        <v>45639</v>
      </c>
      <c r="D745" s="17" t="s">
        <v>1840</v>
      </c>
      <c r="E745" s="17"/>
      <c r="F745" s="17">
        <v>803.95</v>
      </c>
      <c r="G745" s="109">
        <f t="shared" si="8"/>
        <v>514402.10000000009</v>
      </c>
    </row>
    <row r="746" spans="3:8">
      <c r="C746" s="512">
        <v>45640</v>
      </c>
      <c r="D746" s="119" t="s">
        <v>2497</v>
      </c>
      <c r="E746" s="119"/>
      <c r="F746" s="119">
        <v>25000</v>
      </c>
      <c r="G746" s="109">
        <f t="shared" si="8"/>
        <v>489402.10000000009</v>
      </c>
    </row>
    <row r="747" spans="3:8">
      <c r="C747" s="40">
        <v>45642</v>
      </c>
      <c r="D747" s="17" t="s">
        <v>1838</v>
      </c>
      <c r="E747" s="17"/>
      <c r="F747" s="17">
        <v>1076</v>
      </c>
      <c r="G747" s="109">
        <f t="shared" si="8"/>
        <v>488326.10000000009</v>
      </c>
    </row>
    <row r="748" spans="3:8">
      <c r="C748" s="40">
        <v>45642</v>
      </c>
      <c r="D748" s="17" t="s">
        <v>2207</v>
      </c>
      <c r="E748" s="17"/>
      <c r="F748" s="17">
        <v>200</v>
      </c>
      <c r="G748" s="109">
        <f t="shared" si="8"/>
        <v>488126.10000000009</v>
      </c>
      <c r="H748" t="s">
        <v>2597</v>
      </c>
    </row>
    <row r="749" spans="3:8">
      <c r="C749" s="512">
        <v>45642</v>
      </c>
      <c r="D749" s="119" t="s">
        <v>2492</v>
      </c>
      <c r="E749" s="119"/>
      <c r="F749" s="119">
        <v>15000</v>
      </c>
      <c r="G749" s="109">
        <f t="shared" si="8"/>
        <v>473126.10000000009</v>
      </c>
    </row>
    <row r="750" spans="3:8">
      <c r="C750" s="512">
        <v>45642</v>
      </c>
      <c r="D750" s="119" t="s">
        <v>2492</v>
      </c>
      <c r="E750" s="119"/>
      <c r="F750" s="119">
        <v>15000</v>
      </c>
      <c r="G750" s="109">
        <f t="shared" si="8"/>
        <v>458126.10000000009</v>
      </c>
    </row>
    <row r="751" spans="3:8">
      <c r="C751" s="40">
        <v>45644</v>
      </c>
      <c r="D751" s="17" t="s">
        <v>2503</v>
      </c>
      <c r="E751" s="17"/>
      <c r="F751" s="17">
        <v>25000</v>
      </c>
      <c r="G751" s="109">
        <f t="shared" si="8"/>
        <v>433126.10000000009</v>
      </c>
    </row>
    <row r="752" spans="3:8">
      <c r="C752" s="40">
        <v>45644</v>
      </c>
      <c r="D752" s="17" t="s">
        <v>2504</v>
      </c>
      <c r="E752" s="17">
        <v>25000</v>
      </c>
      <c r="F752" s="17"/>
      <c r="G752" s="109">
        <f t="shared" ref="G752:G824" si="9">G751+E752-F752</f>
        <v>458126.10000000009</v>
      </c>
    </row>
    <row r="753" spans="3:8">
      <c r="C753" s="512">
        <v>45644</v>
      </c>
      <c r="D753" s="119" t="s">
        <v>2505</v>
      </c>
      <c r="E753" s="119"/>
      <c r="F753" s="119">
        <v>5000</v>
      </c>
      <c r="G753" s="109">
        <f t="shared" si="9"/>
        <v>453126.10000000009</v>
      </c>
    </row>
    <row r="754" spans="3:8">
      <c r="C754" s="512">
        <v>45644</v>
      </c>
      <c r="D754" s="119" t="s">
        <v>2506</v>
      </c>
      <c r="E754" s="119"/>
      <c r="F754" s="119">
        <v>20000</v>
      </c>
      <c r="G754" s="109">
        <f t="shared" si="9"/>
        <v>433126.10000000009</v>
      </c>
    </row>
    <row r="755" spans="3:8">
      <c r="C755" s="512">
        <v>45644</v>
      </c>
      <c r="D755" s="119" t="s">
        <v>2507</v>
      </c>
      <c r="E755" s="119"/>
      <c r="F755" s="119">
        <v>25000</v>
      </c>
      <c r="G755" s="109">
        <f t="shared" si="9"/>
        <v>408126.10000000009</v>
      </c>
      <c r="H755" t="s">
        <v>2597</v>
      </c>
    </row>
    <row r="756" spans="3:8">
      <c r="C756" s="512">
        <v>45645</v>
      </c>
      <c r="D756" s="119" t="s">
        <v>1833</v>
      </c>
      <c r="E756" s="119"/>
      <c r="F756" s="119">
        <v>200000</v>
      </c>
      <c r="G756" s="109">
        <f t="shared" si="9"/>
        <v>208126.10000000009</v>
      </c>
      <c r="H756" t="s">
        <v>2597</v>
      </c>
    </row>
    <row r="757" spans="3:8">
      <c r="C757" s="40">
        <v>45645</v>
      </c>
      <c r="D757" s="17" t="s">
        <v>2376</v>
      </c>
      <c r="E757" s="17"/>
      <c r="F757" s="17">
        <v>10994</v>
      </c>
      <c r="G757" s="109">
        <f t="shared" si="9"/>
        <v>197132.10000000009</v>
      </c>
    </row>
    <row r="758" spans="3:8">
      <c r="C758" s="40">
        <v>45645</v>
      </c>
      <c r="D758" s="17" t="s">
        <v>2376</v>
      </c>
      <c r="E758" s="17"/>
      <c r="F758" s="17">
        <v>4479</v>
      </c>
      <c r="G758" s="109">
        <f t="shared" si="9"/>
        <v>192653.10000000009</v>
      </c>
      <c r="H758" t="s">
        <v>2597</v>
      </c>
    </row>
    <row r="759" spans="3:8">
      <c r="C759" s="512">
        <v>45645</v>
      </c>
      <c r="D759" s="119" t="s">
        <v>2492</v>
      </c>
      <c r="E759" s="119"/>
      <c r="F759" s="119">
        <v>30000</v>
      </c>
      <c r="G759" s="109">
        <f t="shared" si="9"/>
        <v>162653.10000000009</v>
      </c>
    </row>
    <row r="760" spans="3:8">
      <c r="C760" s="40">
        <v>45646</v>
      </c>
      <c r="D760" s="17" t="s">
        <v>1748</v>
      </c>
      <c r="E760" s="17"/>
      <c r="F760" s="17">
        <v>1299</v>
      </c>
      <c r="G760" s="109">
        <f t="shared" si="9"/>
        <v>161354.10000000009</v>
      </c>
      <c r="H760" t="s">
        <v>2597</v>
      </c>
    </row>
    <row r="761" spans="3:8">
      <c r="C761" s="512">
        <v>45652</v>
      </c>
      <c r="D761" s="119" t="s">
        <v>2492</v>
      </c>
      <c r="E761" s="119"/>
      <c r="F761" s="119">
        <v>15000</v>
      </c>
      <c r="G761" s="109">
        <f t="shared" si="9"/>
        <v>146354.10000000009</v>
      </c>
      <c r="H761" t="s">
        <v>2597</v>
      </c>
    </row>
    <row r="762" spans="3:8">
      <c r="C762" s="40">
        <v>45652</v>
      </c>
      <c r="D762" s="17" t="s">
        <v>2508</v>
      </c>
      <c r="E762" s="17"/>
      <c r="F762" s="17">
        <v>74874</v>
      </c>
      <c r="G762" s="109">
        <f t="shared" si="9"/>
        <v>71480.100000000093</v>
      </c>
    </row>
    <row r="763" spans="3:8">
      <c r="C763" s="512">
        <v>45653</v>
      </c>
      <c r="D763" s="119" t="s">
        <v>2509</v>
      </c>
      <c r="E763" s="119"/>
      <c r="F763" s="119">
        <v>16200</v>
      </c>
      <c r="G763" s="109">
        <f t="shared" si="9"/>
        <v>55280.100000000093</v>
      </c>
    </row>
    <row r="764" spans="3:8">
      <c r="C764" s="40">
        <v>45656</v>
      </c>
      <c r="D764" s="17" t="s">
        <v>2510</v>
      </c>
      <c r="E764" s="17"/>
      <c r="F764" s="17">
        <v>1600</v>
      </c>
      <c r="G764" s="109">
        <f t="shared" si="9"/>
        <v>53680.100000000093</v>
      </c>
    </row>
    <row r="765" spans="3:8">
      <c r="C765" s="512">
        <v>45656</v>
      </c>
      <c r="D765" s="119" t="s">
        <v>2511</v>
      </c>
      <c r="E765" s="119"/>
      <c r="F765" s="119">
        <v>20000</v>
      </c>
      <c r="G765" s="109">
        <f t="shared" si="9"/>
        <v>33680.100000000093</v>
      </c>
    </row>
    <row r="766" spans="3:8">
      <c r="C766" s="40">
        <v>45656</v>
      </c>
      <c r="D766" s="17" t="s">
        <v>2512</v>
      </c>
      <c r="E766" s="17">
        <v>372000</v>
      </c>
      <c r="F766" s="17"/>
      <c r="G766" s="109">
        <f t="shared" si="9"/>
        <v>405680.10000000009</v>
      </c>
    </row>
    <row r="767" spans="3:8">
      <c r="C767" s="512">
        <v>45657</v>
      </c>
      <c r="D767" s="119" t="s">
        <v>2513</v>
      </c>
      <c r="E767" s="119"/>
      <c r="F767" s="119">
        <v>50000</v>
      </c>
      <c r="G767" s="109">
        <f t="shared" si="9"/>
        <v>355680.10000000009</v>
      </c>
    </row>
    <row r="768" spans="3:8">
      <c r="C768" s="40">
        <v>45657</v>
      </c>
      <c r="D768" s="17" t="s">
        <v>2487</v>
      </c>
      <c r="E768" s="17"/>
      <c r="F768" s="17">
        <v>3320</v>
      </c>
      <c r="G768" s="109">
        <f t="shared" si="9"/>
        <v>352360.10000000009</v>
      </c>
    </row>
    <row r="769" spans="3:8">
      <c r="C769" s="40">
        <v>45657</v>
      </c>
      <c r="D769" s="17" t="s">
        <v>2487</v>
      </c>
      <c r="E769" s="17"/>
      <c r="F769" s="17">
        <v>3320</v>
      </c>
      <c r="G769" s="109">
        <f t="shared" si="9"/>
        <v>349040.10000000009</v>
      </c>
    </row>
    <row r="770" spans="3:8">
      <c r="C770" s="40">
        <v>45657</v>
      </c>
      <c r="D770" s="17" t="s">
        <v>2487</v>
      </c>
      <c r="E770" s="17">
        <v>3320</v>
      </c>
      <c r="F770" s="17"/>
      <c r="G770" s="109">
        <f t="shared" si="9"/>
        <v>352360.10000000009</v>
      </c>
    </row>
    <row r="771" spans="3:8">
      <c r="C771" s="512">
        <v>45657</v>
      </c>
      <c r="D771" s="119" t="s">
        <v>2514</v>
      </c>
      <c r="E771" s="119"/>
      <c r="F771" s="119">
        <v>50000</v>
      </c>
      <c r="G771" s="109">
        <f t="shared" si="9"/>
        <v>302360.10000000009</v>
      </c>
    </row>
    <row r="772" spans="3:8">
      <c r="C772" s="512">
        <v>45659</v>
      </c>
      <c r="D772" s="119" t="s">
        <v>2515</v>
      </c>
      <c r="E772" s="119"/>
      <c r="F772" s="119">
        <v>500</v>
      </c>
      <c r="G772" s="109">
        <f t="shared" si="9"/>
        <v>301860.10000000009</v>
      </c>
    </row>
    <row r="773" spans="3:8">
      <c r="C773" s="40">
        <v>45663</v>
      </c>
      <c r="D773" s="17" t="s">
        <v>2386</v>
      </c>
      <c r="E773" s="17">
        <v>374000</v>
      </c>
      <c r="F773" s="17"/>
      <c r="G773" s="109">
        <f t="shared" si="9"/>
        <v>675860.10000000009</v>
      </c>
    </row>
    <row r="774" spans="3:8">
      <c r="C774" s="512">
        <v>45663</v>
      </c>
      <c r="D774" s="119" t="s">
        <v>2569</v>
      </c>
      <c r="E774" s="119"/>
      <c r="F774" s="119">
        <v>57018.27</v>
      </c>
      <c r="G774" s="109">
        <f t="shared" si="9"/>
        <v>618841.83000000007</v>
      </c>
    </row>
    <row r="775" spans="3:8">
      <c r="C775" s="512">
        <v>45663</v>
      </c>
      <c r="D775" s="119" t="s">
        <v>2570</v>
      </c>
      <c r="E775" s="119"/>
      <c r="F775" s="119">
        <v>593940.31999999995</v>
      </c>
      <c r="G775" s="109">
        <f t="shared" si="9"/>
        <v>24901.510000000126</v>
      </c>
      <c r="H775" t="s">
        <v>2597</v>
      </c>
    </row>
    <row r="776" spans="3:8">
      <c r="C776" s="40">
        <v>45663</v>
      </c>
      <c r="D776" s="17" t="s">
        <v>2571</v>
      </c>
      <c r="E776" s="17">
        <v>99000</v>
      </c>
      <c r="F776" s="17"/>
      <c r="G776" s="109">
        <f t="shared" si="9"/>
        <v>123901.51000000013</v>
      </c>
    </row>
    <row r="777" spans="3:8">
      <c r="C777" s="40">
        <v>45663</v>
      </c>
      <c r="D777" s="17" t="s">
        <v>2572</v>
      </c>
      <c r="E777" s="17">
        <v>270000</v>
      </c>
      <c r="F777" s="17"/>
      <c r="G777" s="109">
        <f t="shared" si="9"/>
        <v>393901.51000000013</v>
      </c>
    </row>
    <row r="778" spans="3:8">
      <c r="C778" s="40">
        <v>45663</v>
      </c>
      <c r="D778" s="17" t="s">
        <v>2573</v>
      </c>
      <c r="E778" s="17">
        <v>224000</v>
      </c>
      <c r="F778" s="17"/>
      <c r="G778" s="109">
        <f t="shared" si="9"/>
        <v>617901.51000000013</v>
      </c>
      <c r="H778" t="s">
        <v>2597</v>
      </c>
    </row>
    <row r="779" spans="3:8">
      <c r="C779" s="512">
        <v>45664</v>
      </c>
      <c r="D779" s="119" t="s">
        <v>2574</v>
      </c>
      <c r="E779" s="119"/>
      <c r="F779" s="119">
        <v>177000</v>
      </c>
      <c r="G779" s="109">
        <f t="shared" si="9"/>
        <v>440901.51000000013</v>
      </c>
    </row>
    <row r="780" spans="3:8">
      <c r="C780" s="512">
        <v>45664</v>
      </c>
      <c r="D780" s="119" t="s">
        <v>2488</v>
      </c>
      <c r="E780" s="119"/>
      <c r="F780" s="119">
        <v>20000</v>
      </c>
      <c r="G780" s="109">
        <f t="shared" si="9"/>
        <v>420901.51000000013</v>
      </c>
    </row>
    <row r="781" spans="3:8">
      <c r="C781" s="40">
        <v>45664</v>
      </c>
      <c r="D781" s="17" t="s">
        <v>2575</v>
      </c>
      <c r="E781" s="17">
        <v>274891.51</v>
      </c>
      <c r="F781" s="17"/>
      <c r="G781" s="109">
        <f t="shared" si="9"/>
        <v>695793.02000000014</v>
      </c>
    </row>
    <row r="782" spans="3:8">
      <c r="C782" s="40">
        <v>45664</v>
      </c>
      <c r="D782" s="17" t="s">
        <v>2573</v>
      </c>
      <c r="E782" s="17">
        <v>150000</v>
      </c>
      <c r="F782" s="17"/>
      <c r="G782" s="109">
        <f t="shared" si="9"/>
        <v>845793.02000000014</v>
      </c>
    </row>
    <row r="783" spans="3:8">
      <c r="C783" s="40">
        <v>45664</v>
      </c>
      <c r="D783" s="17" t="s">
        <v>2576</v>
      </c>
      <c r="E783" s="17">
        <v>103000</v>
      </c>
      <c r="F783" s="17"/>
      <c r="G783" s="109">
        <f t="shared" si="9"/>
        <v>948793.02000000014</v>
      </c>
    </row>
    <row r="784" spans="3:8">
      <c r="C784" s="512">
        <v>45665</v>
      </c>
      <c r="D784" s="119" t="s">
        <v>2577</v>
      </c>
      <c r="E784" s="119"/>
      <c r="F784" s="119">
        <v>16000</v>
      </c>
      <c r="G784" s="109">
        <f t="shared" si="9"/>
        <v>932793.02000000014</v>
      </c>
    </row>
    <row r="785" spans="3:8">
      <c r="C785" s="512">
        <v>45665</v>
      </c>
      <c r="D785" s="119" t="s">
        <v>2577</v>
      </c>
      <c r="E785" s="119"/>
      <c r="F785" s="119">
        <v>13200</v>
      </c>
      <c r="G785" s="109">
        <f t="shared" si="9"/>
        <v>919593.02000000014</v>
      </c>
    </row>
    <row r="786" spans="3:8">
      <c r="C786" s="40">
        <v>45665</v>
      </c>
      <c r="D786" s="17" t="s">
        <v>2578</v>
      </c>
      <c r="E786" s="17"/>
      <c r="F786" s="17">
        <v>100000</v>
      </c>
      <c r="G786" s="109">
        <f t="shared" si="9"/>
        <v>819593.02000000014</v>
      </c>
      <c r="H786" t="s">
        <v>2656</v>
      </c>
    </row>
    <row r="787" spans="3:8">
      <c r="C787" s="512">
        <v>45665</v>
      </c>
      <c r="D787" s="119" t="s">
        <v>2579</v>
      </c>
      <c r="E787" s="119"/>
      <c r="F787" s="119">
        <v>1076</v>
      </c>
      <c r="G787" s="109">
        <f t="shared" si="9"/>
        <v>818517.02000000014</v>
      </c>
      <c r="H787" t="s">
        <v>2657</v>
      </c>
    </row>
    <row r="788" spans="3:8">
      <c r="C788" s="512">
        <v>45666</v>
      </c>
      <c r="D788" s="119" t="s">
        <v>2481</v>
      </c>
      <c r="E788" s="119"/>
      <c r="F788" s="119">
        <v>6000</v>
      </c>
      <c r="G788" s="109">
        <f t="shared" si="9"/>
        <v>812517.02000000014</v>
      </c>
      <c r="H788" t="s">
        <v>2597</v>
      </c>
    </row>
    <row r="789" spans="3:8">
      <c r="C789" s="512">
        <v>45666</v>
      </c>
      <c r="D789" s="119" t="s">
        <v>2481</v>
      </c>
      <c r="E789" s="119"/>
      <c r="F789" s="119">
        <v>6000</v>
      </c>
      <c r="G789" s="109">
        <f t="shared" si="9"/>
        <v>806517.02000000014</v>
      </c>
    </row>
    <row r="790" spans="3:8">
      <c r="C790" s="512">
        <v>45666</v>
      </c>
      <c r="D790" s="119" t="s">
        <v>2580</v>
      </c>
      <c r="E790" s="119"/>
      <c r="F790" s="119">
        <v>20000</v>
      </c>
      <c r="G790" s="109">
        <f t="shared" si="9"/>
        <v>786517.02000000014</v>
      </c>
    </row>
    <row r="791" spans="3:8">
      <c r="C791" s="512">
        <v>45666</v>
      </c>
      <c r="D791" s="119" t="s">
        <v>2580</v>
      </c>
      <c r="E791" s="119"/>
      <c r="F791" s="119">
        <v>7000</v>
      </c>
      <c r="G791" s="109">
        <f t="shared" si="9"/>
        <v>779517.02000000014</v>
      </c>
    </row>
    <row r="792" spans="3:8">
      <c r="C792" s="512">
        <v>45666</v>
      </c>
      <c r="D792" s="119" t="s">
        <v>2581</v>
      </c>
      <c r="E792" s="119"/>
      <c r="F792" s="119">
        <v>100000</v>
      </c>
      <c r="G792" s="109">
        <f t="shared" si="9"/>
        <v>679517.02000000014</v>
      </c>
    </row>
    <row r="793" spans="3:8">
      <c r="C793" s="512">
        <v>45666</v>
      </c>
      <c r="D793" s="119" t="s">
        <v>2581</v>
      </c>
      <c r="E793" s="119"/>
      <c r="F793" s="119">
        <v>100000</v>
      </c>
      <c r="G793" s="109">
        <f t="shared" si="9"/>
        <v>579517.02000000014</v>
      </c>
    </row>
    <row r="794" spans="3:8">
      <c r="C794" s="512">
        <v>45666</v>
      </c>
      <c r="D794" s="119" t="s">
        <v>2582</v>
      </c>
      <c r="E794" s="119"/>
      <c r="F794" s="119">
        <v>4500</v>
      </c>
      <c r="G794" s="109">
        <f t="shared" si="9"/>
        <v>575017.02000000014</v>
      </c>
    </row>
    <row r="795" spans="3:8">
      <c r="C795" s="512">
        <v>45666</v>
      </c>
      <c r="D795" s="119" t="s">
        <v>2583</v>
      </c>
      <c r="E795" s="119"/>
      <c r="F795" s="119">
        <v>10000</v>
      </c>
      <c r="G795" s="109">
        <f t="shared" si="9"/>
        <v>565017.02000000014</v>
      </c>
    </row>
    <row r="796" spans="3:8">
      <c r="C796" s="40">
        <v>45667</v>
      </c>
      <c r="D796" s="17" t="s">
        <v>2584</v>
      </c>
      <c r="E796" s="17">
        <v>55000</v>
      </c>
      <c r="F796" s="17"/>
      <c r="G796" s="109">
        <f t="shared" si="9"/>
        <v>620017.02000000014</v>
      </c>
    </row>
    <row r="797" spans="3:8">
      <c r="C797" s="512">
        <v>45667</v>
      </c>
      <c r="D797" s="119" t="s">
        <v>2574</v>
      </c>
      <c r="E797" s="119"/>
      <c r="F797" s="119">
        <v>20000</v>
      </c>
      <c r="G797" s="109">
        <f t="shared" si="9"/>
        <v>600017.02000000014</v>
      </c>
    </row>
    <row r="798" spans="3:8">
      <c r="C798" s="40">
        <v>45667</v>
      </c>
      <c r="D798" s="17" t="s">
        <v>2585</v>
      </c>
      <c r="E798" s="17">
        <v>150000</v>
      </c>
      <c r="F798" s="17"/>
      <c r="G798" s="109">
        <f t="shared" si="9"/>
        <v>750017.02000000014</v>
      </c>
    </row>
    <row r="799" spans="3:8">
      <c r="C799" s="512">
        <v>45667</v>
      </c>
      <c r="D799" s="119" t="s">
        <v>2586</v>
      </c>
      <c r="E799" s="119"/>
      <c r="F799" s="119">
        <v>7729</v>
      </c>
      <c r="G799" s="109">
        <f t="shared" si="9"/>
        <v>742288.02000000014</v>
      </c>
    </row>
    <row r="800" spans="3:8">
      <c r="C800" s="512">
        <v>45667</v>
      </c>
      <c r="D800" s="119" t="s">
        <v>2587</v>
      </c>
      <c r="E800" s="119"/>
      <c r="F800" s="119">
        <v>3788</v>
      </c>
      <c r="G800" s="109">
        <f t="shared" si="9"/>
        <v>738500.02000000014</v>
      </c>
      <c r="H800" t="s">
        <v>2658</v>
      </c>
    </row>
    <row r="801" spans="3:8">
      <c r="C801" s="512">
        <v>45667</v>
      </c>
      <c r="D801" s="119" t="s">
        <v>2588</v>
      </c>
      <c r="E801" s="119"/>
      <c r="F801" s="119">
        <v>1767.48</v>
      </c>
      <c r="G801" s="109">
        <f t="shared" si="9"/>
        <v>736732.54000000015</v>
      </c>
    </row>
    <row r="802" spans="3:8">
      <c r="C802" s="512">
        <v>45667</v>
      </c>
      <c r="D802" s="119" t="s">
        <v>2589</v>
      </c>
      <c r="E802" s="119"/>
      <c r="F802" s="119">
        <v>18411.16</v>
      </c>
      <c r="G802" s="109">
        <f t="shared" si="9"/>
        <v>718321.38000000012</v>
      </c>
    </row>
    <row r="803" spans="3:8">
      <c r="C803" s="512">
        <v>45667</v>
      </c>
      <c r="D803" s="119" t="s">
        <v>2590</v>
      </c>
      <c r="E803" s="119"/>
      <c r="F803" s="119">
        <v>1799.14</v>
      </c>
      <c r="G803" s="109">
        <f t="shared" si="9"/>
        <v>716522.24000000011</v>
      </c>
    </row>
    <row r="804" spans="3:8">
      <c r="C804" s="512">
        <v>45667</v>
      </c>
      <c r="D804" s="119" t="s">
        <v>2591</v>
      </c>
      <c r="E804" s="119"/>
      <c r="F804" s="119">
        <v>18741.03</v>
      </c>
      <c r="G804" s="109">
        <f t="shared" si="9"/>
        <v>697781.21000000008</v>
      </c>
    </row>
    <row r="805" spans="3:8">
      <c r="C805" s="40">
        <v>45667</v>
      </c>
      <c r="D805" s="17" t="s">
        <v>2592</v>
      </c>
      <c r="E805" s="17">
        <v>200000</v>
      </c>
      <c r="F805" s="17"/>
      <c r="G805" s="109">
        <f t="shared" si="9"/>
        <v>897781.21000000008</v>
      </c>
    </row>
    <row r="806" spans="3:8">
      <c r="C806" s="40">
        <v>45667</v>
      </c>
      <c r="D806" s="17" t="s">
        <v>2593</v>
      </c>
      <c r="E806" s="17">
        <v>250000</v>
      </c>
      <c r="F806" s="17"/>
      <c r="G806" s="109">
        <f t="shared" si="9"/>
        <v>1147781.21</v>
      </c>
    </row>
    <row r="807" spans="3:8">
      <c r="C807" s="512">
        <v>45667</v>
      </c>
      <c r="D807" s="119" t="s">
        <v>2583</v>
      </c>
      <c r="E807" s="119"/>
      <c r="F807" s="119">
        <v>50000</v>
      </c>
      <c r="G807" s="109">
        <f t="shared" si="9"/>
        <v>1097781.21</v>
      </c>
    </row>
    <row r="808" spans="3:8">
      <c r="C808" s="40">
        <v>45667</v>
      </c>
      <c r="D808" s="17" t="s">
        <v>2594</v>
      </c>
      <c r="E808" s="17">
        <v>200000</v>
      </c>
      <c r="F808" s="17"/>
      <c r="G808" s="109">
        <f t="shared" si="9"/>
        <v>1297781.21</v>
      </c>
    </row>
    <row r="809" spans="3:8">
      <c r="C809" s="512">
        <v>45667</v>
      </c>
      <c r="D809" s="119" t="s">
        <v>2595</v>
      </c>
      <c r="E809" s="119"/>
      <c r="F809" s="119">
        <v>10000</v>
      </c>
      <c r="G809" s="109">
        <f t="shared" si="9"/>
        <v>1287781.21</v>
      </c>
    </row>
    <row r="810" spans="3:8">
      <c r="C810" s="40">
        <v>45667</v>
      </c>
      <c r="D810" s="17" t="s">
        <v>2596</v>
      </c>
      <c r="E810" s="17">
        <v>100000</v>
      </c>
      <c r="F810" s="17"/>
      <c r="G810" s="109">
        <f t="shared" si="9"/>
        <v>1387781.21</v>
      </c>
    </row>
    <row r="811" spans="3:8">
      <c r="C811" s="40">
        <v>45668</v>
      </c>
      <c r="D811" s="17" t="s">
        <v>2608</v>
      </c>
      <c r="E811" s="17">
        <v>110000</v>
      </c>
      <c r="F811" s="17"/>
      <c r="G811" s="109">
        <f t="shared" si="9"/>
        <v>1497781.21</v>
      </c>
    </row>
    <row r="812" spans="3:8">
      <c r="C812" s="40">
        <v>45670</v>
      </c>
      <c r="D812" s="17" t="s">
        <v>2610</v>
      </c>
      <c r="E812" s="17"/>
      <c r="F812" s="17">
        <v>23.44</v>
      </c>
      <c r="G812" s="109">
        <f t="shared" si="9"/>
        <v>1497757.77</v>
      </c>
    </row>
    <row r="813" spans="3:8">
      <c r="C813" s="512">
        <v>45670</v>
      </c>
      <c r="D813" s="119" t="s">
        <v>2609</v>
      </c>
      <c r="E813" s="119"/>
      <c r="F813" s="119">
        <v>20000</v>
      </c>
      <c r="G813" s="109">
        <f t="shared" si="9"/>
        <v>1477757.77</v>
      </c>
    </row>
    <row r="814" spans="3:8">
      <c r="C814" s="40">
        <v>45670</v>
      </c>
      <c r="D814" s="17" t="s">
        <v>2610</v>
      </c>
      <c r="E814" s="17"/>
      <c r="F814" s="17">
        <v>23.44</v>
      </c>
      <c r="G814" s="109">
        <f t="shared" si="9"/>
        <v>1477734.33</v>
      </c>
    </row>
    <row r="815" spans="3:8">
      <c r="C815" s="512">
        <v>45670</v>
      </c>
      <c r="D815" s="119" t="s">
        <v>2609</v>
      </c>
      <c r="E815" s="119"/>
      <c r="F815" s="119">
        <v>20000</v>
      </c>
      <c r="G815" s="109">
        <f t="shared" si="9"/>
        <v>1457734.33</v>
      </c>
      <c r="H815" t="s">
        <v>2656</v>
      </c>
    </row>
    <row r="816" spans="3:8">
      <c r="C816" s="40">
        <v>45670</v>
      </c>
      <c r="D816" s="17" t="s">
        <v>2610</v>
      </c>
      <c r="E816" s="17"/>
      <c r="F816" s="17">
        <v>23.44</v>
      </c>
      <c r="G816" s="109">
        <f t="shared" si="9"/>
        <v>1457710.8900000001</v>
      </c>
      <c r="H816" t="s">
        <v>2656</v>
      </c>
    </row>
    <row r="817" spans="3:8">
      <c r="C817" s="512">
        <v>45670</v>
      </c>
      <c r="D817" s="119" t="s">
        <v>2609</v>
      </c>
      <c r="E817" s="119"/>
      <c r="F817" s="119">
        <v>20000</v>
      </c>
      <c r="G817" s="109">
        <f t="shared" si="9"/>
        <v>1437710.8900000001</v>
      </c>
      <c r="H817" t="s">
        <v>2656</v>
      </c>
    </row>
    <row r="818" spans="3:8">
      <c r="C818" s="40">
        <v>45670</v>
      </c>
      <c r="D818" s="17" t="s">
        <v>2610</v>
      </c>
      <c r="E818" s="17"/>
      <c r="F818" s="17">
        <v>23.44</v>
      </c>
      <c r="G818" s="109">
        <f t="shared" si="9"/>
        <v>1437687.4500000002</v>
      </c>
      <c r="H818" t="s">
        <v>2597</v>
      </c>
    </row>
    <row r="819" spans="3:8">
      <c r="C819" s="512">
        <v>45670</v>
      </c>
      <c r="D819" s="119" t="s">
        <v>2609</v>
      </c>
      <c r="E819" s="119"/>
      <c r="F819" s="119">
        <v>20000</v>
      </c>
      <c r="G819" s="109">
        <f t="shared" si="9"/>
        <v>1417687.4500000002</v>
      </c>
    </row>
    <row r="820" spans="3:8">
      <c r="C820" s="40">
        <v>45670</v>
      </c>
      <c r="D820" s="17" t="s">
        <v>2610</v>
      </c>
      <c r="E820" s="17"/>
      <c r="F820" s="17">
        <v>23.44</v>
      </c>
      <c r="G820" s="109">
        <f t="shared" si="9"/>
        <v>1417664.0100000002</v>
      </c>
      <c r="H820" t="s">
        <v>2597</v>
      </c>
    </row>
    <row r="821" spans="3:8">
      <c r="C821" s="512">
        <v>45670</v>
      </c>
      <c r="D821" s="119" t="s">
        <v>2609</v>
      </c>
      <c r="E821" s="119"/>
      <c r="F821" s="119">
        <v>20000</v>
      </c>
      <c r="G821" s="109">
        <f t="shared" si="9"/>
        <v>1397664.0100000002</v>
      </c>
      <c r="H821" t="s">
        <v>2656</v>
      </c>
    </row>
    <row r="822" spans="3:8">
      <c r="C822" s="40">
        <v>45670</v>
      </c>
      <c r="D822" s="17" t="s">
        <v>2611</v>
      </c>
      <c r="E822" s="17"/>
      <c r="F822" s="17">
        <v>101.09</v>
      </c>
      <c r="G822" s="109">
        <f t="shared" si="9"/>
        <v>1397562.9200000002</v>
      </c>
      <c r="H822" t="s">
        <v>2656</v>
      </c>
    </row>
    <row r="823" spans="3:8">
      <c r="C823" s="40">
        <v>45670</v>
      </c>
      <c r="D823" s="17" t="s">
        <v>2612</v>
      </c>
      <c r="E823" s="17"/>
      <c r="F823" s="17">
        <v>802.3</v>
      </c>
      <c r="G823" s="109">
        <f t="shared" si="9"/>
        <v>1396760.62</v>
      </c>
      <c r="H823" t="s">
        <v>2597</v>
      </c>
    </row>
    <row r="824" spans="3:8">
      <c r="C824" s="512">
        <v>45670</v>
      </c>
      <c r="D824" s="119" t="s">
        <v>2613</v>
      </c>
      <c r="E824" s="119"/>
      <c r="F824" s="119">
        <v>70000</v>
      </c>
      <c r="G824" s="109">
        <f t="shared" si="9"/>
        <v>1326760.6200000001</v>
      </c>
      <c r="H824" t="s">
        <v>2597</v>
      </c>
    </row>
    <row r="825" spans="3:8">
      <c r="C825" s="40">
        <v>45670</v>
      </c>
      <c r="D825" s="17" t="s">
        <v>2614</v>
      </c>
      <c r="E825" s="17">
        <v>254000</v>
      </c>
      <c r="F825" s="17"/>
      <c r="G825" s="109">
        <f t="shared" ref="G825:G892" si="10">G824+E825-F825</f>
        <v>1580760.62</v>
      </c>
      <c r="H825" t="s">
        <v>2597</v>
      </c>
    </row>
    <row r="826" spans="3:8">
      <c r="C826" s="512">
        <v>45670</v>
      </c>
      <c r="D826" s="119" t="s">
        <v>2615</v>
      </c>
      <c r="E826" s="119"/>
      <c r="F826" s="119">
        <v>6900</v>
      </c>
      <c r="G826" s="109">
        <f t="shared" si="10"/>
        <v>1573860.62</v>
      </c>
    </row>
    <row r="827" spans="3:8">
      <c r="C827" s="512">
        <v>45670</v>
      </c>
      <c r="D827" s="119" t="s">
        <v>2616</v>
      </c>
      <c r="E827" s="119"/>
      <c r="F827" s="119">
        <v>1500</v>
      </c>
      <c r="G827" s="109">
        <f t="shared" si="10"/>
        <v>1572360.62</v>
      </c>
    </row>
    <row r="828" spans="3:8">
      <c r="C828" s="40">
        <v>45671</v>
      </c>
      <c r="D828" s="17" t="s">
        <v>2617</v>
      </c>
      <c r="E828" s="17">
        <v>115000</v>
      </c>
      <c r="F828" s="17"/>
      <c r="G828" s="109">
        <f t="shared" si="10"/>
        <v>1687360.62</v>
      </c>
    </row>
    <row r="829" spans="3:8">
      <c r="C829" s="40">
        <v>45671</v>
      </c>
      <c r="D829" s="17" t="s">
        <v>2618</v>
      </c>
      <c r="E829" s="17"/>
      <c r="F829" s="17">
        <v>4.08</v>
      </c>
      <c r="G829" s="109">
        <f t="shared" si="10"/>
        <v>1687356.54</v>
      </c>
      <c r="H829" t="s">
        <v>2657</v>
      </c>
    </row>
    <row r="830" spans="3:8">
      <c r="C830" s="512">
        <v>45671</v>
      </c>
      <c r="D830" s="119" t="s">
        <v>2619</v>
      </c>
      <c r="E830" s="119"/>
      <c r="F830" s="119">
        <v>7689</v>
      </c>
      <c r="G830" s="109">
        <f t="shared" si="10"/>
        <v>1679667.54</v>
      </c>
    </row>
    <row r="831" spans="3:8">
      <c r="C831" s="40">
        <v>45671</v>
      </c>
      <c r="D831" s="17" t="s">
        <v>2618</v>
      </c>
      <c r="E831" s="17"/>
      <c r="F831" s="17">
        <v>25</v>
      </c>
      <c r="G831" s="109">
        <f t="shared" si="10"/>
        <v>1679642.54</v>
      </c>
    </row>
    <row r="832" spans="3:8">
      <c r="C832" s="512">
        <v>45671</v>
      </c>
      <c r="D832" s="119" t="s">
        <v>2620</v>
      </c>
      <c r="E832" s="119"/>
      <c r="F832" s="119">
        <v>25000</v>
      </c>
      <c r="G832" s="109">
        <f t="shared" si="10"/>
        <v>1654642.54</v>
      </c>
    </row>
    <row r="833" spans="3:7">
      <c r="C833" s="512">
        <v>45671</v>
      </c>
      <c r="D833" s="119" t="s">
        <v>2621</v>
      </c>
      <c r="E833" s="119"/>
      <c r="F833" s="119">
        <v>100000</v>
      </c>
      <c r="G833" s="109">
        <f t="shared" si="10"/>
        <v>1554642.54</v>
      </c>
    </row>
    <row r="834" spans="3:7">
      <c r="C834" s="512">
        <v>45671</v>
      </c>
      <c r="D834" s="119" t="s">
        <v>2621</v>
      </c>
      <c r="E834" s="119"/>
      <c r="F834" s="119">
        <v>50000</v>
      </c>
      <c r="G834" s="109">
        <f t="shared" si="10"/>
        <v>1504642.54</v>
      </c>
    </row>
    <row r="835" spans="3:7">
      <c r="C835" s="40">
        <v>45672</v>
      </c>
      <c r="D835" s="17" t="s">
        <v>2618</v>
      </c>
      <c r="E835" s="17"/>
      <c r="F835" s="17">
        <v>14</v>
      </c>
      <c r="G835" s="109">
        <f t="shared" si="10"/>
        <v>1504628.54</v>
      </c>
    </row>
    <row r="836" spans="3:7">
      <c r="C836" s="40">
        <v>45672</v>
      </c>
      <c r="D836" s="17" t="s">
        <v>2622</v>
      </c>
      <c r="E836" s="17"/>
      <c r="F836" s="17">
        <v>14000</v>
      </c>
      <c r="G836" s="109">
        <f t="shared" si="10"/>
        <v>1490628.54</v>
      </c>
    </row>
    <row r="837" spans="3:7">
      <c r="C837" s="40">
        <v>45672</v>
      </c>
      <c r="D837" s="17" t="s">
        <v>2623</v>
      </c>
      <c r="E837" s="17">
        <v>31000</v>
      </c>
      <c r="F837" s="17"/>
      <c r="G837" s="109">
        <f t="shared" si="10"/>
        <v>1521628.54</v>
      </c>
    </row>
    <row r="838" spans="3:7">
      <c r="C838" s="40">
        <v>45672</v>
      </c>
      <c r="D838" s="17" t="s">
        <v>2624</v>
      </c>
      <c r="E838" s="17">
        <v>205100</v>
      </c>
      <c r="F838" s="17"/>
      <c r="G838" s="109">
        <f t="shared" si="10"/>
        <v>1726728.54</v>
      </c>
    </row>
    <row r="839" spans="3:7">
      <c r="C839" s="512">
        <v>45673</v>
      </c>
      <c r="D839" s="119" t="s">
        <v>2625</v>
      </c>
      <c r="E839" s="119"/>
      <c r="F839" s="119">
        <v>3500</v>
      </c>
      <c r="G839" s="109">
        <f t="shared" si="10"/>
        <v>1723228.54</v>
      </c>
    </row>
    <row r="840" spans="3:7">
      <c r="C840" s="512">
        <v>45673</v>
      </c>
      <c r="D840" s="119" t="s">
        <v>2626</v>
      </c>
      <c r="E840" s="119"/>
      <c r="F840" s="119">
        <v>5000</v>
      </c>
      <c r="G840" s="109">
        <f t="shared" si="10"/>
        <v>1718228.54</v>
      </c>
    </row>
    <row r="841" spans="3:7">
      <c r="C841" s="512">
        <v>45674</v>
      </c>
      <c r="D841" s="119" t="s">
        <v>2627</v>
      </c>
      <c r="E841" s="119"/>
      <c r="F841" s="119">
        <v>68000</v>
      </c>
      <c r="G841" s="109">
        <f t="shared" si="10"/>
        <v>1650228.54</v>
      </c>
    </row>
    <row r="842" spans="3:7">
      <c r="C842" s="512">
        <v>45674</v>
      </c>
      <c r="D842" s="119" t="s">
        <v>2628</v>
      </c>
      <c r="E842" s="119"/>
      <c r="F842" s="119">
        <v>50000</v>
      </c>
      <c r="G842" s="109">
        <f t="shared" si="10"/>
        <v>1600228.54</v>
      </c>
    </row>
    <row r="843" spans="3:7">
      <c r="C843" s="512">
        <v>45674</v>
      </c>
      <c r="D843" s="119" t="s">
        <v>2629</v>
      </c>
      <c r="E843" s="119"/>
      <c r="F843" s="119">
        <v>30000</v>
      </c>
      <c r="G843" s="109">
        <f t="shared" si="10"/>
        <v>1570228.54</v>
      </c>
    </row>
    <row r="844" spans="3:7">
      <c r="C844" s="40">
        <v>45674</v>
      </c>
      <c r="D844" s="17" t="s">
        <v>2618</v>
      </c>
      <c r="E844" s="17"/>
      <c r="F844" s="17">
        <v>20</v>
      </c>
      <c r="G844" s="109">
        <f t="shared" si="10"/>
        <v>1570208.54</v>
      </c>
    </row>
    <row r="845" spans="3:7">
      <c r="C845" s="512">
        <v>45674</v>
      </c>
      <c r="D845" s="119" t="s">
        <v>2630</v>
      </c>
      <c r="E845" s="119"/>
      <c r="F845" s="119">
        <v>20000</v>
      </c>
      <c r="G845" s="109">
        <f t="shared" si="10"/>
        <v>1550208.54</v>
      </c>
    </row>
    <row r="846" spans="3:7">
      <c r="C846" s="40">
        <v>45675</v>
      </c>
      <c r="D846" s="17" t="s">
        <v>2610</v>
      </c>
      <c r="E846" s="17"/>
      <c r="F846" s="17">
        <v>23.44</v>
      </c>
      <c r="G846" s="109">
        <f t="shared" si="10"/>
        <v>1550185.1</v>
      </c>
    </row>
    <row r="847" spans="3:7">
      <c r="C847" s="512">
        <v>45675</v>
      </c>
      <c r="D847" s="119" t="s">
        <v>2631</v>
      </c>
      <c r="E847" s="119"/>
      <c r="F847" s="119">
        <v>10000</v>
      </c>
      <c r="G847" s="109">
        <f t="shared" si="10"/>
        <v>1540185.1</v>
      </c>
    </row>
    <row r="848" spans="3:7">
      <c r="C848" s="512">
        <v>45675</v>
      </c>
      <c r="D848" s="119" t="s">
        <v>2632</v>
      </c>
      <c r="E848" s="119"/>
      <c r="F848" s="119">
        <v>16443</v>
      </c>
      <c r="G848" s="109">
        <f t="shared" si="10"/>
        <v>1523742.1</v>
      </c>
    </row>
    <row r="849" spans="3:7">
      <c r="C849" s="512">
        <v>45677</v>
      </c>
      <c r="D849" s="119" t="s">
        <v>2633</v>
      </c>
      <c r="E849" s="119"/>
      <c r="F849" s="119">
        <v>1399</v>
      </c>
      <c r="G849" s="109">
        <f t="shared" si="10"/>
        <v>1522343.1</v>
      </c>
    </row>
    <row r="850" spans="3:7">
      <c r="C850" s="40">
        <v>45677</v>
      </c>
      <c r="D850" s="17" t="s">
        <v>2634</v>
      </c>
      <c r="E850" s="17"/>
      <c r="F850" s="17">
        <v>30000</v>
      </c>
      <c r="G850" s="109">
        <f t="shared" si="10"/>
        <v>1492343.1</v>
      </c>
    </row>
    <row r="851" spans="3:7">
      <c r="C851" s="40">
        <v>45677</v>
      </c>
      <c r="D851" s="17" t="s">
        <v>2635</v>
      </c>
      <c r="E851" s="17">
        <v>18705.28</v>
      </c>
      <c r="F851" s="17"/>
      <c r="G851" s="109">
        <f t="shared" si="10"/>
        <v>1511048.3800000001</v>
      </c>
    </row>
    <row r="852" spans="3:7">
      <c r="C852" s="40">
        <v>45677</v>
      </c>
      <c r="D852" s="17" t="s">
        <v>2635</v>
      </c>
      <c r="E852" s="17">
        <v>18375.64</v>
      </c>
      <c r="F852" s="17"/>
      <c r="G852" s="109">
        <f t="shared" si="10"/>
        <v>1529424.02</v>
      </c>
    </row>
    <row r="853" spans="3:7">
      <c r="C853" s="40">
        <v>45679</v>
      </c>
      <c r="D853" s="17" t="s">
        <v>2610</v>
      </c>
      <c r="E853" s="17"/>
      <c r="F853" s="17">
        <v>23.44</v>
      </c>
      <c r="G853" s="109">
        <f t="shared" si="10"/>
        <v>1529400.58</v>
      </c>
    </row>
    <row r="854" spans="3:7">
      <c r="C854" s="512">
        <v>45679</v>
      </c>
      <c r="D854" s="119" t="s">
        <v>2631</v>
      </c>
      <c r="E854" s="119"/>
      <c r="F854" s="119">
        <v>20000</v>
      </c>
      <c r="G854" s="109">
        <f t="shared" si="10"/>
        <v>1509400.58</v>
      </c>
    </row>
    <row r="855" spans="3:7">
      <c r="C855" s="40">
        <v>45679</v>
      </c>
      <c r="D855" s="17" t="s">
        <v>2610</v>
      </c>
      <c r="E855" s="17"/>
      <c r="F855" s="17">
        <v>23.44</v>
      </c>
      <c r="G855" s="109">
        <f t="shared" si="10"/>
        <v>1509377.1400000001</v>
      </c>
    </row>
    <row r="856" spans="3:7">
      <c r="C856" s="512">
        <v>45679</v>
      </c>
      <c r="D856" s="119" t="s">
        <v>2636</v>
      </c>
      <c r="E856" s="119"/>
      <c r="F856" s="119">
        <v>20000</v>
      </c>
      <c r="G856" s="109">
        <f t="shared" si="10"/>
        <v>1489377.1400000001</v>
      </c>
    </row>
    <row r="857" spans="3:7">
      <c r="C857" s="40">
        <v>45679</v>
      </c>
      <c r="D857" s="17" t="s">
        <v>2610</v>
      </c>
      <c r="E857" s="17"/>
      <c r="F857" s="17">
        <v>23.44</v>
      </c>
      <c r="G857" s="109">
        <f t="shared" si="10"/>
        <v>1489353.7000000002</v>
      </c>
    </row>
    <row r="858" spans="3:7">
      <c r="C858" s="512">
        <v>45679</v>
      </c>
      <c r="D858" s="119" t="s">
        <v>2636</v>
      </c>
      <c r="E858" s="119"/>
      <c r="F858" s="119">
        <v>20000</v>
      </c>
      <c r="G858" s="109">
        <f t="shared" si="10"/>
        <v>1469353.7000000002</v>
      </c>
    </row>
    <row r="859" spans="3:7">
      <c r="C859" s="512">
        <v>45680</v>
      </c>
      <c r="D859" s="119" t="s">
        <v>2637</v>
      </c>
      <c r="E859" s="119"/>
      <c r="F859" s="119">
        <v>100000</v>
      </c>
      <c r="G859" s="109">
        <f t="shared" si="10"/>
        <v>1369353.7000000002</v>
      </c>
    </row>
    <row r="860" spans="3:7">
      <c r="C860" s="40">
        <v>45680</v>
      </c>
      <c r="D860" s="17" t="s">
        <v>2638</v>
      </c>
      <c r="E860" s="17"/>
      <c r="F860" s="17">
        <v>2070</v>
      </c>
      <c r="G860" s="109">
        <f t="shared" si="10"/>
        <v>1367283.7000000002</v>
      </c>
    </row>
    <row r="861" spans="3:7">
      <c r="C861" s="40">
        <v>45680</v>
      </c>
      <c r="D861" s="17" t="s">
        <v>2639</v>
      </c>
      <c r="E861" s="17"/>
      <c r="F861" s="17">
        <v>3330</v>
      </c>
      <c r="G861" s="109">
        <f t="shared" si="10"/>
        <v>1363953.7000000002</v>
      </c>
    </row>
    <row r="862" spans="3:7">
      <c r="C862" s="512">
        <v>45681</v>
      </c>
      <c r="D862" s="119" t="s">
        <v>2644</v>
      </c>
      <c r="E862" s="119"/>
      <c r="F862" s="119">
        <v>500000</v>
      </c>
      <c r="G862" s="109">
        <f t="shared" si="10"/>
        <v>863953.70000000019</v>
      </c>
    </row>
    <row r="863" spans="3:7">
      <c r="C863" s="512">
        <v>45681</v>
      </c>
      <c r="D863" s="119" t="s">
        <v>2644</v>
      </c>
      <c r="E863" s="119"/>
      <c r="F863" s="119">
        <v>395800</v>
      </c>
      <c r="G863" s="109">
        <f t="shared" si="10"/>
        <v>468153.70000000019</v>
      </c>
    </row>
    <row r="864" spans="3:7">
      <c r="C864" s="512">
        <v>45681</v>
      </c>
      <c r="D864" s="119" t="s">
        <v>2645</v>
      </c>
      <c r="E864" s="119">
        <v>15600</v>
      </c>
      <c r="F864" s="119"/>
      <c r="G864" s="109">
        <f t="shared" si="10"/>
        <v>483753.70000000019</v>
      </c>
    </row>
    <row r="865" spans="3:7">
      <c r="C865" s="512">
        <v>45681</v>
      </c>
      <c r="D865" s="119" t="s">
        <v>2646</v>
      </c>
      <c r="E865" s="119"/>
      <c r="F865" s="119">
        <v>23596</v>
      </c>
      <c r="G865" s="109">
        <f t="shared" si="10"/>
        <v>460157.70000000019</v>
      </c>
    </row>
    <row r="866" spans="3:7">
      <c r="C866" s="512">
        <v>45681</v>
      </c>
      <c r="D866" s="119" t="s">
        <v>2647</v>
      </c>
      <c r="E866" s="119"/>
      <c r="F866" s="119">
        <v>17941</v>
      </c>
      <c r="G866" s="109">
        <f t="shared" si="10"/>
        <v>442216.70000000019</v>
      </c>
    </row>
    <row r="867" spans="3:7">
      <c r="C867" s="512">
        <v>45681</v>
      </c>
      <c r="D867" s="119" t="s">
        <v>2648</v>
      </c>
      <c r="E867" s="119"/>
      <c r="F867" s="119">
        <v>15553</v>
      </c>
      <c r="G867" s="109">
        <f t="shared" si="10"/>
        <v>426663.70000000019</v>
      </c>
    </row>
    <row r="868" spans="3:7">
      <c r="C868" s="40">
        <v>45682</v>
      </c>
      <c r="D868" s="207" t="s">
        <v>2649</v>
      </c>
      <c r="E868" s="17">
        <v>150000</v>
      </c>
      <c r="F868" s="17"/>
      <c r="G868" s="109">
        <f t="shared" si="10"/>
        <v>576663.70000000019</v>
      </c>
    </row>
    <row r="869" spans="3:7">
      <c r="C869" s="512">
        <v>45682</v>
      </c>
      <c r="D869" s="119" t="s">
        <v>2650</v>
      </c>
      <c r="E869" s="119"/>
      <c r="F869" s="119">
        <v>60000</v>
      </c>
      <c r="G869" s="109">
        <f t="shared" si="10"/>
        <v>516663.70000000019</v>
      </c>
    </row>
    <row r="870" spans="3:7">
      <c r="C870" s="40">
        <v>45682</v>
      </c>
      <c r="D870" s="17" t="s">
        <v>2651</v>
      </c>
      <c r="E870" s="17">
        <v>25000</v>
      </c>
      <c r="F870" s="17"/>
      <c r="G870" s="109">
        <f t="shared" si="10"/>
        <v>541663.70000000019</v>
      </c>
    </row>
    <row r="871" spans="3:7">
      <c r="C871" s="512">
        <v>45682</v>
      </c>
      <c r="D871" s="119" t="s">
        <v>2652</v>
      </c>
      <c r="E871" s="119"/>
      <c r="F871" s="119">
        <v>200000</v>
      </c>
      <c r="G871" s="109">
        <f t="shared" si="10"/>
        <v>341663.70000000019</v>
      </c>
    </row>
    <row r="872" spans="3:7">
      <c r="C872" s="512">
        <v>45682</v>
      </c>
      <c r="D872" s="119" t="s">
        <v>2652</v>
      </c>
      <c r="E872" s="119"/>
      <c r="F872" s="119">
        <v>60000</v>
      </c>
      <c r="G872" s="109">
        <f t="shared" si="10"/>
        <v>281663.70000000019</v>
      </c>
    </row>
    <row r="873" spans="3:7">
      <c r="C873" s="40">
        <v>45684</v>
      </c>
      <c r="D873" s="17" t="s">
        <v>2653</v>
      </c>
      <c r="E873" s="17">
        <v>96000</v>
      </c>
      <c r="F873" s="17"/>
      <c r="G873" s="109">
        <f t="shared" si="10"/>
        <v>377663.70000000019</v>
      </c>
    </row>
    <row r="874" spans="3:7">
      <c r="C874" s="40">
        <v>45684</v>
      </c>
      <c r="D874" s="17" t="s">
        <v>2653</v>
      </c>
      <c r="E874" s="17">
        <v>132000</v>
      </c>
      <c r="F874" s="17"/>
      <c r="G874" s="109">
        <f t="shared" si="10"/>
        <v>509663.70000000019</v>
      </c>
    </row>
    <row r="875" spans="3:7">
      <c r="C875" s="40">
        <v>45684</v>
      </c>
      <c r="D875" s="17" t="s">
        <v>2654</v>
      </c>
      <c r="E875" s="17">
        <v>150000</v>
      </c>
      <c r="F875" s="17"/>
      <c r="G875" s="109">
        <f t="shared" si="10"/>
        <v>659663.70000000019</v>
      </c>
    </row>
    <row r="876" spans="3:7">
      <c r="C876" s="512">
        <v>45684</v>
      </c>
      <c r="D876" s="119" t="s">
        <v>2652</v>
      </c>
      <c r="E876" s="119"/>
      <c r="F876" s="119">
        <v>20000</v>
      </c>
      <c r="G876" s="109">
        <f t="shared" si="10"/>
        <v>639663.70000000019</v>
      </c>
    </row>
    <row r="877" spans="3:7">
      <c r="C877" s="512">
        <v>45684</v>
      </c>
      <c r="D877" s="119" t="s">
        <v>2652</v>
      </c>
      <c r="E877" s="119"/>
      <c r="F877" s="119">
        <v>80000</v>
      </c>
      <c r="G877" s="109">
        <f t="shared" si="10"/>
        <v>559663.70000000019</v>
      </c>
    </row>
    <row r="878" spans="3:7">
      <c r="C878" s="512">
        <v>45684</v>
      </c>
      <c r="D878" s="119" t="s">
        <v>2574</v>
      </c>
      <c r="E878" s="119"/>
      <c r="F878" s="119">
        <v>50000</v>
      </c>
      <c r="G878" s="109">
        <f t="shared" si="10"/>
        <v>509663.70000000019</v>
      </c>
    </row>
    <row r="879" spans="3:7">
      <c r="C879" s="40">
        <v>45685</v>
      </c>
      <c r="D879" s="17" t="s">
        <v>2655</v>
      </c>
      <c r="E879" s="17">
        <v>15500</v>
      </c>
      <c r="F879" s="17"/>
      <c r="G879" s="109">
        <f t="shared" si="10"/>
        <v>525163.70000000019</v>
      </c>
    </row>
    <row r="880" spans="3:7">
      <c r="C880" s="40"/>
      <c r="D880" s="17"/>
      <c r="E880" s="17"/>
      <c r="F880" s="17"/>
      <c r="G880" s="109">
        <f t="shared" si="10"/>
        <v>525163.70000000019</v>
      </c>
    </row>
    <row r="881" spans="3:7">
      <c r="C881" s="578"/>
      <c r="D881" s="17"/>
      <c r="E881" s="17"/>
      <c r="F881" s="17"/>
      <c r="G881" s="109">
        <f t="shared" si="10"/>
        <v>525163.70000000019</v>
      </c>
    </row>
    <row r="882" spans="3:7">
      <c r="C882" s="578"/>
      <c r="D882" s="17"/>
      <c r="E882" s="17"/>
      <c r="F882" s="17"/>
      <c r="G882" s="109">
        <f t="shared" si="10"/>
        <v>525163.70000000019</v>
      </c>
    </row>
    <row r="883" spans="3:7">
      <c r="C883" s="578"/>
      <c r="D883" s="17"/>
      <c r="E883" s="17"/>
      <c r="F883" s="17"/>
      <c r="G883" s="109">
        <f t="shared" si="10"/>
        <v>525163.70000000019</v>
      </c>
    </row>
    <row r="884" spans="3:7">
      <c r="C884" s="578"/>
      <c r="D884" s="17"/>
      <c r="E884" s="17"/>
      <c r="F884" s="17"/>
      <c r="G884" s="109">
        <f t="shared" si="10"/>
        <v>525163.70000000019</v>
      </c>
    </row>
    <row r="885" spans="3:7">
      <c r="C885" s="578"/>
      <c r="D885" s="17"/>
      <c r="E885" s="17"/>
      <c r="F885" s="17"/>
      <c r="G885" s="109">
        <f t="shared" si="10"/>
        <v>525163.70000000019</v>
      </c>
    </row>
    <row r="886" spans="3:7">
      <c r="C886" s="578"/>
      <c r="D886" s="17"/>
      <c r="E886" s="17"/>
      <c r="F886" s="17"/>
      <c r="G886" s="109">
        <f t="shared" si="10"/>
        <v>525163.70000000019</v>
      </c>
    </row>
    <row r="887" spans="3:7">
      <c r="C887" s="578"/>
      <c r="D887" s="17"/>
      <c r="E887" s="17"/>
      <c r="F887" s="17"/>
      <c r="G887" s="109">
        <f t="shared" si="10"/>
        <v>525163.70000000019</v>
      </c>
    </row>
    <row r="888" spans="3:7">
      <c r="C888" s="578"/>
      <c r="D888" s="17"/>
      <c r="E888" s="17"/>
      <c r="F888" s="17"/>
      <c r="G888" s="109">
        <f t="shared" si="10"/>
        <v>525163.70000000019</v>
      </c>
    </row>
    <row r="889" spans="3:7">
      <c r="C889" s="578"/>
      <c r="D889" s="17"/>
      <c r="E889" s="17"/>
      <c r="F889" s="17"/>
      <c r="G889" s="109">
        <f t="shared" si="10"/>
        <v>525163.70000000019</v>
      </c>
    </row>
    <row r="890" spans="3:7">
      <c r="C890" s="578"/>
      <c r="D890" s="17"/>
      <c r="E890" s="17"/>
      <c r="F890" s="17"/>
      <c r="G890" s="109">
        <f t="shared" si="10"/>
        <v>525163.70000000019</v>
      </c>
    </row>
    <row r="891" spans="3:7">
      <c r="C891" s="578"/>
      <c r="D891" s="17"/>
      <c r="E891" s="17"/>
      <c r="F891" s="17"/>
      <c r="G891" s="109">
        <f t="shared" si="10"/>
        <v>525163.70000000019</v>
      </c>
    </row>
    <row r="892" spans="3:7">
      <c r="C892" s="578"/>
      <c r="D892" s="17"/>
      <c r="E892" s="17"/>
      <c r="F892" s="17"/>
      <c r="G892" s="109">
        <f t="shared" si="10"/>
        <v>525163.70000000019</v>
      </c>
    </row>
    <row r="893" spans="3:7">
      <c r="C893" s="581" t="s">
        <v>2675</v>
      </c>
      <c r="D893" s="582" t="s">
        <v>2677</v>
      </c>
      <c r="E893" s="582">
        <v>200000</v>
      </c>
      <c r="F893" s="17"/>
      <c r="G893" s="109">
        <f t="shared" ref="G893:G956" si="11">G892+E893-F893</f>
        <v>725163.70000000019</v>
      </c>
    </row>
    <row r="894" spans="3:7">
      <c r="C894" s="581" t="s">
        <v>2678</v>
      </c>
      <c r="D894" s="582" t="s">
        <v>2679</v>
      </c>
      <c r="E894" s="582">
        <v>177000</v>
      </c>
      <c r="F894" s="17"/>
      <c r="G894" s="109">
        <f t="shared" si="11"/>
        <v>902163.70000000019</v>
      </c>
    </row>
    <row r="895" spans="3:7">
      <c r="C895" s="581" t="s">
        <v>2678</v>
      </c>
      <c r="D895" s="582" t="s">
        <v>2680</v>
      </c>
      <c r="E895" s="582">
        <v>200000</v>
      </c>
      <c r="F895" s="17"/>
      <c r="G895" s="109">
        <f t="shared" si="11"/>
        <v>1102163.7000000002</v>
      </c>
    </row>
    <row r="896" spans="3:7">
      <c r="C896" s="581" t="s">
        <v>2681</v>
      </c>
      <c r="D896" s="582" t="s">
        <v>2680</v>
      </c>
      <c r="E896" s="582">
        <v>121000</v>
      </c>
      <c r="F896" s="17"/>
      <c r="G896" s="109">
        <f t="shared" si="11"/>
        <v>1223163.7000000002</v>
      </c>
    </row>
    <row r="897" spans="3:8">
      <c r="C897" s="581" t="s">
        <v>2682</v>
      </c>
      <c r="D897" s="582" t="s">
        <v>2674</v>
      </c>
      <c r="E897" s="582"/>
      <c r="F897" s="582">
        <v>30000</v>
      </c>
      <c r="G897" s="109">
        <f>G896+E897-F897</f>
        <v>1193163.7000000002</v>
      </c>
    </row>
    <row r="898" spans="3:8">
      <c r="C898" s="581" t="s">
        <v>2682</v>
      </c>
      <c r="D898" s="582" t="s">
        <v>2481</v>
      </c>
      <c r="E898" s="582"/>
      <c r="F898" s="582">
        <v>6000</v>
      </c>
      <c r="G898" s="109">
        <f>G897+E898-F898</f>
        <v>1187163.7000000002</v>
      </c>
    </row>
    <row r="899" spans="3:8">
      <c r="C899" s="581" t="s">
        <v>2682</v>
      </c>
      <c r="D899" s="582" t="s">
        <v>2481</v>
      </c>
      <c r="E899" s="582"/>
      <c r="F899" s="582">
        <v>6000</v>
      </c>
      <c r="G899" s="109">
        <f>G898+E899-F899</f>
        <v>1181163.7000000002</v>
      </c>
    </row>
    <row r="900" spans="3:8">
      <c r="C900" s="581" t="s">
        <v>2683</v>
      </c>
      <c r="D900" s="582" t="s">
        <v>2674</v>
      </c>
      <c r="E900" s="582"/>
      <c r="F900" s="582">
        <v>20000</v>
      </c>
      <c r="G900" s="109">
        <f>G899+E900-F900</f>
        <v>1161163.7000000002</v>
      </c>
    </row>
    <row r="901" spans="3:8">
      <c r="C901" s="578" t="s">
        <v>2683</v>
      </c>
      <c r="D901" s="17" t="s">
        <v>2684</v>
      </c>
      <c r="E901" s="17"/>
      <c r="F901" s="17">
        <v>200000</v>
      </c>
      <c r="G901" s="109">
        <f>G900+E901-F901</f>
        <v>961163.70000000019</v>
      </c>
      <c r="H901" t="s">
        <v>1514</v>
      </c>
    </row>
    <row r="902" spans="3:8">
      <c r="C902" s="578" t="s">
        <v>2683</v>
      </c>
      <c r="D902" s="17" t="s">
        <v>2685</v>
      </c>
      <c r="E902" s="17">
        <v>98000</v>
      </c>
      <c r="F902" s="17"/>
      <c r="G902" s="109">
        <f t="shared" si="11"/>
        <v>1059163.7000000002</v>
      </c>
    </row>
    <row r="903" spans="3:8">
      <c r="C903" s="581" t="s">
        <v>2683</v>
      </c>
      <c r="D903" s="582" t="s">
        <v>2686</v>
      </c>
      <c r="E903" s="582"/>
      <c r="F903" s="582">
        <v>16000</v>
      </c>
      <c r="G903" s="109">
        <f t="shared" si="11"/>
        <v>1043163.7000000002</v>
      </c>
    </row>
    <row r="904" spans="3:8">
      <c r="C904" s="581" t="s">
        <v>2683</v>
      </c>
      <c r="D904" s="582" t="s">
        <v>2488</v>
      </c>
      <c r="E904" s="582"/>
      <c r="F904" s="582">
        <v>20000</v>
      </c>
      <c r="G904" s="109">
        <f t="shared" si="11"/>
        <v>1023163.7000000002</v>
      </c>
    </row>
    <row r="905" spans="3:8">
      <c r="C905" s="578" t="s">
        <v>2687</v>
      </c>
      <c r="D905" s="17" t="s">
        <v>2610</v>
      </c>
      <c r="E905" s="17"/>
      <c r="F905" s="17">
        <v>23.44</v>
      </c>
      <c r="G905" s="109">
        <f t="shared" si="11"/>
        <v>1023140.2600000002</v>
      </c>
    </row>
    <row r="906" spans="3:8">
      <c r="C906" s="581" t="s">
        <v>2687</v>
      </c>
      <c r="D906" s="582" t="s">
        <v>2688</v>
      </c>
      <c r="E906" s="582"/>
      <c r="F906" s="582">
        <v>20000</v>
      </c>
      <c r="G906" s="109">
        <f t="shared" si="11"/>
        <v>1003140.2600000002</v>
      </c>
    </row>
    <row r="907" spans="3:8">
      <c r="C907" s="581" t="s">
        <v>2687</v>
      </c>
      <c r="D907" s="582" t="s">
        <v>2689</v>
      </c>
      <c r="E907" s="582"/>
      <c r="F907" s="582">
        <v>30000</v>
      </c>
      <c r="G907" s="109">
        <f t="shared" si="11"/>
        <v>973140.26000000024</v>
      </c>
    </row>
    <row r="908" spans="3:8">
      <c r="C908" s="581" t="s">
        <v>2687</v>
      </c>
      <c r="D908" s="582" t="s">
        <v>2690</v>
      </c>
      <c r="E908" s="582"/>
      <c r="F908" s="582">
        <v>30000</v>
      </c>
      <c r="G908" s="109">
        <f t="shared" si="11"/>
        <v>943140.26000000024</v>
      </c>
    </row>
    <row r="909" spans="3:8">
      <c r="C909" s="581" t="s">
        <v>2687</v>
      </c>
      <c r="D909" s="582" t="s">
        <v>2691</v>
      </c>
      <c r="E909" s="582"/>
      <c r="F909" s="582">
        <v>50000</v>
      </c>
      <c r="G909" s="109">
        <f t="shared" si="11"/>
        <v>893140.26000000024</v>
      </c>
    </row>
    <row r="910" spans="3:8">
      <c r="C910" s="581" t="s">
        <v>2687</v>
      </c>
      <c r="D910" s="582" t="s">
        <v>2692</v>
      </c>
      <c r="E910" s="582"/>
      <c r="F910" s="582">
        <v>100000</v>
      </c>
      <c r="G910" s="109">
        <f t="shared" si="11"/>
        <v>793140.26000000024</v>
      </c>
    </row>
    <row r="911" spans="3:8">
      <c r="C911" s="581" t="s">
        <v>2687</v>
      </c>
      <c r="D911" s="582" t="s">
        <v>2693</v>
      </c>
      <c r="E911" s="582"/>
      <c r="F911" s="582">
        <v>50000</v>
      </c>
      <c r="G911" s="109">
        <f t="shared" si="11"/>
        <v>743140.26000000024</v>
      </c>
    </row>
    <row r="912" spans="3:8">
      <c r="C912" s="581" t="s">
        <v>2687</v>
      </c>
      <c r="D912" s="582" t="s">
        <v>2694</v>
      </c>
      <c r="E912" s="582"/>
      <c r="F912" s="582">
        <v>100000</v>
      </c>
      <c r="G912" s="109">
        <f t="shared" si="11"/>
        <v>643140.26000000024</v>
      </c>
    </row>
    <row r="913" spans="3:7">
      <c r="C913" s="581" t="s">
        <v>2695</v>
      </c>
      <c r="D913" s="582" t="s">
        <v>2696</v>
      </c>
      <c r="E913" s="582"/>
      <c r="F913" s="582">
        <v>100000</v>
      </c>
      <c r="G913" s="109">
        <f t="shared" si="11"/>
        <v>543140.26000000024</v>
      </c>
    </row>
    <row r="914" spans="3:7">
      <c r="C914" s="581" t="s">
        <v>2695</v>
      </c>
      <c r="D914" s="582" t="s">
        <v>2674</v>
      </c>
      <c r="E914" s="582"/>
      <c r="F914" s="582">
        <v>100000</v>
      </c>
      <c r="G914" s="109">
        <f t="shared" si="11"/>
        <v>443140.26000000024</v>
      </c>
    </row>
    <row r="915" spans="3:7">
      <c r="C915" s="581" t="s">
        <v>2697</v>
      </c>
      <c r="D915" s="582" t="s">
        <v>2376</v>
      </c>
      <c r="E915" s="582"/>
      <c r="F915" s="582">
        <v>7772</v>
      </c>
      <c r="G915" s="109">
        <f t="shared" si="11"/>
        <v>435368.26000000024</v>
      </c>
    </row>
    <row r="916" spans="3:7">
      <c r="C916" s="581" t="s">
        <v>2697</v>
      </c>
      <c r="D916" s="582" t="s">
        <v>2376</v>
      </c>
      <c r="E916" s="582"/>
      <c r="F916" s="582">
        <v>4800</v>
      </c>
      <c r="G916" s="109">
        <f t="shared" si="11"/>
        <v>430568.26000000024</v>
      </c>
    </row>
    <row r="917" spans="3:7">
      <c r="C917" s="581" t="s">
        <v>2698</v>
      </c>
      <c r="D917" s="582" t="s">
        <v>2699</v>
      </c>
      <c r="E917" s="582"/>
      <c r="F917" s="582">
        <v>101.55</v>
      </c>
      <c r="G917" s="109">
        <f t="shared" si="11"/>
        <v>430466.71000000025</v>
      </c>
    </row>
    <row r="918" spans="3:7">
      <c r="C918" s="581" t="s">
        <v>2698</v>
      </c>
      <c r="D918" s="582" t="s">
        <v>2700</v>
      </c>
      <c r="E918" s="582"/>
      <c r="F918" s="582">
        <v>805.89</v>
      </c>
      <c r="G918" s="109">
        <f t="shared" si="11"/>
        <v>429660.82000000024</v>
      </c>
    </row>
    <row r="919" spans="3:7">
      <c r="C919" s="581" t="s">
        <v>2701</v>
      </c>
      <c r="D919" s="582" t="s">
        <v>2702</v>
      </c>
      <c r="E919" s="582">
        <v>284756.77</v>
      </c>
      <c r="F919" s="582"/>
      <c r="G919" s="109">
        <f t="shared" si="11"/>
        <v>714417.59000000032</v>
      </c>
    </row>
    <row r="920" spans="3:7">
      <c r="C920" s="581" t="s">
        <v>2703</v>
      </c>
      <c r="D920" s="582" t="s">
        <v>2704</v>
      </c>
      <c r="E920" s="582"/>
      <c r="F920" s="582">
        <v>1076</v>
      </c>
      <c r="G920" s="109">
        <f t="shared" si="11"/>
        <v>713341.59000000032</v>
      </c>
    </row>
    <row r="921" spans="3:7">
      <c r="C921" s="581" t="s">
        <v>2703</v>
      </c>
      <c r="D921" s="582" t="s">
        <v>2705</v>
      </c>
      <c r="E921" s="582"/>
      <c r="F921" s="582">
        <v>1500</v>
      </c>
      <c r="G921" s="109">
        <f t="shared" si="11"/>
        <v>711841.59000000032</v>
      </c>
    </row>
    <row r="922" spans="3:7">
      <c r="C922" s="581" t="s">
        <v>2706</v>
      </c>
      <c r="D922" s="582" t="s">
        <v>2707</v>
      </c>
      <c r="E922" s="582">
        <v>254000</v>
      </c>
      <c r="F922" s="582"/>
      <c r="G922" s="109">
        <f t="shared" si="11"/>
        <v>965841.59000000032</v>
      </c>
    </row>
    <row r="923" spans="3:7">
      <c r="C923" s="581" t="s">
        <v>2706</v>
      </c>
      <c r="D923" s="582" t="s">
        <v>2708</v>
      </c>
      <c r="E923" s="582">
        <v>253000</v>
      </c>
      <c r="F923" s="582"/>
      <c r="G923" s="109">
        <f t="shared" si="11"/>
        <v>1218841.5900000003</v>
      </c>
    </row>
    <row r="924" spans="3:7">
      <c r="C924" s="581" t="s">
        <v>2709</v>
      </c>
      <c r="D924" s="582" t="s">
        <v>2710</v>
      </c>
      <c r="E924" s="582"/>
      <c r="F924" s="582">
        <v>7236</v>
      </c>
      <c r="G924" s="109">
        <f t="shared" si="11"/>
        <v>1211605.5900000003</v>
      </c>
    </row>
    <row r="925" spans="3:7">
      <c r="C925" s="581" t="s">
        <v>2709</v>
      </c>
      <c r="D925" s="582" t="s">
        <v>2676</v>
      </c>
      <c r="E925" s="582">
        <v>16000</v>
      </c>
      <c r="F925" s="582"/>
      <c r="G925" s="109">
        <f t="shared" si="11"/>
        <v>1227605.5900000003</v>
      </c>
    </row>
    <row r="926" spans="3:7">
      <c r="C926" s="581" t="s">
        <v>2709</v>
      </c>
      <c r="D926" s="582" t="s">
        <v>2711</v>
      </c>
      <c r="E926" s="582"/>
      <c r="F926" s="582">
        <v>20000</v>
      </c>
      <c r="G926" s="109">
        <f t="shared" si="11"/>
        <v>1207605.5900000003</v>
      </c>
    </row>
    <row r="927" spans="3:7">
      <c r="C927" s="581" t="s">
        <v>2709</v>
      </c>
      <c r="D927" s="582" t="s">
        <v>2673</v>
      </c>
      <c r="E927" s="582"/>
      <c r="F927" s="582">
        <v>7000</v>
      </c>
      <c r="G927" s="109">
        <f t="shared" si="11"/>
        <v>1200605.5900000003</v>
      </c>
    </row>
    <row r="928" spans="3:7">
      <c r="C928" s="581" t="s">
        <v>2712</v>
      </c>
      <c r="D928" s="582" t="s">
        <v>2713</v>
      </c>
      <c r="E928" s="582">
        <v>80000</v>
      </c>
      <c r="F928" s="582"/>
      <c r="G928" s="109">
        <f t="shared" si="11"/>
        <v>1280605.5900000003</v>
      </c>
    </row>
    <row r="929" spans="3:8">
      <c r="C929" s="581" t="s">
        <v>2714</v>
      </c>
      <c r="D929" s="582" t="s">
        <v>2715</v>
      </c>
      <c r="E929" s="582"/>
      <c r="F929" s="582">
        <v>25122</v>
      </c>
      <c r="G929" s="109">
        <f t="shared" si="11"/>
        <v>1255483.5900000003</v>
      </c>
    </row>
    <row r="930" spans="3:8">
      <c r="C930" s="581" t="s">
        <v>2714</v>
      </c>
      <c r="D930" s="582" t="s">
        <v>2674</v>
      </c>
      <c r="E930" s="582"/>
      <c r="F930" s="582">
        <v>20000</v>
      </c>
      <c r="G930" s="109">
        <f t="shared" si="11"/>
        <v>1235483.5900000003</v>
      </c>
    </row>
    <row r="931" spans="3:8">
      <c r="C931" s="581" t="s">
        <v>2714</v>
      </c>
      <c r="D931" s="582" t="s">
        <v>2716</v>
      </c>
      <c r="E931" s="582"/>
      <c r="F931" s="582">
        <v>20000</v>
      </c>
      <c r="G931" s="109">
        <f t="shared" si="11"/>
        <v>1215483.5900000003</v>
      </c>
    </row>
    <row r="932" spans="3:8">
      <c r="C932" s="581" t="s">
        <v>2717</v>
      </c>
      <c r="D932" s="582" t="s">
        <v>2674</v>
      </c>
      <c r="E932" s="582"/>
      <c r="F932" s="582">
        <v>10000</v>
      </c>
      <c r="G932" s="109">
        <f t="shared" si="11"/>
        <v>1205483.5900000003</v>
      </c>
    </row>
    <row r="933" spans="3:8">
      <c r="C933" s="578" t="s">
        <v>2717</v>
      </c>
      <c r="D933" s="17" t="s">
        <v>2718</v>
      </c>
      <c r="E933" s="17"/>
      <c r="F933" s="17">
        <v>10000</v>
      </c>
      <c r="G933" s="109">
        <f t="shared" si="11"/>
        <v>1195483.5900000003</v>
      </c>
    </row>
    <row r="934" spans="3:8">
      <c r="C934" s="581" t="s">
        <v>2719</v>
      </c>
      <c r="D934" s="582" t="s">
        <v>2720</v>
      </c>
      <c r="E934" s="582"/>
      <c r="F934" s="582">
        <v>1050</v>
      </c>
      <c r="G934" s="109">
        <f t="shared" si="11"/>
        <v>1194433.5900000003</v>
      </c>
    </row>
    <row r="935" spans="3:8">
      <c r="C935" s="581" t="s">
        <v>2719</v>
      </c>
      <c r="D935" s="582" t="s">
        <v>2720</v>
      </c>
      <c r="E935" s="582"/>
      <c r="F935" s="582">
        <v>650</v>
      </c>
      <c r="G935" s="109">
        <f t="shared" si="11"/>
        <v>1193783.5900000003</v>
      </c>
    </row>
    <row r="936" spans="3:8">
      <c r="C936" s="578" t="s">
        <v>2719</v>
      </c>
      <c r="D936" s="17" t="s">
        <v>1657</v>
      </c>
      <c r="E936" s="17">
        <v>237200</v>
      </c>
      <c r="F936" s="17"/>
      <c r="G936" s="109">
        <f t="shared" si="11"/>
        <v>1430983.5900000003</v>
      </c>
    </row>
    <row r="937" spans="3:8">
      <c r="C937" s="578" t="s">
        <v>2721</v>
      </c>
      <c r="D937" s="17" t="s">
        <v>2610</v>
      </c>
      <c r="E937" s="17"/>
      <c r="F937" s="17">
        <v>23.44</v>
      </c>
      <c r="G937" s="109">
        <f t="shared" si="11"/>
        <v>1430960.1500000004</v>
      </c>
    </row>
    <row r="938" spans="3:8">
      <c r="C938" s="581" t="s">
        <v>2721</v>
      </c>
      <c r="D938" s="582" t="s">
        <v>2722</v>
      </c>
      <c r="E938" s="582"/>
      <c r="F938" s="582">
        <v>10000</v>
      </c>
      <c r="G938" s="109">
        <f t="shared" si="11"/>
        <v>1420960.1500000004</v>
      </c>
      <c r="H938" s="231"/>
    </row>
    <row r="939" spans="3:8">
      <c r="C939" s="581" t="s">
        <v>2721</v>
      </c>
      <c r="D939" s="582" t="s">
        <v>2723</v>
      </c>
      <c r="E939" s="582"/>
      <c r="F939" s="582">
        <v>13150</v>
      </c>
      <c r="G939" s="109">
        <f t="shared" si="11"/>
        <v>1407810.1500000004</v>
      </c>
    </row>
    <row r="940" spans="3:8">
      <c r="C940" s="581" t="s">
        <v>2721</v>
      </c>
      <c r="D940" s="582" t="s">
        <v>2724</v>
      </c>
      <c r="E940" s="582"/>
      <c r="F940" s="582">
        <v>1117</v>
      </c>
      <c r="G940" s="109">
        <f t="shared" si="11"/>
        <v>1406693.1500000004</v>
      </c>
    </row>
    <row r="941" spans="3:8">
      <c r="C941" s="581" t="s">
        <v>2725</v>
      </c>
      <c r="D941" s="582" t="s">
        <v>2726</v>
      </c>
      <c r="E941" s="582"/>
      <c r="F941" s="582">
        <v>30000</v>
      </c>
      <c r="G941" s="109">
        <f t="shared" si="11"/>
        <v>1376693.1500000004</v>
      </c>
    </row>
    <row r="942" spans="3:8">
      <c r="C942" s="581" t="s">
        <v>2725</v>
      </c>
      <c r="D942" s="582" t="s">
        <v>2481</v>
      </c>
      <c r="E942" s="582"/>
      <c r="F942" s="582">
        <v>6000</v>
      </c>
      <c r="G942" s="109">
        <f t="shared" si="11"/>
        <v>1370693.1500000004</v>
      </c>
    </row>
    <row r="943" spans="3:8">
      <c r="C943" s="581" t="s">
        <v>2725</v>
      </c>
      <c r="D943" s="582" t="s">
        <v>2481</v>
      </c>
      <c r="E943" s="582"/>
      <c r="F943" s="582">
        <v>6000</v>
      </c>
      <c r="G943" s="109">
        <f t="shared" si="11"/>
        <v>1364693.1500000004</v>
      </c>
    </row>
    <row r="944" spans="3:8">
      <c r="C944" s="581" t="s">
        <v>2725</v>
      </c>
      <c r="D944" s="582" t="s">
        <v>2727</v>
      </c>
      <c r="E944" s="582"/>
      <c r="F944" s="582">
        <v>2915</v>
      </c>
      <c r="G944" s="109">
        <f t="shared" si="11"/>
        <v>1361778.1500000004</v>
      </c>
    </row>
    <row r="945" spans="3:7">
      <c r="C945" s="578" t="s">
        <v>2728</v>
      </c>
      <c r="D945" s="17" t="s">
        <v>2729</v>
      </c>
      <c r="E945" s="17"/>
      <c r="F945" s="17">
        <v>125</v>
      </c>
      <c r="G945" s="109">
        <f t="shared" si="11"/>
        <v>1361653.1500000004</v>
      </c>
    </row>
    <row r="946" spans="3:7">
      <c r="C946" s="581" t="s">
        <v>2728</v>
      </c>
      <c r="D946" s="582" t="s">
        <v>2730</v>
      </c>
      <c r="E946" s="582"/>
      <c r="F946" s="582">
        <v>150000</v>
      </c>
      <c r="G946" s="109">
        <f t="shared" si="11"/>
        <v>1211653.1500000004</v>
      </c>
    </row>
    <row r="947" spans="3:7">
      <c r="C947" s="581" t="s">
        <v>2728</v>
      </c>
      <c r="D947" s="582" t="s">
        <v>2731</v>
      </c>
      <c r="E947" s="582"/>
      <c r="F947" s="582">
        <v>20000</v>
      </c>
      <c r="G947" s="109">
        <f t="shared" si="11"/>
        <v>1191653.1500000004</v>
      </c>
    </row>
    <row r="948" spans="3:7">
      <c r="C948" s="581" t="s">
        <v>2732</v>
      </c>
      <c r="D948" s="582" t="s">
        <v>2705</v>
      </c>
      <c r="E948" s="582"/>
      <c r="F948" s="582">
        <v>120</v>
      </c>
      <c r="G948" s="109">
        <f t="shared" si="11"/>
        <v>1191533.1500000004</v>
      </c>
    </row>
    <row r="949" spans="3:7">
      <c r="C949" s="581" t="s">
        <v>2733</v>
      </c>
      <c r="D949" s="582" t="s">
        <v>2674</v>
      </c>
      <c r="E949" s="582"/>
      <c r="F949" s="582">
        <v>50000</v>
      </c>
      <c r="G949" s="109">
        <f t="shared" si="11"/>
        <v>1141533.1500000004</v>
      </c>
    </row>
    <row r="950" spans="3:7">
      <c r="C950" s="581" t="s">
        <v>2734</v>
      </c>
      <c r="D950" s="582" t="s">
        <v>2674</v>
      </c>
      <c r="E950" s="582"/>
      <c r="F950" s="582">
        <v>20000</v>
      </c>
      <c r="G950" s="109">
        <f t="shared" si="11"/>
        <v>1121533.1500000004</v>
      </c>
    </row>
    <row r="951" spans="3:7">
      <c r="C951" s="578" t="s">
        <v>2734</v>
      </c>
      <c r="D951" s="17" t="s">
        <v>2735</v>
      </c>
      <c r="E951" s="17"/>
      <c r="F951" s="17">
        <v>200</v>
      </c>
      <c r="G951" s="109">
        <f t="shared" si="11"/>
        <v>1121333.1500000004</v>
      </c>
    </row>
    <row r="952" spans="3:7">
      <c r="C952" s="581" t="s">
        <v>2734</v>
      </c>
      <c r="D952" s="582" t="s">
        <v>2736</v>
      </c>
      <c r="E952" s="582"/>
      <c r="F952" s="582">
        <v>500000</v>
      </c>
      <c r="G952" s="109">
        <f t="shared" si="11"/>
        <v>621333.15000000037</v>
      </c>
    </row>
    <row r="953" spans="3:7">
      <c r="C953" s="581" t="s">
        <v>2737</v>
      </c>
      <c r="D953" s="582" t="s">
        <v>2488</v>
      </c>
      <c r="E953" s="582"/>
      <c r="F953" s="582">
        <v>20000</v>
      </c>
      <c r="G953" s="109">
        <f t="shared" si="11"/>
        <v>601333.15000000037</v>
      </c>
    </row>
    <row r="954" spans="3:7">
      <c r="C954" s="581" t="s">
        <v>2738</v>
      </c>
      <c r="D954" s="582" t="s">
        <v>2376</v>
      </c>
      <c r="E954" s="582"/>
      <c r="F954" s="582">
        <v>8620</v>
      </c>
      <c r="G954" s="109">
        <f t="shared" si="11"/>
        <v>592713.15000000037</v>
      </c>
    </row>
    <row r="955" spans="3:7">
      <c r="C955" s="581" t="s">
        <v>2738</v>
      </c>
      <c r="D955" s="582" t="s">
        <v>2376</v>
      </c>
      <c r="E955" s="582"/>
      <c r="F955" s="582">
        <v>4167</v>
      </c>
      <c r="G955" s="109">
        <f t="shared" si="11"/>
        <v>588546.15000000037</v>
      </c>
    </row>
    <row r="956" spans="3:7">
      <c r="C956" s="581" t="s">
        <v>2738</v>
      </c>
      <c r="D956" s="582" t="s">
        <v>2739</v>
      </c>
      <c r="E956" s="582"/>
      <c r="F956" s="582">
        <v>1399</v>
      </c>
      <c r="G956" s="109">
        <f t="shared" si="11"/>
        <v>587147.15000000037</v>
      </c>
    </row>
    <row r="957" spans="3:7">
      <c r="C957" s="578" t="s">
        <v>2740</v>
      </c>
      <c r="D957" s="17" t="s">
        <v>2741</v>
      </c>
      <c r="E957" s="17"/>
      <c r="F957" s="17">
        <v>15000</v>
      </c>
      <c r="G957" s="109">
        <f t="shared" ref="G957:G1020" si="12">G956+E957-F957</f>
        <v>572147.15000000037</v>
      </c>
    </row>
    <row r="958" spans="3:7">
      <c r="C958" s="578" t="s">
        <v>2740</v>
      </c>
      <c r="D958" s="17" t="s">
        <v>2742</v>
      </c>
      <c r="E958" s="17"/>
      <c r="F958" s="17">
        <v>101.26</v>
      </c>
      <c r="G958" s="109">
        <f t="shared" si="12"/>
        <v>572045.89000000036</v>
      </c>
    </row>
    <row r="959" spans="3:7">
      <c r="C959" s="581" t="s">
        <v>2740</v>
      </c>
      <c r="D959" s="582" t="s">
        <v>2743</v>
      </c>
      <c r="E959" s="582"/>
      <c r="F959" s="582">
        <v>803.66</v>
      </c>
      <c r="G959" s="109">
        <f t="shared" si="12"/>
        <v>571242.23000000033</v>
      </c>
    </row>
    <row r="960" spans="3:7">
      <c r="C960" s="578" t="s">
        <v>2740</v>
      </c>
      <c r="D960" s="17" t="s">
        <v>2744</v>
      </c>
      <c r="E960" s="17"/>
      <c r="F960" s="17">
        <v>14000</v>
      </c>
      <c r="G960" s="109">
        <f t="shared" si="12"/>
        <v>557242.23000000033</v>
      </c>
    </row>
    <row r="961" spans="3:7">
      <c r="C961" s="581" t="s">
        <v>2745</v>
      </c>
      <c r="D961" s="582" t="s">
        <v>2686</v>
      </c>
      <c r="E961" s="582"/>
      <c r="F961" s="582">
        <v>16000</v>
      </c>
      <c r="G961" s="109">
        <f t="shared" si="12"/>
        <v>541242.23000000033</v>
      </c>
    </row>
    <row r="962" spans="3:7">
      <c r="C962" s="578" t="s">
        <v>2746</v>
      </c>
      <c r="D962" s="17" t="s">
        <v>2747</v>
      </c>
      <c r="E962" s="17"/>
      <c r="F962" s="17">
        <v>7500</v>
      </c>
      <c r="G962" s="109">
        <f t="shared" si="12"/>
        <v>533742.23000000033</v>
      </c>
    </row>
    <row r="963" spans="3:7" ht="19.8" customHeight="1">
      <c r="C963" s="578" t="s">
        <v>2746</v>
      </c>
      <c r="D963" s="17" t="s">
        <v>2747</v>
      </c>
      <c r="E963" s="17"/>
      <c r="F963" s="17">
        <v>1125</v>
      </c>
      <c r="G963" s="109">
        <f t="shared" si="12"/>
        <v>532617.23000000033</v>
      </c>
    </row>
    <row r="964" spans="3:7" ht="19.2" customHeight="1">
      <c r="C964" s="578" t="s">
        <v>2746</v>
      </c>
      <c r="D964" s="17" t="s">
        <v>2748</v>
      </c>
      <c r="E964" s="17"/>
      <c r="F964" s="17">
        <v>82.23</v>
      </c>
      <c r="G964" s="109">
        <f t="shared" si="12"/>
        <v>532535.00000000035</v>
      </c>
    </row>
    <row r="965" spans="3:7">
      <c r="C965" s="581" t="s">
        <v>2746</v>
      </c>
      <c r="D965" s="582" t="s">
        <v>2749</v>
      </c>
      <c r="E965" s="582"/>
      <c r="F965" s="582">
        <v>652.5</v>
      </c>
      <c r="G965" s="109">
        <f t="shared" si="12"/>
        <v>531882.50000000035</v>
      </c>
    </row>
    <row r="966" spans="3:7">
      <c r="C966" s="581" t="s">
        <v>2746</v>
      </c>
      <c r="D966" s="582" t="s">
        <v>2750</v>
      </c>
      <c r="E966" s="582"/>
      <c r="F966" s="582">
        <v>20000</v>
      </c>
      <c r="G966" s="109">
        <f t="shared" si="12"/>
        <v>511882.50000000035</v>
      </c>
    </row>
    <row r="967" spans="3:7">
      <c r="C967" s="581" t="s">
        <v>2746</v>
      </c>
      <c r="D967" s="582" t="s">
        <v>2751</v>
      </c>
      <c r="E967" s="582"/>
      <c r="F967" s="582">
        <v>15000</v>
      </c>
      <c r="G967" s="109">
        <f t="shared" si="12"/>
        <v>496882.50000000035</v>
      </c>
    </row>
    <row r="968" spans="3:7">
      <c r="C968" s="578" t="s">
        <v>2752</v>
      </c>
      <c r="D968" s="17" t="s">
        <v>2753</v>
      </c>
      <c r="E968" s="17"/>
      <c r="F968" s="17">
        <v>35690</v>
      </c>
      <c r="G968" s="109">
        <f t="shared" si="12"/>
        <v>461192.50000000035</v>
      </c>
    </row>
    <row r="969" spans="3:7">
      <c r="C969" s="581" t="s">
        <v>2752</v>
      </c>
      <c r="D969" s="582" t="s">
        <v>2704</v>
      </c>
      <c r="E969" s="582"/>
      <c r="F969" s="582">
        <v>1076</v>
      </c>
      <c r="G969" s="109">
        <f t="shared" si="12"/>
        <v>460116.50000000035</v>
      </c>
    </row>
    <row r="970" spans="3:7">
      <c r="C970" s="581" t="s">
        <v>2754</v>
      </c>
      <c r="D970" s="582" t="s">
        <v>2755</v>
      </c>
      <c r="E970" s="582"/>
      <c r="F970" s="582">
        <v>11210</v>
      </c>
      <c r="G970" s="109">
        <f t="shared" si="12"/>
        <v>448906.50000000035</v>
      </c>
    </row>
    <row r="971" spans="3:7">
      <c r="C971" s="581" t="s">
        <v>2754</v>
      </c>
      <c r="D971" s="582" t="s">
        <v>2756</v>
      </c>
      <c r="E971" s="582"/>
      <c r="F971" s="582">
        <v>3700</v>
      </c>
      <c r="G971" s="109">
        <f t="shared" si="12"/>
        <v>445206.50000000035</v>
      </c>
    </row>
    <row r="972" spans="3:7">
      <c r="C972" s="578" t="s">
        <v>2757</v>
      </c>
      <c r="D972" s="17" t="s">
        <v>2610</v>
      </c>
      <c r="E972" s="17"/>
      <c r="F972" s="17">
        <v>23.44</v>
      </c>
      <c r="G972" s="109">
        <f t="shared" si="12"/>
        <v>445183.06000000035</v>
      </c>
    </row>
    <row r="973" spans="3:7">
      <c r="C973" s="581" t="s">
        <v>2757</v>
      </c>
      <c r="D973" s="582" t="s">
        <v>2758</v>
      </c>
      <c r="E973" s="582"/>
      <c r="F973" s="582">
        <v>20000</v>
      </c>
      <c r="G973" s="109">
        <f t="shared" si="12"/>
        <v>425183.06000000035</v>
      </c>
    </row>
    <row r="974" spans="3:7">
      <c r="C974" s="578" t="s">
        <v>2757</v>
      </c>
      <c r="D974" s="17" t="s">
        <v>2759</v>
      </c>
      <c r="E974" s="17">
        <v>100000</v>
      </c>
      <c r="F974" s="17"/>
      <c r="G974" s="109">
        <f t="shared" si="12"/>
        <v>525183.06000000029</v>
      </c>
    </row>
    <row r="975" spans="3:7">
      <c r="C975" s="581" t="s">
        <v>2757</v>
      </c>
      <c r="D975" s="582" t="s">
        <v>2673</v>
      </c>
      <c r="E975" s="582"/>
      <c r="F975" s="582">
        <v>21000</v>
      </c>
      <c r="G975" s="109">
        <f t="shared" si="12"/>
        <v>504183.06000000029</v>
      </c>
    </row>
    <row r="976" spans="3:7">
      <c r="C976" s="581" t="s">
        <v>2757</v>
      </c>
      <c r="D976" s="582" t="s">
        <v>2718</v>
      </c>
      <c r="E976" s="582"/>
      <c r="F976" s="582">
        <v>10000</v>
      </c>
      <c r="G976" s="109">
        <f t="shared" si="12"/>
        <v>494183.06000000029</v>
      </c>
    </row>
    <row r="977" spans="3:7">
      <c r="C977" s="581" t="s">
        <v>2757</v>
      </c>
      <c r="D977" s="582" t="s">
        <v>2705</v>
      </c>
      <c r="E977" s="582"/>
      <c r="F977" s="582">
        <v>1600</v>
      </c>
      <c r="G977" s="109">
        <f t="shared" si="12"/>
        <v>492583.06000000029</v>
      </c>
    </row>
    <row r="978" spans="3:7">
      <c r="C978" s="578" t="s">
        <v>2757</v>
      </c>
      <c r="D978" s="17" t="s">
        <v>2760</v>
      </c>
      <c r="E978" s="17"/>
      <c r="F978" s="17">
        <v>200000</v>
      </c>
      <c r="G978" s="109">
        <f t="shared" si="12"/>
        <v>292583.06000000029</v>
      </c>
    </row>
    <row r="979" spans="3:7">
      <c r="C979" s="578" t="s">
        <v>2761</v>
      </c>
      <c r="D979" s="17" t="s">
        <v>2762</v>
      </c>
      <c r="E979" s="17">
        <v>95000</v>
      </c>
      <c r="F979" s="17"/>
      <c r="G979" s="109">
        <f t="shared" si="12"/>
        <v>387583.06000000029</v>
      </c>
    </row>
    <row r="980" spans="3:7">
      <c r="C980" s="578" t="s">
        <v>2761</v>
      </c>
      <c r="D980" s="17" t="s">
        <v>2610</v>
      </c>
      <c r="E980" s="17"/>
      <c r="F980" s="17">
        <v>23.44</v>
      </c>
      <c r="G980" s="109">
        <f t="shared" si="12"/>
        <v>387559.62000000029</v>
      </c>
    </row>
    <row r="981" spans="3:7">
      <c r="C981" s="581" t="s">
        <v>2761</v>
      </c>
      <c r="D981" s="582" t="s">
        <v>2763</v>
      </c>
      <c r="E981" s="582"/>
      <c r="F981" s="582">
        <v>20000</v>
      </c>
      <c r="G981" s="583">
        <f t="shared" si="12"/>
        <v>367559.62000000029</v>
      </c>
    </row>
    <row r="982" spans="3:7">
      <c r="C982" s="578" t="s">
        <v>2764</v>
      </c>
      <c r="D982" s="17" t="s">
        <v>2765</v>
      </c>
      <c r="E982" s="17"/>
      <c r="F982" s="17">
        <v>111.5</v>
      </c>
      <c r="G982" s="109">
        <f t="shared" si="12"/>
        <v>367448.12000000029</v>
      </c>
    </row>
    <row r="983" spans="3:7">
      <c r="C983" s="581" t="s">
        <v>2764</v>
      </c>
      <c r="D983" s="582" t="s">
        <v>2766</v>
      </c>
      <c r="E983" s="582"/>
      <c r="F983" s="582">
        <v>111500</v>
      </c>
      <c r="G983" s="109">
        <f t="shared" si="12"/>
        <v>255948.12000000029</v>
      </c>
    </row>
    <row r="984" spans="3:7">
      <c r="C984" s="581" t="s">
        <v>2764</v>
      </c>
      <c r="D984" s="582" t="s">
        <v>2767</v>
      </c>
      <c r="E984" s="582">
        <v>45000</v>
      </c>
      <c r="F984" s="582"/>
      <c r="G984" s="109">
        <f t="shared" si="12"/>
        <v>300948.12000000029</v>
      </c>
    </row>
    <row r="985" spans="3:7">
      <c r="C985" s="578" t="s">
        <v>2764</v>
      </c>
      <c r="D985" s="17" t="s">
        <v>2610</v>
      </c>
      <c r="E985" s="17"/>
      <c r="F985" s="17">
        <v>23.44</v>
      </c>
      <c r="G985" s="109">
        <f t="shared" si="12"/>
        <v>300924.68000000028</v>
      </c>
    </row>
    <row r="986" spans="3:7">
      <c r="C986" s="581" t="s">
        <v>2764</v>
      </c>
      <c r="D986" s="582" t="s">
        <v>2768</v>
      </c>
      <c r="E986" s="582"/>
      <c r="F986" s="582">
        <v>20000</v>
      </c>
      <c r="G986" s="109">
        <f t="shared" si="12"/>
        <v>280924.68000000028</v>
      </c>
    </row>
    <row r="987" spans="3:7">
      <c r="C987" s="581" t="s">
        <v>2769</v>
      </c>
      <c r="D987" s="582" t="s">
        <v>2739</v>
      </c>
      <c r="E987" s="582"/>
      <c r="F987" s="582">
        <v>1399</v>
      </c>
      <c r="G987" s="109">
        <f t="shared" si="12"/>
        <v>279525.68000000028</v>
      </c>
    </row>
    <row r="988" spans="3:7">
      <c r="C988" s="581" t="s">
        <v>2769</v>
      </c>
      <c r="D988" s="582" t="s">
        <v>2720</v>
      </c>
      <c r="E988" s="582"/>
      <c r="F988" s="582">
        <v>880</v>
      </c>
      <c r="G988" s="109">
        <f t="shared" si="12"/>
        <v>278645.68000000028</v>
      </c>
    </row>
    <row r="989" spans="3:7">
      <c r="C989" s="578" t="s">
        <v>2769</v>
      </c>
      <c r="D989" s="17" t="s">
        <v>2770</v>
      </c>
      <c r="E989" s="17">
        <v>10000</v>
      </c>
      <c r="F989" s="17"/>
      <c r="G989" s="109">
        <f t="shared" si="12"/>
        <v>288645.68000000028</v>
      </c>
    </row>
    <row r="990" spans="3:7">
      <c r="C990" s="578" t="s">
        <v>2771</v>
      </c>
      <c r="D990" s="17" t="s">
        <v>2772</v>
      </c>
      <c r="E990" s="17">
        <v>125000</v>
      </c>
      <c r="F990" s="17"/>
      <c r="G990" s="109">
        <f t="shared" si="12"/>
        <v>413645.68000000028</v>
      </c>
    </row>
    <row r="991" spans="3:7">
      <c r="C991" s="578" t="s">
        <v>2771</v>
      </c>
      <c r="D991" s="17" t="s">
        <v>2772</v>
      </c>
      <c r="E991" s="17">
        <v>80000</v>
      </c>
      <c r="F991" s="17"/>
      <c r="G991" s="109">
        <f t="shared" si="12"/>
        <v>493645.68000000028</v>
      </c>
    </row>
    <row r="992" spans="3:7">
      <c r="C992" s="578" t="s">
        <v>2773</v>
      </c>
      <c r="D992" s="17" t="s">
        <v>2610</v>
      </c>
      <c r="E992" s="17"/>
      <c r="F992" s="17">
        <v>23.44</v>
      </c>
      <c r="G992" s="109">
        <f t="shared" si="12"/>
        <v>493622.24000000028</v>
      </c>
    </row>
    <row r="993" spans="2:7">
      <c r="C993" s="581" t="s">
        <v>2773</v>
      </c>
      <c r="D993" s="582" t="s">
        <v>2774</v>
      </c>
      <c r="E993" s="582"/>
      <c r="F993" s="582">
        <v>20000</v>
      </c>
      <c r="G993" s="109">
        <f t="shared" si="12"/>
        <v>473622.24000000028</v>
      </c>
    </row>
    <row r="994" spans="2:7">
      <c r="C994" s="581" t="s">
        <v>2775</v>
      </c>
      <c r="D994" s="582" t="s">
        <v>2776</v>
      </c>
      <c r="E994" s="582"/>
      <c r="F994" s="582">
        <v>976</v>
      </c>
      <c r="G994" s="109">
        <f t="shared" si="12"/>
        <v>472646.24000000028</v>
      </c>
    </row>
    <row r="995" spans="2:7">
      <c r="C995" s="578" t="s">
        <v>2775</v>
      </c>
      <c r="D995" s="17" t="s">
        <v>2777</v>
      </c>
      <c r="E995" s="17"/>
      <c r="F995" s="17">
        <v>70</v>
      </c>
      <c r="G995" s="109">
        <f t="shared" si="12"/>
        <v>472576.24000000028</v>
      </c>
    </row>
    <row r="996" spans="2:7">
      <c r="C996" s="581" t="s">
        <v>2775</v>
      </c>
      <c r="D996" s="582" t="s">
        <v>2778</v>
      </c>
      <c r="E996" s="582"/>
      <c r="F996" s="582">
        <v>70000</v>
      </c>
      <c r="G996" s="109">
        <f t="shared" si="12"/>
        <v>402576.24000000028</v>
      </c>
    </row>
    <row r="997" spans="2:7">
      <c r="B997" t="s">
        <v>724</v>
      </c>
      <c r="C997" s="581" t="s">
        <v>2775</v>
      </c>
      <c r="D997" s="582" t="s">
        <v>2779</v>
      </c>
      <c r="E997" s="582"/>
      <c r="F997" s="582">
        <v>50000</v>
      </c>
      <c r="G997" s="109">
        <f t="shared" si="12"/>
        <v>352576.24000000028</v>
      </c>
    </row>
    <row r="998" spans="2:7">
      <c r="B998" t="s">
        <v>724</v>
      </c>
      <c r="C998" s="581" t="s">
        <v>2775</v>
      </c>
      <c r="D998" s="582" t="s">
        <v>2780</v>
      </c>
      <c r="E998" s="582"/>
      <c r="F998" s="582">
        <v>100000</v>
      </c>
      <c r="G998" s="109">
        <f t="shared" si="12"/>
        <v>252576.24000000028</v>
      </c>
    </row>
    <row r="999" spans="2:7">
      <c r="C999" s="581" t="s">
        <v>2775</v>
      </c>
      <c r="D999" s="582" t="s">
        <v>2781</v>
      </c>
      <c r="E999" s="582"/>
      <c r="F999" s="582">
        <v>50000</v>
      </c>
      <c r="G999" s="109">
        <f t="shared" si="12"/>
        <v>202576.24000000028</v>
      </c>
    </row>
    <row r="1000" spans="2:7">
      <c r="B1000" t="s">
        <v>942</v>
      </c>
      <c r="C1000" s="581" t="s">
        <v>2775</v>
      </c>
      <c r="D1000" s="582" t="s">
        <v>2782</v>
      </c>
      <c r="E1000" s="582"/>
      <c r="F1000" s="582">
        <v>14143</v>
      </c>
      <c r="G1000" s="109">
        <f t="shared" si="12"/>
        <v>188433.24000000028</v>
      </c>
    </row>
    <row r="1001" spans="2:7">
      <c r="C1001" s="581" t="s">
        <v>2775</v>
      </c>
      <c r="D1001" s="582" t="s">
        <v>2783</v>
      </c>
      <c r="E1001" s="582"/>
      <c r="F1001" s="582">
        <v>1867</v>
      </c>
      <c r="G1001" s="109">
        <f t="shared" si="12"/>
        <v>186566.24000000028</v>
      </c>
    </row>
    <row r="1002" spans="2:7">
      <c r="C1002" s="581" t="s">
        <v>2775</v>
      </c>
      <c r="D1002" s="582" t="s">
        <v>2784</v>
      </c>
      <c r="E1002" s="582"/>
      <c r="F1002" s="582">
        <v>3991</v>
      </c>
      <c r="G1002" s="109">
        <f t="shared" si="12"/>
        <v>182575.24000000028</v>
      </c>
    </row>
    <row r="1003" spans="2:7">
      <c r="C1003" s="578" t="s">
        <v>2775</v>
      </c>
      <c r="D1003" s="17" t="s">
        <v>2610</v>
      </c>
      <c r="E1003" s="17"/>
      <c r="F1003" s="17">
        <v>23.44</v>
      </c>
      <c r="G1003" s="109">
        <f t="shared" si="12"/>
        <v>182551.80000000028</v>
      </c>
    </row>
    <row r="1004" spans="2:7">
      <c r="C1004" s="581" t="s">
        <v>2775</v>
      </c>
      <c r="D1004" s="582" t="s">
        <v>2785</v>
      </c>
      <c r="E1004" s="582"/>
      <c r="F1004" s="582">
        <v>20000</v>
      </c>
      <c r="G1004" s="109">
        <f t="shared" si="12"/>
        <v>162551.80000000028</v>
      </c>
    </row>
    <row r="1005" spans="2:7">
      <c r="C1005" s="581" t="s">
        <v>2775</v>
      </c>
      <c r="D1005" s="582" t="s">
        <v>2786</v>
      </c>
      <c r="E1005" s="582">
        <v>782000</v>
      </c>
      <c r="F1005" s="582"/>
      <c r="G1005" s="109">
        <f t="shared" si="12"/>
        <v>944551.80000000028</v>
      </c>
    </row>
    <row r="1006" spans="2:7">
      <c r="C1006" s="581" t="s">
        <v>2787</v>
      </c>
      <c r="D1006" s="582" t="s">
        <v>2788</v>
      </c>
      <c r="E1006" s="582"/>
      <c r="F1006" s="582">
        <v>706</v>
      </c>
      <c r="G1006" s="109">
        <f t="shared" si="12"/>
        <v>943845.80000000028</v>
      </c>
    </row>
    <row r="1007" spans="2:7">
      <c r="C1007" s="581" t="s">
        <v>2787</v>
      </c>
      <c r="D1007" s="582" t="s">
        <v>2789</v>
      </c>
      <c r="E1007" s="582"/>
      <c r="F1007" s="582">
        <v>29420</v>
      </c>
      <c r="G1007" s="109">
        <f t="shared" si="12"/>
        <v>914425.80000000028</v>
      </c>
    </row>
    <row r="1008" spans="2:7">
      <c r="B1008" t="s">
        <v>2665</v>
      </c>
      <c r="C1008" s="581" t="s">
        <v>2787</v>
      </c>
      <c r="D1008" s="582" t="s">
        <v>2790</v>
      </c>
      <c r="E1008" s="582"/>
      <c r="F1008" s="582">
        <v>200000</v>
      </c>
      <c r="G1008" s="109">
        <f t="shared" si="12"/>
        <v>714425.80000000028</v>
      </c>
    </row>
    <row r="1009" spans="2:7">
      <c r="B1009" t="s">
        <v>2665</v>
      </c>
      <c r="C1009" s="581" t="s">
        <v>2787</v>
      </c>
      <c r="D1009" s="582" t="s">
        <v>2791</v>
      </c>
      <c r="E1009" s="582"/>
      <c r="F1009" s="582">
        <v>50000</v>
      </c>
      <c r="G1009" s="109">
        <f t="shared" si="12"/>
        <v>664425.80000000028</v>
      </c>
    </row>
    <row r="1010" spans="2:7">
      <c r="B1010" t="s">
        <v>942</v>
      </c>
      <c r="C1010" s="581" t="s">
        <v>2787</v>
      </c>
      <c r="D1010" s="582" t="s">
        <v>2720</v>
      </c>
      <c r="E1010" s="582"/>
      <c r="F1010" s="582">
        <v>640</v>
      </c>
      <c r="G1010" s="109">
        <f t="shared" si="12"/>
        <v>663785.80000000028</v>
      </c>
    </row>
    <row r="1011" spans="2:7">
      <c r="C1011" s="578" t="s">
        <v>2787</v>
      </c>
      <c r="D1011" s="17" t="s">
        <v>2792</v>
      </c>
      <c r="E1011" s="17"/>
      <c r="F1011" s="17">
        <v>9.1999999999999993</v>
      </c>
      <c r="G1011" s="109">
        <f t="shared" si="12"/>
        <v>663776.60000000033</v>
      </c>
    </row>
    <row r="1012" spans="2:7">
      <c r="C1012" s="581" t="s">
        <v>2787</v>
      </c>
      <c r="D1012" s="582" t="s">
        <v>2793</v>
      </c>
      <c r="E1012" s="582"/>
      <c r="F1012" s="582">
        <v>9200</v>
      </c>
      <c r="G1012" s="109">
        <f t="shared" si="12"/>
        <v>654576.60000000033</v>
      </c>
    </row>
    <row r="1013" spans="2:7">
      <c r="C1013" s="581" t="s">
        <v>2794</v>
      </c>
      <c r="D1013" s="582" t="s">
        <v>2795</v>
      </c>
      <c r="E1013" s="582"/>
      <c r="F1013" s="582">
        <v>4500</v>
      </c>
      <c r="G1013" s="109">
        <f t="shared" si="12"/>
        <v>650076.60000000033</v>
      </c>
    </row>
    <row r="1014" spans="2:7">
      <c r="B1014" t="s">
        <v>2665</v>
      </c>
      <c r="C1014" s="578" t="s">
        <v>2794</v>
      </c>
      <c r="D1014" s="17" t="s">
        <v>2610</v>
      </c>
      <c r="E1014" s="17"/>
      <c r="F1014" s="17">
        <v>23.44</v>
      </c>
      <c r="G1014" s="109">
        <f t="shared" si="12"/>
        <v>650053.16000000038</v>
      </c>
    </row>
    <row r="1015" spans="2:7">
      <c r="C1015" s="581" t="s">
        <v>2794</v>
      </c>
      <c r="D1015" s="582" t="s">
        <v>2796</v>
      </c>
      <c r="E1015" s="582"/>
      <c r="F1015" s="582">
        <v>20000</v>
      </c>
      <c r="G1015" s="109">
        <f t="shared" si="12"/>
        <v>630053.16000000038</v>
      </c>
    </row>
    <row r="1016" spans="2:7">
      <c r="C1016" s="578" t="s">
        <v>2797</v>
      </c>
      <c r="D1016" s="17" t="s">
        <v>2741</v>
      </c>
      <c r="E1016" s="17"/>
      <c r="F1016" s="17">
        <v>40000</v>
      </c>
      <c r="G1016" s="109">
        <f t="shared" si="12"/>
        <v>590053.16000000038</v>
      </c>
    </row>
    <row r="1017" spans="2:7">
      <c r="C1017" s="581" t="s">
        <v>2797</v>
      </c>
      <c r="D1017" s="582" t="s">
        <v>2798</v>
      </c>
      <c r="E1017" s="582">
        <v>150000</v>
      </c>
      <c r="F1017" s="582"/>
      <c r="G1017" s="109">
        <f t="shared" si="12"/>
        <v>740053.16000000038</v>
      </c>
    </row>
    <row r="1018" spans="2:7">
      <c r="C1018" s="581" t="s">
        <v>2799</v>
      </c>
      <c r="D1018" s="582" t="s">
        <v>2800</v>
      </c>
      <c r="E1018" s="582">
        <v>280000</v>
      </c>
      <c r="F1018" s="582"/>
      <c r="G1018" s="109">
        <f t="shared" si="12"/>
        <v>1020053.1600000004</v>
      </c>
    </row>
    <row r="1019" spans="2:7">
      <c r="C1019" s="578" t="s">
        <v>2799</v>
      </c>
      <c r="D1019" s="17" t="s">
        <v>2801</v>
      </c>
      <c r="E1019" s="17">
        <v>150000</v>
      </c>
      <c r="F1019" s="17"/>
      <c r="G1019" s="109">
        <f t="shared" si="12"/>
        <v>1170053.1600000004</v>
      </c>
    </row>
    <row r="1020" spans="2:7">
      <c r="C1020" s="578" t="s">
        <v>2799</v>
      </c>
      <c r="D1020" s="17" t="s">
        <v>2802</v>
      </c>
      <c r="E1020" s="17"/>
      <c r="F1020" s="17">
        <v>3000</v>
      </c>
      <c r="G1020" s="109">
        <f t="shared" si="12"/>
        <v>1167053.1600000004</v>
      </c>
    </row>
    <row r="1021" spans="2:7">
      <c r="C1021" s="581" t="s">
        <v>2799</v>
      </c>
      <c r="D1021" s="582" t="s">
        <v>2803</v>
      </c>
      <c r="E1021" s="582"/>
      <c r="F1021" s="582">
        <v>20000</v>
      </c>
      <c r="G1021" s="109">
        <f t="shared" ref="G1021:G1084" si="13">G1020+E1021-F1021</f>
        <v>1147053.1600000004</v>
      </c>
    </row>
    <row r="1022" spans="2:7">
      <c r="C1022" s="581" t="s">
        <v>2804</v>
      </c>
      <c r="D1022" s="582" t="s">
        <v>2805</v>
      </c>
      <c r="E1022" s="582">
        <v>7500</v>
      </c>
      <c r="F1022" s="582"/>
      <c r="G1022" s="109">
        <f t="shared" si="13"/>
        <v>1154553.1600000004</v>
      </c>
    </row>
    <row r="1023" spans="2:7">
      <c r="C1023" s="581" t="s">
        <v>2804</v>
      </c>
      <c r="D1023" s="582" t="s">
        <v>2805</v>
      </c>
      <c r="E1023" s="582">
        <v>1125</v>
      </c>
      <c r="F1023" s="582"/>
      <c r="G1023" s="109">
        <f t="shared" si="13"/>
        <v>1155678.1600000004</v>
      </c>
    </row>
    <row r="1024" spans="2:7">
      <c r="C1024" s="581" t="s">
        <v>2804</v>
      </c>
      <c r="D1024" s="582" t="s">
        <v>2806</v>
      </c>
      <c r="E1024" s="582"/>
      <c r="F1024" s="582">
        <v>280000</v>
      </c>
      <c r="G1024" s="109">
        <f t="shared" si="13"/>
        <v>875678.16000000038</v>
      </c>
    </row>
    <row r="1025" spans="3:7">
      <c r="C1025" s="578" t="s">
        <v>2807</v>
      </c>
      <c r="D1025" s="17" t="s">
        <v>2680</v>
      </c>
      <c r="E1025" s="17">
        <v>58000</v>
      </c>
      <c r="F1025" s="17"/>
      <c r="G1025" s="109">
        <f t="shared" si="13"/>
        <v>933678.16000000038</v>
      </c>
    </row>
    <row r="1026" spans="3:7">
      <c r="C1026" s="578" t="s">
        <v>2807</v>
      </c>
      <c r="D1026" s="17" t="s">
        <v>2808</v>
      </c>
      <c r="E1026" s="17"/>
      <c r="F1026" s="17">
        <v>200</v>
      </c>
      <c r="G1026" s="109">
        <f t="shared" si="13"/>
        <v>933478.16000000038</v>
      </c>
    </row>
    <row r="1027" spans="3:7">
      <c r="C1027" s="581" t="s">
        <v>2807</v>
      </c>
      <c r="D1027" s="582" t="s">
        <v>2809</v>
      </c>
      <c r="E1027" s="582"/>
      <c r="F1027" s="582">
        <v>250000</v>
      </c>
      <c r="G1027" s="109">
        <f t="shared" si="13"/>
        <v>683478.16000000038</v>
      </c>
    </row>
    <row r="1028" spans="3:7">
      <c r="C1028" s="581" t="s">
        <v>2807</v>
      </c>
      <c r="D1028" s="582" t="s">
        <v>2694</v>
      </c>
      <c r="E1028" s="582"/>
      <c r="F1028" s="582">
        <v>58900</v>
      </c>
      <c r="G1028" s="109">
        <f t="shared" si="13"/>
        <v>624578.16000000038</v>
      </c>
    </row>
    <row r="1029" spans="3:7">
      <c r="C1029" s="578" t="s">
        <v>2810</v>
      </c>
      <c r="D1029" s="17" t="s">
        <v>2811</v>
      </c>
      <c r="E1029" s="17">
        <v>50000</v>
      </c>
      <c r="F1029" s="17"/>
      <c r="G1029" s="109">
        <f t="shared" si="13"/>
        <v>674578.16000000038</v>
      </c>
    </row>
    <row r="1030" spans="3:7">
      <c r="C1030" s="578" t="s">
        <v>2812</v>
      </c>
      <c r="D1030" s="17" t="s">
        <v>2741</v>
      </c>
      <c r="E1030" s="17"/>
      <c r="F1030" s="17">
        <v>50000</v>
      </c>
      <c r="G1030" s="109">
        <f t="shared" si="13"/>
        <v>624578.16000000038</v>
      </c>
    </row>
    <row r="1031" spans="3:7">
      <c r="C1031" s="578" t="s">
        <v>2812</v>
      </c>
      <c r="D1031" s="17" t="s">
        <v>2813</v>
      </c>
      <c r="E1031" s="17"/>
      <c r="F1031" s="17">
        <v>200</v>
      </c>
      <c r="G1031" s="109">
        <f t="shared" si="13"/>
        <v>624378.16000000038</v>
      </c>
    </row>
    <row r="1032" spans="3:7">
      <c r="C1032" s="581" t="s">
        <v>2812</v>
      </c>
      <c r="D1032" s="582" t="s">
        <v>2814</v>
      </c>
      <c r="E1032" s="582"/>
      <c r="F1032" s="582">
        <v>250000</v>
      </c>
      <c r="G1032" s="109">
        <f t="shared" si="13"/>
        <v>374378.16000000038</v>
      </c>
    </row>
    <row r="1033" spans="3:7">
      <c r="C1033" s="581" t="s">
        <v>2815</v>
      </c>
      <c r="D1033" s="582" t="s">
        <v>2816</v>
      </c>
      <c r="E1033" s="582"/>
      <c r="F1033" s="582">
        <v>820</v>
      </c>
      <c r="G1033" s="109">
        <f t="shared" si="13"/>
        <v>373558.16000000038</v>
      </c>
    </row>
    <row r="1034" spans="3:7">
      <c r="C1034" s="581" t="s">
        <v>2815</v>
      </c>
      <c r="D1034" s="582" t="s">
        <v>2817</v>
      </c>
      <c r="E1034" s="582"/>
      <c r="F1034" s="582">
        <v>5000</v>
      </c>
      <c r="G1034" s="109">
        <f t="shared" si="13"/>
        <v>368558.16000000038</v>
      </c>
    </row>
    <row r="1035" spans="3:7">
      <c r="C1035" s="581" t="s">
        <v>2815</v>
      </c>
      <c r="D1035" s="582" t="s">
        <v>2674</v>
      </c>
      <c r="E1035" s="582"/>
      <c r="F1035" s="582">
        <v>50000</v>
      </c>
      <c r="G1035" s="109">
        <f t="shared" si="13"/>
        <v>318558.16000000038</v>
      </c>
    </row>
    <row r="1036" spans="3:7">
      <c r="C1036" s="578" t="s">
        <v>2818</v>
      </c>
      <c r="D1036" s="17" t="s">
        <v>2741</v>
      </c>
      <c r="E1036" s="17"/>
      <c r="F1036" s="17">
        <v>20000</v>
      </c>
      <c r="G1036" s="109">
        <f t="shared" si="13"/>
        <v>298558.16000000038</v>
      </c>
    </row>
    <row r="1037" spans="3:7">
      <c r="C1037" s="578" t="s">
        <v>2819</v>
      </c>
      <c r="D1037" s="17" t="s">
        <v>2820</v>
      </c>
      <c r="E1037" s="17">
        <v>185500</v>
      </c>
      <c r="F1037" s="17"/>
      <c r="G1037" s="109">
        <f t="shared" si="13"/>
        <v>484058.16000000038</v>
      </c>
    </row>
    <row r="1038" spans="3:7">
      <c r="C1038" s="578" t="s">
        <v>2821</v>
      </c>
      <c r="D1038" s="17" t="s">
        <v>2822</v>
      </c>
      <c r="E1038" s="17"/>
      <c r="F1038" s="17">
        <v>5</v>
      </c>
      <c r="G1038" s="109">
        <f t="shared" si="13"/>
        <v>484053.16000000038</v>
      </c>
    </row>
    <row r="1039" spans="3:7">
      <c r="C1039" s="581" t="s">
        <v>2821</v>
      </c>
      <c r="D1039" s="582" t="s">
        <v>2823</v>
      </c>
      <c r="E1039" s="582"/>
      <c r="F1039" s="582">
        <v>5000</v>
      </c>
      <c r="G1039" s="109">
        <f t="shared" si="13"/>
        <v>479053.16000000038</v>
      </c>
    </row>
    <row r="1040" spans="3:7">
      <c r="C1040" s="581" t="s">
        <v>2821</v>
      </c>
      <c r="D1040" s="582" t="s">
        <v>2488</v>
      </c>
      <c r="E1040" s="582"/>
      <c r="F1040" s="582">
        <v>20000</v>
      </c>
      <c r="G1040" s="109">
        <f t="shared" si="13"/>
        <v>459053.16000000038</v>
      </c>
    </row>
    <row r="1041" spans="3:7">
      <c r="C1041" s="581" t="s">
        <v>2821</v>
      </c>
      <c r="D1041" s="582" t="s">
        <v>2704</v>
      </c>
      <c r="E1041" s="582"/>
      <c r="F1041" s="582">
        <v>1076</v>
      </c>
      <c r="G1041" s="109">
        <f t="shared" si="13"/>
        <v>457977.16000000038</v>
      </c>
    </row>
    <row r="1042" spans="3:7">
      <c r="C1042" s="581" t="s">
        <v>2821</v>
      </c>
      <c r="D1042" s="582" t="s">
        <v>2674</v>
      </c>
      <c r="E1042" s="582"/>
      <c r="F1042" s="582">
        <v>100000</v>
      </c>
      <c r="G1042" s="109">
        <f t="shared" si="13"/>
        <v>357977.16000000038</v>
      </c>
    </row>
    <row r="1043" spans="3:7">
      <c r="C1043" s="578" t="s">
        <v>2821</v>
      </c>
      <c r="D1043" s="17" t="s">
        <v>2824</v>
      </c>
      <c r="E1043" s="17"/>
      <c r="F1043" s="17">
        <v>101.43</v>
      </c>
      <c r="G1043" s="109">
        <f t="shared" si="13"/>
        <v>357875.73000000039</v>
      </c>
    </row>
    <row r="1044" spans="3:7">
      <c r="C1044" s="581" t="s">
        <v>2821</v>
      </c>
      <c r="D1044" s="582" t="s">
        <v>2825</v>
      </c>
      <c r="E1044" s="582"/>
      <c r="F1044" s="582">
        <v>804.98</v>
      </c>
      <c r="G1044" s="109">
        <f t="shared" si="13"/>
        <v>357070.75000000041</v>
      </c>
    </row>
    <row r="1045" spans="3:7">
      <c r="C1045" s="578" t="s">
        <v>2821</v>
      </c>
      <c r="D1045" s="17" t="s">
        <v>2826</v>
      </c>
      <c r="E1045" s="17"/>
      <c r="F1045" s="17">
        <v>190.4</v>
      </c>
      <c r="G1045" s="109">
        <f t="shared" si="13"/>
        <v>356880.35000000038</v>
      </c>
    </row>
    <row r="1046" spans="3:7">
      <c r="C1046" s="581" t="s">
        <v>2821</v>
      </c>
      <c r="D1046" s="582" t="s">
        <v>2827</v>
      </c>
      <c r="E1046" s="582"/>
      <c r="F1046" s="582">
        <v>1511.1</v>
      </c>
      <c r="G1046" s="109">
        <f t="shared" si="13"/>
        <v>355369.25000000041</v>
      </c>
    </row>
    <row r="1047" spans="3:7">
      <c r="C1047" s="581" t="s">
        <v>2828</v>
      </c>
      <c r="D1047" s="582" t="s">
        <v>2686</v>
      </c>
      <c r="E1047" s="582"/>
      <c r="F1047" s="582">
        <v>16000</v>
      </c>
      <c r="G1047" s="109">
        <f t="shared" si="13"/>
        <v>339369.25000000041</v>
      </c>
    </row>
    <row r="1048" spans="3:7">
      <c r="C1048" s="581" t="s">
        <v>2828</v>
      </c>
      <c r="D1048" s="582" t="s">
        <v>2481</v>
      </c>
      <c r="E1048" s="582"/>
      <c r="F1048" s="582">
        <v>12600</v>
      </c>
      <c r="G1048" s="109">
        <f t="shared" si="13"/>
        <v>326769.25000000041</v>
      </c>
    </row>
    <row r="1049" spans="3:7">
      <c r="C1049" s="581" t="s">
        <v>2828</v>
      </c>
      <c r="D1049" s="582" t="s">
        <v>2481</v>
      </c>
      <c r="E1049" s="582"/>
      <c r="F1049" s="582">
        <v>12600</v>
      </c>
      <c r="G1049" s="109">
        <f t="shared" si="13"/>
        <v>314169.25000000041</v>
      </c>
    </row>
    <row r="1050" spans="3:7">
      <c r="C1050" s="581" t="s">
        <v>2829</v>
      </c>
      <c r="D1050" s="582" t="s">
        <v>2676</v>
      </c>
      <c r="E1050" s="582">
        <v>15000</v>
      </c>
      <c r="F1050" s="582"/>
      <c r="G1050" s="109">
        <f t="shared" si="13"/>
        <v>329169.25000000041</v>
      </c>
    </row>
    <row r="1051" spans="3:7">
      <c r="C1051" s="581" t="s">
        <v>2829</v>
      </c>
      <c r="D1051" s="582" t="s">
        <v>2830</v>
      </c>
      <c r="E1051" s="582"/>
      <c r="F1051" s="582">
        <v>200000</v>
      </c>
      <c r="G1051" s="109">
        <f t="shared" si="13"/>
        <v>129169.25000000041</v>
      </c>
    </row>
    <row r="1052" spans="3:7">
      <c r="C1052" s="581" t="s">
        <v>2829</v>
      </c>
      <c r="D1052" s="582" t="s">
        <v>2831</v>
      </c>
      <c r="E1052" s="582"/>
      <c r="F1052" s="582">
        <v>20000</v>
      </c>
      <c r="G1052" s="109">
        <f t="shared" si="13"/>
        <v>109169.25000000041</v>
      </c>
    </row>
    <row r="1053" spans="3:7">
      <c r="C1053" s="581" t="s">
        <v>2829</v>
      </c>
      <c r="D1053" s="582" t="s">
        <v>2376</v>
      </c>
      <c r="E1053" s="582"/>
      <c r="F1053" s="582">
        <v>11634</v>
      </c>
      <c r="G1053" s="109">
        <f t="shared" si="13"/>
        <v>97535.250000000407</v>
      </c>
    </row>
    <row r="1054" spans="3:7">
      <c r="C1054" s="581" t="s">
        <v>2829</v>
      </c>
      <c r="D1054" s="582" t="s">
        <v>2376</v>
      </c>
      <c r="E1054" s="582"/>
      <c r="F1054" s="582">
        <v>12623</v>
      </c>
      <c r="G1054" s="109">
        <f t="shared" si="13"/>
        <v>84912.250000000407</v>
      </c>
    </row>
    <row r="1055" spans="3:7">
      <c r="C1055" s="581" t="s">
        <v>2829</v>
      </c>
      <c r="D1055" s="582" t="s">
        <v>2705</v>
      </c>
      <c r="E1055" s="582"/>
      <c r="F1055" s="582">
        <v>1500</v>
      </c>
      <c r="G1055" s="109">
        <f t="shared" si="13"/>
        <v>83412.250000000407</v>
      </c>
    </row>
    <row r="1056" spans="3:7">
      <c r="C1056" s="581" t="s">
        <v>2832</v>
      </c>
      <c r="D1056" s="582" t="s">
        <v>2739</v>
      </c>
      <c r="E1056" s="582"/>
      <c r="F1056" s="582">
        <v>1399</v>
      </c>
      <c r="G1056" s="109">
        <f t="shared" si="13"/>
        <v>82013.250000000407</v>
      </c>
    </row>
    <row r="1057" spans="3:7">
      <c r="C1057" s="578" t="s">
        <v>2833</v>
      </c>
      <c r="D1057" s="17" t="s">
        <v>2741</v>
      </c>
      <c r="E1057" s="17"/>
      <c r="F1057" s="17">
        <v>25000</v>
      </c>
      <c r="G1057" s="109">
        <f t="shared" si="13"/>
        <v>57013.250000000407</v>
      </c>
    </row>
    <row r="1058" spans="3:7">
      <c r="C1058" s="581" t="s">
        <v>2833</v>
      </c>
      <c r="D1058" s="582" t="s">
        <v>2834</v>
      </c>
      <c r="E1058" s="582"/>
      <c r="F1058" s="582">
        <v>2472</v>
      </c>
      <c r="G1058" s="109">
        <f t="shared" si="13"/>
        <v>54541.250000000407</v>
      </c>
    </row>
    <row r="1059" spans="3:7">
      <c r="C1059" s="581" t="s">
        <v>2833</v>
      </c>
      <c r="D1059" s="582" t="s">
        <v>2835</v>
      </c>
      <c r="E1059" s="582"/>
      <c r="F1059" s="582">
        <v>4700</v>
      </c>
      <c r="G1059" s="109">
        <f t="shared" si="13"/>
        <v>49841.250000000407</v>
      </c>
    </row>
    <row r="1060" spans="3:7">
      <c r="C1060" s="581" t="s">
        <v>2833</v>
      </c>
      <c r="D1060" s="582" t="s">
        <v>2836</v>
      </c>
      <c r="E1060" s="582"/>
      <c r="F1060" s="582">
        <v>3449</v>
      </c>
      <c r="G1060" s="109">
        <f t="shared" si="13"/>
        <v>46392.250000000407</v>
      </c>
    </row>
    <row r="1061" spans="3:7">
      <c r="C1061" s="581" t="s">
        <v>2833</v>
      </c>
      <c r="D1061" s="582" t="s">
        <v>2837</v>
      </c>
      <c r="E1061" s="582">
        <v>100</v>
      </c>
      <c r="F1061" s="582"/>
      <c r="G1061" s="109">
        <f t="shared" si="13"/>
        <v>46492.250000000407</v>
      </c>
    </row>
    <row r="1062" spans="3:7">
      <c r="C1062" s="581" t="s">
        <v>2833</v>
      </c>
      <c r="D1062" s="582" t="s">
        <v>2838</v>
      </c>
      <c r="E1062" s="582">
        <v>335000</v>
      </c>
      <c r="F1062" s="582"/>
      <c r="G1062" s="109">
        <f t="shared" si="13"/>
        <v>381492.25000000041</v>
      </c>
    </row>
    <row r="1063" spans="3:7">
      <c r="C1063" s="581" t="s">
        <v>2833</v>
      </c>
      <c r="D1063" s="582" t="s">
        <v>2839</v>
      </c>
      <c r="E1063" s="582"/>
      <c r="F1063" s="582">
        <v>20000</v>
      </c>
      <c r="G1063" s="109">
        <f t="shared" si="13"/>
        <v>361492.25000000041</v>
      </c>
    </row>
    <row r="1064" spans="3:7">
      <c r="C1064" s="581" t="s">
        <v>2840</v>
      </c>
      <c r="D1064" s="582" t="s">
        <v>2841</v>
      </c>
      <c r="E1064" s="582"/>
      <c r="F1064" s="582">
        <v>1500</v>
      </c>
      <c r="G1064" s="109">
        <f t="shared" si="13"/>
        <v>359992.25000000041</v>
      </c>
    </row>
    <row r="1065" spans="3:7">
      <c r="C1065" s="578" t="s">
        <v>2840</v>
      </c>
      <c r="D1065" s="17" t="s">
        <v>2842</v>
      </c>
      <c r="E1065" s="17"/>
      <c r="F1065" s="17">
        <v>14</v>
      </c>
      <c r="G1065" s="109">
        <f t="shared" si="13"/>
        <v>359978.25000000041</v>
      </c>
    </row>
    <row r="1066" spans="3:7">
      <c r="C1066" s="578" t="s">
        <v>2840</v>
      </c>
      <c r="D1066" s="17" t="s">
        <v>2843</v>
      </c>
      <c r="E1066" s="17"/>
      <c r="F1066" s="17">
        <v>14000</v>
      </c>
      <c r="G1066" s="109">
        <f t="shared" si="13"/>
        <v>345978.25000000041</v>
      </c>
    </row>
    <row r="1067" spans="3:7">
      <c r="C1067" s="578" t="s">
        <v>2844</v>
      </c>
      <c r="D1067" s="17" t="s">
        <v>2845</v>
      </c>
      <c r="E1067" s="17"/>
      <c r="F1067" s="17">
        <v>16500</v>
      </c>
      <c r="G1067" s="109">
        <f t="shared" si="13"/>
        <v>329478.25000000041</v>
      </c>
    </row>
    <row r="1068" spans="3:7">
      <c r="C1068" s="578" t="s">
        <v>2844</v>
      </c>
      <c r="D1068" s="17" t="s">
        <v>2845</v>
      </c>
      <c r="E1068" s="17"/>
      <c r="F1068" s="17">
        <v>2000</v>
      </c>
      <c r="G1068" s="109">
        <f t="shared" si="13"/>
        <v>327478.25000000041</v>
      </c>
    </row>
    <row r="1069" spans="3:7">
      <c r="C1069" s="581" t="s">
        <v>2846</v>
      </c>
      <c r="D1069" s="582" t="s">
        <v>2847</v>
      </c>
      <c r="E1069" s="582"/>
      <c r="F1069" s="582">
        <v>10000</v>
      </c>
      <c r="G1069" s="109">
        <f t="shared" si="13"/>
        <v>317478.25000000041</v>
      </c>
    </row>
    <row r="1070" spans="3:7">
      <c r="C1070" s="578" t="s">
        <v>2848</v>
      </c>
      <c r="D1070" s="17" t="s">
        <v>2849</v>
      </c>
      <c r="E1070" s="17"/>
      <c r="F1070" s="17">
        <v>10200</v>
      </c>
      <c r="G1070" s="109">
        <f t="shared" si="13"/>
        <v>307278.25000000041</v>
      </c>
    </row>
    <row r="1071" spans="3:7">
      <c r="C1071" s="578" t="s">
        <v>2848</v>
      </c>
      <c r="D1071" s="17" t="s">
        <v>2850</v>
      </c>
      <c r="E1071" s="17"/>
      <c r="F1071" s="17">
        <v>97774</v>
      </c>
      <c r="G1071" s="109">
        <f t="shared" si="13"/>
        <v>209504.25000000041</v>
      </c>
    </row>
    <row r="1072" spans="3:7">
      <c r="C1072" s="578" t="s">
        <v>2848</v>
      </c>
      <c r="D1072" s="17" t="s">
        <v>2850</v>
      </c>
      <c r="E1072" s="17"/>
      <c r="F1072" s="17">
        <v>164448</v>
      </c>
      <c r="G1072" s="109">
        <f t="shared" si="13"/>
        <v>45056.250000000407</v>
      </c>
    </row>
    <row r="1073" spans="3:7">
      <c r="C1073" s="581" t="s">
        <v>2848</v>
      </c>
      <c r="D1073" s="582" t="s">
        <v>2851</v>
      </c>
      <c r="E1073" s="582"/>
      <c r="F1073" s="582">
        <v>20000</v>
      </c>
      <c r="G1073" s="109">
        <f t="shared" si="13"/>
        <v>25056.250000000407</v>
      </c>
    </row>
    <row r="1074" spans="3:7">
      <c r="C1074" s="581" t="s">
        <v>2852</v>
      </c>
      <c r="D1074" s="582" t="s">
        <v>2853</v>
      </c>
      <c r="E1074" s="582"/>
      <c r="F1074" s="582">
        <v>1480</v>
      </c>
      <c r="G1074" s="109">
        <f t="shared" si="13"/>
        <v>23576.250000000407</v>
      </c>
    </row>
    <row r="1075" spans="3:7" ht="14.4" customHeight="1">
      <c r="C1075" s="581" t="s">
        <v>2852</v>
      </c>
      <c r="D1075" s="582" t="s">
        <v>2854</v>
      </c>
      <c r="E1075" s="582"/>
      <c r="F1075" s="582">
        <v>8742</v>
      </c>
      <c r="G1075" s="109">
        <f t="shared" si="13"/>
        <v>14834.250000000407</v>
      </c>
    </row>
    <row r="1076" spans="3:7" ht="15" customHeight="1">
      <c r="C1076" s="581" t="s">
        <v>2852</v>
      </c>
      <c r="D1076" s="582" t="s">
        <v>2855</v>
      </c>
      <c r="E1076" s="582"/>
      <c r="F1076" s="582">
        <v>4850</v>
      </c>
      <c r="G1076" s="109">
        <f t="shared" si="13"/>
        <v>9984.2500000004075</v>
      </c>
    </row>
    <row r="1077" spans="3:7">
      <c r="C1077" s="581" t="s">
        <v>2852</v>
      </c>
      <c r="D1077" s="582" t="s">
        <v>2856</v>
      </c>
      <c r="E1077" s="582">
        <v>3700</v>
      </c>
      <c r="F1077" s="582"/>
      <c r="G1077" s="109">
        <f t="shared" si="13"/>
        <v>13684.250000000407</v>
      </c>
    </row>
    <row r="1078" spans="3:7">
      <c r="C1078" s="581" t="s">
        <v>2857</v>
      </c>
      <c r="D1078" s="582" t="s">
        <v>2718</v>
      </c>
      <c r="E1078" s="582"/>
      <c r="F1078" s="582">
        <v>10000</v>
      </c>
      <c r="G1078" s="109">
        <f t="shared" si="13"/>
        <v>3684.2500000004075</v>
      </c>
    </row>
    <row r="1079" spans="3:7">
      <c r="C1079" s="581" t="s">
        <v>2858</v>
      </c>
      <c r="D1079" s="582" t="s">
        <v>2859</v>
      </c>
      <c r="E1079" s="582">
        <v>50000</v>
      </c>
      <c r="F1079" s="582"/>
      <c r="G1079" s="109">
        <f t="shared" si="13"/>
        <v>53684.250000000407</v>
      </c>
    </row>
    <row r="1080" spans="3:7">
      <c r="C1080" s="578" t="s">
        <v>2858</v>
      </c>
      <c r="D1080" s="17" t="s">
        <v>2741</v>
      </c>
      <c r="E1080" s="17"/>
      <c r="F1080" s="17">
        <v>25000</v>
      </c>
      <c r="G1080" s="109">
        <f t="shared" si="13"/>
        <v>28684.250000000407</v>
      </c>
    </row>
    <row r="1081" spans="3:7">
      <c r="C1081" s="581" t="s">
        <v>2858</v>
      </c>
      <c r="D1081" s="582" t="s">
        <v>1657</v>
      </c>
      <c r="E1081" s="582">
        <v>34000</v>
      </c>
      <c r="F1081" s="582"/>
      <c r="G1081" s="109">
        <f t="shared" si="13"/>
        <v>62684.250000000407</v>
      </c>
    </row>
    <row r="1082" spans="3:7">
      <c r="C1082" s="581" t="s">
        <v>2860</v>
      </c>
      <c r="D1082" s="582" t="s">
        <v>2861</v>
      </c>
      <c r="E1082" s="582">
        <v>500000</v>
      </c>
      <c r="F1082" s="582"/>
      <c r="G1082" s="109">
        <f t="shared" si="13"/>
        <v>562684.25000000047</v>
      </c>
    </row>
    <row r="1083" spans="3:7">
      <c r="C1083" s="581" t="s">
        <v>2860</v>
      </c>
      <c r="D1083" s="582" t="s">
        <v>2861</v>
      </c>
      <c r="E1083" s="582">
        <v>295000</v>
      </c>
      <c r="F1083" s="582"/>
      <c r="G1083" s="109">
        <f t="shared" si="13"/>
        <v>857684.25000000047</v>
      </c>
    </row>
    <row r="1084" spans="3:7">
      <c r="C1084" s="581" t="s">
        <v>2860</v>
      </c>
      <c r="D1084" s="582" t="s">
        <v>2720</v>
      </c>
      <c r="E1084" s="582"/>
      <c r="F1084" s="582">
        <v>650</v>
      </c>
      <c r="G1084" s="109">
        <f t="shared" si="13"/>
        <v>857034.25000000047</v>
      </c>
    </row>
    <row r="1085" spans="3:7">
      <c r="C1085" s="581" t="s">
        <v>2860</v>
      </c>
      <c r="D1085" s="582" t="s">
        <v>2720</v>
      </c>
      <c r="E1085" s="582"/>
      <c r="F1085" s="582">
        <v>1230</v>
      </c>
      <c r="G1085" s="109">
        <f t="shared" ref="G1085:G1148" si="14">G1084+E1085-F1085</f>
        <v>855804.25000000047</v>
      </c>
    </row>
    <row r="1086" spans="3:7">
      <c r="C1086" s="581" t="s">
        <v>2860</v>
      </c>
      <c r="D1086" s="582" t="s">
        <v>2481</v>
      </c>
      <c r="E1086" s="582"/>
      <c r="F1086" s="582">
        <v>6600</v>
      </c>
      <c r="G1086" s="109">
        <f t="shared" si="14"/>
        <v>849204.25000000047</v>
      </c>
    </row>
    <row r="1087" spans="3:7">
      <c r="C1087" s="581" t="s">
        <v>2860</v>
      </c>
      <c r="D1087" s="582" t="s">
        <v>2481</v>
      </c>
      <c r="E1087" s="582"/>
      <c r="F1087" s="582">
        <v>6600</v>
      </c>
      <c r="G1087" s="109">
        <f t="shared" si="14"/>
        <v>842604.25000000047</v>
      </c>
    </row>
    <row r="1088" spans="3:7">
      <c r="C1088" s="578" t="s">
        <v>2860</v>
      </c>
      <c r="D1088" s="17" t="s">
        <v>2850</v>
      </c>
      <c r="E1088" s="17"/>
      <c r="F1088" s="17">
        <v>164448</v>
      </c>
      <c r="G1088" s="109">
        <f t="shared" si="14"/>
        <v>678156.25000000047</v>
      </c>
    </row>
    <row r="1089" spans="3:7">
      <c r="C1089" s="578" t="s">
        <v>2860</v>
      </c>
      <c r="D1089" s="17" t="s">
        <v>2850</v>
      </c>
      <c r="E1089" s="17"/>
      <c r="F1089" s="17">
        <v>164448</v>
      </c>
      <c r="G1089" s="109">
        <f t="shared" si="14"/>
        <v>513708.25000000047</v>
      </c>
    </row>
    <row r="1090" spans="3:7">
      <c r="C1090" s="578" t="s">
        <v>2860</v>
      </c>
      <c r="D1090" s="17" t="s">
        <v>2850</v>
      </c>
      <c r="E1090" s="17"/>
      <c r="F1090" s="17">
        <v>164448</v>
      </c>
      <c r="G1090" s="109">
        <f t="shared" si="14"/>
        <v>349260.25000000047</v>
      </c>
    </row>
    <row r="1091" spans="3:7">
      <c r="C1091" s="581" t="s">
        <v>2860</v>
      </c>
      <c r="D1091" s="582" t="s">
        <v>2862</v>
      </c>
      <c r="E1091" s="582"/>
      <c r="F1091" s="582">
        <v>4500</v>
      </c>
      <c r="G1091" s="109">
        <f t="shared" si="14"/>
        <v>344760.25000000047</v>
      </c>
    </row>
    <row r="1092" spans="3:7">
      <c r="C1092" s="578" t="s">
        <v>2860</v>
      </c>
      <c r="D1092" s="17" t="s">
        <v>2850</v>
      </c>
      <c r="E1092" s="17"/>
      <c r="F1092" s="17">
        <v>97774</v>
      </c>
      <c r="G1092" s="109">
        <f t="shared" si="14"/>
        <v>246986.25000000047</v>
      </c>
    </row>
    <row r="1093" spans="3:7">
      <c r="C1093" s="578" t="s">
        <v>2860</v>
      </c>
      <c r="D1093" s="17" t="s">
        <v>2850</v>
      </c>
      <c r="E1093" s="17"/>
      <c r="F1093" s="17">
        <v>97774</v>
      </c>
      <c r="G1093" s="109">
        <f t="shared" si="14"/>
        <v>149212.25000000047</v>
      </c>
    </row>
    <row r="1094" spans="3:7">
      <c r="C1094" s="578" t="s">
        <v>2860</v>
      </c>
      <c r="D1094" s="17" t="s">
        <v>2850</v>
      </c>
      <c r="E1094" s="17"/>
      <c r="F1094" s="17">
        <v>97774</v>
      </c>
      <c r="G1094" s="109">
        <f t="shared" si="14"/>
        <v>51438.250000000466</v>
      </c>
    </row>
    <row r="1095" spans="3:7">
      <c r="C1095" s="581" t="s">
        <v>2860</v>
      </c>
      <c r="D1095" s="582" t="s">
        <v>2863</v>
      </c>
      <c r="E1095" s="582"/>
      <c r="F1095" s="582">
        <v>6252</v>
      </c>
      <c r="G1095" s="109">
        <f t="shared" si="14"/>
        <v>45186.250000000466</v>
      </c>
    </row>
    <row r="1096" spans="3:7">
      <c r="C1096" s="581" t="s">
        <v>2864</v>
      </c>
      <c r="D1096" s="582" t="s">
        <v>2676</v>
      </c>
      <c r="E1096" s="582">
        <v>18000</v>
      </c>
      <c r="F1096" s="582"/>
      <c r="G1096" s="109">
        <f t="shared" si="14"/>
        <v>63186.250000000466</v>
      </c>
    </row>
    <row r="1097" spans="3:7">
      <c r="C1097" s="581" t="s">
        <v>2864</v>
      </c>
      <c r="D1097" s="582" t="s">
        <v>2865</v>
      </c>
      <c r="E1097" s="582"/>
      <c r="F1097" s="582">
        <v>4950</v>
      </c>
      <c r="G1097" s="109">
        <f t="shared" si="14"/>
        <v>58236.250000000466</v>
      </c>
    </row>
    <row r="1098" spans="3:7">
      <c r="C1098" s="581" t="s">
        <v>2866</v>
      </c>
      <c r="D1098" s="582" t="s">
        <v>2488</v>
      </c>
      <c r="E1098" s="582"/>
      <c r="F1098" s="582">
        <v>20000</v>
      </c>
      <c r="G1098" s="109">
        <f t="shared" si="14"/>
        <v>38236.250000000466</v>
      </c>
    </row>
    <row r="1099" spans="3:7">
      <c r="C1099" s="581" t="s">
        <v>2866</v>
      </c>
      <c r="D1099" s="582" t="s">
        <v>2686</v>
      </c>
      <c r="E1099" s="582"/>
      <c r="F1099" s="582">
        <v>16000</v>
      </c>
      <c r="G1099" s="109">
        <f t="shared" si="14"/>
        <v>22236.250000000466</v>
      </c>
    </row>
    <row r="1100" spans="3:7">
      <c r="C1100" s="581" t="s">
        <v>2867</v>
      </c>
      <c r="D1100" s="582" t="s">
        <v>2673</v>
      </c>
      <c r="E1100" s="582"/>
      <c r="F1100" s="582">
        <v>7000</v>
      </c>
      <c r="G1100" s="109">
        <f t="shared" si="14"/>
        <v>15236.250000000466</v>
      </c>
    </row>
    <row r="1101" spans="3:7">
      <c r="C1101" s="581" t="s">
        <v>2868</v>
      </c>
      <c r="D1101" s="582" t="s">
        <v>2704</v>
      </c>
      <c r="E1101" s="582"/>
      <c r="F1101" s="582">
        <v>1076</v>
      </c>
      <c r="G1101" s="109">
        <f t="shared" si="14"/>
        <v>14160.250000000466</v>
      </c>
    </row>
    <row r="1102" spans="3:7">
      <c r="C1102" s="578" t="s">
        <v>2869</v>
      </c>
      <c r="D1102" s="17" t="s">
        <v>2772</v>
      </c>
      <c r="E1102" s="17">
        <v>100000</v>
      </c>
      <c r="F1102" s="17"/>
      <c r="G1102" s="109">
        <f t="shared" si="14"/>
        <v>114160.25000000047</v>
      </c>
    </row>
    <row r="1103" spans="3:7">
      <c r="C1103" s="578" t="s">
        <v>2870</v>
      </c>
      <c r="D1103" s="17" t="s">
        <v>2772</v>
      </c>
      <c r="E1103" s="17">
        <v>300000</v>
      </c>
      <c r="F1103" s="17"/>
      <c r="G1103" s="109">
        <f t="shared" si="14"/>
        <v>414160.25000000047</v>
      </c>
    </row>
    <row r="1104" spans="3:7">
      <c r="C1104" s="581" t="s">
        <v>2870</v>
      </c>
      <c r="D1104" s="582" t="s">
        <v>2376</v>
      </c>
      <c r="E1104" s="582"/>
      <c r="F1104" s="582">
        <v>18377</v>
      </c>
      <c r="G1104" s="109">
        <f t="shared" si="14"/>
        <v>395783.25000000047</v>
      </c>
    </row>
    <row r="1105" spans="3:8">
      <c r="C1105" s="578" t="s">
        <v>2870</v>
      </c>
      <c r="D1105" s="17" t="s">
        <v>2772</v>
      </c>
      <c r="E1105" s="17">
        <v>100000</v>
      </c>
      <c r="F1105" s="17"/>
      <c r="G1105" s="109">
        <f t="shared" si="14"/>
        <v>495783.25000000047</v>
      </c>
    </row>
    <row r="1106" spans="3:8">
      <c r="C1106" s="581" t="s">
        <v>2871</v>
      </c>
      <c r="D1106" s="582" t="s">
        <v>2676</v>
      </c>
      <c r="E1106" s="582">
        <v>20000</v>
      </c>
      <c r="F1106" s="582"/>
      <c r="G1106" s="109">
        <f t="shared" si="14"/>
        <v>515783.25000000047</v>
      </c>
    </row>
    <row r="1107" spans="3:8">
      <c r="C1107" s="581" t="s">
        <v>2872</v>
      </c>
      <c r="D1107" s="582" t="s">
        <v>2739</v>
      </c>
      <c r="E1107" s="582"/>
      <c r="F1107" s="582">
        <v>1399</v>
      </c>
      <c r="G1107" s="109">
        <f t="shared" si="14"/>
        <v>514384.25000000047</v>
      </c>
    </row>
    <row r="1108" spans="3:8">
      <c r="C1108" s="581" t="s">
        <v>2872</v>
      </c>
      <c r="D1108" s="582" t="s">
        <v>2873</v>
      </c>
      <c r="E1108" s="582"/>
      <c r="F1108" s="582">
        <v>200000</v>
      </c>
      <c r="G1108" s="109">
        <f t="shared" si="14"/>
        <v>314384.25000000047</v>
      </c>
    </row>
    <row r="1109" spans="3:8">
      <c r="C1109" s="581" t="s">
        <v>2872</v>
      </c>
      <c r="D1109" s="582" t="s">
        <v>2674</v>
      </c>
      <c r="E1109" s="582"/>
      <c r="F1109" s="582">
        <v>50000</v>
      </c>
      <c r="G1109" s="109">
        <f t="shared" si="14"/>
        <v>264384.25000000047</v>
      </c>
    </row>
    <row r="1110" spans="3:8">
      <c r="C1110" s="581" t="s">
        <v>2872</v>
      </c>
      <c r="D1110" s="582" t="s">
        <v>2856</v>
      </c>
      <c r="E1110" s="582">
        <v>4400</v>
      </c>
      <c r="F1110" s="582"/>
      <c r="G1110" s="109">
        <f t="shared" si="14"/>
        <v>268784.25000000047</v>
      </c>
    </row>
    <row r="1111" spans="3:8">
      <c r="C1111" s="581" t="s">
        <v>2872</v>
      </c>
      <c r="D1111" s="582" t="s">
        <v>2874</v>
      </c>
      <c r="E1111" s="582">
        <v>1000000</v>
      </c>
      <c r="F1111" s="582"/>
      <c r="G1111" s="109">
        <f t="shared" si="14"/>
        <v>1268784.2500000005</v>
      </c>
    </row>
    <row r="1112" spans="3:8">
      <c r="C1112" s="581" t="s">
        <v>2875</v>
      </c>
      <c r="D1112" s="582" t="s">
        <v>2876</v>
      </c>
      <c r="E1112" s="582"/>
      <c r="F1112" s="582">
        <v>30400</v>
      </c>
      <c r="G1112" s="109">
        <f t="shared" si="14"/>
        <v>1238384.2500000005</v>
      </c>
    </row>
    <row r="1113" spans="3:8">
      <c r="C1113" s="578" t="s">
        <v>2875</v>
      </c>
      <c r="D1113" s="17" t="s">
        <v>2877</v>
      </c>
      <c r="E1113" s="17"/>
      <c r="F1113" s="17">
        <v>136350</v>
      </c>
      <c r="G1113" s="109">
        <f t="shared" si="14"/>
        <v>1102034.2500000005</v>
      </c>
      <c r="H1113" t="s">
        <v>2911</v>
      </c>
    </row>
    <row r="1114" spans="3:8">
      <c r="C1114" s="581" t="s">
        <v>2875</v>
      </c>
      <c r="D1114" s="582" t="s">
        <v>2878</v>
      </c>
      <c r="E1114" s="582">
        <v>95000</v>
      </c>
      <c r="F1114" s="582"/>
      <c r="G1114" s="109">
        <f t="shared" si="14"/>
        <v>1197034.2500000005</v>
      </c>
    </row>
    <row r="1115" spans="3:8">
      <c r="C1115" s="581" t="s">
        <v>2879</v>
      </c>
      <c r="D1115" s="582" t="s">
        <v>2705</v>
      </c>
      <c r="E1115" s="582"/>
      <c r="F1115" s="582">
        <v>550</v>
      </c>
      <c r="G1115" s="109">
        <f t="shared" si="14"/>
        <v>1196484.2500000005</v>
      </c>
    </row>
    <row r="1116" spans="3:8">
      <c r="C1116" s="581" t="s">
        <v>2879</v>
      </c>
      <c r="D1116" s="582" t="s">
        <v>2720</v>
      </c>
      <c r="E1116" s="582"/>
      <c r="F1116" s="582">
        <v>1030</v>
      </c>
      <c r="G1116" s="109">
        <f t="shared" si="14"/>
        <v>1195454.2500000005</v>
      </c>
    </row>
    <row r="1117" spans="3:8">
      <c r="C1117" s="581" t="s">
        <v>2879</v>
      </c>
      <c r="D1117" s="582" t="s">
        <v>2720</v>
      </c>
      <c r="E1117" s="582"/>
      <c r="F1117" s="582">
        <v>730</v>
      </c>
      <c r="G1117" s="109">
        <f t="shared" si="14"/>
        <v>1194724.2500000005</v>
      </c>
    </row>
    <row r="1118" spans="3:8">
      <c r="C1118" s="578" t="s">
        <v>2880</v>
      </c>
      <c r="D1118" s="17" t="s">
        <v>2610</v>
      </c>
      <c r="E1118" s="17"/>
      <c r="F1118" s="17">
        <v>23.44</v>
      </c>
      <c r="G1118" s="109">
        <f t="shared" si="14"/>
        <v>1194700.8100000005</v>
      </c>
    </row>
    <row r="1119" spans="3:8">
      <c r="C1119" s="581" t="s">
        <v>2912</v>
      </c>
      <c r="D1119" s="582" t="s">
        <v>2881</v>
      </c>
      <c r="E1119" s="582"/>
      <c r="F1119" s="582">
        <v>10000</v>
      </c>
      <c r="G1119" s="109">
        <f t="shared" si="14"/>
        <v>1184700.8100000005</v>
      </c>
    </row>
    <row r="1120" spans="3:8">
      <c r="C1120" s="581" t="s">
        <v>2880</v>
      </c>
      <c r="D1120" s="582" t="s">
        <v>2705</v>
      </c>
      <c r="E1120" s="582"/>
      <c r="F1120" s="582">
        <v>120</v>
      </c>
      <c r="G1120" s="109">
        <f t="shared" si="14"/>
        <v>1184580.8100000005</v>
      </c>
    </row>
    <row r="1121" spans="3:7">
      <c r="C1121" s="581" t="s">
        <v>2880</v>
      </c>
      <c r="D1121" s="582" t="s">
        <v>2882</v>
      </c>
      <c r="E1121" s="582"/>
      <c r="F1121" s="582">
        <v>6400</v>
      </c>
      <c r="G1121" s="109">
        <f t="shared" si="14"/>
        <v>1178180.8100000005</v>
      </c>
    </row>
    <row r="1122" spans="3:7">
      <c r="C1122" s="581" t="s">
        <v>2880</v>
      </c>
      <c r="D1122" s="582" t="s">
        <v>2883</v>
      </c>
      <c r="E1122" s="582"/>
      <c r="F1122" s="582">
        <v>6559</v>
      </c>
      <c r="G1122" s="109">
        <f t="shared" si="14"/>
        <v>1171621.8100000005</v>
      </c>
    </row>
    <row r="1123" spans="3:7">
      <c r="C1123" s="581" t="s">
        <v>2884</v>
      </c>
      <c r="D1123" s="582" t="s">
        <v>2885</v>
      </c>
      <c r="E1123" s="582"/>
      <c r="F1123" s="582">
        <v>50000</v>
      </c>
      <c r="G1123" s="109">
        <f t="shared" si="14"/>
        <v>1121621.8100000005</v>
      </c>
    </row>
    <row r="1124" spans="3:7">
      <c r="C1124" s="581" t="s">
        <v>2884</v>
      </c>
      <c r="D1124" s="582" t="s">
        <v>2886</v>
      </c>
      <c r="E1124" s="582">
        <v>7400</v>
      </c>
      <c r="F1124" s="582"/>
      <c r="G1124" s="109">
        <f t="shared" si="14"/>
        <v>1129021.8100000005</v>
      </c>
    </row>
    <row r="1125" spans="3:7">
      <c r="C1125" s="578" t="s">
        <v>2887</v>
      </c>
      <c r="D1125" s="17" t="s">
        <v>2849</v>
      </c>
      <c r="E1125" s="17"/>
      <c r="F1125" s="17">
        <v>12000</v>
      </c>
      <c r="G1125" s="109">
        <f t="shared" si="14"/>
        <v>1117021.8100000005</v>
      </c>
    </row>
    <row r="1126" spans="3:7">
      <c r="C1126" s="581" t="s">
        <v>2887</v>
      </c>
      <c r="D1126" s="582" t="s">
        <v>2888</v>
      </c>
      <c r="E1126" s="582"/>
      <c r="F1126" s="582">
        <v>3405.57</v>
      </c>
      <c r="G1126" s="109">
        <f t="shared" si="14"/>
        <v>1113616.2400000005</v>
      </c>
    </row>
    <row r="1127" spans="3:7">
      <c r="C1127" s="581" t="s">
        <v>2887</v>
      </c>
      <c r="D1127" s="582" t="s">
        <v>2488</v>
      </c>
      <c r="E1127" s="582"/>
      <c r="F1127" s="582">
        <v>20000</v>
      </c>
      <c r="G1127" s="109">
        <f t="shared" si="14"/>
        <v>1093616.2400000005</v>
      </c>
    </row>
    <row r="1128" spans="3:7">
      <c r="C1128" s="581" t="s">
        <v>2887</v>
      </c>
      <c r="D1128" s="582" t="s">
        <v>2889</v>
      </c>
      <c r="E1128" s="582"/>
      <c r="F1128" s="582">
        <v>11058</v>
      </c>
      <c r="G1128" s="109">
        <f t="shared" si="14"/>
        <v>1082558.2400000005</v>
      </c>
    </row>
    <row r="1129" spans="3:7">
      <c r="C1129" s="581" t="s">
        <v>2887</v>
      </c>
      <c r="D1129" s="582" t="s">
        <v>2890</v>
      </c>
      <c r="E1129" s="582"/>
      <c r="F1129" s="582">
        <v>150000</v>
      </c>
      <c r="G1129" s="109">
        <f t="shared" si="14"/>
        <v>932558.24000000046</v>
      </c>
    </row>
    <row r="1130" spans="3:7">
      <c r="C1130" s="579" t="s">
        <v>2887</v>
      </c>
      <c r="D1130" s="580" t="s">
        <v>2849</v>
      </c>
      <c r="E1130" s="580"/>
      <c r="F1130" s="580">
        <v>12000</v>
      </c>
      <c r="G1130" s="109">
        <f t="shared" si="14"/>
        <v>920558.24000000046</v>
      </c>
    </row>
    <row r="1131" spans="3:7">
      <c r="C1131" s="581" t="s">
        <v>2887</v>
      </c>
      <c r="D1131" s="582" t="s">
        <v>2891</v>
      </c>
      <c r="E1131" s="582"/>
      <c r="F1131" s="582">
        <v>2315</v>
      </c>
      <c r="G1131" s="109">
        <f t="shared" si="14"/>
        <v>918243.24000000046</v>
      </c>
    </row>
    <row r="1132" spans="3:7">
      <c r="C1132" s="578" t="s">
        <v>2892</v>
      </c>
      <c r="D1132" s="17" t="s">
        <v>2610</v>
      </c>
      <c r="E1132" s="17"/>
      <c r="F1132" s="17">
        <v>23.44</v>
      </c>
      <c r="G1132" s="109">
        <f t="shared" si="14"/>
        <v>918219.80000000051</v>
      </c>
    </row>
    <row r="1133" spans="3:7">
      <c r="C1133" s="581" t="s">
        <v>2892</v>
      </c>
      <c r="D1133" s="582" t="s">
        <v>2893</v>
      </c>
      <c r="E1133" s="582"/>
      <c r="F1133" s="582">
        <v>20000</v>
      </c>
      <c r="G1133" s="109">
        <f t="shared" si="14"/>
        <v>898219.80000000051</v>
      </c>
    </row>
    <row r="1134" spans="3:7">
      <c r="C1134" s="581" t="s">
        <v>2892</v>
      </c>
      <c r="D1134" s="582" t="s">
        <v>2894</v>
      </c>
      <c r="E1134" s="582"/>
      <c r="F1134" s="582">
        <v>2</v>
      </c>
      <c r="G1134" s="109">
        <f t="shared" si="14"/>
        <v>898217.80000000051</v>
      </c>
    </row>
    <row r="1135" spans="3:7">
      <c r="C1135" s="578" t="s">
        <v>2892</v>
      </c>
      <c r="D1135" s="17" t="s">
        <v>2741</v>
      </c>
      <c r="E1135" s="17"/>
      <c r="F1135" s="17">
        <v>10000</v>
      </c>
      <c r="G1135" s="109">
        <f t="shared" si="14"/>
        <v>888217.80000000051</v>
      </c>
    </row>
    <row r="1136" spans="3:7">
      <c r="C1136" s="581" t="s">
        <v>2892</v>
      </c>
      <c r="D1136" s="582" t="s">
        <v>2686</v>
      </c>
      <c r="E1136" s="582"/>
      <c r="F1136" s="582">
        <v>21000</v>
      </c>
      <c r="G1136" s="109">
        <f t="shared" si="14"/>
        <v>867217.80000000051</v>
      </c>
    </row>
    <row r="1137" spans="3:7">
      <c r="C1137" s="581" t="s">
        <v>2895</v>
      </c>
      <c r="D1137" s="582" t="s">
        <v>2896</v>
      </c>
      <c r="E1137" s="582"/>
      <c r="F1137" s="582">
        <v>112200</v>
      </c>
      <c r="G1137" s="109">
        <f t="shared" si="14"/>
        <v>755017.80000000051</v>
      </c>
    </row>
    <row r="1138" spans="3:7">
      <c r="C1138" s="581" t="s">
        <v>2897</v>
      </c>
      <c r="D1138" s="582" t="s">
        <v>2673</v>
      </c>
      <c r="E1138" s="582"/>
      <c r="F1138" s="582">
        <v>15000</v>
      </c>
      <c r="G1138" s="109">
        <f t="shared" si="14"/>
        <v>740017.80000000051</v>
      </c>
    </row>
    <row r="1139" spans="3:7">
      <c r="C1139" s="581" t="s">
        <v>2897</v>
      </c>
      <c r="D1139" s="582" t="s">
        <v>2718</v>
      </c>
      <c r="E1139" s="582"/>
      <c r="F1139" s="582">
        <v>20000</v>
      </c>
      <c r="G1139" s="109">
        <f t="shared" si="14"/>
        <v>720017.80000000051</v>
      </c>
    </row>
    <row r="1140" spans="3:7">
      <c r="C1140" s="578" t="s">
        <v>2898</v>
      </c>
      <c r="D1140" s="17" t="s">
        <v>2741</v>
      </c>
      <c r="E1140" s="17"/>
      <c r="F1140" s="17">
        <v>90000</v>
      </c>
      <c r="G1140" s="109">
        <f t="shared" si="14"/>
        <v>630017.80000000051</v>
      </c>
    </row>
    <row r="1141" spans="3:7">
      <c r="C1141" s="581" t="s">
        <v>2899</v>
      </c>
      <c r="D1141" s="582" t="s">
        <v>2705</v>
      </c>
      <c r="E1141" s="582"/>
      <c r="F1141" s="582">
        <v>400</v>
      </c>
      <c r="G1141" s="109">
        <f t="shared" si="14"/>
        <v>629617.80000000051</v>
      </c>
    </row>
    <row r="1142" spans="3:7">
      <c r="C1142" s="581" t="s">
        <v>2899</v>
      </c>
      <c r="D1142" s="582" t="s">
        <v>2495</v>
      </c>
      <c r="E1142" s="582">
        <v>5200</v>
      </c>
      <c r="F1142" s="582"/>
      <c r="G1142" s="109">
        <f t="shared" si="14"/>
        <v>634817.80000000051</v>
      </c>
    </row>
    <row r="1143" spans="3:7">
      <c r="C1143" s="581" t="s">
        <v>2899</v>
      </c>
      <c r="D1143" s="582" t="s">
        <v>2900</v>
      </c>
      <c r="E1143" s="582">
        <v>800000</v>
      </c>
      <c r="F1143" s="582"/>
      <c r="G1143" s="109">
        <f t="shared" si="14"/>
        <v>1434817.8000000005</v>
      </c>
    </row>
    <row r="1144" spans="3:7">
      <c r="C1144" s="581" t="s">
        <v>2899</v>
      </c>
      <c r="D1144" s="582" t="s">
        <v>2376</v>
      </c>
      <c r="E1144" s="582"/>
      <c r="F1144" s="582">
        <v>22467</v>
      </c>
      <c r="G1144" s="109">
        <f t="shared" si="14"/>
        <v>1412350.8000000005</v>
      </c>
    </row>
    <row r="1145" spans="3:7">
      <c r="C1145" s="581" t="s">
        <v>2899</v>
      </c>
      <c r="D1145" s="582" t="s">
        <v>2704</v>
      </c>
      <c r="E1145" s="582"/>
      <c r="F1145" s="582">
        <v>1076</v>
      </c>
      <c r="G1145" s="109">
        <f t="shared" si="14"/>
        <v>1411274.8000000005</v>
      </c>
    </row>
    <row r="1146" spans="3:7">
      <c r="C1146" s="581" t="s">
        <v>2899</v>
      </c>
      <c r="D1146" s="582" t="s">
        <v>2481</v>
      </c>
      <c r="E1146" s="582"/>
      <c r="F1146" s="582">
        <v>6600</v>
      </c>
      <c r="G1146" s="109">
        <f t="shared" si="14"/>
        <v>1404674.8000000005</v>
      </c>
    </row>
    <row r="1147" spans="3:7">
      <c r="C1147" s="581" t="s">
        <v>2899</v>
      </c>
      <c r="D1147" s="582" t="s">
        <v>2481</v>
      </c>
      <c r="E1147" s="582"/>
      <c r="F1147" s="582">
        <v>6600</v>
      </c>
      <c r="G1147" s="109">
        <f t="shared" si="14"/>
        <v>1398074.8000000005</v>
      </c>
    </row>
    <row r="1148" spans="3:7">
      <c r="C1148" s="581" t="s">
        <v>2899</v>
      </c>
      <c r="D1148" s="582" t="s">
        <v>2705</v>
      </c>
      <c r="E1148" s="582"/>
      <c r="F1148" s="582">
        <v>1300</v>
      </c>
      <c r="G1148" s="109">
        <f t="shared" si="14"/>
        <v>1396774.8000000005</v>
      </c>
    </row>
    <row r="1149" spans="3:7">
      <c r="C1149" s="581" t="s">
        <v>2901</v>
      </c>
      <c r="D1149" s="582" t="s">
        <v>2902</v>
      </c>
      <c r="E1149" s="582"/>
      <c r="F1149" s="582">
        <v>50000</v>
      </c>
      <c r="G1149" s="109">
        <f t="shared" ref="G1149:G1158" si="15">G1148+E1149-F1149</f>
        <v>1346774.8000000005</v>
      </c>
    </row>
    <row r="1150" spans="3:7">
      <c r="C1150" s="581" t="s">
        <v>2901</v>
      </c>
      <c r="D1150" s="582" t="s">
        <v>2903</v>
      </c>
      <c r="E1150" s="582">
        <v>5000</v>
      </c>
      <c r="F1150" s="582"/>
      <c r="G1150" s="109">
        <f t="shared" si="15"/>
        <v>1351774.8000000005</v>
      </c>
    </row>
    <row r="1151" spans="3:7">
      <c r="C1151" s="578" t="s">
        <v>2901</v>
      </c>
      <c r="D1151" s="17" t="s">
        <v>2904</v>
      </c>
      <c r="E1151" s="17"/>
      <c r="F1151" s="17">
        <v>12.56</v>
      </c>
      <c r="G1151" s="109">
        <f t="shared" si="15"/>
        <v>1351762.2400000005</v>
      </c>
    </row>
    <row r="1152" spans="3:7">
      <c r="C1152" s="581" t="s">
        <v>2901</v>
      </c>
      <c r="D1152" s="582" t="s">
        <v>2905</v>
      </c>
      <c r="E1152" s="582"/>
      <c r="F1152" s="582">
        <v>99.64</v>
      </c>
      <c r="G1152" s="109">
        <f t="shared" si="15"/>
        <v>1351662.6000000006</v>
      </c>
    </row>
    <row r="1153" spans="3:7">
      <c r="C1153" s="581" t="s">
        <v>2901</v>
      </c>
      <c r="D1153" s="582" t="s">
        <v>2906</v>
      </c>
      <c r="E1153" s="582"/>
      <c r="F1153" s="582">
        <v>2491</v>
      </c>
      <c r="G1153" s="109">
        <f t="shared" si="15"/>
        <v>1349171.6000000006</v>
      </c>
    </row>
    <row r="1154" spans="3:7">
      <c r="C1154" s="581" t="s">
        <v>2901</v>
      </c>
      <c r="D1154" s="582" t="s">
        <v>2900</v>
      </c>
      <c r="E1154" s="582">
        <v>150000</v>
      </c>
      <c r="F1154" s="582"/>
      <c r="G1154" s="109">
        <f t="shared" si="15"/>
        <v>1499171.6000000006</v>
      </c>
    </row>
    <row r="1155" spans="3:7">
      <c r="C1155" s="578" t="s">
        <v>2907</v>
      </c>
      <c r="D1155" s="17" t="s">
        <v>2772</v>
      </c>
      <c r="E1155" s="17">
        <v>90000</v>
      </c>
      <c r="F1155" s="17"/>
      <c r="G1155" s="109">
        <f t="shared" si="15"/>
        <v>1589171.6000000006</v>
      </c>
    </row>
    <row r="1156" spans="3:7">
      <c r="C1156" s="581" t="s">
        <v>2907</v>
      </c>
      <c r="D1156" s="582" t="s">
        <v>2908</v>
      </c>
      <c r="E1156" s="582"/>
      <c r="F1156" s="582">
        <v>40000</v>
      </c>
      <c r="G1156" s="109">
        <f t="shared" si="15"/>
        <v>1549171.6000000006</v>
      </c>
    </row>
    <row r="1157" spans="3:7">
      <c r="C1157" s="578" t="s">
        <v>2907</v>
      </c>
      <c r="D1157" s="17" t="s">
        <v>2772</v>
      </c>
      <c r="E1157" s="17">
        <v>60000</v>
      </c>
      <c r="F1157" s="17"/>
      <c r="G1157" s="109">
        <f t="shared" si="15"/>
        <v>1609171.6000000006</v>
      </c>
    </row>
    <row r="1158" spans="3:7">
      <c r="C1158" s="581" t="s">
        <v>2907</v>
      </c>
      <c r="D1158" s="582" t="s">
        <v>2849</v>
      </c>
      <c r="E1158" s="582"/>
      <c r="F1158" s="582">
        <v>14000</v>
      </c>
      <c r="G1158" s="109">
        <f t="shared" si="15"/>
        <v>1595171.6000000006</v>
      </c>
    </row>
    <row r="1159" spans="3:7">
      <c r="G1159" s="109"/>
    </row>
    <row r="1431" spans="3:7" ht="18">
      <c r="D1431" s="427" t="s">
        <v>1910</v>
      </c>
    </row>
    <row r="1432" spans="3:7" ht="18">
      <c r="C1432" s="428" t="s">
        <v>13</v>
      </c>
      <c r="D1432" s="428" t="s">
        <v>256</v>
      </c>
      <c r="E1432" s="428" t="s">
        <v>1648</v>
      </c>
      <c r="F1432" s="428" t="s">
        <v>1649</v>
      </c>
      <c r="G1432" s="428" t="s">
        <v>17</v>
      </c>
    </row>
    <row r="1433" spans="3:7">
      <c r="C1433" s="40"/>
      <c r="D1433" s="17"/>
      <c r="E1433" s="17"/>
      <c r="F1433" s="17"/>
      <c r="G1433" s="109">
        <v>0</v>
      </c>
    </row>
    <row r="1434" spans="3:7">
      <c r="C1434" s="65">
        <v>45419</v>
      </c>
      <c r="D1434" s="469" t="s">
        <v>1914</v>
      </c>
      <c r="E1434" s="66"/>
      <c r="F1434" s="473">
        <v>23870</v>
      </c>
      <c r="G1434" s="470">
        <f>G1433-E1434+F1434</f>
        <v>23870</v>
      </c>
    </row>
    <row r="1435" spans="3:7">
      <c r="C1435" s="472">
        <v>45428</v>
      </c>
      <c r="D1435" s="66" t="s">
        <v>645</v>
      </c>
      <c r="E1435" s="424"/>
      <c r="F1435" s="474">
        <v>22000</v>
      </c>
      <c r="G1435" s="470">
        <f t="shared" ref="G1435:G1440" si="16">G1434-E1435+F1435</f>
        <v>45870</v>
      </c>
    </row>
    <row r="1436" spans="3:7">
      <c r="C1436" s="472">
        <v>45432</v>
      </c>
      <c r="D1436" s="66" t="s">
        <v>649</v>
      </c>
      <c r="E1436" s="424"/>
      <c r="F1436" s="474">
        <v>58000</v>
      </c>
      <c r="G1436" s="470">
        <f t="shared" si="16"/>
        <v>103870</v>
      </c>
    </row>
    <row r="1437" spans="3:7">
      <c r="C1437" s="425">
        <v>45478</v>
      </c>
      <c r="D1437" s="66" t="s">
        <v>1422</v>
      </c>
      <c r="E1437" s="66"/>
      <c r="F1437" s="474">
        <v>87500</v>
      </c>
      <c r="G1437" s="470">
        <f t="shared" si="16"/>
        <v>191370</v>
      </c>
    </row>
    <row r="1438" spans="3:7">
      <c r="C1438" s="425">
        <v>45491</v>
      </c>
      <c r="D1438" s="66" t="s">
        <v>1422</v>
      </c>
      <c r="E1438" s="66"/>
      <c r="F1438" s="474">
        <v>51000</v>
      </c>
      <c r="G1438" s="470">
        <f t="shared" si="16"/>
        <v>242370</v>
      </c>
    </row>
    <row r="1439" spans="3:7">
      <c r="C1439" s="425">
        <v>45521</v>
      </c>
      <c r="D1439" s="66" t="s">
        <v>1869</v>
      </c>
      <c r="E1439" s="66"/>
      <c r="F1439" s="474">
        <v>100000</v>
      </c>
      <c r="G1439" s="470">
        <f t="shared" si="16"/>
        <v>342370</v>
      </c>
    </row>
    <row r="1440" spans="3:7">
      <c r="C1440" s="471"/>
      <c r="D1440" s="424"/>
      <c r="E1440" s="424"/>
      <c r="F1440" s="475"/>
      <c r="G1440" s="470">
        <f t="shared" si="16"/>
        <v>342370</v>
      </c>
    </row>
    <row r="1441" spans="3:7">
      <c r="C1441" s="549"/>
      <c r="D1441" s="550"/>
      <c r="E1441" s="550"/>
      <c r="F1441" s="551"/>
      <c r="G1441" s="552"/>
    </row>
    <row r="1442" spans="3:7">
      <c r="C1442" s="549"/>
      <c r="D1442" s="550"/>
      <c r="E1442" s="550"/>
      <c r="F1442" s="551"/>
      <c r="G1442" s="552"/>
    </row>
    <row r="1443" spans="3:7" ht="15" thickBot="1">
      <c r="C1443" s="549"/>
      <c r="D1443" s="550"/>
      <c r="E1443" s="550"/>
      <c r="F1443" s="551"/>
      <c r="G1443" s="552"/>
    </row>
    <row r="1444" spans="3:7">
      <c r="C1444" s="549"/>
      <c r="D1444" s="615" t="s">
        <v>2640</v>
      </c>
      <c r="E1444" s="550"/>
      <c r="F1444" s="551"/>
      <c r="G1444" s="552"/>
    </row>
    <row r="1445" spans="3:7" ht="15" thickBot="1">
      <c r="C1445" s="549"/>
      <c r="D1445" s="616"/>
      <c r="E1445" s="550"/>
      <c r="F1445" s="551"/>
      <c r="G1445" s="552"/>
    </row>
    <row r="1446" spans="3:7" ht="16.2" thickBot="1">
      <c r="C1446" s="554" t="s">
        <v>236</v>
      </c>
      <c r="D1446" s="555" t="s">
        <v>237</v>
      </c>
      <c r="E1446" s="555" t="s">
        <v>2641</v>
      </c>
      <c r="F1446" s="556" t="s">
        <v>2642</v>
      </c>
      <c r="G1446" s="552"/>
    </row>
    <row r="1447" spans="3:7">
      <c r="C1447" s="40">
        <v>45666</v>
      </c>
      <c r="D1447" s="17" t="s">
        <v>2581</v>
      </c>
      <c r="E1447" s="17"/>
      <c r="F1447" s="17">
        <v>100000</v>
      </c>
      <c r="G1447" s="552" t="s">
        <v>2663</v>
      </c>
    </row>
    <row r="1448" spans="3:7" ht="15" thickBot="1">
      <c r="C1448" s="40">
        <v>45666</v>
      </c>
      <c r="D1448" s="17" t="s">
        <v>2581</v>
      </c>
      <c r="E1448" s="17"/>
      <c r="F1448" s="17">
        <v>100000</v>
      </c>
      <c r="G1448" s="552" t="s">
        <v>2663</v>
      </c>
    </row>
    <row r="1449" spans="3:7" ht="15" thickBot="1">
      <c r="C1449" s="270">
        <v>45667</v>
      </c>
      <c r="D1449" s="8" t="s">
        <v>2588</v>
      </c>
      <c r="E1449" s="8"/>
      <c r="F1449" s="8">
        <v>1767.48</v>
      </c>
      <c r="G1449" s="552" t="s">
        <v>2663</v>
      </c>
    </row>
    <row r="1450" spans="3:7" ht="15" thickBot="1">
      <c r="C1450" s="558">
        <v>45667</v>
      </c>
      <c r="D1450" s="559" t="s">
        <v>2589</v>
      </c>
      <c r="E1450" s="559"/>
      <c r="F1450" s="559">
        <v>18411.16</v>
      </c>
      <c r="G1450" s="552" t="s">
        <v>2664</v>
      </c>
    </row>
    <row r="1451" spans="3:7" ht="15" thickBot="1">
      <c r="C1451" s="270">
        <v>45667</v>
      </c>
      <c r="D1451" s="8" t="s">
        <v>2590</v>
      </c>
      <c r="E1451" s="8"/>
      <c r="F1451" s="8">
        <v>1799.14</v>
      </c>
      <c r="G1451" s="552" t="s">
        <v>2663</v>
      </c>
    </row>
    <row r="1452" spans="3:7" ht="15" thickBot="1">
      <c r="C1452" s="558">
        <v>45667</v>
      </c>
      <c r="D1452" s="559" t="s">
        <v>2591</v>
      </c>
      <c r="E1452" s="559"/>
      <c r="F1452" s="559">
        <v>18741.03</v>
      </c>
      <c r="G1452" s="552" t="s">
        <v>2664</v>
      </c>
    </row>
    <row r="1453" spans="3:7" ht="15" thickBot="1">
      <c r="C1453" s="270">
        <v>45670</v>
      </c>
      <c r="D1453" s="8" t="s">
        <v>2610</v>
      </c>
      <c r="E1453" s="8"/>
      <c r="F1453" s="8">
        <v>23.44</v>
      </c>
      <c r="G1453" s="552" t="s">
        <v>2663</v>
      </c>
    </row>
    <row r="1454" spans="3:7" ht="15" thickBot="1">
      <c r="C1454" s="558">
        <v>45670</v>
      </c>
      <c r="D1454" s="559" t="s">
        <v>2609</v>
      </c>
      <c r="E1454" s="559"/>
      <c r="F1454" s="559">
        <v>20000</v>
      </c>
      <c r="G1454" s="552" t="s">
        <v>2663</v>
      </c>
    </row>
    <row r="1455" spans="3:7" ht="15" thickBot="1">
      <c r="C1455" s="270">
        <v>45670</v>
      </c>
      <c r="D1455" s="8" t="s">
        <v>2610</v>
      </c>
      <c r="E1455" s="8"/>
      <c r="F1455" s="8">
        <v>23.44</v>
      </c>
      <c r="G1455" s="552" t="s">
        <v>2663</v>
      </c>
    </row>
    <row r="1456" spans="3:7" ht="15" thickBot="1">
      <c r="C1456" s="558">
        <v>45670</v>
      </c>
      <c r="D1456" s="559" t="s">
        <v>2609</v>
      </c>
      <c r="E1456" s="559"/>
      <c r="F1456" s="559">
        <v>20000</v>
      </c>
      <c r="G1456" s="552" t="s">
        <v>2663</v>
      </c>
    </row>
    <row r="1457" spans="3:7" ht="15" thickBot="1">
      <c r="C1457" s="270">
        <v>45670</v>
      </c>
      <c r="D1457" s="8" t="s">
        <v>2610</v>
      </c>
      <c r="E1457" s="8"/>
      <c r="F1457" s="8">
        <v>23.44</v>
      </c>
      <c r="G1457" s="552" t="s">
        <v>2663</v>
      </c>
    </row>
    <row r="1458" spans="3:7" ht="15" thickBot="1">
      <c r="C1458" s="558">
        <v>45670</v>
      </c>
      <c r="D1458" s="559" t="s">
        <v>2609</v>
      </c>
      <c r="E1458" s="559"/>
      <c r="F1458" s="559">
        <v>20000</v>
      </c>
      <c r="G1458" s="552" t="s">
        <v>2663</v>
      </c>
    </row>
    <row r="1459" spans="3:7" ht="15" thickBot="1">
      <c r="C1459" s="270">
        <v>45670</v>
      </c>
      <c r="D1459" s="8" t="s">
        <v>2610</v>
      </c>
      <c r="E1459" s="8"/>
      <c r="F1459" s="8">
        <v>23.44</v>
      </c>
      <c r="G1459" s="552" t="s">
        <v>2663</v>
      </c>
    </row>
    <row r="1460" spans="3:7" ht="15" thickBot="1">
      <c r="C1460" s="558">
        <v>45670</v>
      </c>
      <c r="D1460" s="559" t="s">
        <v>2609</v>
      </c>
      <c r="E1460" s="559"/>
      <c r="F1460" s="559">
        <v>20000</v>
      </c>
      <c r="G1460" s="552" t="s">
        <v>2663</v>
      </c>
    </row>
    <row r="1461" spans="3:7" ht="15" thickBot="1">
      <c r="C1461" s="270">
        <v>45670</v>
      </c>
      <c r="D1461" s="8" t="s">
        <v>2610</v>
      </c>
      <c r="E1461" s="8"/>
      <c r="F1461" s="8">
        <v>23.44</v>
      </c>
      <c r="G1461" s="552" t="s">
        <v>2663</v>
      </c>
    </row>
    <row r="1462" spans="3:7" ht="15" thickBot="1">
      <c r="C1462" s="558">
        <v>45670</v>
      </c>
      <c r="D1462" s="559" t="s">
        <v>2609</v>
      </c>
      <c r="E1462" s="559"/>
      <c r="F1462" s="559">
        <v>20000</v>
      </c>
      <c r="G1462" s="552" t="s">
        <v>2663</v>
      </c>
    </row>
    <row r="1463" spans="3:7" ht="15" thickBot="1">
      <c r="C1463" s="270">
        <v>45670</v>
      </c>
      <c r="D1463" s="8" t="s">
        <v>2613</v>
      </c>
      <c r="E1463" s="8"/>
      <c r="F1463" s="8">
        <v>70000</v>
      </c>
      <c r="G1463" s="552" t="s">
        <v>2663</v>
      </c>
    </row>
    <row r="1464" spans="3:7" ht="15" thickBot="1">
      <c r="C1464" s="558">
        <v>45670</v>
      </c>
      <c r="D1464" s="559" t="s">
        <v>2615</v>
      </c>
      <c r="E1464" s="559"/>
      <c r="F1464" s="559">
        <v>6900</v>
      </c>
      <c r="G1464" s="576" t="s">
        <v>724</v>
      </c>
    </row>
    <row r="1465" spans="3:7" ht="15" thickBot="1">
      <c r="C1465" s="270">
        <v>45670</v>
      </c>
      <c r="D1465" s="8" t="s">
        <v>2616</v>
      </c>
      <c r="E1465" s="8"/>
      <c r="F1465" s="8">
        <v>1500</v>
      </c>
      <c r="G1465" s="576" t="s">
        <v>724</v>
      </c>
    </row>
    <row r="1466" spans="3:7" ht="15" thickBot="1">
      <c r="C1466" s="558">
        <v>45671</v>
      </c>
      <c r="D1466" s="559" t="s">
        <v>2618</v>
      </c>
      <c r="E1466" s="559"/>
      <c r="F1466" s="559">
        <v>4.08</v>
      </c>
    </row>
    <row r="1467" spans="3:7" ht="15" thickBot="1">
      <c r="C1467" s="270">
        <v>45671</v>
      </c>
      <c r="D1467" s="8" t="s">
        <v>2619</v>
      </c>
      <c r="E1467" s="8"/>
      <c r="F1467" s="8">
        <v>7689</v>
      </c>
      <c r="G1467" s="576" t="s">
        <v>724</v>
      </c>
    </row>
    <row r="1468" spans="3:7" ht="15" thickBot="1">
      <c r="C1468" s="558">
        <v>45671</v>
      </c>
      <c r="D1468" s="559" t="s">
        <v>2618</v>
      </c>
      <c r="E1468" s="559"/>
      <c r="F1468" s="559">
        <v>25</v>
      </c>
    </row>
    <row r="1469" spans="3:7" ht="15" thickBot="1">
      <c r="C1469" s="270">
        <v>45671</v>
      </c>
      <c r="D1469" s="8" t="s">
        <v>2620</v>
      </c>
      <c r="E1469" s="8"/>
      <c r="F1469" s="8">
        <v>25000</v>
      </c>
      <c r="G1469" s="576" t="s">
        <v>724</v>
      </c>
    </row>
    <row r="1470" spans="3:7" ht="15" thickBot="1">
      <c r="C1470" s="558">
        <v>45671</v>
      </c>
      <c r="D1470" s="559" t="s">
        <v>2621</v>
      </c>
      <c r="E1470" s="559"/>
      <c r="F1470" s="559">
        <v>100000</v>
      </c>
      <c r="G1470" t="s">
        <v>2663</v>
      </c>
    </row>
    <row r="1471" spans="3:7" ht="15" thickBot="1">
      <c r="C1471" s="270">
        <v>45671</v>
      </c>
      <c r="D1471" s="8" t="s">
        <v>2621</v>
      </c>
      <c r="E1471" s="8"/>
      <c r="F1471" s="8">
        <v>50000</v>
      </c>
      <c r="G1471" t="s">
        <v>2663</v>
      </c>
    </row>
    <row r="1472" spans="3:7" ht="15" thickBot="1">
      <c r="C1472" s="558">
        <v>45672</v>
      </c>
      <c r="D1472" s="559" t="s">
        <v>2618</v>
      </c>
      <c r="E1472" s="559"/>
      <c r="F1472" s="559">
        <v>14</v>
      </c>
      <c r="G1472" t="s">
        <v>2663</v>
      </c>
    </row>
    <row r="1473" spans="3:7" ht="15" thickBot="1">
      <c r="C1473" s="270">
        <v>45673</v>
      </c>
      <c r="D1473" s="8" t="s">
        <v>2625</v>
      </c>
      <c r="E1473" s="8"/>
      <c r="F1473" s="8">
        <v>3500</v>
      </c>
      <c r="G1473" t="s">
        <v>2663</v>
      </c>
    </row>
    <row r="1474" spans="3:7" ht="15" thickBot="1">
      <c r="C1474" s="558">
        <v>45673</v>
      </c>
      <c r="D1474" s="559" t="s">
        <v>2626</v>
      </c>
      <c r="E1474" s="559"/>
      <c r="F1474" s="559">
        <v>5000</v>
      </c>
      <c r="G1474" t="s">
        <v>2663</v>
      </c>
    </row>
    <row r="1475" spans="3:7" ht="15" thickBot="1">
      <c r="C1475" s="270">
        <v>45674</v>
      </c>
      <c r="D1475" s="8" t="s">
        <v>2627</v>
      </c>
      <c r="E1475" s="8"/>
      <c r="F1475" s="8">
        <v>68000</v>
      </c>
      <c r="G1475" s="254" t="s">
        <v>724</v>
      </c>
    </row>
    <row r="1476" spans="3:7" ht="15" thickBot="1">
      <c r="C1476" s="558">
        <v>45674</v>
      </c>
      <c r="D1476" s="559" t="s">
        <v>2628</v>
      </c>
      <c r="E1476" s="559"/>
      <c r="F1476" s="559">
        <v>50000</v>
      </c>
      <c r="G1476" s="254" t="s">
        <v>724</v>
      </c>
    </row>
    <row r="1477" spans="3:7" ht="15" thickBot="1">
      <c r="C1477" s="270">
        <v>45674</v>
      </c>
      <c r="D1477" s="8" t="s">
        <v>2629</v>
      </c>
      <c r="E1477" s="8"/>
      <c r="F1477" s="8">
        <v>30000</v>
      </c>
      <c r="G1477" s="254" t="s">
        <v>724</v>
      </c>
    </row>
    <row r="1478" spans="3:7" ht="15" thickBot="1">
      <c r="C1478" s="558">
        <v>45674</v>
      </c>
      <c r="D1478" s="559" t="s">
        <v>2618</v>
      </c>
      <c r="E1478" s="559"/>
      <c r="F1478" s="559">
        <v>20</v>
      </c>
    </row>
    <row r="1479" spans="3:7" ht="15" thickBot="1">
      <c r="C1479" s="270">
        <v>45674</v>
      </c>
      <c r="D1479" s="8" t="s">
        <v>2630</v>
      </c>
      <c r="E1479" s="8"/>
      <c r="F1479" s="8">
        <v>20000</v>
      </c>
      <c r="G1479" s="254" t="s">
        <v>724</v>
      </c>
    </row>
    <row r="1480" spans="3:7" ht="15" thickBot="1">
      <c r="C1480" s="558">
        <v>45675</v>
      </c>
      <c r="D1480" s="559" t="s">
        <v>2610</v>
      </c>
      <c r="E1480" s="559"/>
      <c r="F1480" s="559">
        <v>23.44</v>
      </c>
    </row>
    <row r="1481" spans="3:7" ht="15" thickBot="1">
      <c r="C1481" s="270">
        <v>45675</v>
      </c>
      <c r="D1481" s="8" t="s">
        <v>2631</v>
      </c>
      <c r="E1481" s="8"/>
      <c r="F1481" s="8">
        <v>10000</v>
      </c>
      <c r="G1481" s="254" t="s">
        <v>724</v>
      </c>
    </row>
    <row r="1482" spans="3:7" ht="15" thickBot="1">
      <c r="C1482" s="558">
        <v>45675</v>
      </c>
      <c r="D1482" s="559" t="s">
        <v>2632</v>
      </c>
      <c r="E1482" s="559"/>
      <c r="F1482" s="559">
        <v>16443</v>
      </c>
      <c r="G1482" s="254" t="s">
        <v>724</v>
      </c>
    </row>
    <row r="1483" spans="3:7" ht="15" thickBot="1">
      <c r="C1483" s="270">
        <v>45677</v>
      </c>
      <c r="D1483" s="8" t="s">
        <v>2633</v>
      </c>
      <c r="E1483" s="8"/>
      <c r="F1483" s="8">
        <v>1399</v>
      </c>
      <c r="G1483" s="254" t="s">
        <v>724</v>
      </c>
    </row>
    <row r="1484" spans="3:7" ht="15" thickBot="1">
      <c r="C1484" s="558">
        <v>45677</v>
      </c>
      <c r="D1484" s="559" t="s">
        <v>2635</v>
      </c>
      <c r="E1484" s="559">
        <v>18705.28</v>
      </c>
      <c r="F1484" s="559"/>
      <c r="G1484" t="s">
        <v>2664</v>
      </c>
    </row>
    <row r="1485" spans="3:7" ht="15" thickBot="1">
      <c r="C1485" s="270">
        <v>45677</v>
      </c>
      <c r="D1485" s="8" t="s">
        <v>2635</v>
      </c>
      <c r="E1485" s="8">
        <v>18375.64</v>
      </c>
      <c r="F1485" s="8"/>
      <c r="G1485" t="s">
        <v>2664</v>
      </c>
    </row>
    <row r="1486" spans="3:7" ht="15" thickBot="1">
      <c r="C1486" s="558">
        <v>45695</v>
      </c>
      <c r="D1486" s="559" t="s">
        <v>2669</v>
      </c>
      <c r="E1486" s="559"/>
      <c r="F1486" s="559">
        <v>51000</v>
      </c>
      <c r="G1486" s="254" t="s">
        <v>2663</v>
      </c>
    </row>
    <row r="1487" spans="3:7" ht="15" thickBot="1">
      <c r="C1487" s="270"/>
      <c r="D1487" s="8"/>
      <c r="E1487" s="8"/>
      <c r="F1487" s="8"/>
    </row>
    <row r="1488" spans="3:7" ht="15" thickBot="1">
      <c r="E1488" s="553">
        <f>SUM(E1484:E1487)</f>
        <v>37080.92</v>
      </c>
      <c r="F1488" s="553">
        <f>SUM(F1447:F1487)</f>
        <v>857353.53</v>
      </c>
    </row>
    <row r="1489" spans="4:6" ht="16.2" thickBot="1">
      <c r="D1489" s="557" t="s">
        <v>2643</v>
      </c>
      <c r="E1489" s="617">
        <f>F1488-E1488</f>
        <v>820272.61</v>
      </c>
      <c r="F1489" s="617"/>
    </row>
  </sheetData>
  <mergeCells count="2">
    <mergeCell ref="D1444:D1445"/>
    <mergeCell ref="E1489:F1489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K81"/>
  <sheetViews>
    <sheetView workbookViewId="0">
      <selection activeCell="B17" sqref="B17"/>
    </sheetView>
  </sheetViews>
  <sheetFormatPr defaultRowHeight="14.4"/>
  <cols>
    <col min="2" max="2" width="26.77734375" customWidth="1"/>
    <col min="3" max="3" width="10.44140625" bestFit="1" customWidth="1"/>
    <col min="4" max="4" width="28.77734375" customWidth="1"/>
    <col min="5" max="5" width="15.88671875" style="131" bestFit="1" customWidth="1"/>
    <col min="6" max="6" width="11.6640625" bestFit="1" customWidth="1"/>
    <col min="7" max="7" width="18.88671875" bestFit="1" customWidth="1"/>
    <col min="8" max="8" width="16.44140625" bestFit="1" customWidth="1"/>
    <col min="9" max="9" width="24.33203125" bestFit="1" customWidth="1"/>
    <col min="10" max="10" width="19.21875" customWidth="1"/>
  </cols>
  <sheetData>
    <row r="3" spans="3:11" ht="16.95" customHeight="1"/>
    <row r="4" spans="3:11">
      <c r="F4" t="s">
        <v>941</v>
      </c>
      <c r="H4" t="s">
        <v>943</v>
      </c>
      <c r="I4" t="s">
        <v>944</v>
      </c>
    </row>
    <row r="5" spans="3:11">
      <c r="C5" s="355">
        <v>45429</v>
      </c>
      <c r="D5" s="356" t="s">
        <v>940</v>
      </c>
      <c r="E5" s="357">
        <v>355500639429695</v>
      </c>
      <c r="F5" s="356">
        <v>185000</v>
      </c>
      <c r="G5" s="356" t="s">
        <v>1000</v>
      </c>
      <c r="H5" s="356" t="s">
        <v>951</v>
      </c>
      <c r="I5" s="356" t="s">
        <v>952</v>
      </c>
    </row>
    <row r="6" spans="3:11">
      <c r="C6" s="355">
        <v>45429</v>
      </c>
      <c r="D6" s="356" t="s">
        <v>940</v>
      </c>
      <c r="E6" s="357" t="s">
        <v>942</v>
      </c>
      <c r="F6" s="356">
        <v>185000</v>
      </c>
      <c r="G6" s="356" t="s">
        <v>1000</v>
      </c>
      <c r="H6" s="356" t="s">
        <v>951</v>
      </c>
      <c r="I6" s="356" t="s">
        <v>952</v>
      </c>
    </row>
    <row r="7" spans="3:11">
      <c r="C7" s="356"/>
      <c r="D7" s="356"/>
      <c r="E7" s="357"/>
      <c r="F7" s="356"/>
      <c r="G7" s="356"/>
      <c r="H7" s="356"/>
      <c r="I7" s="356"/>
    </row>
    <row r="8" spans="3:11">
      <c r="C8" s="355">
        <v>45441</v>
      </c>
      <c r="D8" s="356" t="s">
        <v>945</v>
      </c>
      <c r="E8" s="357">
        <v>352676524721637</v>
      </c>
      <c r="F8" s="356">
        <v>180000</v>
      </c>
      <c r="G8" s="356" t="s">
        <v>1000</v>
      </c>
      <c r="H8" s="356" t="s">
        <v>948</v>
      </c>
      <c r="I8" s="356" t="s">
        <v>949</v>
      </c>
    </row>
    <row r="9" spans="3:11">
      <c r="C9" s="21"/>
    </row>
    <row r="10" spans="3:11" ht="28.8">
      <c r="C10" s="307">
        <v>45441</v>
      </c>
      <c r="D10" s="254" t="s">
        <v>940</v>
      </c>
      <c r="E10" s="308" t="s">
        <v>942</v>
      </c>
      <c r="F10" s="254">
        <v>185000</v>
      </c>
      <c r="G10" s="254" t="s">
        <v>1010</v>
      </c>
      <c r="H10" s="254"/>
      <c r="I10" s="254"/>
      <c r="J10" s="354" t="s">
        <v>1187</v>
      </c>
    </row>
    <row r="12" spans="3:11" ht="28.8">
      <c r="C12" s="307">
        <v>45442</v>
      </c>
      <c r="D12" s="254" t="s">
        <v>946</v>
      </c>
      <c r="E12" s="308">
        <v>358862625559555</v>
      </c>
      <c r="F12" s="254">
        <v>180000</v>
      </c>
      <c r="G12" s="254" t="s">
        <v>1010</v>
      </c>
      <c r="H12" t="s">
        <v>1236</v>
      </c>
      <c r="I12" t="s">
        <v>1394</v>
      </c>
      <c r="J12" s="354" t="s">
        <v>1187</v>
      </c>
    </row>
    <row r="13" spans="3:11" ht="28.8">
      <c r="C13" s="307">
        <v>45442</v>
      </c>
      <c r="D13" s="254" t="s">
        <v>947</v>
      </c>
      <c r="E13" s="308">
        <v>355430975963075</v>
      </c>
      <c r="F13" s="254">
        <v>190000</v>
      </c>
      <c r="G13" s="254"/>
      <c r="H13" s="254"/>
      <c r="I13" s="254"/>
      <c r="J13" s="354" t="s">
        <v>1187</v>
      </c>
    </row>
    <row r="14" spans="3:11">
      <c r="C14" s="358">
        <v>45442</v>
      </c>
      <c r="D14" s="359" t="s">
        <v>940</v>
      </c>
      <c r="E14" s="360">
        <v>355500636585010</v>
      </c>
      <c r="F14" s="359">
        <v>180000</v>
      </c>
      <c r="G14" s="359" t="s">
        <v>1010</v>
      </c>
      <c r="H14" s="359"/>
      <c r="I14" s="359"/>
      <c r="J14" s="359" t="s">
        <v>1189</v>
      </c>
    </row>
    <row r="15" spans="3:11" ht="28.8">
      <c r="C15" s="21">
        <v>45446</v>
      </c>
      <c r="D15" t="s">
        <v>940</v>
      </c>
      <c r="E15" s="131">
        <v>358161185579503</v>
      </c>
      <c r="F15">
        <v>180000</v>
      </c>
      <c r="H15" t="s">
        <v>1261</v>
      </c>
      <c r="I15" t="s">
        <v>1262</v>
      </c>
      <c r="J15" s="354" t="s">
        <v>1226</v>
      </c>
      <c r="K15" t="s">
        <v>982</v>
      </c>
    </row>
    <row r="16" spans="3:11" ht="28.8">
      <c r="C16" s="21">
        <v>45451</v>
      </c>
      <c r="D16" t="s">
        <v>946</v>
      </c>
      <c r="E16" s="226">
        <v>351581974302501</v>
      </c>
      <c r="F16">
        <v>180000</v>
      </c>
      <c r="H16" t="s">
        <v>1236</v>
      </c>
      <c r="I16" t="s">
        <v>1394</v>
      </c>
      <c r="J16" s="354" t="s">
        <v>1226</v>
      </c>
      <c r="K16" t="s">
        <v>982</v>
      </c>
    </row>
    <row r="17" spans="3:11" ht="28.8">
      <c r="C17" s="21">
        <v>45451</v>
      </c>
      <c r="D17" t="s">
        <v>946</v>
      </c>
      <c r="E17" s="226">
        <v>352676525849155</v>
      </c>
      <c r="F17">
        <v>180000</v>
      </c>
      <c r="H17" t="s">
        <v>1236</v>
      </c>
      <c r="I17" t="s">
        <v>1394</v>
      </c>
      <c r="J17" s="354" t="s">
        <v>1226</v>
      </c>
      <c r="K17" t="s">
        <v>982</v>
      </c>
    </row>
    <row r="18" spans="3:11" ht="28.8">
      <c r="C18" s="21">
        <v>45451</v>
      </c>
      <c r="D18" t="s">
        <v>940</v>
      </c>
      <c r="E18" s="351">
        <v>355500637291410</v>
      </c>
      <c r="F18">
        <v>180000</v>
      </c>
      <c r="H18" t="s">
        <v>1261</v>
      </c>
      <c r="I18" t="s">
        <v>1262</v>
      </c>
      <c r="J18" s="354" t="s">
        <v>1226</v>
      </c>
      <c r="K18" t="s">
        <v>982</v>
      </c>
    </row>
    <row r="19" spans="3:11" ht="28.8">
      <c r="C19" s="21">
        <v>45451</v>
      </c>
      <c r="D19" t="s">
        <v>940</v>
      </c>
      <c r="E19" s="352">
        <v>355500639045483</v>
      </c>
      <c r="F19">
        <v>180000</v>
      </c>
      <c r="H19" t="s">
        <v>1261</v>
      </c>
      <c r="I19" t="s">
        <v>1262</v>
      </c>
      <c r="J19" s="354" t="s">
        <v>1226</v>
      </c>
      <c r="K19" t="s">
        <v>982</v>
      </c>
    </row>
    <row r="20" spans="3:11" ht="28.8">
      <c r="C20" s="21">
        <v>45451</v>
      </c>
      <c r="D20" t="s">
        <v>947</v>
      </c>
      <c r="E20" s="226">
        <v>355430975754920</v>
      </c>
      <c r="F20">
        <v>190000</v>
      </c>
      <c r="H20" t="s">
        <v>1236</v>
      </c>
      <c r="I20" t="s">
        <v>1237</v>
      </c>
      <c r="J20" s="354" t="s">
        <v>1226</v>
      </c>
      <c r="K20" t="s">
        <v>982</v>
      </c>
    </row>
    <row r="21" spans="3:11">
      <c r="E21" s="226"/>
    </row>
    <row r="22" spans="3:11" ht="28.8">
      <c r="C22" s="21">
        <v>45453</v>
      </c>
      <c r="D22" t="s">
        <v>940</v>
      </c>
      <c r="E22" s="351">
        <v>355500639599224</v>
      </c>
      <c r="F22">
        <v>180000</v>
      </c>
      <c r="H22" t="s">
        <v>1261</v>
      </c>
      <c r="I22" t="s">
        <v>1262</v>
      </c>
      <c r="J22" s="354" t="s">
        <v>1226</v>
      </c>
      <c r="K22" t="s">
        <v>982</v>
      </c>
    </row>
    <row r="23" spans="3:11" ht="28.8">
      <c r="C23" s="21">
        <v>45454</v>
      </c>
      <c r="D23" t="s">
        <v>940</v>
      </c>
      <c r="E23" s="351">
        <v>355500635523269</v>
      </c>
      <c r="F23">
        <v>180000</v>
      </c>
      <c r="H23" t="s">
        <v>1261</v>
      </c>
      <c r="I23" t="s">
        <v>1262</v>
      </c>
      <c r="J23" s="354" t="s">
        <v>1226</v>
      </c>
      <c r="K23" t="s">
        <v>982</v>
      </c>
    </row>
    <row r="24" spans="3:11">
      <c r="C24" s="21"/>
      <c r="E24" s="351"/>
      <c r="J24" s="354"/>
    </row>
    <row r="25" spans="3:11" ht="28.8">
      <c r="C25" s="21">
        <v>45455</v>
      </c>
      <c r="D25" t="s">
        <v>940</v>
      </c>
      <c r="E25" s="351">
        <v>355500637698580</v>
      </c>
      <c r="F25">
        <v>180000</v>
      </c>
      <c r="J25" s="354" t="s">
        <v>1565</v>
      </c>
    </row>
    <row r="26" spans="3:11">
      <c r="E26" s="226"/>
    </row>
    <row r="27" spans="3:11" ht="28.8">
      <c r="C27" s="306">
        <v>45457</v>
      </c>
      <c r="D27" s="231" t="s">
        <v>636</v>
      </c>
      <c r="E27" s="434">
        <v>355500638142711</v>
      </c>
      <c r="F27" s="231">
        <v>175000</v>
      </c>
      <c r="G27" s="231"/>
      <c r="H27" s="231" t="s">
        <v>1683</v>
      </c>
      <c r="I27" s="231"/>
      <c r="J27" s="433" t="s">
        <v>1565</v>
      </c>
    </row>
    <row r="28" spans="3:11" ht="28.8">
      <c r="C28" s="21">
        <v>45457</v>
      </c>
      <c r="D28" t="s">
        <v>636</v>
      </c>
      <c r="E28" s="352">
        <v>355500635621501</v>
      </c>
      <c r="F28">
        <v>175000</v>
      </c>
      <c r="J28" s="354" t="s">
        <v>1565</v>
      </c>
    </row>
    <row r="29" spans="3:11" ht="28.8">
      <c r="C29" s="21">
        <v>45457</v>
      </c>
      <c r="D29" t="s">
        <v>636</v>
      </c>
      <c r="E29" s="352">
        <v>355500637698580</v>
      </c>
      <c r="F29">
        <v>175000</v>
      </c>
      <c r="J29" s="354" t="s">
        <v>1565</v>
      </c>
    </row>
    <row r="30" spans="3:11" ht="28.8">
      <c r="C30" s="21">
        <v>45457</v>
      </c>
      <c r="D30" t="s">
        <v>636</v>
      </c>
      <c r="E30" s="352">
        <v>357114365908449</v>
      </c>
      <c r="F30">
        <v>175000</v>
      </c>
      <c r="J30" s="354" t="s">
        <v>1565</v>
      </c>
    </row>
    <row r="31" spans="3:11">
      <c r="E31" s="226"/>
    </row>
    <row r="32" spans="3:11" ht="28.8">
      <c r="C32" s="21">
        <v>45463</v>
      </c>
      <c r="D32" t="s">
        <v>636</v>
      </c>
      <c r="E32" s="351">
        <v>355500637735705</v>
      </c>
      <c r="F32">
        <v>175000</v>
      </c>
      <c r="J32" s="354" t="s">
        <v>1565</v>
      </c>
    </row>
    <row r="33" spans="3:10">
      <c r="C33" s="306">
        <v>45469</v>
      </c>
      <c r="D33" s="231" t="s">
        <v>636</v>
      </c>
      <c r="E33" s="417">
        <v>357114365969946</v>
      </c>
      <c r="F33" s="231">
        <v>175000</v>
      </c>
      <c r="G33" s="231"/>
      <c r="H33" s="231" t="s">
        <v>1612</v>
      </c>
      <c r="I33" s="306">
        <v>45497</v>
      </c>
      <c r="J33" s="231"/>
    </row>
    <row r="34" spans="3:10">
      <c r="C34" s="306">
        <v>45469</v>
      </c>
      <c r="D34" s="231" t="s">
        <v>636</v>
      </c>
      <c r="E34" s="417">
        <v>355500637580994</v>
      </c>
      <c r="F34" s="231">
        <v>175000</v>
      </c>
      <c r="G34" s="231"/>
      <c r="H34" s="231" t="s">
        <v>1612</v>
      </c>
      <c r="I34" s="306">
        <v>45497</v>
      </c>
      <c r="J34" s="231"/>
    </row>
    <row r="35" spans="3:10">
      <c r="C35" s="21"/>
    </row>
    <row r="36" spans="3:10" ht="28.8">
      <c r="C36" s="306">
        <v>45474</v>
      </c>
      <c r="D36" s="231" t="s">
        <v>636</v>
      </c>
      <c r="E36" s="417">
        <v>358161187420516</v>
      </c>
      <c r="F36" s="231">
        <v>175000</v>
      </c>
      <c r="G36" s="231"/>
      <c r="H36" s="231" t="s">
        <v>1683</v>
      </c>
      <c r="I36" s="231"/>
      <c r="J36" s="433" t="s">
        <v>1583</v>
      </c>
    </row>
    <row r="37" spans="3:10" ht="28.8">
      <c r="C37" s="306">
        <v>45492</v>
      </c>
      <c r="D37" s="231" t="s">
        <v>636</v>
      </c>
      <c r="E37" s="417">
        <v>358161188279309</v>
      </c>
      <c r="F37" s="231">
        <v>175000</v>
      </c>
      <c r="G37" s="231"/>
      <c r="H37" s="231" t="s">
        <v>1683</v>
      </c>
      <c r="I37" s="231"/>
      <c r="J37" s="433" t="s">
        <v>1583</v>
      </c>
    </row>
    <row r="38" spans="3:10">
      <c r="C38" s="21"/>
    </row>
    <row r="39" spans="3:10">
      <c r="C39" s="440">
        <v>45495</v>
      </c>
      <c r="D39" s="441" t="s">
        <v>1174</v>
      </c>
      <c r="E39" s="442">
        <v>350404321911646</v>
      </c>
      <c r="F39" s="443">
        <v>155000</v>
      </c>
      <c r="G39" s="441" t="s">
        <v>1733</v>
      </c>
      <c r="H39" s="441" t="s">
        <v>1733</v>
      </c>
    </row>
    <row r="40" spans="3:10" ht="28.8">
      <c r="C40" s="21">
        <v>45495</v>
      </c>
      <c r="D40" t="s">
        <v>1173</v>
      </c>
      <c r="E40" s="131">
        <v>356444800452880</v>
      </c>
      <c r="F40">
        <v>160000</v>
      </c>
      <c r="H40" t="s">
        <v>1708</v>
      </c>
      <c r="J40" s="433" t="s">
        <v>1797</v>
      </c>
    </row>
    <row r="41" spans="3:10" ht="28.8">
      <c r="C41" s="21">
        <v>45495</v>
      </c>
      <c r="D41" t="s">
        <v>1173</v>
      </c>
      <c r="E41" s="131">
        <v>350684900665818</v>
      </c>
      <c r="F41">
        <v>160000</v>
      </c>
      <c r="H41" t="s">
        <v>1708</v>
      </c>
      <c r="J41" s="433" t="s">
        <v>1797</v>
      </c>
    </row>
    <row r="42" spans="3:10" ht="28.8">
      <c r="C42" s="21">
        <v>45495</v>
      </c>
      <c r="D42" t="s">
        <v>1587</v>
      </c>
      <c r="E42" s="131">
        <v>350684901224722</v>
      </c>
      <c r="F42">
        <v>175000</v>
      </c>
      <c r="H42" t="s">
        <v>1708</v>
      </c>
      <c r="J42" s="433" t="s">
        <v>1797</v>
      </c>
    </row>
    <row r="43" spans="3:10">
      <c r="C43" s="21"/>
    </row>
    <row r="44" spans="3:10" ht="28.8">
      <c r="C44" s="21">
        <v>45497</v>
      </c>
      <c r="D44" t="s">
        <v>1611</v>
      </c>
      <c r="E44" s="131">
        <v>355430976748020</v>
      </c>
      <c r="F44">
        <v>202000</v>
      </c>
      <c r="H44" t="s">
        <v>1708</v>
      </c>
      <c r="J44" s="433" t="s">
        <v>1797</v>
      </c>
    </row>
    <row r="45" spans="3:10" ht="28.8">
      <c r="C45" s="21">
        <v>45497</v>
      </c>
      <c r="D45" t="s">
        <v>1611</v>
      </c>
      <c r="E45" s="131">
        <v>358862626698097</v>
      </c>
      <c r="F45">
        <v>202000</v>
      </c>
      <c r="H45" t="s">
        <v>1708</v>
      </c>
      <c r="J45" s="433" t="s">
        <v>1797</v>
      </c>
    </row>
    <row r="46" spans="3:10">
      <c r="C46" s="21"/>
    </row>
    <row r="47" spans="3:10" ht="28.8">
      <c r="C47" s="21">
        <v>45503</v>
      </c>
      <c r="D47" t="s">
        <v>636</v>
      </c>
      <c r="E47" s="131">
        <v>358161187828858</v>
      </c>
      <c r="F47">
        <v>175000</v>
      </c>
      <c r="G47" s="354" t="s">
        <v>2153</v>
      </c>
      <c r="H47" t="s">
        <v>1708</v>
      </c>
    </row>
    <row r="48" spans="3:10">
      <c r="C48" s="440">
        <v>45503</v>
      </c>
      <c r="D48" s="441" t="s">
        <v>636</v>
      </c>
      <c r="E48" s="442" t="s">
        <v>724</v>
      </c>
      <c r="F48" s="441">
        <v>0</v>
      </c>
      <c r="G48" s="441" t="s">
        <v>1733</v>
      </c>
      <c r="H48" s="441" t="s">
        <v>1733</v>
      </c>
    </row>
    <row r="49" spans="2:10">
      <c r="C49" s="21"/>
    </row>
    <row r="50" spans="2:10">
      <c r="C50" s="21">
        <v>45503</v>
      </c>
      <c r="D50" t="s">
        <v>1689</v>
      </c>
      <c r="E50" s="131">
        <v>352310727115435</v>
      </c>
      <c r="F50">
        <v>190000</v>
      </c>
      <c r="G50" t="s">
        <v>1001</v>
      </c>
      <c r="H50" t="s">
        <v>1708</v>
      </c>
    </row>
    <row r="51" spans="2:10">
      <c r="C51" s="21">
        <v>45503</v>
      </c>
      <c r="D51" t="s">
        <v>1611</v>
      </c>
      <c r="E51" s="131">
        <v>351646279235530</v>
      </c>
      <c r="F51">
        <v>202000</v>
      </c>
      <c r="G51" t="s">
        <v>1001</v>
      </c>
      <c r="H51" t="s">
        <v>1708</v>
      </c>
    </row>
    <row r="52" spans="2:10">
      <c r="C52" s="21">
        <v>45503</v>
      </c>
      <c r="D52" t="s">
        <v>1690</v>
      </c>
      <c r="E52" s="131">
        <v>352676526208757</v>
      </c>
      <c r="F52">
        <v>185000</v>
      </c>
      <c r="G52" t="s">
        <v>1001</v>
      </c>
      <c r="H52" t="s">
        <v>1708</v>
      </c>
    </row>
    <row r="53" spans="2:10">
      <c r="C53" s="21"/>
    </row>
    <row r="54" spans="2:10" ht="28.8">
      <c r="B54" t="s">
        <v>1996</v>
      </c>
      <c r="C54" s="21">
        <v>45510</v>
      </c>
      <c r="D54" s="231" t="s">
        <v>1995</v>
      </c>
      <c r="E54" s="131">
        <v>351335415944581</v>
      </c>
      <c r="F54">
        <v>105000</v>
      </c>
      <c r="H54" t="s">
        <v>1756</v>
      </c>
      <c r="J54" s="433" t="s">
        <v>1797</v>
      </c>
    </row>
    <row r="55" spans="2:10" ht="28.8">
      <c r="C55" s="21">
        <v>45510</v>
      </c>
      <c r="D55" t="s">
        <v>1732</v>
      </c>
      <c r="E55" s="131">
        <v>350839531130745</v>
      </c>
      <c r="F55">
        <v>145000</v>
      </c>
      <c r="H55" t="s">
        <v>1756</v>
      </c>
      <c r="J55" s="433" t="s">
        <v>1797</v>
      </c>
    </row>
    <row r="56" spans="2:10" ht="28.8">
      <c r="C56" s="21">
        <v>45510</v>
      </c>
      <c r="D56" t="s">
        <v>1732</v>
      </c>
      <c r="E56" s="131">
        <v>351418620421437</v>
      </c>
      <c r="F56">
        <v>145000</v>
      </c>
      <c r="H56" t="s">
        <v>1756</v>
      </c>
      <c r="J56" s="433" t="s">
        <v>1797</v>
      </c>
    </row>
    <row r="57" spans="2:10">
      <c r="C57" s="21"/>
    </row>
    <row r="58" spans="2:10" ht="28.8">
      <c r="B58" s="354" t="s">
        <v>2336</v>
      </c>
      <c r="C58" s="21">
        <v>45568</v>
      </c>
      <c r="D58" t="s">
        <v>2137</v>
      </c>
      <c r="E58" s="131">
        <v>351306998557264</v>
      </c>
      <c r="F58">
        <v>188000</v>
      </c>
      <c r="G58" s="21" t="s">
        <v>2285</v>
      </c>
      <c r="H58" t="s">
        <v>2284</v>
      </c>
    </row>
    <row r="59" spans="2:10" ht="28.8">
      <c r="B59" s="354" t="s">
        <v>2336</v>
      </c>
      <c r="C59" s="21">
        <v>45568</v>
      </c>
      <c r="D59" t="s">
        <v>2137</v>
      </c>
      <c r="E59" s="131">
        <v>351306997008764</v>
      </c>
      <c r="F59">
        <v>188000</v>
      </c>
      <c r="G59" s="21" t="s">
        <v>2285</v>
      </c>
      <c r="H59" t="s">
        <v>2284</v>
      </c>
    </row>
    <row r="60" spans="2:10" ht="28.8">
      <c r="B60" s="354" t="s">
        <v>2336</v>
      </c>
      <c r="C60" s="21">
        <v>45568</v>
      </c>
      <c r="D60" t="s">
        <v>2137</v>
      </c>
      <c r="E60" s="131">
        <v>356511217161658</v>
      </c>
      <c r="F60">
        <v>188000</v>
      </c>
      <c r="G60" s="21" t="s">
        <v>2285</v>
      </c>
      <c r="H60" t="s">
        <v>2284</v>
      </c>
    </row>
    <row r="61" spans="2:10" ht="28.8">
      <c r="B61" s="354" t="s">
        <v>2336</v>
      </c>
      <c r="C61" s="21">
        <v>45569</v>
      </c>
      <c r="D61" t="s">
        <v>2137</v>
      </c>
      <c r="E61" s="131">
        <v>351581974996914</v>
      </c>
      <c r="F61">
        <v>188000</v>
      </c>
      <c r="G61" s="21" t="s">
        <v>2285</v>
      </c>
      <c r="H61" t="s">
        <v>2284</v>
      </c>
    </row>
    <row r="62" spans="2:10" ht="28.8">
      <c r="B62" s="354" t="s">
        <v>2337</v>
      </c>
      <c r="C62" s="21">
        <v>45569</v>
      </c>
      <c r="D62" t="s">
        <v>2150</v>
      </c>
      <c r="E62" s="131">
        <v>356245745845462</v>
      </c>
      <c r="F62" t="s">
        <v>2154</v>
      </c>
      <c r="G62" s="21" t="s">
        <v>2285</v>
      </c>
      <c r="H62" t="s">
        <v>2284</v>
      </c>
    </row>
    <row r="64" spans="2:10" ht="28.8">
      <c r="B64" s="433" t="s">
        <v>2363</v>
      </c>
      <c r="C64" s="306">
        <v>45574</v>
      </c>
      <c r="D64" s="231" t="s">
        <v>2156</v>
      </c>
      <c r="E64" s="417">
        <v>359410898436785</v>
      </c>
      <c r="F64" s="231">
        <v>150000</v>
      </c>
      <c r="G64" s="306" t="s">
        <v>2362</v>
      </c>
      <c r="H64" s="231" t="s">
        <v>2284</v>
      </c>
      <c r="I64" s="231" t="s">
        <v>2502</v>
      </c>
      <c r="J64" s="21" t="s">
        <v>2362</v>
      </c>
    </row>
    <row r="65" spans="2:10" ht="28.8">
      <c r="B65" s="354" t="s">
        <v>2363</v>
      </c>
      <c r="C65" s="21">
        <v>45574</v>
      </c>
      <c r="D65" t="s">
        <v>2156</v>
      </c>
      <c r="E65" s="131">
        <v>359410896985205</v>
      </c>
      <c r="F65">
        <v>150000</v>
      </c>
      <c r="G65" s="21" t="s">
        <v>2362</v>
      </c>
      <c r="H65" t="s">
        <v>2284</v>
      </c>
      <c r="J65" s="21" t="s">
        <v>2362</v>
      </c>
    </row>
    <row r="66" spans="2:10" ht="28.8">
      <c r="B66" s="354" t="s">
        <v>2363</v>
      </c>
      <c r="C66" s="21">
        <v>45574</v>
      </c>
      <c r="D66" t="s">
        <v>2156</v>
      </c>
      <c r="E66" s="131">
        <v>359410896404926</v>
      </c>
      <c r="F66">
        <v>150000</v>
      </c>
      <c r="G66" s="21" t="s">
        <v>2362</v>
      </c>
      <c r="H66" t="s">
        <v>2284</v>
      </c>
      <c r="J66" s="21" t="s">
        <v>2362</v>
      </c>
    </row>
    <row r="68" spans="2:10" ht="28.8">
      <c r="B68" s="354" t="s">
        <v>2363</v>
      </c>
      <c r="C68" s="21">
        <v>45587</v>
      </c>
      <c r="D68" t="s">
        <v>2297</v>
      </c>
      <c r="E68" s="131">
        <v>351935560028229</v>
      </c>
      <c r="F68">
        <v>130000</v>
      </c>
      <c r="G68" s="21" t="s">
        <v>2362</v>
      </c>
      <c r="H68" t="s">
        <v>2284</v>
      </c>
      <c r="J68" s="21" t="s">
        <v>2362</v>
      </c>
    </row>
    <row r="69" spans="2:10" ht="28.8">
      <c r="B69" s="354" t="s">
        <v>2363</v>
      </c>
      <c r="C69" s="21">
        <v>45587</v>
      </c>
      <c r="D69" t="s">
        <v>2298</v>
      </c>
      <c r="E69" s="131">
        <v>351553469141959</v>
      </c>
      <c r="F69">
        <v>150000</v>
      </c>
      <c r="G69" s="21" t="s">
        <v>2362</v>
      </c>
      <c r="H69" t="s">
        <v>2284</v>
      </c>
      <c r="J69" s="21" t="s">
        <v>2362</v>
      </c>
    </row>
    <row r="71" spans="2:10" ht="28.8">
      <c r="B71" s="354" t="s">
        <v>2363</v>
      </c>
      <c r="C71" s="21">
        <v>45589</v>
      </c>
      <c r="D71" t="s">
        <v>2338</v>
      </c>
      <c r="E71" s="131">
        <v>355138326083838</v>
      </c>
      <c r="F71">
        <v>245000</v>
      </c>
      <c r="G71" s="21" t="s">
        <v>2440</v>
      </c>
      <c r="H71" t="s">
        <v>2284</v>
      </c>
      <c r="J71" s="21" t="s">
        <v>2440</v>
      </c>
    </row>
    <row r="72" spans="2:10" ht="28.8">
      <c r="B72" s="354" t="s">
        <v>2363</v>
      </c>
      <c r="C72" s="21">
        <v>45589</v>
      </c>
      <c r="D72" t="s">
        <v>2339</v>
      </c>
      <c r="E72" s="131">
        <v>352310729040813</v>
      </c>
      <c r="F72">
        <v>190000</v>
      </c>
      <c r="G72" s="21" t="s">
        <v>2440</v>
      </c>
      <c r="H72" t="s">
        <v>2284</v>
      </c>
      <c r="J72" s="21" t="s">
        <v>2440</v>
      </c>
    </row>
    <row r="73" spans="2:10" ht="28.8">
      <c r="B73" s="354" t="s">
        <v>2363</v>
      </c>
      <c r="C73" s="21">
        <v>45591</v>
      </c>
      <c r="D73" t="s">
        <v>2340</v>
      </c>
      <c r="E73" s="131">
        <v>355762290101472</v>
      </c>
      <c r="F73">
        <v>260000</v>
      </c>
      <c r="G73" s="21" t="s">
        <v>2440</v>
      </c>
      <c r="H73" t="s">
        <v>2284</v>
      </c>
      <c r="J73" s="21" t="s">
        <v>2440</v>
      </c>
    </row>
    <row r="74" spans="2:10">
      <c r="B74" s="226"/>
    </row>
    <row r="75" spans="2:10" ht="28.8">
      <c r="B75" s="354" t="s">
        <v>2363</v>
      </c>
      <c r="C75" s="21">
        <v>45593</v>
      </c>
      <c r="D75" t="s">
        <v>2349</v>
      </c>
      <c r="E75" s="131">
        <v>355762293228074</v>
      </c>
      <c r="F75">
        <v>240000</v>
      </c>
      <c r="G75" s="21" t="s">
        <v>2440</v>
      </c>
      <c r="H75" t="s">
        <v>2284</v>
      </c>
      <c r="J75" s="21" t="s">
        <v>2440</v>
      </c>
    </row>
    <row r="76" spans="2:10" ht="28.8">
      <c r="B76" s="354" t="s">
        <v>2363</v>
      </c>
      <c r="C76" s="21">
        <v>45593</v>
      </c>
      <c r="D76" t="s">
        <v>2349</v>
      </c>
      <c r="E76" s="131">
        <v>355762293235640</v>
      </c>
      <c r="F76">
        <v>240000</v>
      </c>
      <c r="G76" s="21" t="s">
        <v>2440</v>
      </c>
      <c r="H76" t="s">
        <v>2284</v>
      </c>
      <c r="J76" s="21" t="s">
        <v>2440</v>
      </c>
    </row>
    <row r="77" spans="2:10" ht="28.8">
      <c r="B77" s="354" t="s">
        <v>2363</v>
      </c>
      <c r="C77" s="21">
        <v>45593</v>
      </c>
      <c r="D77" t="s">
        <v>2338</v>
      </c>
      <c r="E77" s="131">
        <v>355762291288229</v>
      </c>
      <c r="F77">
        <v>245000</v>
      </c>
      <c r="G77" s="21" t="s">
        <v>2440</v>
      </c>
      <c r="H77" t="s">
        <v>2284</v>
      </c>
      <c r="J77" s="21" t="s">
        <v>2440</v>
      </c>
    </row>
    <row r="79" spans="2:10" ht="28.8">
      <c r="B79" s="354" t="s">
        <v>2363</v>
      </c>
      <c r="C79" s="21">
        <v>45598</v>
      </c>
      <c r="D79" t="s">
        <v>2340</v>
      </c>
      <c r="E79" s="131">
        <v>355300183398754</v>
      </c>
      <c r="F79">
        <v>260000</v>
      </c>
      <c r="G79" s="21" t="s">
        <v>2446</v>
      </c>
      <c r="H79" t="s">
        <v>2447</v>
      </c>
    </row>
    <row r="80" spans="2:10" ht="28.8">
      <c r="B80" s="354" t="s">
        <v>2363</v>
      </c>
      <c r="C80" s="21">
        <v>45598</v>
      </c>
      <c r="D80" t="s">
        <v>2338</v>
      </c>
      <c r="E80" s="131">
        <v>356760684725327</v>
      </c>
      <c r="F80">
        <v>245000</v>
      </c>
      <c r="G80" s="21" t="s">
        <v>2446</v>
      </c>
      <c r="H80" t="s">
        <v>2447</v>
      </c>
    </row>
    <row r="81" spans="2:8" ht="28.8">
      <c r="B81" s="354" t="s">
        <v>2363</v>
      </c>
      <c r="C81" s="21">
        <v>45598</v>
      </c>
      <c r="D81" t="s">
        <v>2338</v>
      </c>
      <c r="E81" s="131">
        <v>354276351497886</v>
      </c>
      <c r="F81">
        <v>245000</v>
      </c>
      <c r="G81" s="21" t="s">
        <v>2446</v>
      </c>
      <c r="H81" t="s">
        <v>2447</v>
      </c>
    </row>
  </sheetData>
  <conditionalFormatting sqref="E1:E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AW1161"/>
  <sheetViews>
    <sheetView topLeftCell="AB458" zoomScale="70" zoomScaleNormal="70" workbookViewId="0">
      <selection activeCell="AM487" sqref="AM487"/>
    </sheetView>
  </sheetViews>
  <sheetFormatPr defaultRowHeight="14.4"/>
  <cols>
    <col min="2" max="2" width="13.77734375" bestFit="1" customWidth="1"/>
    <col min="3" max="3" width="10.109375" bestFit="1" customWidth="1"/>
    <col min="4" max="4" width="28.5546875" customWidth="1"/>
    <col min="5" max="7" width="10.44140625" bestFit="1" customWidth="1"/>
    <col min="8" max="8" width="14.6640625" bestFit="1" customWidth="1"/>
    <col min="9" max="16" width="10.44140625" bestFit="1" customWidth="1"/>
    <col min="17" max="17" width="23.6640625" bestFit="1" customWidth="1"/>
    <col min="18" max="18" width="10.44140625" bestFit="1" customWidth="1"/>
    <col min="19" max="32" width="10.44140625" customWidth="1"/>
    <col min="33" max="33" width="11" customWidth="1"/>
    <col min="34" max="34" width="10.44140625" bestFit="1" customWidth="1"/>
    <col min="35" max="35" width="18.77734375" bestFit="1" customWidth="1"/>
    <col min="37" max="37" width="15.21875" bestFit="1" customWidth="1"/>
    <col min="38" max="38" width="12.21875" bestFit="1" customWidth="1"/>
    <col min="39" max="39" width="20.77734375" bestFit="1" customWidth="1"/>
    <col min="40" max="40" width="19.21875" bestFit="1" customWidth="1"/>
    <col min="41" max="41" width="9.21875" bestFit="1" customWidth="1"/>
    <col min="42" max="42" width="11.6640625" bestFit="1" customWidth="1"/>
    <col min="43" max="43" width="12.21875" bestFit="1" customWidth="1"/>
    <col min="47" max="47" width="18.77734375" bestFit="1" customWidth="1"/>
    <col min="48" max="48" width="17.77734375" customWidth="1"/>
    <col min="49" max="49" width="23.77734375" bestFit="1" customWidth="1"/>
  </cols>
  <sheetData>
    <row r="2" spans="2:49" ht="15.6">
      <c r="J2" t="s">
        <v>696</v>
      </c>
      <c r="X2" t="s">
        <v>654</v>
      </c>
      <c r="AB2" t="s">
        <v>654</v>
      </c>
      <c r="AK2" s="155"/>
      <c r="AL2" s="155"/>
      <c r="AM2" s="155"/>
      <c r="AN2" s="155"/>
      <c r="AO2" s="155"/>
      <c r="AP2" s="155"/>
      <c r="AQ2" s="155"/>
    </row>
    <row r="3" spans="2:49" ht="18">
      <c r="B3" s="1"/>
      <c r="C3" s="83" t="s">
        <v>22</v>
      </c>
      <c r="D3" s="83" t="s">
        <v>23</v>
      </c>
      <c r="E3" s="84">
        <v>45413</v>
      </c>
      <c r="F3" s="84">
        <v>45414</v>
      </c>
      <c r="G3" s="84">
        <v>45415</v>
      </c>
      <c r="H3" s="84">
        <v>45416</v>
      </c>
      <c r="I3" s="84">
        <v>45417</v>
      </c>
      <c r="J3" s="84">
        <v>45418</v>
      </c>
      <c r="K3" s="84">
        <v>45419</v>
      </c>
      <c r="L3" s="84">
        <v>45420</v>
      </c>
      <c r="M3" s="84">
        <v>45421</v>
      </c>
      <c r="N3" s="84">
        <v>45422</v>
      </c>
      <c r="O3" s="84">
        <v>45423</v>
      </c>
      <c r="P3" s="84">
        <v>45424</v>
      </c>
      <c r="Q3" s="84">
        <v>45425</v>
      </c>
      <c r="R3" s="84">
        <v>45426</v>
      </c>
      <c r="S3" s="84">
        <v>45427</v>
      </c>
      <c r="T3" s="84">
        <v>45428</v>
      </c>
      <c r="U3" s="84">
        <v>45429</v>
      </c>
      <c r="V3" s="84">
        <v>45430</v>
      </c>
      <c r="W3" s="84">
        <v>45431</v>
      </c>
      <c r="X3" s="84">
        <v>45432</v>
      </c>
      <c r="Y3" s="84">
        <v>45433</v>
      </c>
      <c r="Z3" s="84">
        <v>45434</v>
      </c>
      <c r="AA3" s="84">
        <v>45435</v>
      </c>
      <c r="AB3" s="84">
        <v>45436</v>
      </c>
      <c r="AC3" s="84">
        <v>45437</v>
      </c>
      <c r="AD3" s="84">
        <v>45438</v>
      </c>
      <c r="AE3" s="84">
        <v>45439</v>
      </c>
      <c r="AF3" s="84">
        <v>45440</v>
      </c>
      <c r="AG3" s="84">
        <v>45441</v>
      </c>
      <c r="AH3" s="84">
        <v>45442</v>
      </c>
      <c r="AI3" s="85" t="s">
        <v>25</v>
      </c>
      <c r="AK3" s="155"/>
      <c r="AL3" s="164" t="s">
        <v>22</v>
      </c>
      <c r="AM3" s="164" t="s">
        <v>23</v>
      </c>
      <c r="AN3" s="85" t="s">
        <v>25</v>
      </c>
      <c r="AO3" s="85" t="s">
        <v>468</v>
      </c>
      <c r="AP3" s="85" t="s">
        <v>11</v>
      </c>
      <c r="AQ3" s="155"/>
    </row>
    <row r="4" spans="2:49" ht="15.6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K4" s="155"/>
      <c r="AL4" s="156"/>
      <c r="AM4" s="156"/>
      <c r="AN4" s="155"/>
      <c r="AO4" s="155"/>
      <c r="AP4" s="155"/>
      <c r="AQ4" s="155"/>
    </row>
    <row r="5" spans="2:49" ht="15.6">
      <c r="B5" s="1"/>
      <c r="C5" s="26" t="s">
        <v>26</v>
      </c>
      <c r="D5" s="31"/>
      <c r="E5" s="18"/>
      <c r="F5" s="18"/>
      <c r="G5" s="18"/>
      <c r="H5" s="25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K5" s="155"/>
      <c r="AL5" s="157" t="s">
        <v>26</v>
      </c>
      <c r="AM5" s="158"/>
      <c r="AN5" s="159"/>
      <c r="AO5" s="160"/>
      <c r="AP5" s="160"/>
      <c r="AQ5" s="155"/>
    </row>
    <row r="6" spans="2:49" ht="15.6">
      <c r="B6" s="1"/>
      <c r="C6" s="18"/>
      <c r="D6" s="31" t="s">
        <v>600</v>
      </c>
      <c r="E6" s="18"/>
      <c r="F6" s="18"/>
      <c r="G6" s="18"/>
      <c r="H6" s="25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>
        <v>1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>
        <v>-1</v>
      </c>
      <c r="AH6" s="18"/>
      <c r="AI6" s="18">
        <f t="shared" ref="AI6:AI9" si="0">SUM(E6:AH6)</f>
        <v>0</v>
      </c>
      <c r="AK6" s="155"/>
      <c r="AL6" s="159"/>
      <c r="AM6" s="158" t="str">
        <f>D6</f>
        <v>IP 15ProMax 256</v>
      </c>
      <c r="AN6" s="159">
        <f t="shared" ref="AN6:AN11" si="1">AI6</f>
        <v>0</v>
      </c>
      <c r="AO6" s="201"/>
      <c r="AP6" s="161">
        <f t="shared" ref="AP6:AP9" si="2">AN6*AO6</f>
        <v>0</v>
      </c>
      <c r="AQ6" s="155"/>
    </row>
    <row r="7" spans="2:49" ht="15.6">
      <c r="B7" s="1"/>
      <c r="C7" s="18"/>
      <c r="D7" s="31" t="s">
        <v>598</v>
      </c>
      <c r="E7" s="18"/>
      <c r="F7" s="18"/>
      <c r="G7" s="18"/>
      <c r="H7" s="25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>
        <v>1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>
        <f t="shared" si="0"/>
        <v>1</v>
      </c>
      <c r="AK7" s="155"/>
      <c r="AL7" s="159"/>
      <c r="AM7" s="158" t="str">
        <f>D7</f>
        <v>IP 15Pro 128Gb</v>
      </c>
      <c r="AN7" s="159">
        <f t="shared" si="1"/>
        <v>1</v>
      </c>
      <c r="AO7" s="201">
        <v>900</v>
      </c>
      <c r="AP7" s="161">
        <f t="shared" si="2"/>
        <v>900</v>
      </c>
      <c r="AQ7" s="155"/>
    </row>
    <row r="8" spans="2:49" ht="15.6">
      <c r="B8" s="1"/>
      <c r="C8" s="18"/>
      <c r="D8" s="31" t="s">
        <v>599</v>
      </c>
      <c r="E8" s="18"/>
      <c r="F8" s="18"/>
      <c r="G8" s="18"/>
      <c r="H8" s="25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>
        <v>2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>
        <v>-1</v>
      </c>
      <c r="AH8" s="18"/>
      <c r="AI8" s="18">
        <f t="shared" si="0"/>
        <v>1</v>
      </c>
      <c r="AK8" s="155"/>
      <c r="AL8" s="159"/>
      <c r="AM8" s="158" t="str">
        <f>D8</f>
        <v>IP 15plus 128GB</v>
      </c>
      <c r="AN8" s="159">
        <f t="shared" si="1"/>
        <v>1</v>
      </c>
      <c r="AO8" s="201">
        <v>1350</v>
      </c>
      <c r="AP8" s="161">
        <f t="shared" si="2"/>
        <v>1350</v>
      </c>
      <c r="AQ8" s="155"/>
    </row>
    <row r="9" spans="2:49" ht="15.6">
      <c r="B9" s="1"/>
      <c r="C9" s="18"/>
      <c r="D9" s="31" t="s">
        <v>597</v>
      </c>
      <c r="E9" s="18"/>
      <c r="F9" s="18"/>
      <c r="G9" s="18"/>
      <c r="H9" s="25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>
        <v>2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>
        <f t="shared" si="0"/>
        <v>2</v>
      </c>
      <c r="AK9" s="155"/>
      <c r="AL9" s="159"/>
      <c r="AM9" s="158" t="str">
        <f>D9</f>
        <v>IP 15  128GB</v>
      </c>
      <c r="AN9" s="159">
        <f t="shared" si="1"/>
        <v>2</v>
      </c>
      <c r="AO9" s="201">
        <v>500</v>
      </c>
      <c r="AP9" s="161">
        <f t="shared" si="2"/>
        <v>1000</v>
      </c>
      <c r="AQ9" s="155"/>
    </row>
    <row r="10" spans="2:49" ht="15.6">
      <c r="B10" s="1"/>
      <c r="C10" s="18"/>
      <c r="D10" s="31" t="s">
        <v>32</v>
      </c>
      <c r="E10" s="18">
        <v>1</v>
      </c>
      <c r="F10" s="18"/>
      <c r="G10" s="18"/>
      <c r="H10" s="2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>
        <f t="shared" ref="AI10:AI11" si="3">SUM(E10:AH10)</f>
        <v>1</v>
      </c>
      <c r="AK10" s="155"/>
      <c r="AL10" s="159"/>
      <c r="AM10" s="31" t="s">
        <v>32</v>
      </c>
      <c r="AN10" s="18">
        <f t="shared" si="1"/>
        <v>1</v>
      </c>
      <c r="AO10" s="201">
        <v>1600</v>
      </c>
      <c r="AP10" s="161">
        <f>AN10*AO10</f>
        <v>1600</v>
      </c>
      <c r="AQ10" s="155"/>
    </row>
    <row r="11" spans="2:49" ht="15.6">
      <c r="B11" s="1"/>
      <c r="C11" s="18"/>
      <c r="D11" s="31" t="s">
        <v>33</v>
      </c>
      <c r="E11" s="18">
        <v>1</v>
      </c>
      <c r="F11" s="18"/>
      <c r="G11" s="18"/>
      <c r="H11" s="25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>
        <f t="shared" si="3"/>
        <v>1</v>
      </c>
      <c r="AK11" s="155"/>
      <c r="AL11" s="159"/>
      <c r="AM11" s="31" t="s">
        <v>33</v>
      </c>
      <c r="AN11" s="18">
        <f t="shared" si="1"/>
        <v>1</v>
      </c>
      <c r="AO11" s="201">
        <v>1600</v>
      </c>
      <c r="AP11" s="161">
        <f>AN11*AO11</f>
        <v>1600</v>
      </c>
      <c r="AQ11" s="155"/>
    </row>
    <row r="12" spans="2:49" ht="15.6">
      <c r="B12" s="1"/>
      <c r="C12" s="18"/>
      <c r="D12" s="32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K12" s="155"/>
      <c r="AL12" s="159"/>
      <c r="AM12" s="32"/>
      <c r="AN12" s="18"/>
      <c r="AO12" s="201"/>
      <c r="AP12" s="161"/>
      <c r="AQ12" s="155"/>
    </row>
    <row r="13" spans="2:49" ht="18">
      <c r="B13" s="1"/>
      <c r="C13" s="18"/>
      <c r="D13" s="31" t="s">
        <v>228</v>
      </c>
      <c r="E13" s="18">
        <v>1</v>
      </c>
      <c r="F13" s="18"/>
      <c r="G13" s="18"/>
      <c r="H13" s="25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>
        <f t="shared" ref="AI13:AI18" si="4">SUM(E13:AH13)</f>
        <v>1</v>
      </c>
      <c r="AK13" s="155"/>
      <c r="AL13" s="159"/>
      <c r="AM13" s="31" t="s">
        <v>228</v>
      </c>
      <c r="AN13" s="18">
        <f t="shared" ref="AN13:AN45" si="5">AI13</f>
        <v>1</v>
      </c>
      <c r="AO13" s="202">
        <v>1654.98</v>
      </c>
      <c r="AP13" s="161">
        <f t="shared" ref="AP13:AP18" si="6">AN13*AO13</f>
        <v>1654.98</v>
      </c>
      <c r="AQ13" s="155"/>
      <c r="AU13" s="618" t="s">
        <v>703</v>
      </c>
      <c r="AV13" s="618"/>
    </row>
    <row r="14" spans="2:49" ht="17.399999999999999">
      <c r="B14" s="1"/>
      <c r="C14" s="18"/>
      <c r="D14" s="31" t="s">
        <v>36</v>
      </c>
      <c r="E14" s="18">
        <v>1</v>
      </c>
      <c r="F14" s="18"/>
      <c r="G14" s="18"/>
      <c r="H14" s="25"/>
      <c r="I14" s="18"/>
      <c r="J14" s="18"/>
      <c r="K14" s="18"/>
      <c r="L14" s="18"/>
      <c r="M14" s="18"/>
      <c r="N14" s="18"/>
      <c r="O14" s="18"/>
      <c r="P14" s="18"/>
      <c r="Q14" s="18"/>
      <c r="R14" s="18">
        <v>2</v>
      </c>
      <c r="S14" s="18"/>
      <c r="T14" s="18"/>
      <c r="U14" s="18"/>
      <c r="V14" s="18">
        <v>-2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>
        <f t="shared" si="4"/>
        <v>1</v>
      </c>
      <c r="AK14" s="155"/>
      <c r="AL14" s="159"/>
      <c r="AM14" s="31" t="s">
        <v>36</v>
      </c>
      <c r="AN14" s="18">
        <f t="shared" si="5"/>
        <v>1</v>
      </c>
      <c r="AO14" s="202">
        <v>1500</v>
      </c>
      <c r="AP14" s="161">
        <f t="shared" si="6"/>
        <v>1500</v>
      </c>
      <c r="AQ14" s="155"/>
      <c r="AU14" s="235">
        <v>45420</v>
      </c>
      <c r="AV14" s="236">
        <v>6</v>
      </c>
      <c r="AW14" s="237" t="s">
        <v>704</v>
      </c>
    </row>
    <row r="15" spans="2:49" ht="17.399999999999999">
      <c r="B15" s="1"/>
      <c r="C15" s="18"/>
      <c r="D15" s="31" t="s">
        <v>37</v>
      </c>
      <c r="E15" s="18">
        <v>2</v>
      </c>
      <c r="F15" s="18"/>
      <c r="G15" s="18"/>
      <c r="H15" s="25"/>
      <c r="I15" s="18"/>
      <c r="J15" s="18">
        <f>3-1</f>
        <v>2</v>
      </c>
      <c r="K15" s="18"/>
      <c r="L15" s="18"/>
      <c r="M15" s="18"/>
      <c r="N15" s="18"/>
      <c r="O15" s="18"/>
      <c r="P15" s="18"/>
      <c r="Q15" s="18"/>
      <c r="R15" s="18">
        <v>11</v>
      </c>
      <c r="S15" s="18"/>
      <c r="T15" s="18"/>
      <c r="U15" s="18"/>
      <c r="V15" s="18">
        <v>-10</v>
      </c>
      <c r="W15" s="18"/>
      <c r="X15" s="18">
        <v>1</v>
      </c>
      <c r="Y15" s="18"/>
      <c r="Z15" s="18"/>
      <c r="AA15" s="18"/>
      <c r="AB15" s="18">
        <v>1</v>
      </c>
      <c r="AC15" s="18"/>
      <c r="AD15" s="18"/>
      <c r="AE15" s="18"/>
      <c r="AF15" s="18"/>
      <c r="AG15" s="18">
        <v>-4</v>
      </c>
      <c r="AH15" s="18"/>
      <c r="AI15" s="18">
        <f t="shared" si="4"/>
        <v>3</v>
      </c>
      <c r="AK15" s="155"/>
      <c r="AL15" s="159"/>
      <c r="AM15" s="31" t="s">
        <v>37</v>
      </c>
      <c r="AN15" s="18">
        <f t="shared" si="5"/>
        <v>3</v>
      </c>
      <c r="AO15" s="202">
        <v>1527.83</v>
      </c>
      <c r="AP15" s="161">
        <f t="shared" si="6"/>
        <v>4583.49</v>
      </c>
      <c r="AQ15" s="155"/>
      <c r="AU15" s="235">
        <v>45426</v>
      </c>
      <c r="AV15" s="236">
        <v>13</v>
      </c>
      <c r="AW15" s="237" t="s">
        <v>705</v>
      </c>
    </row>
    <row r="16" spans="2:49" ht="17.399999999999999">
      <c r="B16" s="1"/>
      <c r="C16" s="18"/>
      <c r="D16" s="31" t="s">
        <v>39</v>
      </c>
      <c r="E16" s="18">
        <v>1</v>
      </c>
      <c r="F16" s="18"/>
      <c r="G16" s="18"/>
      <c r="H16" s="25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f t="shared" si="4"/>
        <v>1</v>
      </c>
      <c r="AK16" s="155"/>
      <c r="AL16" s="159"/>
      <c r="AM16" s="31" t="s">
        <v>39</v>
      </c>
      <c r="AN16" s="18">
        <f t="shared" si="5"/>
        <v>1</v>
      </c>
      <c r="AO16" s="201">
        <v>1100</v>
      </c>
      <c r="AP16" s="161">
        <f t="shared" si="6"/>
        <v>1100</v>
      </c>
      <c r="AQ16" s="155"/>
      <c r="AU16" s="235">
        <v>45429</v>
      </c>
      <c r="AV16" s="236">
        <v>-2</v>
      </c>
      <c r="AW16" s="237" t="s">
        <v>706</v>
      </c>
    </row>
    <row r="17" spans="2:49" ht="17.399999999999999">
      <c r="B17" s="1"/>
      <c r="C17" s="18"/>
      <c r="D17" s="31" t="s">
        <v>41</v>
      </c>
      <c r="E17" s="18">
        <v>2</v>
      </c>
      <c r="F17" s="18"/>
      <c r="G17" s="18"/>
      <c r="H17" s="25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f t="shared" si="4"/>
        <v>2</v>
      </c>
      <c r="AK17" s="155"/>
      <c r="AL17" s="159"/>
      <c r="AM17" s="31" t="s">
        <v>41</v>
      </c>
      <c r="AN17" s="18">
        <f t="shared" si="5"/>
        <v>2</v>
      </c>
      <c r="AO17" s="201">
        <v>800</v>
      </c>
      <c r="AP17" s="161">
        <f t="shared" si="6"/>
        <v>1600</v>
      </c>
      <c r="AQ17" s="155"/>
      <c r="AU17" s="235">
        <v>45430</v>
      </c>
      <c r="AV17" s="236">
        <v>-10</v>
      </c>
      <c r="AW17" s="237" t="s">
        <v>706</v>
      </c>
    </row>
    <row r="18" spans="2:49" ht="17.399999999999999">
      <c r="B18" s="1"/>
      <c r="C18" s="18"/>
      <c r="D18" s="31" t="s">
        <v>40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>
        <v>10</v>
      </c>
      <c r="S18" s="18"/>
      <c r="T18" s="18"/>
      <c r="U18" s="18">
        <v>1</v>
      </c>
      <c r="V18" s="18">
        <v>-10</v>
      </c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>
        <f t="shared" si="4"/>
        <v>1</v>
      </c>
      <c r="AK18" s="155"/>
      <c r="AL18" s="159"/>
      <c r="AM18" s="31" t="s">
        <v>40</v>
      </c>
      <c r="AN18" s="18">
        <f t="shared" si="5"/>
        <v>1</v>
      </c>
      <c r="AO18" s="201">
        <v>300</v>
      </c>
      <c r="AP18" s="161">
        <f t="shared" si="6"/>
        <v>300</v>
      </c>
      <c r="AQ18" s="155"/>
      <c r="AU18" s="235">
        <v>45432</v>
      </c>
      <c r="AV18" s="236">
        <v>1</v>
      </c>
      <c r="AW18" s="237" t="s">
        <v>707</v>
      </c>
    </row>
    <row r="19" spans="2:49" ht="17.399999999999999">
      <c r="B19" s="1"/>
      <c r="C19" s="18"/>
      <c r="D19" s="31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K19" s="155"/>
      <c r="AL19" s="159"/>
      <c r="AM19" s="31"/>
      <c r="AN19" s="18"/>
      <c r="AO19" s="201"/>
      <c r="AP19" s="161"/>
      <c r="AQ19" s="155"/>
      <c r="AU19" s="235">
        <v>45435</v>
      </c>
      <c r="AV19" s="236">
        <v>1</v>
      </c>
      <c r="AW19" s="237" t="s">
        <v>707</v>
      </c>
    </row>
    <row r="20" spans="2:49" ht="17.399999999999999">
      <c r="B20" s="1"/>
      <c r="C20" s="18"/>
      <c r="D20" s="31" t="s">
        <v>229</v>
      </c>
      <c r="E20" s="18">
        <v>1</v>
      </c>
      <c r="F20" s="18"/>
      <c r="G20" s="18"/>
      <c r="H20" s="25"/>
      <c r="I20" s="18"/>
      <c r="J20" s="18"/>
      <c r="K20" s="18"/>
      <c r="L20" s="18"/>
      <c r="M20" s="18"/>
      <c r="N20" s="18"/>
      <c r="O20" s="18"/>
      <c r="P20" s="18"/>
      <c r="Q20" s="18"/>
      <c r="R20" s="18">
        <v>2</v>
      </c>
      <c r="S20" s="18"/>
      <c r="T20" s="18"/>
      <c r="U20" s="18"/>
      <c r="V20" s="18">
        <v>-1</v>
      </c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>
        <f t="shared" ref="AI20:AI26" si="7">SUM(E20:AH20)</f>
        <v>2</v>
      </c>
      <c r="AK20" s="155"/>
      <c r="AL20" s="159"/>
      <c r="AM20" s="31" t="s">
        <v>229</v>
      </c>
      <c r="AN20" s="18">
        <f t="shared" si="5"/>
        <v>2</v>
      </c>
      <c r="AO20" s="202">
        <v>1129.7550000000001</v>
      </c>
      <c r="AP20" s="161">
        <f t="shared" ref="AP20:AP28" si="8">AN20*AO20</f>
        <v>2259.5100000000002</v>
      </c>
      <c r="AQ20" s="155"/>
      <c r="AU20" s="235">
        <v>45442</v>
      </c>
      <c r="AV20" s="236">
        <v>-4</v>
      </c>
      <c r="AW20" s="237" t="s">
        <v>708</v>
      </c>
    </row>
    <row r="21" spans="2:49" ht="17.399999999999999">
      <c r="B21" s="1"/>
      <c r="C21" s="18"/>
      <c r="D21" s="31" t="s">
        <v>43</v>
      </c>
      <c r="E21" s="18">
        <v>1</v>
      </c>
      <c r="F21" s="18"/>
      <c r="G21" s="18"/>
      <c r="H21" s="25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>
        <f t="shared" si="7"/>
        <v>1</v>
      </c>
      <c r="AK21" s="155"/>
      <c r="AL21" s="159"/>
      <c r="AM21" s="31" t="s">
        <v>43</v>
      </c>
      <c r="AN21" s="18">
        <f t="shared" si="5"/>
        <v>1</v>
      </c>
      <c r="AO21" s="201">
        <v>720</v>
      </c>
      <c r="AP21" s="161">
        <f t="shared" si="8"/>
        <v>720</v>
      </c>
      <c r="AQ21" s="155"/>
      <c r="AU21" s="236"/>
      <c r="AV21" s="236"/>
      <c r="AW21" s="237"/>
    </row>
    <row r="22" spans="2:49" ht="17.399999999999999">
      <c r="B22" s="1"/>
      <c r="C22" s="18"/>
      <c r="D22" s="32" t="s">
        <v>560</v>
      </c>
      <c r="E22" s="18"/>
      <c r="F22" s="18"/>
      <c r="G22" s="18"/>
      <c r="H22" s="25"/>
      <c r="I22" s="18"/>
      <c r="J22" s="18"/>
      <c r="K22" s="18"/>
      <c r="L22" s="18"/>
      <c r="M22" s="18"/>
      <c r="N22" s="18"/>
      <c r="O22" s="18"/>
      <c r="P22" s="18"/>
      <c r="Q22" s="18"/>
      <c r="R22" s="18">
        <v>2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>
        <f t="shared" si="7"/>
        <v>2</v>
      </c>
      <c r="AK22" s="155"/>
      <c r="AL22" s="159"/>
      <c r="AM22" s="32" t="s">
        <v>560</v>
      </c>
      <c r="AN22" s="18">
        <f t="shared" si="5"/>
        <v>2</v>
      </c>
      <c r="AO22" s="201">
        <v>973.61</v>
      </c>
      <c r="AP22" s="161">
        <f t="shared" si="8"/>
        <v>1947.22</v>
      </c>
      <c r="AQ22" s="155"/>
      <c r="AU22" s="238" t="s">
        <v>709</v>
      </c>
      <c r="AV22" s="238">
        <f>SUM(AV14:AV21)</f>
        <v>5</v>
      </c>
      <c r="AW22" s="239"/>
    </row>
    <row r="23" spans="2:49" ht="17.399999999999999">
      <c r="B23" s="1"/>
      <c r="C23" s="18"/>
      <c r="D23" s="32" t="s">
        <v>230</v>
      </c>
      <c r="E23" s="18">
        <v>1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>
        <f t="shared" si="7"/>
        <v>1</v>
      </c>
      <c r="AK23" s="155"/>
      <c r="AL23" s="159"/>
      <c r="AM23" s="32" t="s">
        <v>230</v>
      </c>
      <c r="AN23" s="18">
        <f t="shared" si="5"/>
        <v>1</v>
      </c>
      <c r="AO23" s="201">
        <v>921.18</v>
      </c>
      <c r="AP23" s="161">
        <f t="shared" si="8"/>
        <v>921.18</v>
      </c>
      <c r="AQ23" s="155"/>
      <c r="AU23" s="237"/>
      <c r="AV23" s="237"/>
      <c r="AW23" s="237"/>
    </row>
    <row r="24" spans="2:49" ht="15.6">
      <c r="B24" s="1"/>
      <c r="C24" s="18"/>
      <c r="D24" s="31" t="s">
        <v>44</v>
      </c>
      <c r="E24" s="18">
        <v>1</v>
      </c>
      <c r="F24" s="18"/>
      <c r="G24" s="18"/>
      <c r="H24" s="25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>
        <f t="shared" si="7"/>
        <v>1</v>
      </c>
      <c r="AK24" s="155"/>
      <c r="AL24" s="159"/>
      <c r="AM24" s="31" t="s">
        <v>44</v>
      </c>
      <c r="AN24" s="18">
        <f t="shared" si="5"/>
        <v>1</v>
      </c>
      <c r="AO24" s="201">
        <v>400</v>
      </c>
      <c r="AP24" s="161">
        <f t="shared" si="8"/>
        <v>400</v>
      </c>
      <c r="AQ24" s="155"/>
    </row>
    <row r="25" spans="2:49" ht="15.6">
      <c r="B25" s="1"/>
      <c r="C25" s="18"/>
      <c r="D25" s="31" t="s">
        <v>45</v>
      </c>
      <c r="E25" s="18">
        <v>1</v>
      </c>
      <c r="F25" s="18"/>
      <c r="G25" s="18"/>
      <c r="H25" s="25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>
        <f t="shared" si="7"/>
        <v>1</v>
      </c>
      <c r="AK25" s="155"/>
      <c r="AL25" s="159"/>
      <c r="AM25" s="31" t="s">
        <v>45</v>
      </c>
      <c r="AN25" s="18">
        <f t="shared" si="5"/>
        <v>1</v>
      </c>
      <c r="AO25" s="201">
        <v>500</v>
      </c>
      <c r="AP25" s="161">
        <f t="shared" si="8"/>
        <v>500</v>
      </c>
      <c r="AQ25" s="155"/>
    </row>
    <row r="26" spans="2:49" ht="15.6">
      <c r="B26" s="1"/>
      <c r="C26" s="18"/>
      <c r="D26" s="31" t="s">
        <v>46</v>
      </c>
      <c r="E26" s="18">
        <v>1</v>
      </c>
      <c r="F26" s="18"/>
      <c r="G26" s="18"/>
      <c r="H26" s="25"/>
      <c r="I26" s="18"/>
      <c r="J26" s="18"/>
      <c r="K26" s="240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f t="shared" si="7"/>
        <v>1</v>
      </c>
      <c r="AK26" s="155"/>
      <c r="AL26" s="159"/>
      <c r="AM26" s="31" t="s">
        <v>46</v>
      </c>
      <c r="AN26" s="18">
        <f t="shared" si="5"/>
        <v>1</v>
      </c>
      <c r="AO26" s="201">
        <v>500</v>
      </c>
      <c r="AP26" s="161">
        <f t="shared" si="8"/>
        <v>500</v>
      </c>
      <c r="AQ26" s="155"/>
    </row>
    <row r="27" spans="2:49" ht="15.6">
      <c r="B27" s="1"/>
      <c r="C27" s="18"/>
      <c r="D27" s="31"/>
      <c r="E27" s="18"/>
      <c r="F27" s="18"/>
      <c r="G27" s="18"/>
      <c r="H27" s="25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K27" s="155"/>
      <c r="AL27" s="159"/>
      <c r="AM27" s="31"/>
      <c r="AN27" s="18"/>
      <c r="AO27" s="201"/>
      <c r="AP27" s="161"/>
      <c r="AQ27" s="155"/>
    </row>
    <row r="28" spans="2:49" ht="15.6">
      <c r="B28" s="1"/>
      <c r="C28" s="18"/>
      <c r="D28" s="31" t="s">
        <v>231</v>
      </c>
      <c r="E28" s="18"/>
      <c r="F28" s="18"/>
      <c r="G28" s="18"/>
      <c r="H28" s="25"/>
      <c r="I28" s="18"/>
      <c r="J28" s="18"/>
      <c r="K28" s="18"/>
      <c r="L28" s="18"/>
      <c r="M28" s="18"/>
      <c r="N28" s="18"/>
      <c r="O28" s="18"/>
      <c r="P28" s="18"/>
      <c r="Q28" s="18"/>
      <c r="R28" s="18">
        <v>1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>
        <f t="shared" ref="AI28:AI30" si="9">SUM(E28:AH28)</f>
        <v>1</v>
      </c>
      <c r="AK28" s="155"/>
      <c r="AL28" s="159"/>
      <c r="AM28" s="31" t="s">
        <v>231</v>
      </c>
      <c r="AN28" s="18">
        <f t="shared" si="5"/>
        <v>1</v>
      </c>
      <c r="AO28" s="201">
        <v>749.5</v>
      </c>
      <c r="AP28" s="161">
        <f t="shared" si="8"/>
        <v>749.5</v>
      </c>
      <c r="AQ28" s="155"/>
    </row>
    <row r="29" spans="2:49" ht="15.6">
      <c r="B29" s="1"/>
      <c r="C29" s="18"/>
      <c r="D29" s="31" t="s">
        <v>232</v>
      </c>
      <c r="E29" s="18">
        <v>36</v>
      </c>
      <c r="F29" s="18"/>
      <c r="G29" s="18"/>
      <c r="H29" s="18"/>
      <c r="I29" s="18"/>
      <c r="J29" s="18"/>
      <c r="K29" s="18"/>
      <c r="L29" s="18"/>
      <c r="M29" s="18"/>
      <c r="N29" s="18"/>
      <c r="O29" s="18">
        <v>-36</v>
      </c>
      <c r="P29" s="18"/>
      <c r="Q29" s="18"/>
      <c r="R29" s="18">
        <v>23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>
        <v>-23</v>
      </c>
      <c r="AF29" s="18"/>
      <c r="AG29" s="18"/>
      <c r="AH29" s="18"/>
      <c r="AI29" s="18">
        <f t="shared" si="9"/>
        <v>0</v>
      </c>
      <c r="AK29" s="155"/>
      <c r="AL29" s="159"/>
      <c r="AM29" s="31" t="s">
        <v>232</v>
      </c>
      <c r="AN29" s="18">
        <f t="shared" si="5"/>
        <v>0</v>
      </c>
      <c r="AO29" s="202">
        <v>863.39</v>
      </c>
      <c r="AP29" s="161">
        <f t="shared" ref="AP29:AP35" si="10">AN29*AO29</f>
        <v>0</v>
      </c>
      <c r="AQ29" s="155"/>
    </row>
    <row r="30" spans="2:49" ht="15.6">
      <c r="B30" s="1"/>
      <c r="C30" s="18"/>
      <c r="D30" s="31" t="s">
        <v>233</v>
      </c>
      <c r="E30" s="18"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>
        <f t="shared" si="9"/>
        <v>1</v>
      </c>
      <c r="AK30" s="155"/>
      <c r="AL30" s="159"/>
      <c r="AM30" s="31" t="s">
        <v>233</v>
      </c>
      <c r="AN30" s="18">
        <f t="shared" si="5"/>
        <v>1</v>
      </c>
      <c r="AO30" s="202">
        <v>780.56</v>
      </c>
      <c r="AP30" s="161">
        <f t="shared" si="10"/>
        <v>780.56</v>
      </c>
      <c r="AQ30" s="155"/>
    </row>
    <row r="31" spans="2:49" ht="15.6">
      <c r="B31" s="1"/>
      <c r="C31" s="18"/>
      <c r="D31" s="31" t="s">
        <v>234</v>
      </c>
      <c r="E31" s="18">
        <v>4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>
        <f t="shared" ref="AI31" si="11">SUM(E31:AH31)</f>
        <v>4</v>
      </c>
      <c r="AK31" s="155"/>
      <c r="AL31" s="159"/>
      <c r="AM31" s="31" t="s">
        <v>234</v>
      </c>
      <c r="AN31" s="18">
        <f t="shared" si="5"/>
        <v>4</v>
      </c>
      <c r="AO31" s="201">
        <v>811.56</v>
      </c>
      <c r="AP31" s="161">
        <f t="shared" si="10"/>
        <v>3246.24</v>
      </c>
      <c r="AQ31" s="155"/>
    </row>
    <row r="32" spans="2:49" ht="15.6">
      <c r="B32" s="1"/>
      <c r="C32" s="18"/>
      <c r="D32" s="31" t="s">
        <v>235</v>
      </c>
      <c r="E32" s="18">
        <v>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>
        <v>1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>
        <f>SUM(E32:AH32)</f>
        <v>3</v>
      </c>
      <c r="AK32" s="155"/>
      <c r="AL32" s="159"/>
      <c r="AM32" s="31" t="s">
        <v>235</v>
      </c>
      <c r="AN32" s="18">
        <f t="shared" si="5"/>
        <v>3</v>
      </c>
      <c r="AO32" s="201">
        <v>524.04999999999995</v>
      </c>
      <c r="AP32" s="161">
        <f t="shared" si="10"/>
        <v>1572.1499999999999</v>
      </c>
      <c r="AQ32" s="155"/>
    </row>
    <row r="33" spans="2:43" ht="15.6">
      <c r="B33" s="1"/>
      <c r="C33" s="18"/>
      <c r="D33" s="31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K33" s="155"/>
      <c r="AL33" s="159"/>
      <c r="AM33" s="31"/>
      <c r="AN33" s="18"/>
      <c r="AO33" s="201"/>
      <c r="AP33" s="161"/>
      <c r="AQ33" s="155"/>
    </row>
    <row r="34" spans="2:43" ht="15.6">
      <c r="B34" s="1"/>
      <c r="C34" s="18"/>
      <c r="D34" s="58" t="s">
        <v>636</v>
      </c>
      <c r="E34" s="30"/>
      <c r="F34" s="30"/>
      <c r="G34" s="30"/>
      <c r="H34" s="18"/>
      <c r="I34" s="18"/>
      <c r="J34" s="18"/>
      <c r="K34" s="240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>
        <v>2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>
        <v>1</v>
      </c>
      <c r="AI34" s="18">
        <f>SUM(E34:AH34)</f>
        <v>3</v>
      </c>
      <c r="AK34" s="155"/>
      <c r="AL34" s="159"/>
      <c r="AM34" s="58" t="str">
        <f>D34</f>
        <v>Watch Ultra 2</v>
      </c>
      <c r="AN34" s="18">
        <f t="shared" si="5"/>
        <v>3</v>
      </c>
      <c r="AO34" s="202">
        <f>185000/76</f>
        <v>2434.2105263157896</v>
      </c>
      <c r="AP34" s="161">
        <f t="shared" si="10"/>
        <v>7302.6315789473683</v>
      </c>
      <c r="AQ34" s="155" t="s">
        <v>637</v>
      </c>
    </row>
    <row r="35" spans="2:43" ht="15.6">
      <c r="B35" s="1"/>
      <c r="C35" s="18"/>
      <c r="D35" s="58" t="s">
        <v>463</v>
      </c>
      <c r="E35" s="30">
        <v>1</v>
      </c>
      <c r="F35" s="30"/>
      <c r="G35" s="30"/>
      <c r="H35" s="25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>
        <f>SUM(E35:AH35)</f>
        <v>1</v>
      </c>
      <c r="AK35" s="155"/>
      <c r="AL35" s="159"/>
      <c r="AM35" s="58" t="s">
        <v>463</v>
      </c>
      <c r="AN35" s="18">
        <f t="shared" si="5"/>
        <v>1</v>
      </c>
      <c r="AO35" s="201">
        <v>300</v>
      </c>
      <c r="AP35" s="161">
        <f t="shared" si="10"/>
        <v>300</v>
      </c>
      <c r="AQ35" s="155"/>
    </row>
    <row r="36" spans="2:43" ht="15.6">
      <c r="B36" s="1"/>
      <c r="C36" s="27" t="s">
        <v>47</v>
      </c>
      <c r="D36" s="31"/>
      <c r="E36" s="18"/>
      <c r="F36" s="18"/>
      <c r="G36" s="18"/>
      <c r="H36" s="25"/>
      <c r="I36" s="29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>
        <f>SUM(E36:AH36)</f>
        <v>0</v>
      </c>
      <c r="AK36" s="155"/>
      <c r="AL36" s="157" t="s">
        <v>47</v>
      </c>
      <c r="AM36" s="31"/>
      <c r="AN36" s="18"/>
      <c r="AO36" s="201"/>
      <c r="AP36" s="161"/>
      <c r="AQ36" s="155"/>
    </row>
    <row r="37" spans="2:43" ht="15.6">
      <c r="B37" s="1"/>
      <c r="C37" s="28"/>
      <c r="D37" s="31" t="s">
        <v>51</v>
      </c>
      <c r="E37" s="18">
        <v>1</v>
      </c>
      <c r="F37" s="18"/>
      <c r="G37" s="18"/>
      <c r="H37" s="25"/>
      <c r="I37" s="29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>
        <f t="shared" ref="AI37" si="12">SUM(E37:AH37)</f>
        <v>1</v>
      </c>
      <c r="AK37" s="155"/>
      <c r="AL37" s="159"/>
      <c r="AM37" s="31" t="s">
        <v>51</v>
      </c>
      <c r="AN37" s="18">
        <f t="shared" si="5"/>
        <v>1</v>
      </c>
      <c r="AO37" s="201">
        <v>555.6</v>
      </c>
      <c r="AP37" s="161">
        <f>AN37*AO37</f>
        <v>555.6</v>
      </c>
      <c r="AQ37" s="155"/>
    </row>
    <row r="38" spans="2:43" ht="15.6">
      <c r="B38" s="1"/>
      <c r="C38" s="28"/>
      <c r="D38" s="32"/>
      <c r="E38" s="18"/>
      <c r="F38" s="18"/>
      <c r="G38" s="18"/>
      <c r="H38" s="18"/>
      <c r="I38" s="29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K38" s="155"/>
      <c r="AL38" s="159"/>
      <c r="AM38" s="32"/>
      <c r="AN38" s="18"/>
      <c r="AO38" s="201"/>
      <c r="AP38" s="161"/>
      <c r="AQ38" s="155"/>
    </row>
    <row r="39" spans="2:43" ht="15.6">
      <c r="B39" s="1"/>
      <c r="C39" s="28"/>
      <c r="D39" s="32" t="s">
        <v>56</v>
      </c>
      <c r="E39" s="18">
        <v>1</v>
      </c>
      <c r="F39" s="18"/>
      <c r="G39" s="18"/>
      <c r="H39" s="25"/>
      <c r="I39" s="29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>
        <f t="shared" ref="AI39:AI40" si="13">SUM(E39:AH39)</f>
        <v>1</v>
      </c>
      <c r="AK39" s="155"/>
      <c r="AL39" s="159"/>
      <c r="AM39" s="32" t="s">
        <v>56</v>
      </c>
      <c r="AN39" s="18">
        <f t="shared" si="5"/>
        <v>1</v>
      </c>
      <c r="AO39" s="201">
        <v>555.6</v>
      </c>
      <c r="AP39" s="161">
        <f>AN39*AO39</f>
        <v>555.6</v>
      </c>
      <c r="AQ39" s="155"/>
    </row>
    <row r="40" spans="2:43" ht="15.6">
      <c r="B40" s="1"/>
      <c r="C40" s="28"/>
      <c r="D40" s="31" t="s">
        <v>58</v>
      </c>
      <c r="E40" s="18">
        <v>1</v>
      </c>
      <c r="F40" s="18"/>
      <c r="G40" s="18"/>
      <c r="H40" s="25"/>
      <c r="I40" s="29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>
        <f t="shared" si="13"/>
        <v>1</v>
      </c>
      <c r="AK40" s="155"/>
      <c r="AL40" s="159"/>
      <c r="AM40" s="31" t="s">
        <v>58</v>
      </c>
      <c r="AN40" s="18">
        <f t="shared" si="5"/>
        <v>1</v>
      </c>
      <c r="AO40" s="201">
        <v>555.6</v>
      </c>
      <c r="AP40" s="161">
        <f>AN40*AO40</f>
        <v>555.6</v>
      </c>
      <c r="AQ40" s="155"/>
    </row>
    <row r="41" spans="2:43" ht="15.6">
      <c r="B41" s="1"/>
      <c r="C41" s="28"/>
      <c r="D41" s="31" t="s">
        <v>122</v>
      </c>
      <c r="E41" s="18">
        <v>1</v>
      </c>
      <c r="F41" s="18"/>
      <c r="G41" s="18"/>
      <c r="H41" s="25"/>
      <c r="I41" s="29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>
        <f>SUM(E41:AH41)</f>
        <v>1</v>
      </c>
      <c r="AK41" s="155"/>
      <c r="AL41" s="159"/>
      <c r="AM41" s="31" t="s">
        <v>122</v>
      </c>
      <c r="AN41" s="18">
        <f t="shared" si="5"/>
        <v>1</v>
      </c>
      <c r="AO41" s="201">
        <v>555.6</v>
      </c>
      <c r="AP41" s="161">
        <f>AN41*AO41</f>
        <v>555.6</v>
      </c>
      <c r="AQ41" s="155"/>
    </row>
    <row r="42" spans="2:43" ht="15.6">
      <c r="B42" s="1"/>
      <c r="C42" s="28"/>
      <c r="D42" s="32"/>
      <c r="E42" s="18"/>
      <c r="F42" s="18"/>
      <c r="G42" s="18"/>
      <c r="H42" s="18"/>
      <c r="I42" s="29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K42" s="155"/>
      <c r="AL42" s="159"/>
      <c r="AM42" s="32"/>
      <c r="AN42" s="18"/>
      <c r="AO42" s="201"/>
      <c r="AP42" s="161"/>
      <c r="AQ42" s="155"/>
    </row>
    <row r="43" spans="2:43" ht="15.6">
      <c r="B43" s="1"/>
      <c r="C43" s="27" t="s">
        <v>59</v>
      </c>
      <c r="D43" s="31" t="s">
        <v>60</v>
      </c>
      <c r="E43" s="18">
        <v>1</v>
      </c>
      <c r="F43" s="18"/>
      <c r="G43" s="18"/>
      <c r="H43" s="25"/>
      <c r="I43" s="29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>
        <f>SUM(E43:AH43)</f>
        <v>1</v>
      </c>
      <c r="AK43" s="155"/>
      <c r="AL43" s="157" t="s">
        <v>59</v>
      </c>
      <c r="AM43" s="31" t="s">
        <v>60</v>
      </c>
      <c r="AN43" s="18">
        <f t="shared" si="5"/>
        <v>1</v>
      </c>
      <c r="AO43" s="201">
        <v>555.6</v>
      </c>
      <c r="AP43" s="161">
        <f>AN43*AO43</f>
        <v>555.6</v>
      </c>
      <c r="AQ43" s="155"/>
    </row>
    <row r="44" spans="2:43" ht="15.6">
      <c r="B44" s="1"/>
      <c r="C44" s="28"/>
      <c r="D44" s="31"/>
      <c r="E44" s="18"/>
      <c r="F44" s="18"/>
      <c r="G44" s="18"/>
      <c r="H44" s="25"/>
      <c r="I44" s="29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K44" s="155"/>
      <c r="AL44" s="159"/>
      <c r="AM44" s="31"/>
      <c r="AN44" s="18"/>
      <c r="AO44" s="201"/>
      <c r="AP44" s="161"/>
      <c r="AQ44" s="155"/>
    </row>
    <row r="45" spans="2:43" ht="15.6">
      <c r="B45" s="1"/>
      <c r="C45" s="27" t="s">
        <v>569</v>
      </c>
      <c r="D45" s="31" t="s">
        <v>570</v>
      </c>
      <c r="E45" s="18"/>
      <c r="F45" s="18"/>
      <c r="G45" s="18"/>
      <c r="H45" s="25"/>
      <c r="I45" s="29"/>
      <c r="J45" s="18"/>
      <c r="K45" s="18"/>
      <c r="L45" s="18"/>
      <c r="M45" s="18"/>
      <c r="N45" s="18"/>
      <c r="O45" s="18"/>
      <c r="P45" s="18"/>
      <c r="Q45" s="18"/>
      <c r="R45" s="18"/>
      <c r="S45" s="18">
        <v>2</v>
      </c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>
        <v>-2</v>
      </c>
      <c r="AH45" s="18"/>
      <c r="AI45" s="18">
        <f>SUM(E45:AH45)</f>
        <v>0</v>
      </c>
      <c r="AK45" s="155"/>
      <c r="AL45" s="27" t="s">
        <v>569</v>
      </c>
      <c r="AM45" s="31" t="s">
        <v>570</v>
      </c>
      <c r="AN45" s="18">
        <f t="shared" si="5"/>
        <v>0</v>
      </c>
      <c r="AO45" s="201"/>
      <c r="AP45" s="161">
        <f>AN45*AO45</f>
        <v>0</v>
      </c>
      <c r="AQ45" s="155"/>
    </row>
    <row r="46" spans="2:43" ht="15.6">
      <c r="B46" s="1"/>
      <c r="C46" s="28"/>
      <c r="D46" s="32" t="s">
        <v>672</v>
      </c>
      <c r="E46" s="18"/>
      <c r="F46" s="18"/>
      <c r="G46" s="18"/>
      <c r="H46" s="18"/>
      <c r="I46" s="29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>
        <v>35</v>
      </c>
      <c r="AG46" s="18">
        <v>-35</v>
      </c>
      <c r="AH46" s="18"/>
      <c r="AI46" s="18">
        <f>SUM(E46:AH46)</f>
        <v>0</v>
      </c>
      <c r="AK46" s="155"/>
      <c r="AL46" s="159"/>
      <c r="AM46" s="31" t="str">
        <f>D46</f>
        <v>V3 New</v>
      </c>
      <c r="AN46" s="18">
        <f t="shared" ref="AN46" si="14">AI46</f>
        <v>0</v>
      </c>
      <c r="AO46" s="201"/>
      <c r="AP46" s="161"/>
      <c r="AQ46" s="155"/>
    </row>
    <row r="47" spans="2:43" ht="15.6">
      <c r="B47" s="1"/>
      <c r="C47" s="82"/>
      <c r="D47" s="81"/>
      <c r="E47" s="81">
        <f>SUM(E5:E46)</f>
        <v>64</v>
      </c>
      <c r="F47" s="81"/>
      <c r="G47" s="81"/>
      <c r="H47" s="81"/>
      <c r="I47" s="81"/>
      <c r="J47" s="81">
        <f>SUM(J5:J46)</f>
        <v>2</v>
      </c>
      <c r="K47" s="81"/>
      <c r="L47" s="81"/>
      <c r="M47" s="81"/>
      <c r="N47" s="81"/>
      <c r="O47" s="81">
        <f>SUM(O5:O46)</f>
        <v>-36</v>
      </c>
      <c r="P47" s="81"/>
      <c r="Q47" s="81"/>
      <c r="R47" s="81">
        <f>SUM(R5:R46)</f>
        <v>52</v>
      </c>
      <c r="S47" s="81">
        <f>SUM(S5:S46)</f>
        <v>2</v>
      </c>
      <c r="T47" s="81"/>
      <c r="U47" s="81">
        <f>SUM(U5:U46)</f>
        <v>7</v>
      </c>
      <c r="V47" s="81">
        <f>SUM(V5:V46)</f>
        <v>-23</v>
      </c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>
        <f>SUM(AH5:AH46)</f>
        <v>1</v>
      </c>
      <c r="AI47" s="81">
        <f>SUM(AI5:AI46)</f>
        <v>42</v>
      </c>
      <c r="AK47" s="155"/>
      <c r="AL47" s="162"/>
      <c r="AM47" s="162"/>
      <c r="AN47" s="81">
        <f>SUM(AN5:AN46)</f>
        <v>42</v>
      </c>
      <c r="AO47" s="160"/>
      <c r="AP47" s="163">
        <f>SUM(AP5:AP46)</f>
        <v>41165.461578947368</v>
      </c>
      <c r="AQ47" s="155"/>
    </row>
    <row r="48" spans="2:43" ht="15.6">
      <c r="AK48" s="155"/>
      <c r="AL48" s="155"/>
      <c r="AM48" s="155"/>
      <c r="AN48" s="155"/>
      <c r="AO48" s="155"/>
      <c r="AP48" s="155"/>
      <c r="AQ48" s="155"/>
    </row>
    <row r="50" spans="3:43" s="231" customFormat="1"/>
    <row r="53" spans="3:43">
      <c r="F53" t="s">
        <v>714</v>
      </c>
      <c r="G53" t="s">
        <v>573</v>
      </c>
      <c r="H53" t="s">
        <v>573</v>
      </c>
      <c r="I53" t="s">
        <v>813</v>
      </c>
      <c r="J53" t="s">
        <v>857</v>
      </c>
      <c r="N53" t="s">
        <v>857</v>
      </c>
      <c r="Q53" t="s">
        <v>1089</v>
      </c>
    </row>
    <row r="54" spans="3:43" ht="18">
      <c r="C54" s="83" t="s">
        <v>22</v>
      </c>
      <c r="D54" s="83" t="s">
        <v>23</v>
      </c>
      <c r="E54" s="84">
        <v>45444</v>
      </c>
      <c r="F54" s="84">
        <v>45445</v>
      </c>
      <c r="G54" s="84">
        <v>45446</v>
      </c>
      <c r="H54" s="84">
        <v>45447</v>
      </c>
      <c r="I54" s="84">
        <v>45448</v>
      </c>
      <c r="J54" s="84">
        <v>45449</v>
      </c>
      <c r="K54" s="84">
        <v>45450</v>
      </c>
      <c r="L54" s="84">
        <v>45451</v>
      </c>
      <c r="M54" s="84">
        <v>45452</v>
      </c>
      <c r="N54" s="84">
        <v>45453</v>
      </c>
      <c r="O54" s="84">
        <v>45454</v>
      </c>
      <c r="P54" s="84">
        <v>45455</v>
      </c>
      <c r="Q54" s="84">
        <v>45456</v>
      </c>
      <c r="R54" s="84">
        <v>45457</v>
      </c>
      <c r="S54" s="84">
        <v>45458</v>
      </c>
      <c r="T54" s="84">
        <v>45459</v>
      </c>
      <c r="U54" s="84">
        <v>45460</v>
      </c>
      <c r="V54" s="84">
        <v>45461</v>
      </c>
      <c r="W54" s="84">
        <v>45462</v>
      </c>
      <c r="X54" s="84">
        <v>45463</v>
      </c>
      <c r="Y54" s="84">
        <v>45464</v>
      </c>
      <c r="Z54" s="84">
        <v>45465</v>
      </c>
      <c r="AA54" s="84">
        <v>45466</v>
      </c>
      <c r="AB54" s="84">
        <v>45467</v>
      </c>
      <c r="AC54" s="84">
        <v>45468</v>
      </c>
      <c r="AD54" s="84">
        <v>45469</v>
      </c>
      <c r="AE54" s="84">
        <v>45470</v>
      </c>
      <c r="AF54" s="84">
        <v>45471</v>
      </c>
      <c r="AG54" s="84">
        <v>45472</v>
      </c>
      <c r="AH54" s="84">
        <v>45473</v>
      </c>
      <c r="AI54" s="85" t="s">
        <v>25</v>
      </c>
      <c r="AK54" s="155"/>
      <c r="AL54" s="164" t="s">
        <v>22</v>
      </c>
      <c r="AM54" s="164" t="s">
        <v>23</v>
      </c>
      <c r="AN54" s="85" t="s">
        <v>25</v>
      </c>
      <c r="AO54" s="85" t="s">
        <v>468</v>
      </c>
      <c r="AP54" s="85" t="s">
        <v>11</v>
      </c>
      <c r="AQ54" s="155"/>
    </row>
    <row r="55" spans="3:43" ht="15.6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K55" s="155"/>
      <c r="AL55" s="156"/>
      <c r="AM55" s="156"/>
      <c r="AN55" s="155"/>
      <c r="AO55" s="155"/>
      <c r="AP55" s="155"/>
      <c r="AQ55" s="155"/>
    </row>
    <row r="56" spans="3:43" ht="15.6">
      <c r="C56" s="26" t="s">
        <v>26</v>
      </c>
      <c r="D56" s="31"/>
      <c r="E56" s="18"/>
      <c r="F56" s="18"/>
      <c r="G56" s="18"/>
      <c r="H56" s="25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155"/>
      <c r="AL56" s="157" t="s">
        <v>26</v>
      </c>
      <c r="AM56" s="158"/>
      <c r="AN56" s="159"/>
      <c r="AO56" s="160"/>
      <c r="AP56" s="160"/>
      <c r="AQ56" s="155"/>
    </row>
    <row r="57" spans="3:43" ht="15.6">
      <c r="C57" s="18"/>
      <c r="D57" s="31" t="s">
        <v>29</v>
      </c>
      <c r="E57" s="18">
        <v>3</v>
      </c>
      <c r="F57" s="18"/>
      <c r="G57" s="18">
        <v>3</v>
      </c>
      <c r="H57" s="25"/>
      <c r="I57" s="18">
        <v>-1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>
        <v>-1</v>
      </c>
      <c r="AG57" s="18"/>
      <c r="AH57" s="18"/>
      <c r="AI57" s="18">
        <f t="shared" ref="AI57:AI63" si="15">SUM(E57:AH57)</f>
        <v>4</v>
      </c>
      <c r="AK57" s="155"/>
      <c r="AL57" s="159"/>
      <c r="AM57" s="31" t="s">
        <v>29</v>
      </c>
      <c r="AN57" s="159">
        <f>AI57</f>
        <v>4</v>
      </c>
      <c r="AO57" s="201">
        <f>180000/77</f>
        <v>2337.6623376623374</v>
      </c>
      <c r="AP57" s="161">
        <f t="shared" ref="AP57:AP60" si="16">AN57*AO57</f>
        <v>9350.6493506493498</v>
      </c>
      <c r="AQ57" s="155" t="s">
        <v>721</v>
      </c>
    </row>
    <row r="58" spans="3:43" ht="15.6">
      <c r="C58" s="18"/>
      <c r="D58" s="31" t="s">
        <v>598</v>
      </c>
      <c r="E58" s="18">
        <v>1</v>
      </c>
      <c r="F58" s="18"/>
      <c r="G58" s="18"/>
      <c r="H58" s="25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>
        <v>-1</v>
      </c>
      <c r="AH58" s="18"/>
      <c r="AI58" s="18">
        <f t="shared" si="15"/>
        <v>0</v>
      </c>
      <c r="AK58" s="155"/>
      <c r="AL58" s="159"/>
      <c r="AM58" s="158" t="str">
        <f>D58</f>
        <v>IP 15Pro 128Gb</v>
      </c>
      <c r="AN58" s="159">
        <f t="shared" ref="AN58:AN63" si="17">AI58</f>
        <v>0</v>
      </c>
      <c r="AO58" s="201">
        <v>900</v>
      </c>
      <c r="AP58" s="161">
        <f t="shared" si="16"/>
        <v>0</v>
      </c>
      <c r="AQ58" s="155"/>
    </row>
    <row r="59" spans="3:43" ht="15.6">
      <c r="C59" s="18"/>
      <c r="D59" s="31" t="s">
        <v>599</v>
      </c>
      <c r="E59" s="18">
        <v>1</v>
      </c>
      <c r="F59" s="18">
        <v>-1</v>
      </c>
      <c r="G59" s="18"/>
      <c r="H59" s="25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>
        <f t="shared" si="15"/>
        <v>0</v>
      </c>
      <c r="AK59" s="155"/>
      <c r="AL59" s="159"/>
      <c r="AM59" s="158" t="str">
        <f>D59</f>
        <v>IP 15plus 128GB</v>
      </c>
      <c r="AN59" s="159">
        <f t="shared" si="17"/>
        <v>0</v>
      </c>
      <c r="AO59" s="201">
        <v>0</v>
      </c>
      <c r="AP59" s="161">
        <f t="shared" si="16"/>
        <v>0</v>
      </c>
      <c r="AQ59" s="155"/>
    </row>
    <row r="60" spans="3:43" ht="15.6">
      <c r="C60" s="18"/>
      <c r="D60" s="31" t="s">
        <v>597</v>
      </c>
      <c r="E60" s="18">
        <v>2</v>
      </c>
      <c r="F60" s="18">
        <v>-1</v>
      </c>
      <c r="G60" s="18"/>
      <c r="H60" s="25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>
        <v>-1</v>
      </c>
      <c r="AH60" s="18"/>
      <c r="AI60" s="18">
        <f t="shared" si="15"/>
        <v>0</v>
      </c>
      <c r="AK60" s="155"/>
      <c r="AL60" s="159"/>
      <c r="AM60" s="158" t="str">
        <f>D60</f>
        <v>IP 15  128GB</v>
      </c>
      <c r="AN60" s="159">
        <f t="shared" si="17"/>
        <v>0</v>
      </c>
      <c r="AO60" s="201">
        <v>500</v>
      </c>
      <c r="AP60" s="161">
        <f t="shared" si="16"/>
        <v>0</v>
      </c>
      <c r="AQ60" s="155"/>
    </row>
    <row r="61" spans="3:43" ht="15.6">
      <c r="C61" s="18"/>
      <c r="D61" s="31" t="s">
        <v>32</v>
      </c>
      <c r="E61" s="18">
        <v>1</v>
      </c>
      <c r="F61" s="18"/>
      <c r="G61" s="18"/>
      <c r="H61" s="25"/>
      <c r="I61" s="18"/>
      <c r="J61" s="18"/>
      <c r="K61" s="18"/>
      <c r="L61" s="18"/>
      <c r="M61" s="18"/>
      <c r="N61" s="18"/>
      <c r="O61" s="18"/>
      <c r="P61" s="18"/>
      <c r="Q61" s="18"/>
      <c r="R61" s="18">
        <v>-1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>
        <f t="shared" si="15"/>
        <v>0</v>
      </c>
      <c r="AK61" s="155"/>
      <c r="AL61" s="159"/>
      <c r="AM61" s="31" t="s">
        <v>32</v>
      </c>
      <c r="AN61" s="18">
        <f t="shared" si="17"/>
        <v>0</v>
      </c>
      <c r="AO61" s="201">
        <v>1600</v>
      </c>
      <c r="AP61" s="161">
        <f>AN61*AO61</f>
        <v>0</v>
      </c>
      <c r="AQ61" s="155"/>
    </row>
    <row r="62" spans="3:43" ht="15.6">
      <c r="C62" s="18"/>
      <c r="D62" s="31" t="s">
        <v>33</v>
      </c>
      <c r="E62" s="18">
        <v>1</v>
      </c>
      <c r="F62" s="18"/>
      <c r="G62" s="18"/>
      <c r="H62" s="25"/>
      <c r="I62" s="18"/>
      <c r="J62" s="18"/>
      <c r="K62" s="18"/>
      <c r="L62" s="18"/>
      <c r="M62" s="18"/>
      <c r="N62" s="18"/>
      <c r="O62" s="18"/>
      <c r="P62" s="18"/>
      <c r="Q62" s="18"/>
      <c r="R62" s="18">
        <v>-1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>
        <f t="shared" si="15"/>
        <v>0</v>
      </c>
      <c r="AK62" s="155"/>
      <c r="AL62" s="159"/>
      <c r="AM62" s="31" t="s">
        <v>33</v>
      </c>
      <c r="AN62" s="18">
        <f t="shared" si="17"/>
        <v>0</v>
      </c>
      <c r="AO62" s="201">
        <v>1600</v>
      </c>
      <c r="AP62" s="161">
        <f>AN62*AO62</f>
        <v>0</v>
      </c>
      <c r="AQ62" s="155"/>
    </row>
    <row r="63" spans="3:43" ht="15.6">
      <c r="C63" s="18"/>
      <c r="D63" s="31" t="s">
        <v>809</v>
      </c>
      <c r="E63" s="18"/>
      <c r="F63" s="18"/>
      <c r="G63" s="18"/>
      <c r="H63" s="25"/>
      <c r="I63" s="18">
        <v>5</v>
      </c>
      <c r="J63" s="18">
        <v>-5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>
        <f t="shared" si="15"/>
        <v>0</v>
      </c>
      <c r="AK63" s="155"/>
      <c r="AL63" s="159"/>
      <c r="AM63" s="31" t="s">
        <v>809</v>
      </c>
      <c r="AN63" s="18">
        <f t="shared" si="17"/>
        <v>0</v>
      </c>
      <c r="AO63" s="201"/>
      <c r="AP63" s="161"/>
      <c r="AQ63" s="155"/>
    </row>
    <row r="64" spans="3:43" ht="15.6">
      <c r="C64" s="18"/>
      <c r="D64" s="32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K64" s="155"/>
      <c r="AL64" s="159"/>
      <c r="AM64" s="32"/>
      <c r="AN64" s="18"/>
      <c r="AO64" s="201"/>
      <c r="AP64" s="161"/>
      <c r="AQ64" s="155"/>
    </row>
    <row r="65" spans="3:43" ht="15.6">
      <c r="C65" s="18"/>
      <c r="D65" s="31" t="s">
        <v>228</v>
      </c>
      <c r="E65" s="18">
        <v>1</v>
      </c>
      <c r="F65" s="18"/>
      <c r="G65" s="18"/>
      <c r="H65" s="25">
        <v>1</v>
      </c>
      <c r="I65" s="18"/>
      <c r="J65" s="18"/>
      <c r="K65" s="18"/>
      <c r="L65" s="18"/>
      <c r="M65" s="18"/>
      <c r="N65" s="18"/>
      <c r="O65" s="18"/>
      <c r="P65" s="18"/>
      <c r="Q65" s="18">
        <v>1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>
        <v>-1</v>
      </c>
      <c r="AE65" s="18"/>
      <c r="AF65" s="18"/>
      <c r="AG65" s="18"/>
      <c r="AH65" s="18"/>
      <c r="AI65" s="18">
        <f t="shared" ref="AI65:AI70" si="18">SUM(E65:AH65)</f>
        <v>2</v>
      </c>
      <c r="AK65" s="155"/>
      <c r="AL65" s="159"/>
      <c r="AM65" s="31" t="s">
        <v>228</v>
      </c>
      <c r="AN65" s="18">
        <f t="shared" ref="AN65:AN70" si="19">AI65</f>
        <v>2</v>
      </c>
      <c r="AO65" s="202">
        <v>1639.365</v>
      </c>
      <c r="AP65" s="161">
        <f t="shared" ref="AP65:AP70" si="20">AN65*AO65</f>
        <v>3278.73</v>
      </c>
      <c r="AQ65" s="155"/>
    </row>
    <row r="66" spans="3:43" ht="15.6">
      <c r="C66" s="18"/>
      <c r="D66" s="31" t="s">
        <v>36</v>
      </c>
      <c r="E66" s="18">
        <v>1</v>
      </c>
      <c r="F66" s="18"/>
      <c r="G66" s="18"/>
      <c r="H66" s="25"/>
      <c r="I66" s="18"/>
      <c r="J66" s="18"/>
      <c r="K66" s="18"/>
      <c r="L66" s="18"/>
      <c r="M66" s="18"/>
      <c r="N66" s="18"/>
      <c r="O66" s="18"/>
      <c r="P66" s="18"/>
      <c r="Q66" s="18">
        <v>6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>
        <v>-1</v>
      </c>
      <c r="AE66" s="18"/>
      <c r="AF66" s="18"/>
      <c r="AG66" s="18">
        <v>5</v>
      </c>
      <c r="AH66" s="18"/>
      <c r="AI66" s="18">
        <f t="shared" si="18"/>
        <v>11</v>
      </c>
      <c r="AK66" s="155"/>
      <c r="AL66" s="159"/>
      <c r="AM66" s="31" t="s">
        <v>36</v>
      </c>
      <c r="AN66" s="18">
        <f t="shared" si="19"/>
        <v>11</v>
      </c>
      <c r="AO66" s="202">
        <v>1411.347</v>
      </c>
      <c r="AP66" s="161">
        <f t="shared" si="20"/>
        <v>15524.816999999999</v>
      </c>
      <c r="AQ66" s="155"/>
    </row>
    <row r="67" spans="3:43" ht="15.6">
      <c r="C67" s="18"/>
      <c r="D67" s="31" t="s">
        <v>37</v>
      </c>
      <c r="E67" s="18">
        <v>3</v>
      </c>
      <c r="F67" s="18">
        <v>-3</v>
      </c>
      <c r="G67" s="18"/>
      <c r="H67" s="25">
        <v>8</v>
      </c>
      <c r="I67" s="18"/>
      <c r="J67" s="18"/>
      <c r="K67" s="18"/>
      <c r="L67" s="18"/>
      <c r="M67" s="18"/>
      <c r="N67" s="18">
        <v>-9</v>
      </c>
      <c r="O67" s="18"/>
      <c r="P67" s="18"/>
      <c r="Q67" s="18">
        <v>10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>
        <v>-3</v>
      </c>
      <c r="AE67" s="18"/>
      <c r="AF67" s="18"/>
      <c r="AG67" s="18">
        <v>7</v>
      </c>
      <c r="AH67" s="18"/>
      <c r="AI67" s="18">
        <f t="shared" si="18"/>
        <v>13</v>
      </c>
      <c r="AK67" s="155"/>
      <c r="AL67" s="159"/>
      <c r="AM67" s="31" t="s">
        <v>37</v>
      </c>
      <c r="AN67" s="18">
        <f t="shared" si="19"/>
        <v>13</v>
      </c>
      <c r="AO67" s="202">
        <v>1766.37</v>
      </c>
      <c r="AP67" s="161">
        <f t="shared" si="20"/>
        <v>22962.809999999998</v>
      </c>
      <c r="AQ67" s="155"/>
    </row>
    <row r="68" spans="3:43" ht="15.6">
      <c r="C68" s="18"/>
      <c r="D68" s="31" t="s">
        <v>39</v>
      </c>
      <c r="E68" s="18">
        <v>1</v>
      </c>
      <c r="F68" s="18"/>
      <c r="G68" s="18"/>
      <c r="H68" s="25"/>
      <c r="I68" s="18"/>
      <c r="J68" s="18"/>
      <c r="K68" s="18"/>
      <c r="L68" s="18"/>
      <c r="M68" s="18"/>
      <c r="N68" s="18"/>
      <c r="O68" s="18"/>
      <c r="P68" s="18"/>
      <c r="Q68" s="18">
        <v>1</v>
      </c>
      <c r="R68" s="18">
        <v>-1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>
        <v>0</v>
      </c>
      <c r="AH68" s="18"/>
      <c r="AI68" s="18">
        <f t="shared" si="18"/>
        <v>1</v>
      </c>
      <c r="AK68" s="155"/>
      <c r="AL68" s="159"/>
      <c r="AM68" s="31" t="s">
        <v>39</v>
      </c>
      <c r="AN68" s="18">
        <f t="shared" si="19"/>
        <v>1</v>
      </c>
      <c r="AO68" s="202">
        <v>1647.12</v>
      </c>
      <c r="AP68" s="161">
        <f t="shared" si="20"/>
        <v>1647.12</v>
      </c>
      <c r="AQ68" s="155"/>
    </row>
    <row r="69" spans="3:43" ht="15.6">
      <c r="C69" s="18"/>
      <c r="D69" s="31" t="s">
        <v>41</v>
      </c>
      <c r="E69" s="18">
        <v>2</v>
      </c>
      <c r="F69" s="18"/>
      <c r="G69" s="18"/>
      <c r="H69" s="25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>
        <f t="shared" si="18"/>
        <v>2</v>
      </c>
      <c r="AK69" s="155"/>
      <c r="AL69" s="159"/>
      <c r="AM69" s="31" t="s">
        <v>41</v>
      </c>
      <c r="AN69" s="18">
        <f t="shared" si="19"/>
        <v>2</v>
      </c>
      <c r="AO69" s="201">
        <v>800</v>
      </c>
      <c r="AP69" s="161">
        <f t="shared" si="20"/>
        <v>1600</v>
      </c>
      <c r="AQ69" s="155"/>
    </row>
    <row r="70" spans="3:43" ht="15.6">
      <c r="C70" s="18"/>
      <c r="D70" s="31" t="s">
        <v>40</v>
      </c>
      <c r="E70" s="18">
        <v>1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>
        <v>5</v>
      </c>
      <c r="R70" s="18">
        <v>-2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>
        <v>7</v>
      </c>
      <c r="AH70" s="18"/>
      <c r="AI70" s="18">
        <f t="shared" si="18"/>
        <v>11</v>
      </c>
      <c r="AK70" s="155"/>
      <c r="AL70" s="159"/>
      <c r="AM70" s="31" t="s">
        <v>40</v>
      </c>
      <c r="AN70" s="18">
        <f t="shared" si="19"/>
        <v>11</v>
      </c>
      <c r="AO70" s="201">
        <v>925</v>
      </c>
      <c r="AP70" s="161">
        <f t="shared" si="20"/>
        <v>10175</v>
      </c>
      <c r="AQ70" s="155"/>
    </row>
    <row r="71" spans="3:43" ht="15.6">
      <c r="C71" s="18"/>
      <c r="D71" s="3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K71" s="155"/>
      <c r="AL71" s="159"/>
      <c r="AM71" s="31"/>
      <c r="AN71" s="18"/>
      <c r="AO71" s="201"/>
      <c r="AP71" s="161"/>
      <c r="AQ71" s="155"/>
    </row>
    <row r="72" spans="3:43" ht="15.6">
      <c r="C72" s="18"/>
      <c r="D72" s="31" t="s">
        <v>229</v>
      </c>
      <c r="E72" s="18">
        <v>2</v>
      </c>
      <c r="F72" s="18"/>
      <c r="G72" s="18"/>
      <c r="H72" s="25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>
        <f t="shared" ref="AI72:AI78" si="21">SUM(E72:AH72)</f>
        <v>2</v>
      </c>
      <c r="AK72" s="155"/>
      <c r="AL72" s="159"/>
      <c r="AM72" s="31" t="s">
        <v>229</v>
      </c>
      <c r="AN72" s="18">
        <f t="shared" ref="AN72:AN78" si="22">AI72</f>
        <v>2</v>
      </c>
      <c r="AO72" s="202">
        <v>1169</v>
      </c>
      <c r="AP72" s="161">
        <f t="shared" ref="AP72:AP78" si="23">AN72*AO72</f>
        <v>2338</v>
      </c>
      <c r="AQ72" s="155"/>
    </row>
    <row r="73" spans="3:43" ht="15.6">
      <c r="C73" s="18"/>
      <c r="D73" s="31" t="s">
        <v>43</v>
      </c>
      <c r="E73" s="18">
        <v>1</v>
      </c>
      <c r="F73" s="18"/>
      <c r="G73" s="18"/>
      <c r="H73" s="25"/>
      <c r="I73" s="18"/>
      <c r="J73" s="18"/>
      <c r="K73" s="18"/>
      <c r="L73" s="18"/>
      <c r="M73" s="18"/>
      <c r="N73" s="18"/>
      <c r="O73" s="18"/>
      <c r="P73" s="18"/>
      <c r="Q73" s="18"/>
      <c r="R73" s="18">
        <v>-1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>
        <f t="shared" si="21"/>
        <v>0</v>
      </c>
      <c r="AK73" s="155"/>
      <c r="AL73" s="159"/>
      <c r="AM73" s="31" t="s">
        <v>43</v>
      </c>
      <c r="AN73" s="18">
        <f t="shared" si="22"/>
        <v>0</v>
      </c>
      <c r="AO73" s="201">
        <v>720</v>
      </c>
      <c r="AP73" s="161">
        <f t="shared" si="23"/>
        <v>0</v>
      </c>
      <c r="AQ73" s="155"/>
    </row>
    <row r="74" spans="3:43" ht="15.6">
      <c r="C74" s="18"/>
      <c r="D74" s="32" t="s">
        <v>560</v>
      </c>
      <c r="E74" s="18">
        <v>2</v>
      </c>
      <c r="F74" s="18"/>
      <c r="G74" s="18"/>
      <c r="H74" s="25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>
        <f t="shared" si="21"/>
        <v>2</v>
      </c>
      <c r="AK74" s="155"/>
      <c r="AL74" s="159"/>
      <c r="AM74" s="32" t="s">
        <v>560</v>
      </c>
      <c r="AN74" s="18">
        <f t="shared" si="22"/>
        <v>2</v>
      </c>
      <c r="AO74" s="201">
        <v>1013</v>
      </c>
      <c r="AP74" s="161">
        <f t="shared" si="23"/>
        <v>2026</v>
      </c>
      <c r="AQ74" s="155"/>
    </row>
    <row r="75" spans="3:43" ht="15.6">
      <c r="C75" s="18"/>
      <c r="D75" s="32" t="s">
        <v>230</v>
      </c>
      <c r="E75" s="18">
        <v>1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>
        <f t="shared" si="21"/>
        <v>1</v>
      </c>
      <c r="AK75" s="155"/>
      <c r="AL75" s="159"/>
      <c r="AM75" s="32" t="s">
        <v>230</v>
      </c>
      <c r="AN75" s="18">
        <f t="shared" si="22"/>
        <v>1</v>
      </c>
      <c r="AO75" s="201">
        <v>1013</v>
      </c>
      <c r="AP75" s="161">
        <f t="shared" si="23"/>
        <v>1013</v>
      </c>
      <c r="AQ75" s="155"/>
    </row>
    <row r="76" spans="3:43" ht="15.6">
      <c r="C76" s="18"/>
      <c r="D76" s="31" t="s">
        <v>44</v>
      </c>
      <c r="E76" s="18">
        <v>1</v>
      </c>
      <c r="F76" s="18"/>
      <c r="G76" s="18"/>
      <c r="H76" s="25"/>
      <c r="I76" s="18"/>
      <c r="J76" s="18"/>
      <c r="K76" s="18"/>
      <c r="L76" s="18"/>
      <c r="M76" s="18"/>
      <c r="N76" s="18"/>
      <c r="O76" s="18"/>
      <c r="P76" s="18"/>
      <c r="Q76" s="18"/>
      <c r="R76" s="18">
        <v>-1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>
        <f t="shared" si="21"/>
        <v>0</v>
      </c>
      <c r="AK76" s="155"/>
      <c r="AL76" s="159"/>
      <c r="AM76" s="31" t="s">
        <v>44</v>
      </c>
      <c r="AN76" s="18">
        <f t="shared" si="22"/>
        <v>0</v>
      </c>
      <c r="AO76" s="201">
        <v>400</v>
      </c>
      <c r="AP76" s="161">
        <f t="shared" si="23"/>
        <v>0</v>
      </c>
      <c r="AQ76" s="155"/>
    </row>
    <row r="77" spans="3:43" ht="15.6">
      <c r="C77" s="18"/>
      <c r="D77" s="31" t="s">
        <v>45</v>
      </c>
      <c r="E77" s="18">
        <v>1</v>
      </c>
      <c r="F77" s="18"/>
      <c r="G77" s="18"/>
      <c r="H77" s="25"/>
      <c r="I77" s="18"/>
      <c r="J77" s="18"/>
      <c r="K77" s="18"/>
      <c r="L77" s="18"/>
      <c r="M77" s="18"/>
      <c r="N77" s="18"/>
      <c r="O77" s="18"/>
      <c r="P77" s="18"/>
      <c r="Q77" s="18"/>
      <c r="R77" s="18">
        <v>-1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>
        <f t="shared" si="21"/>
        <v>0</v>
      </c>
      <c r="AK77" s="155"/>
      <c r="AL77" s="159"/>
      <c r="AM77" s="31" t="s">
        <v>45</v>
      </c>
      <c r="AN77" s="18">
        <f t="shared" si="22"/>
        <v>0</v>
      </c>
      <c r="AO77" s="201">
        <v>500</v>
      </c>
      <c r="AP77" s="161">
        <f t="shared" si="23"/>
        <v>0</v>
      </c>
      <c r="AQ77" s="155"/>
    </row>
    <row r="78" spans="3:43" ht="15.6">
      <c r="C78" s="18"/>
      <c r="D78" s="31" t="s">
        <v>46</v>
      </c>
      <c r="E78" s="18">
        <v>1</v>
      </c>
      <c r="F78" s="18"/>
      <c r="G78" s="18"/>
      <c r="H78" s="25"/>
      <c r="I78" s="18"/>
      <c r="J78" s="18"/>
      <c r="K78" s="18"/>
      <c r="L78" s="18"/>
      <c r="M78" s="18"/>
      <c r="N78" s="18"/>
      <c r="O78" s="18"/>
      <c r="P78" s="18"/>
      <c r="Q78" s="18"/>
      <c r="R78" s="18">
        <v>-1</v>
      </c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>
        <f t="shared" si="21"/>
        <v>0</v>
      </c>
      <c r="AK78" s="155"/>
      <c r="AL78" s="159"/>
      <c r="AM78" s="31" t="s">
        <v>46</v>
      </c>
      <c r="AN78" s="18">
        <f t="shared" si="22"/>
        <v>0</v>
      </c>
      <c r="AO78" s="201">
        <v>500</v>
      </c>
      <c r="AP78" s="161">
        <f t="shared" si="23"/>
        <v>0</v>
      </c>
      <c r="AQ78" s="155"/>
    </row>
    <row r="79" spans="3:43" ht="15.6">
      <c r="C79" s="18"/>
      <c r="D79" s="31"/>
      <c r="E79" s="18"/>
      <c r="F79" s="18"/>
      <c r="G79" s="18"/>
      <c r="H79" s="25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K79" s="155"/>
      <c r="AL79" s="159"/>
      <c r="AM79" s="31"/>
      <c r="AN79" s="18"/>
      <c r="AO79" s="201"/>
      <c r="AP79" s="161"/>
      <c r="AQ79" s="155"/>
    </row>
    <row r="80" spans="3:43" ht="15.6">
      <c r="C80" s="18"/>
      <c r="D80" s="31" t="s">
        <v>231</v>
      </c>
      <c r="E80" s="18">
        <v>1</v>
      </c>
      <c r="F80" s="18"/>
      <c r="G80" s="18"/>
      <c r="H80" s="25">
        <v>1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>
        <v>4</v>
      </c>
      <c r="AH80" s="18"/>
      <c r="AI80" s="18">
        <f t="shared" ref="AI80:AI84" si="24">SUM(E80:AH80)</f>
        <v>6</v>
      </c>
      <c r="AK80" s="155"/>
      <c r="AL80" s="159"/>
      <c r="AM80" s="31" t="s">
        <v>231</v>
      </c>
      <c r="AN80" s="18">
        <f t="shared" ref="AN80:AN85" si="25">AI80</f>
        <v>6</v>
      </c>
      <c r="AO80" s="201">
        <v>926.35599999999999</v>
      </c>
      <c r="AP80" s="161">
        <f t="shared" ref="AP80:AP85" si="26">AN80*AO80</f>
        <v>5558.1360000000004</v>
      </c>
      <c r="AQ80" s="155"/>
    </row>
    <row r="81" spans="3:43" ht="15.6">
      <c r="C81" s="18"/>
      <c r="D81" s="31" t="s">
        <v>232</v>
      </c>
      <c r="E81" s="18">
        <v>0</v>
      </c>
      <c r="F81" s="18"/>
      <c r="G81" s="18"/>
      <c r="H81" s="25">
        <v>24</v>
      </c>
      <c r="I81" s="18"/>
      <c r="J81" s="18"/>
      <c r="K81" s="18"/>
      <c r="L81" s="18"/>
      <c r="M81" s="18"/>
      <c r="N81" s="18"/>
      <c r="O81" s="18"/>
      <c r="P81" s="18"/>
      <c r="Q81" s="18">
        <v>21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>
        <v>5</v>
      </c>
      <c r="AH81" s="18"/>
      <c r="AI81" s="18">
        <f t="shared" si="24"/>
        <v>50</v>
      </c>
      <c r="AK81" s="155"/>
      <c r="AL81" s="159"/>
      <c r="AM81" s="31" t="s">
        <v>232</v>
      </c>
      <c r="AN81" s="18">
        <f t="shared" si="25"/>
        <v>50</v>
      </c>
      <c r="AO81" s="201">
        <v>941.30499999999995</v>
      </c>
      <c r="AP81" s="161">
        <f t="shared" si="26"/>
        <v>47065.25</v>
      </c>
      <c r="AQ81" s="155"/>
    </row>
    <row r="82" spans="3:43" ht="15.6">
      <c r="C82" s="18"/>
      <c r="D82" s="31" t="s">
        <v>233</v>
      </c>
      <c r="E82" s="18">
        <v>1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 t="shared" si="24"/>
        <v>1</v>
      </c>
      <c r="AK82" s="155"/>
      <c r="AL82" s="159"/>
      <c r="AM82" s="31" t="s">
        <v>233</v>
      </c>
      <c r="AN82" s="18">
        <f t="shared" si="25"/>
        <v>1</v>
      </c>
      <c r="AO82" s="202">
        <v>780.56</v>
      </c>
      <c r="AP82" s="161">
        <f t="shared" si="26"/>
        <v>780.56</v>
      </c>
      <c r="AQ82" s="155"/>
    </row>
    <row r="83" spans="3:43" ht="15.6">
      <c r="C83" s="18"/>
      <c r="D83" s="31" t="s">
        <v>803</v>
      </c>
      <c r="E83" s="18">
        <v>0</v>
      </c>
      <c r="F83" s="18"/>
      <c r="G83" s="18"/>
      <c r="H83" s="18">
        <v>1</v>
      </c>
      <c r="I83" s="18"/>
      <c r="J83" s="18"/>
      <c r="K83" s="18"/>
      <c r="L83" s="18"/>
      <c r="M83" s="18"/>
      <c r="N83" s="18"/>
      <c r="O83" s="18"/>
      <c r="P83" s="18"/>
      <c r="Q83" s="18"/>
      <c r="R83" s="18">
        <v>-1</v>
      </c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 t="shared" si="24"/>
        <v>0</v>
      </c>
      <c r="AK83" s="155"/>
      <c r="AL83" s="159"/>
      <c r="AM83" s="31" t="s">
        <v>803</v>
      </c>
      <c r="AN83" s="18">
        <f t="shared" si="25"/>
        <v>0</v>
      </c>
      <c r="AO83" s="202"/>
      <c r="AP83" s="161"/>
      <c r="AQ83" s="155"/>
    </row>
    <row r="84" spans="3:43" ht="15.6">
      <c r="C84" s="18"/>
      <c r="D84" s="31" t="s">
        <v>234</v>
      </c>
      <c r="E84" s="18">
        <v>4</v>
      </c>
      <c r="F84" s="18"/>
      <c r="G84" s="18"/>
      <c r="H84" s="18">
        <v>7</v>
      </c>
      <c r="I84" s="18"/>
      <c r="J84" s="18"/>
      <c r="K84" s="18"/>
      <c r="L84" s="18"/>
      <c r="M84" s="18"/>
      <c r="N84" s="18">
        <v>-7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>
        <f t="shared" si="24"/>
        <v>4</v>
      </c>
      <c r="AK84" s="155"/>
      <c r="AL84" s="159"/>
      <c r="AM84" s="31" t="s">
        <v>234</v>
      </c>
      <c r="AN84" s="18">
        <f t="shared" si="25"/>
        <v>4</v>
      </c>
      <c r="AO84" s="201">
        <v>789</v>
      </c>
      <c r="AP84" s="161">
        <f t="shared" si="26"/>
        <v>3156</v>
      </c>
      <c r="AQ84" s="155"/>
    </row>
    <row r="85" spans="3:43" ht="15.6">
      <c r="C85" s="18"/>
      <c r="D85" s="31" t="s">
        <v>235</v>
      </c>
      <c r="E85" s="18">
        <v>3</v>
      </c>
      <c r="F85" s="18"/>
      <c r="G85" s="18"/>
      <c r="H85" s="18">
        <v>2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>
        <f>SUM(E85:AH85)</f>
        <v>5</v>
      </c>
      <c r="AK85" s="155"/>
      <c r="AL85" s="159"/>
      <c r="AM85" s="31" t="s">
        <v>235</v>
      </c>
      <c r="AN85" s="18">
        <f t="shared" si="25"/>
        <v>5</v>
      </c>
      <c r="AO85" s="201">
        <v>524.04999999999995</v>
      </c>
      <c r="AP85" s="161">
        <f t="shared" si="26"/>
        <v>2620.25</v>
      </c>
      <c r="AQ85" s="155"/>
    </row>
    <row r="86" spans="3:43" ht="15.6">
      <c r="C86" s="18"/>
      <c r="D86" s="3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K86" s="155"/>
      <c r="AL86" s="159"/>
      <c r="AM86" s="31"/>
      <c r="AN86" s="18"/>
      <c r="AO86" s="201"/>
      <c r="AP86" s="161"/>
      <c r="AQ86" s="155"/>
    </row>
    <row r="87" spans="3:43" ht="15.6">
      <c r="C87" s="18"/>
      <c r="D87" s="58" t="s">
        <v>636</v>
      </c>
      <c r="E87" s="30">
        <v>3</v>
      </c>
      <c r="F87" s="30">
        <v>-2</v>
      </c>
      <c r="G87" s="30">
        <v>2</v>
      </c>
      <c r="H87" s="18"/>
      <c r="I87" s="18"/>
      <c r="J87" s="18"/>
      <c r="K87" s="18"/>
      <c r="L87" s="18">
        <v>2</v>
      </c>
      <c r="M87" s="18"/>
      <c r="N87" s="18">
        <v>3</v>
      </c>
      <c r="O87" s="18"/>
      <c r="P87" s="18"/>
      <c r="Q87" s="18"/>
      <c r="R87" s="18">
        <v>4</v>
      </c>
      <c r="S87" s="18"/>
      <c r="T87" s="18"/>
      <c r="U87" s="18"/>
      <c r="V87" s="18"/>
      <c r="W87" s="18"/>
      <c r="X87" s="18">
        <v>1</v>
      </c>
      <c r="Y87" s="18"/>
      <c r="Z87" s="18"/>
      <c r="AA87" s="18"/>
      <c r="AB87" s="18"/>
      <c r="AC87" s="18"/>
      <c r="AD87" s="18">
        <v>2</v>
      </c>
      <c r="AE87" s="18"/>
      <c r="AF87" s="18"/>
      <c r="AG87" s="18">
        <v>-5</v>
      </c>
      <c r="AH87" s="18"/>
      <c r="AI87" s="18">
        <f>SUM(E87:AH87)</f>
        <v>10</v>
      </c>
      <c r="AK87" s="155"/>
      <c r="AL87" s="159"/>
      <c r="AM87" s="58" t="str">
        <f>D87</f>
        <v>Watch Ultra 2</v>
      </c>
      <c r="AN87" s="18">
        <f t="shared" ref="AN87:AN88" si="27">AI87</f>
        <v>10</v>
      </c>
      <c r="AO87" s="202">
        <f>180000/77</f>
        <v>2337.6623376623374</v>
      </c>
      <c r="AP87" s="161">
        <f t="shared" ref="AP87:AP88" si="28">AN87*AO87</f>
        <v>23376.623376623374</v>
      </c>
      <c r="AQ87" s="155" t="s">
        <v>721</v>
      </c>
    </row>
    <row r="88" spans="3:43" ht="15.6">
      <c r="C88" s="18"/>
      <c r="D88" s="58" t="s">
        <v>463</v>
      </c>
      <c r="E88" s="30">
        <v>1</v>
      </c>
      <c r="F88" s="30"/>
      <c r="G88" s="30"/>
      <c r="H88" s="25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>
        <f>SUM(E88:AH88)</f>
        <v>1</v>
      </c>
      <c r="AK88" s="155"/>
      <c r="AL88" s="159"/>
      <c r="AM88" s="58" t="s">
        <v>463</v>
      </c>
      <c r="AN88" s="18">
        <f t="shared" si="27"/>
        <v>1</v>
      </c>
      <c r="AO88" s="201">
        <v>300</v>
      </c>
      <c r="AP88" s="161">
        <f t="shared" si="28"/>
        <v>300</v>
      </c>
      <c r="AQ88" s="155"/>
    </row>
    <row r="89" spans="3:43" ht="15.6">
      <c r="C89" s="27" t="s">
        <v>47</v>
      </c>
      <c r="D89" s="31"/>
      <c r="E89" s="18"/>
      <c r="F89" s="18"/>
      <c r="G89" s="18"/>
      <c r="H89" s="25"/>
      <c r="I89" s="29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>
        <f>SUM(E89:AH89)</f>
        <v>0</v>
      </c>
      <c r="AK89" s="155"/>
      <c r="AL89" s="157" t="s">
        <v>47</v>
      </c>
      <c r="AM89" s="31"/>
      <c r="AN89" s="18"/>
      <c r="AO89" s="201"/>
      <c r="AP89" s="161"/>
      <c r="AQ89" s="155"/>
    </row>
    <row r="90" spans="3:43" ht="15.6">
      <c r="C90" s="28"/>
      <c r="D90" s="31" t="s">
        <v>51</v>
      </c>
      <c r="E90" s="18">
        <v>1</v>
      </c>
      <c r="F90" s="18"/>
      <c r="G90" s="18"/>
      <c r="H90" s="25"/>
      <c r="I90" s="29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>
        <f t="shared" ref="AI90" si="29">SUM(E90:AH90)</f>
        <v>1</v>
      </c>
      <c r="AK90" s="155"/>
      <c r="AL90" s="159"/>
      <c r="AM90" s="31" t="s">
        <v>51</v>
      </c>
      <c r="AN90" s="18">
        <f t="shared" ref="AN90" si="30">AI90</f>
        <v>1</v>
      </c>
      <c r="AO90" s="201">
        <v>555.6</v>
      </c>
      <c r="AP90" s="161">
        <f>AN90*AO90</f>
        <v>555.6</v>
      </c>
      <c r="AQ90" s="155"/>
    </row>
    <row r="91" spans="3:43" ht="15.6">
      <c r="C91" s="28"/>
      <c r="D91" s="32"/>
      <c r="E91" s="18"/>
      <c r="F91" s="18"/>
      <c r="G91" s="18"/>
      <c r="H91" s="18"/>
      <c r="I91" s="29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K91" s="155"/>
      <c r="AL91" s="159"/>
      <c r="AM91" s="32"/>
      <c r="AN91" s="18"/>
      <c r="AO91" s="201"/>
      <c r="AP91" s="161"/>
      <c r="AQ91" s="155"/>
    </row>
    <row r="92" spans="3:43" ht="15.6">
      <c r="C92" s="28"/>
      <c r="D92" s="32" t="s">
        <v>56</v>
      </c>
      <c r="E92" s="18">
        <v>1</v>
      </c>
      <c r="F92" s="18"/>
      <c r="G92" s="18"/>
      <c r="H92" s="25"/>
      <c r="I92" s="29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>
        <f t="shared" ref="AI92:AI93" si="31">SUM(E92:AH92)</f>
        <v>1</v>
      </c>
      <c r="AK92" s="155"/>
      <c r="AL92" s="159"/>
      <c r="AM92" s="32" t="s">
        <v>56</v>
      </c>
      <c r="AN92" s="18">
        <f t="shared" ref="AN92:AN94" si="32">AI92</f>
        <v>1</v>
      </c>
      <c r="AO92" s="201">
        <v>555.6</v>
      </c>
      <c r="AP92" s="161">
        <f>AN92*AO92</f>
        <v>555.6</v>
      </c>
      <c r="AQ92" s="155"/>
    </row>
    <row r="93" spans="3:43" ht="15.6">
      <c r="C93" s="28"/>
      <c r="D93" s="31" t="s">
        <v>58</v>
      </c>
      <c r="E93" s="18">
        <v>1</v>
      </c>
      <c r="F93" s="18"/>
      <c r="G93" s="18"/>
      <c r="H93" s="25"/>
      <c r="I93" s="29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f t="shared" si="31"/>
        <v>1</v>
      </c>
      <c r="AK93" s="155"/>
      <c r="AL93" s="159"/>
      <c r="AM93" s="31" t="s">
        <v>58</v>
      </c>
      <c r="AN93" s="18">
        <f t="shared" si="32"/>
        <v>1</v>
      </c>
      <c r="AO93" s="201">
        <v>555.6</v>
      </c>
      <c r="AP93" s="161">
        <f>AN93*AO93</f>
        <v>555.6</v>
      </c>
      <c r="AQ93" s="155"/>
    </row>
    <row r="94" spans="3:43" ht="15.6">
      <c r="C94" s="28"/>
      <c r="D94" s="31" t="s">
        <v>122</v>
      </c>
      <c r="E94" s="18">
        <v>1</v>
      </c>
      <c r="F94" s="18"/>
      <c r="G94" s="18"/>
      <c r="H94" s="25"/>
      <c r="I94" s="29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>
        <f>SUM(E94:AH94)</f>
        <v>1</v>
      </c>
      <c r="AK94" s="155"/>
      <c r="AL94" s="159"/>
      <c r="AM94" s="31" t="s">
        <v>122</v>
      </c>
      <c r="AN94" s="18">
        <f t="shared" si="32"/>
        <v>1</v>
      </c>
      <c r="AO94" s="201">
        <v>555.6</v>
      </c>
      <c r="AP94" s="161">
        <f>AN94*AO94</f>
        <v>555.6</v>
      </c>
      <c r="AQ94" s="155"/>
    </row>
    <row r="95" spans="3:43" ht="15.6">
      <c r="C95" s="28"/>
      <c r="D95" s="32"/>
      <c r="E95" s="18"/>
      <c r="F95" s="18"/>
      <c r="G95" s="18"/>
      <c r="H95" s="18"/>
      <c r="I95" s="29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K95" s="155"/>
      <c r="AL95" s="159"/>
      <c r="AM95" s="32"/>
      <c r="AN95" s="18"/>
      <c r="AO95" s="201"/>
      <c r="AP95" s="161"/>
      <c r="AQ95" s="155"/>
    </row>
    <row r="96" spans="3:43" ht="15.6">
      <c r="C96" s="27" t="s">
        <v>59</v>
      </c>
      <c r="D96" s="31" t="s">
        <v>60</v>
      </c>
      <c r="E96" s="18">
        <v>1</v>
      </c>
      <c r="F96" s="18"/>
      <c r="G96" s="18"/>
      <c r="H96" s="25"/>
      <c r="I96" s="29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>
        <f>SUM(E96:AH96)</f>
        <v>1</v>
      </c>
      <c r="AK96" s="155"/>
      <c r="AL96" s="157" t="s">
        <v>59</v>
      </c>
      <c r="AM96" s="31" t="s">
        <v>60</v>
      </c>
      <c r="AN96" s="18">
        <f t="shared" ref="AN96:AN97" si="33">AI96</f>
        <v>1</v>
      </c>
      <c r="AO96" s="201">
        <v>555.6</v>
      </c>
      <c r="AP96" s="161">
        <f>AN96*AO96</f>
        <v>555.6</v>
      </c>
      <c r="AQ96" s="155"/>
    </row>
    <row r="97" spans="3:43" ht="15.6">
      <c r="C97" s="28"/>
      <c r="D97" s="31" t="s">
        <v>849</v>
      </c>
      <c r="E97" s="18"/>
      <c r="F97" s="18"/>
      <c r="G97" s="18"/>
      <c r="H97" s="25"/>
      <c r="I97" s="29">
        <v>60</v>
      </c>
      <c r="J97" s="18">
        <v>-50</v>
      </c>
      <c r="K97" s="18"/>
      <c r="L97" s="18"/>
      <c r="M97" s="18">
        <v>47</v>
      </c>
      <c r="N97" s="18">
        <v>-37</v>
      </c>
      <c r="O97" s="18"/>
      <c r="P97" s="18">
        <v>-2</v>
      </c>
      <c r="Q97" s="18">
        <f>-13-5</f>
        <v>-18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>
        <v>94</v>
      </c>
      <c r="AD97" s="18">
        <v>-26</v>
      </c>
      <c r="AE97" s="18"/>
      <c r="AF97" s="18">
        <v>-20</v>
      </c>
      <c r="AG97" s="18"/>
      <c r="AH97" s="18"/>
      <c r="AI97" s="18">
        <f>SUM(E97:AH97)</f>
        <v>48</v>
      </c>
      <c r="AK97" s="155"/>
      <c r="AL97" s="159"/>
      <c r="AM97" s="31" t="s">
        <v>849</v>
      </c>
      <c r="AN97" s="18">
        <f t="shared" si="33"/>
        <v>48</v>
      </c>
      <c r="AO97" s="201">
        <v>1588.12</v>
      </c>
      <c r="AP97" s="161">
        <f>AN97*AO97</f>
        <v>76229.759999999995</v>
      </c>
      <c r="AQ97" s="155"/>
    </row>
    <row r="98" spans="3:43" ht="15.6">
      <c r="C98" s="82"/>
      <c r="D98" s="81"/>
      <c r="E98" s="81">
        <f t="shared" ref="E98:J98" si="34">SUM(E56:E97)</f>
        <v>45</v>
      </c>
      <c r="F98" s="81">
        <f t="shared" si="34"/>
        <v>-7</v>
      </c>
      <c r="G98" s="81">
        <f t="shared" si="34"/>
        <v>5</v>
      </c>
      <c r="H98" s="81">
        <f t="shared" si="34"/>
        <v>44</v>
      </c>
      <c r="I98" s="81">
        <f t="shared" si="34"/>
        <v>64</v>
      </c>
      <c r="J98" s="81">
        <f t="shared" si="34"/>
        <v>-55</v>
      </c>
      <c r="K98" s="81"/>
      <c r="L98" s="81"/>
      <c r="M98" s="81">
        <f t="shared" ref="M98:N98" si="35">SUM(M56:M97)</f>
        <v>47</v>
      </c>
      <c r="N98" s="81">
        <f t="shared" si="35"/>
        <v>-50</v>
      </c>
      <c r="O98" s="81"/>
      <c r="P98" s="81">
        <f t="shared" ref="P98:Q98" si="36">SUM(P56:P97)</f>
        <v>-2</v>
      </c>
      <c r="Q98" s="81">
        <f t="shared" si="36"/>
        <v>26</v>
      </c>
      <c r="R98" s="81">
        <f>SUM(R56:R97)</f>
        <v>-6</v>
      </c>
      <c r="S98" s="81">
        <f>SUM(S56:S97)</f>
        <v>0</v>
      </c>
      <c r="T98" s="81"/>
      <c r="U98" s="81">
        <f>SUM(U56:U97)</f>
        <v>0</v>
      </c>
      <c r="V98" s="81">
        <f>SUM(V56:V97)</f>
        <v>0</v>
      </c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>
        <f>SUM(AH56:AH97)</f>
        <v>0</v>
      </c>
      <c r="AI98" s="81">
        <f>SUM(AI56:AI97)</f>
        <v>179</v>
      </c>
      <c r="AK98" s="155"/>
      <c r="AL98" s="162"/>
      <c r="AM98" s="162"/>
      <c r="AN98" s="81">
        <f>SUM(AN56:AN97)</f>
        <v>179</v>
      </c>
      <c r="AO98" s="160"/>
      <c r="AP98" s="163">
        <f>SUM(AP56:AP97)</f>
        <v>231780.70572727273</v>
      </c>
      <c r="AQ98" s="155"/>
    </row>
    <row r="105" spans="3:43" ht="15" thickBot="1"/>
    <row r="106" spans="3:43">
      <c r="C106" s="280" t="s">
        <v>910</v>
      </c>
      <c r="D106" s="281" t="s">
        <v>981</v>
      </c>
      <c r="E106" s="281" t="s">
        <v>911</v>
      </c>
      <c r="F106" s="281" t="s">
        <v>912</v>
      </c>
      <c r="G106" s="281" t="s">
        <v>913</v>
      </c>
      <c r="H106" s="281" t="s">
        <v>914</v>
      </c>
      <c r="I106" s="281" t="s">
        <v>915</v>
      </c>
      <c r="J106" s="281" t="s">
        <v>916</v>
      </c>
      <c r="K106" s="281" t="s">
        <v>916</v>
      </c>
      <c r="L106" s="281" t="s">
        <v>917</v>
      </c>
      <c r="M106" s="300"/>
      <c r="O106" s="305" t="s">
        <v>13</v>
      </c>
      <c r="P106" s="305" t="s">
        <v>987</v>
      </c>
      <c r="Q106" s="305" t="s">
        <v>306</v>
      </c>
      <c r="R106" s="305" t="s">
        <v>8</v>
      </c>
    </row>
    <row r="107" spans="3:43">
      <c r="C107" s="275">
        <v>1</v>
      </c>
      <c r="D107" s="275" t="s">
        <v>977</v>
      </c>
      <c r="E107" s="275" t="s">
        <v>953</v>
      </c>
      <c r="F107" s="275">
        <v>256</v>
      </c>
      <c r="G107" s="275" t="s">
        <v>918</v>
      </c>
      <c r="H107" s="277">
        <v>350139675584421</v>
      </c>
      <c r="I107" s="275" t="s">
        <v>954</v>
      </c>
      <c r="J107" s="275" t="s">
        <v>920</v>
      </c>
      <c r="K107" s="275" t="s">
        <v>921</v>
      </c>
      <c r="L107" s="301">
        <v>300</v>
      </c>
      <c r="M107" s="302" t="s">
        <v>982</v>
      </c>
      <c r="O107" s="21">
        <v>45497</v>
      </c>
      <c r="P107" t="s">
        <v>1408</v>
      </c>
      <c r="Q107" t="str">
        <f>CONCATENATE(E107," ",F107," ",G107)</f>
        <v>Galaxy S22 Ultra 256 BLACK</v>
      </c>
      <c r="R107">
        <v>0</v>
      </c>
    </row>
    <row r="108" spans="3:43">
      <c r="C108" s="275">
        <v>2</v>
      </c>
      <c r="D108" s="275" t="s">
        <v>978</v>
      </c>
      <c r="E108" s="275" t="s">
        <v>955</v>
      </c>
      <c r="F108" s="275">
        <v>128</v>
      </c>
      <c r="G108" s="275" t="s">
        <v>918</v>
      </c>
      <c r="H108" s="277">
        <v>358711960272466</v>
      </c>
      <c r="I108" s="275" t="s">
        <v>919</v>
      </c>
      <c r="J108" s="275" t="s">
        <v>920</v>
      </c>
      <c r="K108" s="275" t="s">
        <v>921</v>
      </c>
      <c r="L108" s="301">
        <v>250</v>
      </c>
      <c r="M108" s="302" t="s">
        <v>982</v>
      </c>
      <c r="O108" s="21">
        <v>45497</v>
      </c>
      <c r="P108" t="s">
        <v>1408</v>
      </c>
      <c r="Q108" t="str">
        <f t="shared" ref="Q108:Q171" si="37">CONCATENATE(E108," ",F108," ",G108)</f>
        <v>Pixel 8 128 BLACK</v>
      </c>
      <c r="R108">
        <v>0</v>
      </c>
    </row>
    <row r="109" spans="3:43">
      <c r="C109" s="275">
        <v>3</v>
      </c>
      <c r="D109" s="275" t="s">
        <v>979</v>
      </c>
      <c r="E109" s="275">
        <v>14</v>
      </c>
      <c r="F109" s="275">
        <v>128</v>
      </c>
      <c r="G109" s="275" t="s">
        <v>918</v>
      </c>
      <c r="H109" s="277">
        <v>354553492989371</v>
      </c>
      <c r="I109" s="275" t="s">
        <v>919</v>
      </c>
      <c r="J109" s="275" t="s">
        <v>920</v>
      </c>
      <c r="K109" s="275" t="s">
        <v>921</v>
      </c>
      <c r="L109" s="301">
        <v>300</v>
      </c>
      <c r="M109" s="302" t="s">
        <v>983</v>
      </c>
      <c r="O109" s="306">
        <v>45453</v>
      </c>
      <c r="P109" s="231" t="s">
        <v>988</v>
      </c>
      <c r="Q109" t="str">
        <f t="shared" si="37"/>
        <v>14 128 BLACK</v>
      </c>
      <c r="R109" s="231">
        <v>1220</v>
      </c>
    </row>
    <row r="110" spans="3:43">
      <c r="C110" s="275">
        <v>4</v>
      </c>
      <c r="D110" s="275" t="s">
        <v>979</v>
      </c>
      <c r="E110" s="275">
        <v>14</v>
      </c>
      <c r="F110" s="275">
        <v>128</v>
      </c>
      <c r="G110" s="275" t="s">
        <v>922</v>
      </c>
      <c r="H110" s="277">
        <v>355549916437061</v>
      </c>
      <c r="I110" s="275" t="s">
        <v>919</v>
      </c>
      <c r="J110" s="275" t="s">
        <v>920</v>
      </c>
      <c r="K110" s="275" t="s">
        <v>921</v>
      </c>
      <c r="L110" s="301">
        <v>300</v>
      </c>
      <c r="M110" s="302" t="s">
        <v>982</v>
      </c>
      <c r="O110" s="21">
        <v>45463</v>
      </c>
      <c r="P110" t="s">
        <v>561</v>
      </c>
      <c r="Q110" t="str">
        <f t="shared" si="37"/>
        <v>14 128 BLUE</v>
      </c>
      <c r="R110">
        <v>1200</v>
      </c>
    </row>
    <row r="111" spans="3:43">
      <c r="C111" s="275">
        <v>5</v>
      </c>
      <c r="D111" s="275" t="s">
        <v>979</v>
      </c>
      <c r="E111" s="275">
        <v>14</v>
      </c>
      <c r="F111" s="275">
        <v>128</v>
      </c>
      <c r="G111" s="275" t="s">
        <v>922</v>
      </c>
      <c r="H111" s="277">
        <v>355549919948734</v>
      </c>
      <c r="I111" s="275" t="s">
        <v>919</v>
      </c>
      <c r="J111" s="275" t="s">
        <v>920</v>
      </c>
      <c r="K111" s="275" t="s">
        <v>921</v>
      </c>
      <c r="L111" s="301">
        <v>300</v>
      </c>
      <c r="M111" s="302" t="s">
        <v>982</v>
      </c>
      <c r="O111" s="21">
        <v>45463</v>
      </c>
      <c r="P111" t="s">
        <v>561</v>
      </c>
      <c r="Q111" t="str">
        <f t="shared" si="37"/>
        <v>14 128 BLUE</v>
      </c>
      <c r="R111">
        <v>1200</v>
      </c>
    </row>
    <row r="112" spans="3:43">
      <c r="C112" s="275">
        <v>6</v>
      </c>
      <c r="D112" s="275" t="s">
        <v>979</v>
      </c>
      <c r="E112" s="275">
        <v>14</v>
      </c>
      <c r="F112" s="275">
        <v>128</v>
      </c>
      <c r="G112" s="275" t="s">
        <v>922</v>
      </c>
      <c r="H112" s="277">
        <v>355549917028687</v>
      </c>
      <c r="I112" s="275" t="s">
        <v>919</v>
      </c>
      <c r="J112" s="275" t="s">
        <v>920</v>
      </c>
      <c r="K112" s="275" t="s">
        <v>921</v>
      </c>
      <c r="L112" s="301">
        <v>300</v>
      </c>
      <c r="M112" s="302" t="s">
        <v>982</v>
      </c>
      <c r="O112" s="21">
        <v>45463</v>
      </c>
      <c r="P112" t="s">
        <v>561</v>
      </c>
      <c r="Q112" t="str">
        <f t="shared" si="37"/>
        <v>14 128 BLUE</v>
      </c>
      <c r="R112">
        <v>1200</v>
      </c>
    </row>
    <row r="113" spans="2:18">
      <c r="C113" s="275">
        <v>7</v>
      </c>
      <c r="D113" s="275" t="s">
        <v>979</v>
      </c>
      <c r="E113" s="275">
        <v>14</v>
      </c>
      <c r="F113" s="275">
        <v>128</v>
      </c>
      <c r="G113" s="275" t="s">
        <v>923</v>
      </c>
      <c r="H113" s="277">
        <v>355185497809426</v>
      </c>
      <c r="I113" s="275" t="s">
        <v>919</v>
      </c>
      <c r="J113" s="275" t="s">
        <v>920</v>
      </c>
      <c r="K113" s="275" t="s">
        <v>921</v>
      </c>
      <c r="L113" s="301">
        <v>300</v>
      </c>
      <c r="M113" s="302" t="s">
        <v>982</v>
      </c>
      <c r="O113" s="21">
        <v>45463</v>
      </c>
      <c r="P113" t="s">
        <v>561</v>
      </c>
      <c r="Q113" t="str">
        <f t="shared" si="37"/>
        <v>14 128 MIDNIGHT</v>
      </c>
      <c r="R113">
        <v>1200</v>
      </c>
    </row>
    <row r="114" spans="2:18">
      <c r="C114" s="275">
        <v>8</v>
      </c>
      <c r="D114" s="275" t="s">
        <v>979</v>
      </c>
      <c r="E114" s="275">
        <v>15</v>
      </c>
      <c r="F114" s="275">
        <v>128</v>
      </c>
      <c r="G114" s="275" t="s">
        <v>922</v>
      </c>
      <c r="H114" s="277">
        <v>358019945087623</v>
      </c>
      <c r="I114" s="275" t="s">
        <v>919</v>
      </c>
      <c r="J114" s="275" t="s">
        <v>920</v>
      </c>
      <c r="K114" s="275" t="s">
        <v>921</v>
      </c>
      <c r="L114" s="301">
        <v>400</v>
      </c>
      <c r="M114" s="302" t="s">
        <v>982</v>
      </c>
      <c r="O114" s="21">
        <v>45465</v>
      </c>
      <c r="P114" t="s">
        <v>561</v>
      </c>
      <c r="Q114" t="str">
        <f t="shared" si="37"/>
        <v>15 128 BLUE</v>
      </c>
      <c r="R114">
        <v>1530</v>
      </c>
    </row>
    <row r="115" spans="2:18">
      <c r="C115" s="275">
        <v>9</v>
      </c>
      <c r="D115" s="275" t="s">
        <v>979</v>
      </c>
      <c r="E115" s="275">
        <v>15</v>
      </c>
      <c r="F115" s="275">
        <v>128</v>
      </c>
      <c r="G115" s="275" t="s">
        <v>924</v>
      </c>
      <c r="H115" s="277">
        <v>354633853879286</v>
      </c>
      <c r="I115" s="275" t="s">
        <v>919</v>
      </c>
      <c r="J115" s="275" t="s">
        <v>920</v>
      </c>
      <c r="K115" s="275" t="s">
        <v>921</v>
      </c>
      <c r="L115" s="301">
        <v>400</v>
      </c>
      <c r="M115" s="302" t="s">
        <v>982</v>
      </c>
      <c r="O115" s="21">
        <v>45465</v>
      </c>
      <c r="P115" t="s">
        <v>561</v>
      </c>
      <c r="Q115" t="str">
        <f t="shared" si="37"/>
        <v>15 128 PURPLE</v>
      </c>
      <c r="R115">
        <v>1530</v>
      </c>
    </row>
    <row r="116" spans="2:18">
      <c r="C116" s="275">
        <v>10</v>
      </c>
      <c r="D116" s="275" t="s">
        <v>979</v>
      </c>
      <c r="E116" s="275">
        <v>15</v>
      </c>
      <c r="F116" s="275">
        <v>256</v>
      </c>
      <c r="G116" s="275" t="s">
        <v>918</v>
      </c>
      <c r="H116" s="277">
        <v>354872880723071</v>
      </c>
      <c r="I116" s="275" t="s">
        <v>919</v>
      </c>
      <c r="J116" s="275" t="s">
        <v>920</v>
      </c>
      <c r="K116" s="275" t="s">
        <v>921</v>
      </c>
      <c r="L116" s="301">
        <v>440</v>
      </c>
      <c r="M116" s="302" t="s">
        <v>982</v>
      </c>
      <c r="O116" s="21">
        <v>45497</v>
      </c>
      <c r="P116" t="s">
        <v>1408</v>
      </c>
      <c r="Q116" t="str">
        <f t="shared" si="37"/>
        <v>15 256 BLACK</v>
      </c>
      <c r="R116">
        <v>0</v>
      </c>
    </row>
    <row r="117" spans="2:18" s="231" customFormat="1">
      <c r="C117" s="377">
        <v>11</v>
      </c>
      <c r="D117" s="377" t="s">
        <v>979</v>
      </c>
      <c r="E117" s="377" t="s">
        <v>925</v>
      </c>
      <c r="F117" s="377">
        <v>128</v>
      </c>
      <c r="G117" s="377" t="s">
        <v>922</v>
      </c>
      <c r="H117" s="378">
        <v>350915774341114</v>
      </c>
      <c r="I117" s="377" t="s">
        <v>919</v>
      </c>
      <c r="J117" s="377" t="s">
        <v>920</v>
      </c>
      <c r="K117" s="377" t="s">
        <v>926</v>
      </c>
      <c r="L117" s="379">
        <v>600</v>
      </c>
      <c r="M117" s="380" t="s">
        <v>982</v>
      </c>
      <c r="P117" s="231" t="s">
        <v>1408</v>
      </c>
      <c r="Q117" s="231" t="str">
        <f t="shared" si="37"/>
        <v>14 Plus 128 BLUE</v>
      </c>
      <c r="R117" s="231">
        <v>0</v>
      </c>
    </row>
    <row r="118" spans="2:18" s="231" customFormat="1">
      <c r="B118" s="306"/>
      <c r="C118" s="377">
        <v>12</v>
      </c>
      <c r="D118" s="377" t="s">
        <v>979</v>
      </c>
      <c r="E118" s="377" t="s">
        <v>925</v>
      </c>
      <c r="F118" s="377">
        <v>128</v>
      </c>
      <c r="G118" s="377" t="s">
        <v>923</v>
      </c>
      <c r="H118" s="378">
        <v>350028715517840</v>
      </c>
      <c r="I118" s="377" t="s">
        <v>919</v>
      </c>
      <c r="J118" s="377" t="s">
        <v>920</v>
      </c>
      <c r="K118" s="377" t="s">
        <v>926</v>
      </c>
      <c r="L118" s="379">
        <v>600</v>
      </c>
      <c r="M118" s="380" t="s">
        <v>982</v>
      </c>
      <c r="P118" s="231" t="s">
        <v>1408</v>
      </c>
      <c r="Q118" s="231" t="str">
        <f t="shared" si="37"/>
        <v>14 Plus 128 MIDNIGHT</v>
      </c>
      <c r="R118" s="231">
        <v>0</v>
      </c>
    </row>
    <row r="119" spans="2:18">
      <c r="B119" s="21"/>
      <c r="C119" s="275">
        <v>13</v>
      </c>
      <c r="D119" s="275" t="s">
        <v>979</v>
      </c>
      <c r="E119" s="275" t="s">
        <v>927</v>
      </c>
      <c r="F119" s="275">
        <v>128</v>
      </c>
      <c r="G119" s="275" t="s">
        <v>922</v>
      </c>
      <c r="H119" s="277">
        <v>359081511476191</v>
      </c>
      <c r="I119" s="275" t="s">
        <v>919</v>
      </c>
      <c r="J119" s="275" t="s">
        <v>920</v>
      </c>
      <c r="K119" s="275" t="s">
        <v>921</v>
      </c>
      <c r="L119" s="301">
        <v>430</v>
      </c>
      <c r="M119" s="302" t="s">
        <v>982</v>
      </c>
      <c r="O119" s="21">
        <v>45469</v>
      </c>
      <c r="P119" t="s">
        <v>1205</v>
      </c>
      <c r="Q119" t="str">
        <f t="shared" si="37"/>
        <v>15 Plus 128 BLUE</v>
      </c>
      <c r="R119">
        <v>1650</v>
      </c>
    </row>
    <row r="120" spans="2:18">
      <c r="B120" s="21"/>
      <c r="C120" s="275">
        <v>14</v>
      </c>
      <c r="D120" s="275" t="s">
        <v>979</v>
      </c>
      <c r="E120" s="275" t="s">
        <v>927</v>
      </c>
      <c r="F120" s="275">
        <v>128</v>
      </c>
      <c r="G120" s="275" t="s">
        <v>922</v>
      </c>
      <c r="H120" s="277">
        <v>353896507988644</v>
      </c>
      <c r="I120" s="275" t="s">
        <v>919</v>
      </c>
      <c r="J120" s="275" t="s">
        <v>920</v>
      </c>
      <c r="K120" s="275" t="s">
        <v>921</v>
      </c>
      <c r="L120" s="301">
        <v>430</v>
      </c>
      <c r="M120" s="302" t="s">
        <v>982</v>
      </c>
      <c r="O120" s="21">
        <v>45469</v>
      </c>
      <c r="P120" t="s">
        <v>1205</v>
      </c>
      <c r="Q120" t="str">
        <f t="shared" si="37"/>
        <v>15 Plus 128 BLUE</v>
      </c>
      <c r="R120">
        <v>1650</v>
      </c>
    </row>
    <row r="121" spans="2:18">
      <c r="B121" s="21"/>
      <c r="C121" s="275">
        <v>15</v>
      </c>
      <c r="D121" s="275" t="s">
        <v>979</v>
      </c>
      <c r="E121" s="275" t="s">
        <v>927</v>
      </c>
      <c r="F121" s="275">
        <v>128</v>
      </c>
      <c r="G121" s="275" t="s">
        <v>922</v>
      </c>
      <c r="H121" s="277">
        <v>353896509678854</v>
      </c>
      <c r="I121" s="275" t="s">
        <v>919</v>
      </c>
      <c r="J121" s="275" t="s">
        <v>920</v>
      </c>
      <c r="K121" s="275" t="s">
        <v>921</v>
      </c>
      <c r="L121" s="301">
        <v>430</v>
      </c>
      <c r="M121" s="302" t="s">
        <v>982</v>
      </c>
      <c r="O121" s="21">
        <v>45469</v>
      </c>
      <c r="P121" t="s">
        <v>1205</v>
      </c>
      <c r="Q121" t="str">
        <f t="shared" si="37"/>
        <v>15 Plus 128 BLUE</v>
      </c>
      <c r="R121">
        <v>1650</v>
      </c>
    </row>
    <row r="122" spans="2:18">
      <c r="B122" s="21"/>
      <c r="C122" s="275">
        <v>16</v>
      </c>
      <c r="D122" s="275" t="s">
        <v>979</v>
      </c>
      <c r="E122" s="275" t="s">
        <v>928</v>
      </c>
      <c r="F122" s="275">
        <v>128</v>
      </c>
      <c r="G122" s="275" t="s">
        <v>918</v>
      </c>
      <c r="H122" s="277">
        <v>353468917794051</v>
      </c>
      <c r="I122" s="275" t="s">
        <v>919</v>
      </c>
      <c r="J122" s="275" t="s">
        <v>920</v>
      </c>
      <c r="K122" s="275" t="s">
        <v>921</v>
      </c>
      <c r="L122" s="301">
        <v>520</v>
      </c>
      <c r="M122" s="302" t="s">
        <v>982</v>
      </c>
      <c r="O122" s="21">
        <v>45465</v>
      </c>
      <c r="P122" t="s">
        <v>561</v>
      </c>
      <c r="Q122" t="str">
        <f t="shared" si="37"/>
        <v>15 Pro 128 BLACK</v>
      </c>
      <c r="R122">
        <v>1950</v>
      </c>
    </row>
    <row r="123" spans="2:18">
      <c r="B123" s="21"/>
      <c r="C123" s="275">
        <v>17</v>
      </c>
      <c r="D123" s="275" t="s">
        <v>979</v>
      </c>
      <c r="E123" s="275" t="s">
        <v>928</v>
      </c>
      <c r="F123" s="275">
        <v>128</v>
      </c>
      <c r="G123" s="275" t="s">
        <v>929</v>
      </c>
      <c r="H123" s="277">
        <v>352917268437570</v>
      </c>
      <c r="I123" s="275" t="s">
        <v>919</v>
      </c>
      <c r="J123" s="275" t="s">
        <v>920</v>
      </c>
      <c r="K123" s="275" t="s">
        <v>921</v>
      </c>
      <c r="L123" s="301">
        <v>550</v>
      </c>
      <c r="M123" s="302" t="s">
        <v>982</v>
      </c>
      <c r="O123" s="21">
        <v>45465</v>
      </c>
      <c r="P123" t="s">
        <v>561</v>
      </c>
      <c r="Q123" t="str">
        <f t="shared" si="37"/>
        <v>15 Pro 128 NATURAL</v>
      </c>
      <c r="R123">
        <v>2080</v>
      </c>
    </row>
    <row r="124" spans="2:18">
      <c r="B124" s="21"/>
      <c r="C124" s="275">
        <v>18</v>
      </c>
      <c r="D124" s="275" t="s">
        <v>979</v>
      </c>
      <c r="E124" s="275" t="s">
        <v>928</v>
      </c>
      <c r="F124" s="275">
        <v>256</v>
      </c>
      <c r="G124" s="275" t="s">
        <v>918</v>
      </c>
      <c r="H124" s="277">
        <v>351697430562478</v>
      </c>
      <c r="I124" s="275" t="s">
        <v>919</v>
      </c>
      <c r="J124" s="275" t="s">
        <v>920</v>
      </c>
      <c r="K124" s="275" t="s">
        <v>921</v>
      </c>
      <c r="L124" s="301">
        <v>580</v>
      </c>
      <c r="M124" s="302" t="s">
        <v>982</v>
      </c>
      <c r="O124" s="21">
        <v>45465</v>
      </c>
      <c r="P124" t="s">
        <v>561</v>
      </c>
      <c r="Q124" t="str">
        <f t="shared" si="37"/>
        <v>15 Pro 256 BLACK</v>
      </c>
      <c r="R124">
        <v>2080</v>
      </c>
    </row>
    <row r="125" spans="2:18">
      <c r="C125" s="275">
        <v>19</v>
      </c>
      <c r="D125" s="275" t="s">
        <v>979</v>
      </c>
      <c r="E125" s="275" t="s">
        <v>928</v>
      </c>
      <c r="F125" s="275">
        <v>128</v>
      </c>
      <c r="G125" s="275" t="s">
        <v>929</v>
      </c>
      <c r="H125" s="277">
        <v>352917268392445</v>
      </c>
      <c r="I125" s="275" t="s">
        <v>919</v>
      </c>
      <c r="J125" s="275" t="s">
        <v>920</v>
      </c>
      <c r="K125" s="275" t="s">
        <v>921</v>
      </c>
      <c r="L125" s="301">
        <v>550</v>
      </c>
      <c r="M125" s="302" t="s">
        <v>982</v>
      </c>
      <c r="O125" s="21">
        <v>45465</v>
      </c>
      <c r="P125" t="s">
        <v>561</v>
      </c>
      <c r="Q125" t="str">
        <f t="shared" si="37"/>
        <v>15 Pro 128 NATURAL</v>
      </c>
      <c r="R125">
        <v>2080</v>
      </c>
    </row>
    <row r="126" spans="2:18">
      <c r="C126" s="275">
        <v>20</v>
      </c>
      <c r="D126" s="275" t="s">
        <v>979</v>
      </c>
      <c r="E126" s="275" t="s">
        <v>928</v>
      </c>
      <c r="F126" s="275">
        <v>256</v>
      </c>
      <c r="G126" s="275" t="s">
        <v>918</v>
      </c>
      <c r="H126" s="277">
        <v>351697430563526</v>
      </c>
      <c r="I126" s="275" t="s">
        <v>919</v>
      </c>
      <c r="J126" s="275" t="s">
        <v>920</v>
      </c>
      <c r="K126" s="275" t="s">
        <v>921</v>
      </c>
      <c r="L126" s="301">
        <v>580</v>
      </c>
      <c r="M126" s="302" t="s">
        <v>982</v>
      </c>
      <c r="O126" s="21">
        <v>45465</v>
      </c>
      <c r="P126" t="s">
        <v>561</v>
      </c>
      <c r="Q126" t="str">
        <f t="shared" si="37"/>
        <v>15 Pro 256 BLACK</v>
      </c>
      <c r="R126">
        <v>2080</v>
      </c>
    </row>
    <row r="127" spans="2:18">
      <c r="C127" s="275">
        <v>21</v>
      </c>
      <c r="D127" s="275" t="s">
        <v>979</v>
      </c>
      <c r="E127" s="275" t="s">
        <v>928</v>
      </c>
      <c r="F127" s="275">
        <v>512</v>
      </c>
      <c r="G127" s="275" t="s">
        <v>929</v>
      </c>
      <c r="H127" s="277">
        <v>356511214965622</v>
      </c>
      <c r="I127" s="275" t="s">
        <v>919</v>
      </c>
      <c r="J127" s="275" t="s">
        <v>920</v>
      </c>
      <c r="K127" s="275" t="s">
        <v>921</v>
      </c>
      <c r="L127" s="301">
        <v>650</v>
      </c>
      <c r="M127" s="302" t="s">
        <v>982</v>
      </c>
      <c r="O127" s="21">
        <v>45465</v>
      </c>
      <c r="P127" t="s">
        <v>561</v>
      </c>
      <c r="Q127" t="str">
        <f t="shared" si="37"/>
        <v>15 Pro 512 NATURAL</v>
      </c>
      <c r="R127">
        <v>2400</v>
      </c>
    </row>
    <row r="128" spans="2:18">
      <c r="C128" s="275">
        <v>22</v>
      </c>
      <c r="D128" s="275" t="s">
        <v>979</v>
      </c>
      <c r="E128" s="275" t="s">
        <v>930</v>
      </c>
      <c r="F128" s="275">
        <v>256</v>
      </c>
      <c r="G128" s="275" t="s">
        <v>918</v>
      </c>
      <c r="H128" s="277">
        <v>350278024110718</v>
      </c>
      <c r="I128" s="275" t="s">
        <v>919</v>
      </c>
      <c r="J128" s="275" t="s">
        <v>920</v>
      </c>
      <c r="K128" s="275" t="s">
        <v>921</v>
      </c>
      <c r="L128" s="301">
        <v>655</v>
      </c>
      <c r="M128" s="302" t="s">
        <v>982</v>
      </c>
      <c r="O128" s="21">
        <v>45463</v>
      </c>
      <c r="P128" t="s">
        <v>988</v>
      </c>
      <c r="Q128" t="str">
        <f t="shared" si="37"/>
        <v>15 Pro Max 256 BLACK</v>
      </c>
      <c r="R128">
        <v>2390</v>
      </c>
    </row>
    <row r="129" spans="3:18">
      <c r="C129" s="275">
        <v>23</v>
      </c>
      <c r="D129" s="275" t="s">
        <v>979</v>
      </c>
      <c r="E129" s="275" t="s">
        <v>930</v>
      </c>
      <c r="F129" s="275">
        <v>256</v>
      </c>
      <c r="G129" s="275" t="s">
        <v>918</v>
      </c>
      <c r="H129" s="277">
        <v>354068586013111</v>
      </c>
      <c r="I129" s="275" t="s">
        <v>919</v>
      </c>
      <c r="J129" s="275" t="s">
        <v>931</v>
      </c>
      <c r="K129" s="275" t="s">
        <v>921</v>
      </c>
      <c r="L129" s="301">
        <v>655</v>
      </c>
      <c r="M129" s="302" t="s">
        <v>982</v>
      </c>
      <c r="O129" s="21">
        <v>45472</v>
      </c>
      <c r="P129" t="s">
        <v>561</v>
      </c>
      <c r="Q129" t="str">
        <f t="shared" si="37"/>
        <v>15 Pro Max 256 BLACK</v>
      </c>
      <c r="R129">
        <v>2300</v>
      </c>
    </row>
    <row r="130" spans="3:18">
      <c r="C130" s="275">
        <v>24</v>
      </c>
      <c r="D130" s="275" t="s">
        <v>979</v>
      </c>
      <c r="E130" s="275" t="s">
        <v>930</v>
      </c>
      <c r="F130" s="275">
        <v>256</v>
      </c>
      <c r="G130" s="275" t="s">
        <v>918</v>
      </c>
      <c r="H130" s="277">
        <v>356511215775244</v>
      </c>
      <c r="I130" s="275" t="s">
        <v>919</v>
      </c>
      <c r="J130" s="275" t="s">
        <v>931</v>
      </c>
      <c r="K130" s="275" t="s">
        <v>921</v>
      </c>
      <c r="L130" s="301">
        <v>655</v>
      </c>
      <c r="M130" s="302" t="s">
        <v>982</v>
      </c>
      <c r="O130" s="21">
        <v>45479</v>
      </c>
      <c r="P130" t="s">
        <v>561</v>
      </c>
      <c r="Q130" t="str">
        <f t="shared" si="37"/>
        <v>15 Pro Max 256 BLACK</v>
      </c>
      <c r="R130">
        <v>2300</v>
      </c>
    </row>
    <row r="131" spans="3:18">
      <c r="C131" s="275">
        <v>25</v>
      </c>
      <c r="D131" s="275" t="s">
        <v>979</v>
      </c>
      <c r="E131" s="275" t="s">
        <v>930</v>
      </c>
      <c r="F131" s="275">
        <v>256</v>
      </c>
      <c r="G131" s="275" t="s">
        <v>918</v>
      </c>
      <c r="H131" s="277">
        <v>354934255303291</v>
      </c>
      <c r="I131" s="275" t="s">
        <v>919</v>
      </c>
      <c r="J131" s="275" t="s">
        <v>920</v>
      </c>
      <c r="K131" s="275" t="s">
        <v>921</v>
      </c>
      <c r="L131" s="301">
        <v>655</v>
      </c>
      <c r="M131" s="302" t="s">
        <v>982</v>
      </c>
      <c r="O131" s="21">
        <v>45453</v>
      </c>
      <c r="P131" t="s">
        <v>988</v>
      </c>
      <c r="Q131" t="str">
        <f t="shared" si="37"/>
        <v>15 Pro Max 256 BLACK</v>
      </c>
      <c r="R131">
        <v>2380</v>
      </c>
    </row>
    <row r="132" spans="3:18" s="231" customFormat="1">
      <c r="C132" s="377">
        <v>26</v>
      </c>
      <c r="D132" s="377" t="s">
        <v>979</v>
      </c>
      <c r="E132" s="377" t="s">
        <v>930</v>
      </c>
      <c r="F132" s="377">
        <v>256</v>
      </c>
      <c r="G132" s="377" t="s">
        <v>922</v>
      </c>
      <c r="H132" s="378">
        <v>354689820065151</v>
      </c>
      <c r="I132" s="377" t="s">
        <v>919</v>
      </c>
      <c r="J132" s="377" t="s">
        <v>920</v>
      </c>
      <c r="K132" s="377" t="s">
        <v>926</v>
      </c>
      <c r="L132" s="379">
        <v>980</v>
      </c>
      <c r="M132" s="380" t="s">
        <v>982</v>
      </c>
      <c r="P132" s="231" t="s">
        <v>1408</v>
      </c>
      <c r="Q132" s="231" t="str">
        <f t="shared" si="37"/>
        <v>15 Pro Max 256 BLUE</v>
      </c>
      <c r="R132" s="231">
        <v>0</v>
      </c>
    </row>
    <row r="133" spans="3:18">
      <c r="C133" s="275">
        <v>27</v>
      </c>
      <c r="D133" s="275" t="s">
        <v>979</v>
      </c>
      <c r="E133" s="275" t="s">
        <v>930</v>
      </c>
      <c r="F133" s="275">
        <v>256</v>
      </c>
      <c r="G133" s="275" t="s">
        <v>922</v>
      </c>
      <c r="H133" s="277">
        <v>356511211052325</v>
      </c>
      <c r="I133" s="275" t="s">
        <v>919</v>
      </c>
      <c r="J133" s="275" t="s">
        <v>920</v>
      </c>
      <c r="K133" s="275" t="s">
        <v>921</v>
      </c>
      <c r="L133" s="301">
        <v>665</v>
      </c>
      <c r="M133" s="302" t="s">
        <v>982</v>
      </c>
      <c r="O133" s="21">
        <v>45454</v>
      </c>
      <c r="P133" t="s">
        <v>988</v>
      </c>
      <c r="Q133" t="str">
        <f t="shared" si="37"/>
        <v>15 Pro Max 256 BLUE</v>
      </c>
      <c r="R133">
        <v>2440</v>
      </c>
    </row>
    <row r="134" spans="3:18">
      <c r="C134" s="275">
        <v>28</v>
      </c>
      <c r="D134" s="275" t="s">
        <v>979</v>
      </c>
      <c r="E134" s="275" t="s">
        <v>930</v>
      </c>
      <c r="F134" s="275">
        <v>256</v>
      </c>
      <c r="G134" s="275" t="s">
        <v>922</v>
      </c>
      <c r="H134" s="277">
        <v>358862621527705</v>
      </c>
      <c r="I134" s="275" t="s">
        <v>919</v>
      </c>
      <c r="J134" s="275" t="s">
        <v>920</v>
      </c>
      <c r="K134" s="275" t="s">
        <v>921</v>
      </c>
      <c r="L134" s="301">
        <v>665</v>
      </c>
      <c r="M134" s="302" t="s">
        <v>982</v>
      </c>
      <c r="O134" s="21">
        <v>45453</v>
      </c>
      <c r="P134" t="s">
        <v>988</v>
      </c>
      <c r="Q134" t="str">
        <f t="shared" si="37"/>
        <v>15 Pro Max 256 BLUE</v>
      </c>
      <c r="R134">
        <v>2440</v>
      </c>
    </row>
    <row r="135" spans="3:18">
      <c r="C135" s="275">
        <v>29</v>
      </c>
      <c r="D135" s="275" t="s">
        <v>979</v>
      </c>
      <c r="E135" s="275" t="s">
        <v>930</v>
      </c>
      <c r="F135" s="275">
        <v>256</v>
      </c>
      <c r="G135" s="275" t="s">
        <v>922</v>
      </c>
      <c r="H135" s="277">
        <v>355430970046751</v>
      </c>
      <c r="I135" s="275" t="s">
        <v>919</v>
      </c>
      <c r="J135" s="275" t="s">
        <v>920</v>
      </c>
      <c r="K135" s="275" t="s">
        <v>921</v>
      </c>
      <c r="L135" s="301">
        <v>665</v>
      </c>
      <c r="M135" s="302" t="s">
        <v>982</v>
      </c>
      <c r="O135" s="21">
        <v>45454</v>
      </c>
      <c r="P135" t="s">
        <v>988</v>
      </c>
      <c r="Q135" t="str">
        <f t="shared" si="37"/>
        <v>15 Pro Max 256 BLUE</v>
      </c>
      <c r="R135">
        <v>2440</v>
      </c>
    </row>
    <row r="136" spans="3:18">
      <c r="C136" s="275">
        <v>30</v>
      </c>
      <c r="D136" s="275" t="s">
        <v>979</v>
      </c>
      <c r="E136" s="275" t="s">
        <v>930</v>
      </c>
      <c r="F136" s="275">
        <v>256</v>
      </c>
      <c r="G136" s="275" t="s">
        <v>922</v>
      </c>
      <c r="H136" s="277">
        <v>352229492418180</v>
      </c>
      <c r="I136" s="275" t="s">
        <v>919</v>
      </c>
      <c r="J136" s="275" t="s">
        <v>920</v>
      </c>
      <c r="K136" s="275" t="s">
        <v>921</v>
      </c>
      <c r="L136" s="301">
        <v>665</v>
      </c>
      <c r="M136" s="302" t="s">
        <v>982</v>
      </c>
      <c r="O136" s="21">
        <v>45453</v>
      </c>
      <c r="P136" t="s">
        <v>988</v>
      </c>
      <c r="Q136" t="str">
        <f t="shared" si="37"/>
        <v>15 Pro Max 256 BLUE</v>
      </c>
      <c r="R136">
        <v>2440</v>
      </c>
    </row>
    <row r="137" spans="3:18">
      <c r="C137" s="275">
        <v>31</v>
      </c>
      <c r="D137" s="275" t="s">
        <v>979</v>
      </c>
      <c r="E137" s="275" t="s">
        <v>930</v>
      </c>
      <c r="F137" s="275">
        <v>256</v>
      </c>
      <c r="G137" s="275" t="s">
        <v>929</v>
      </c>
      <c r="H137" s="277">
        <v>353468918255524</v>
      </c>
      <c r="I137" s="275" t="s">
        <v>919</v>
      </c>
      <c r="J137" s="275" t="s">
        <v>920</v>
      </c>
      <c r="K137" s="275" t="s">
        <v>921</v>
      </c>
      <c r="L137" s="301">
        <v>730</v>
      </c>
      <c r="M137" s="302" t="s">
        <v>982</v>
      </c>
      <c r="O137" s="21">
        <v>45454</v>
      </c>
      <c r="P137" t="s">
        <v>561</v>
      </c>
      <c r="Q137" t="str">
        <f t="shared" si="37"/>
        <v>15 Pro Max 256 NATURAL</v>
      </c>
      <c r="R137">
        <v>2730</v>
      </c>
    </row>
    <row r="138" spans="3:18">
      <c r="C138" s="275">
        <v>32</v>
      </c>
      <c r="D138" s="275" t="s">
        <v>979</v>
      </c>
      <c r="E138" s="275" t="s">
        <v>930</v>
      </c>
      <c r="F138" s="275">
        <v>256</v>
      </c>
      <c r="G138" s="275" t="s">
        <v>929</v>
      </c>
      <c r="H138" s="277">
        <v>356511214753150</v>
      </c>
      <c r="I138" s="275" t="s">
        <v>919</v>
      </c>
      <c r="J138" s="275" t="s">
        <v>931</v>
      </c>
      <c r="K138" s="275" t="s">
        <v>921</v>
      </c>
      <c r="L138" s="301">
        <v>730</v>
      </c>
      <c r="M138" s="302" t="s">
        <v>982</v>
      </c>
      <c r="O138" s="21">
        <v>45479</v>
      </c>
      <c r="P138" t="s">
        <v>561</v>
      </c>
      <c r="Q138" t="str">
        <f t="shared" si="37"/>
        <v>15 Pro Max 256 NATURAL</v>
      </c>
      <c r="R138">
        <v>2600</v>
      </c>
    </row>
    <row r="139" spans="3:18">
      <c r="C139" s="275">
        <v>33</v>
      </c>
      <c r="D139" s="275" t="s">
        <v>979</v>
      </c>
      <c r="E139" s="275" t="s">
        <v>930</v>
      </c>
      <c r="F139" s="275">
        <v>256</v>
      </c>
      <c r="G139" s="275" t="s">
        <v>929</v>
      </c>
      <c r="H139" s="277">
        <v>352310725208703</v>
      </c>
      <c r="I139" s="275" t="s">
        <v>919</v>
      </c>
      <c r="J139" s="275" t="s">
        <v>920</v>
      </c>
      <c r="K139" s="275" t="s">
        <v>921</v>
      </c>
      <c r="L139" s="301">
        <v>730</v>
      </c>
      <c r="M139" s="302" t="s">
        <v>982</v>
      </c>
      <c r="O139" s="21">
        <v>45454</v>
      </c>
      <c r="P139" t="s">
        <v>561</v>
      </c>
      <c r="Q139" t="str">
        <f t="shared" si="37"/>
        <v>15 Pro Max 256 NATURAL</v>
      </c>
      <c r="R139">
        <v>2730</v>
      </c>
    </row>
    <row r="140" spans="3:18">
      <c r="C140" s="275">
        <v>34</v>
      </c>
      <c r="D140" s="275" t="s">
        <v>979</v>
      </c>
      <c r="E140" s="275" t="s">
        <v>930</v>
      </c>
      <c r="F140" s="275">
        <v>256</v>
      </c>
      <c r="G140" s="275" t="s">
        <v>929</v>
      </c>
      <c r="H140" s="277">
        <v>357275791568915</v>
      </c>
      <c r="I140" s="275" t="s">
        <v>919</v>
      </c>
      <c r="J140" s="275" t="s">
        <v>920</v>
      </c>
      <c r="K140" s="275" t="s">
        <v>921</v>
      </c>
      <c r="L140" s="301">
        <v>730</v>
      </c>
      <c r="M140" s="302" t="s">
        <v>982</v>
      </c>
      <c r="O140" s="21">
        <v>45454</v>
      </c>
      <c r="P140" t="s">
        <v>561</v>
      </c>
      <c r="Q140" t="str">
        <f t="shared" si="37"/>
        <v>15 Pro Max 256 NATURAL</v>
      </c>
      <c r="R140">
        <v>2730</v>
      </c>
    </row>
    <row r="141" spans="3:18">
      <c r="C141" s="275">
        <v>35</v>
      </c>
      <c r="D141" s="275" t="s">
        <v>979</v>
      </c>
      <c r="E141" s="275" t="s">
        <v>930</v>
      </c>
      <c r="F141" s="275">
        <v>256</v>
      </c>
      <c r="G141" s="275" t="s">
        <v>929</v>
      </c>
      <c r="H141" s="277">
        <v>352310725495300</v>
      </c>
      <c r="I141" s="275" t="s">
        <v>919</v>
      </c>
      <c r="J141" s="275" t="s">
        <v>920</v>
      </c>
      <c r="K141" s="275" t="s">
        <v>921</v>
      </c>
      <c r="L141" s="301">
        <v>730</v>
      </c>
      <c r="M141" s="302" t="s">
        <v>982</v>
      </c>
      <c r="O141" s="21">
        <v>45454</v>
      </c>
      <c r="P141" t="s">
        <v>561</v>
      </c>
      <c r="Q141" t="str">
        <f t="shared" si="37"/>
        <v>15 Pro Max 256 NATURAL</v>
      </c>
      <c r="R141">
        <v>2730</v>
      </c>
    </row>
    <row r="142" spans="3:18">
      <c r="C142" s="275">
        <v>36</v>
      </c>
      <c r="D142" s="275" t="s">
        <v>979</v>
      </c>
      <c r="E142" s="275" t="s">
        <v>930</v>
      </c>
      <c r="F142" s="275">
        <v>256</v>
      </c>
      <c r="G142" s="275" t="s">
        <v>929</v>
      </c>
      <c r="H142" s="277">
        <v>355364284899706</v>
      </c>
      <c r="I142" s="275" t="s">
        <v>919</v>
      </c>
      <c r="J142" s="275" t="s">
        <v>931</v>
      </c>
      <c r="K142" s="275" t="s">
        <v>921</v>
      </c>
      <c r="L142" s="301">
        <v>710</v>
      </c>
      <c r="M142" s="302" t="s">
        <v>982</v>
      </c>
      <c r="O142" s="21">
        <v>45479</v>
      </c>
      <c r="P142" t="s">
        <v>561</v>
      </c>
      <c r="Q142" t="str">
        <f t="shared" ref="Q142" si="38">CONCATENATE(E142," ",F142," ",G142)</f>
        <v>15 Pro Max 256 NATURAL</v>
      </c>
      <c r="R142">
        <v>2600</v>
      </c>
    </row>
    <row r="143" spans="3:18">
      <c r="C143" s="275">
        <v>37</v>
      </c>
      <c r="D143" s="275" t="s">
        <v>979</v>
      </c>
      <c r="E143" s="275" t="s">
        <v>930</v>
      </c>
      <c r="F143" s="275">
        <v>256</v>
      </c>
      <c r="G143" s="275" t="s">
        <v>929</v>
      </c>
      <c r="H143" s="277">
        <v>355364286273165</v>
      </c>
      <c r="I143" s="275" t="s">
        <v>919</v>
      </c>
      <c r="J143" s="275" t="s">
        <v>920</v>
      </c>
      <c r="K143" s="275" t="s">
        <v>921</v>
      </c>
      <c r="L143" s="301">
        <v>730</v>
      </c>
      <c r="M143" s="302" t="s">
        <v>982</v>
      </c>
      <c r="O143" s="21">
        <v>45454</v>
      </c>
      <c r="P143" t="s">
        <v>561</v>
      </c>
      <c r="Q143" t="str">
        <f t="shared" si="37"/>
        <v>15 Pro Max 256 NATURAL</v>
      </c>
      <c r="R143">
        <v>2730</v>
      </c>
    </row>
    <row r="144" spans="3:18">
      <c r="C144" s="275">
        <v>38</v>
      </c>
      <c r="D144" s="275" t="s">
        <v>979</v>
      </c>
      <c r="E144" s="275" t="s">
        <v>930</v>
      </c>
      <c r="F144" s="275">
        <v>256</v>
      </c>
      <c r="G144" s="275" t="s">
        <v>929</v>
      </c>
      <c r="H144" s="277">
        <v>351581976075659</v>
      </c>
      <c r="I144" s="275" t="s">
        <v>919</v>
      </c>
      <c r="J144" s="275" t="s">
        <v>920</v>
      </c>
      <c r="K144" s="275" t="s">
        <v>921</v>
      </c>
      <c r="L144" s="301">
        <v>730</v>
      </c>
      <c r="M144" s="302" t="s">
        <v>982</v>
      </c>
      <c r="O144" s="21">
        <v>45454</v>
      </c>
      <c r="P144" t="s">
        <v>561</v>
      </c>
      <c r="Q144" t="str">
        <f t="shared" si="37"/>
        <v>15 Pro Max 256 NATURAL</v>
      </c>
      <c r="R144">
        <v>2730</v>
      </c>
    </row>
    <row r="145" spans="3:18">
      <c r="C145" s="275">
        <v>39</v>
      </c>
      <c r="D145" s="275" t="s">
        <v>979</v>
      </c>
      <c r="E145" s="275" t="s">
        <v>930</v>
      </c>
      <c r="F145" s="275">
        <v>256</v>
      </c>
      <c r="G145" s="275" t="s">
        <v>929</v>
      </c>
      <c r="H145" s="277">
        <v>351581976193007</v>
      </c>
      <c r="I145" s="275" t="s">
        <v>919</v>
      </c>
      <c r="J145" s="275" t="s">
        <v>920</v>
      </c>
      <c r="K145" s="275" t="s">
        <v>921</v>
      </c>
      <c r="L145" s="301">
        <v>730</v>
      </c>
      <c r="M145" s="302" t="s">
        <v>982</v>
      </c>
      <c r="O145" s="21">
        <v>45454</v>
      </c>
      <c r="P145" t="s">
        <v>561</v>
      </c>
      <c r="Q145" t="str">
        <f t="shared" si="37"/>
        <v>15 Pro Max 256 NATURAL</v>
      </c>
      <c r="R145">
        <v>2730</v>
      </c>
    </row>
    <row r="146" spans="3:18">
      <c r="C146" s="275">
        <v>40</v>
      </c>
      <c r="D146" s="275" t="s">
        <v>979</v>
      </c>
      <c r="E146" s="275" t="s">
        <v>930</v>
      </c>
      <c r="F146" s="275">
        <v>256</v>
      </c>
      <c r="G146" s="275" t="s">
        <v>929</v>
      </c>
      <c r="H146" s="277">
        <v>351581976281679</v>
      </c>
      <c r="I146" s="275" t="s">
        <v>919</v>
      </c>
      <c r="J146" s="275" t="s">
        <v>920</v>
      </c>
      <c r="K146" s="275" t="s">
        <v>921</v>
      </c>
      <c r="L146" s="301">
        <v>730</v>
      </c>
      <c r="M146" s="302" t="s">
        <v>982</v>
      </c>
      <c r="O146" s="21">
        <v>45454</v>
      </c>
      <c r="P146" t="s">
        <v>973</v>
      </c>
      <c r="Q146" t="str">
        <f t="shared" si="37"/>
        <v>15 Pro Max 256 NATURAL</v>
      </c>
      <c r="R146">
        <v>2740</v>
      </c>
    </row>
    <row r="147" spans="3:18">
      <c r="C147" s="275">
        <v>41</v>
      </c>
      <c r="D147" s="275" t="s">
        <v>979</v>
      </c>
      <c r="E147" s="275" t="s">
        <v>930</v>
      </c>
      <c r="F147" s="275">
        <v>256</v>
      </c>
      <c r="G147" s="275" t="s">
        <v>929</v>
      </c>
      <c r="H147" s="277">
        <v>351581976176770</v>
      </c>
      <c r="I147" s="275" t="s">
        <v>919</v>
      </c>
      <c r="J147" s="275" t="s">
        <v>920</v>
      </c>
      <c r="K147" s="275" t="s">
        <v>921</v>
      </c>
      <c r="L147" s="301">
        <v>730</v>
      </c>
      <c r="M147" s="302" t="s">
        <v>982</v>
      </c>
      <c r="O147" s="21">
        <v>45454</v>
      </c>
      <c r="P147" t="s">
        <v>973</v>
      </c>
      <c r="Q147" t="str">
        <f t="shared" si="37"/>
        <v>15 Pro Max 256 NATURAL</v>
      </c>
      <c r="R147">
        <v>2740</v>
      </c>
    </row>
    <row r="148" spans="3:18">
      <c r="C148" s="275">
        <v>42</v>
      </c>
      <c r="D148" s="275" t="s">
        <v>979</v>
      </c>
      <c r="E148" s="275" t="s">
        <v>930</v>
      </c>
      <c r="F148" s="275">
        <v>256</v>
      </c>
      <c r="G148" s="275" t="s">
        <v>929</v>
      </c>
      <c r="H148" s="277">
        <v>351581976171607</v>
      </c>
      <c r="I148" s="275" t="s">
        <v>919</v>
      </c>
      <c r="J148" s="275" t="s">
        <v>920</v>
      </c>
      <c r="K148" s="275" t="s">
        <v>921</v>
      </c>
      <c r="L148" s="301">
        <v>730</v>
      </c>
      <c r="M148" s="302" t="s">
        <v>982</v>
      </c>
      <c r="O148" s="21">
        <v>45454</v>
      </c>
      <c r="P148" t="s">
        <v>973</v>
      </c>
      <c r="Q148" t="str">
        <f t="shared" si="37"/>
        <v>15 Pro Max 256 NATURAL</v>
      </c>
      <c r="R148">
        <v>2740</v>
      </c>
    </row>
    <row r="149" spans="3:18">
      <c r="C149" s="275">
        <v>43</v>
      </c>
      <c r="D149" s="275" t="s">
        <v>979</v>
      </c>
      <c r="E149" s="275" t="s">
        <v>930</v>
      </c>
      <c r="F149" s="275">
        <v>256</v>
      </c>
      <c r="G149" s="275" t="s">
        <v>932</v>
      </c>
      <c r="H149" s="277">
        <v>358862625471330</v>
      </c>
      <c r="I149" s="275" t="s">
        <v>919</v>
      </c>
      <c r="J149" s="275" t="s">
        <v>920</v>
      </c>
      <c r="K149" s="275" t="s">
        <v>921</v>
      </c>
      <c r="L149" s="301">
        <v>675</v>
      </c>
      <c r="M149" s="302" t="s">
        <v>982</v>
      </c>
      <c r="O149" s="21">
        <v>45472</v>
      </c>
      <c r="P149" t="s">
        <v>561</v>
      </c>
      <c r="Q149" t="str">
        <f t="shared" si="37"/>
        <v>15 Pro Max 256 WHITE</v>
      </c>
      <c r="R149">
        <v>2500</v>
      </c>
    </row>
    <row r="150" spans="3:18">
      <c r="C150" s="275">
        <v>44</v>
      </c>
      <c r="D150" s="275" t="s">
        <v>979</v>
      </c>
      <c r="E150" s="275" t="s">
        <v>930</v>
      </c>
      <c r="F150" s="275">
        <v>256</v>
      </c>
      <c r="G150" s="275" t="s">
        <v>932</v>
      </c>
      <c r="H150" s="277">
        <v>358862625435228</v>
      </c>
      <c r="I150" s="275" t="s">
        <v>919</v>
      </c>
      <c r="J150" s="275" t="s">
        <v>920</v>
      </c>
      <c r="K150" s="275" t="s">
        <v>921</v>
      </c>
      <c r="L150" s="301">
        <v>675</v>
      </c>
      <c r="M150" s="302" t="s">
        <v>982</v>
      </c>
      <c r="O150" s="21">
        <v>45472</v>
      </c>
      <c r="P150" t="s">
        <v>561</v>
      </c>
      <c r="Q150" t="str">
        <f t="shared" si="37"/>
        <v>15 Pro Max 256 WHITE</v>
      </c>
      <c r="R150">
        <v>2500</v>
      </c>
    </row>
    <row r="151" spans="3:18">
      <c r="C151" s="275">
        <v>45</v>
      </c>
      <c r="D151" s="275" t="s">
        <v>979</v>
      </c>
      <c r="E151" s="275" t="s">
        <v>930</v>
      </c>
      <c r="F151" s="275">
        <v>256</v>
      </c>
      <c r="G151" s="275" t="s">
        <v>932</v>
      </c>
      <c r="H151" s="277">
        <v>356511215694791</v>
      </c>
      <c r="I151" s="275" t="s">
        <v>919</v>
      </c>
      <c r="J151" s="275" t="s">
        <v>920</v>
      </c>
      <c r="K151" s="275" t="s">
        <v>921</v>
      </c>
      <c r="L151" s="301">
        <v>675</v>
      </c>
      <c r="M151" s="302" t="s">
        <v>982</v>
      </c>
      <c r="O151" s="21">
        <v>45472</v>
      </c>
      <c r="P151" t="s">
        <v>561</v>
      </c>
      <c r="Q151" t="str">
        <f t="shared" si="37"/>
        <v>15 Pro Max 256 WHITE</v>
      </c>
      <c r="R151">
        <v>2500</v>
      </c>
    </row>
    <row r="152" spans="3:18">
      <c r="C152" s="275">
        <v>46</v>
      </c>
      <c r="D152" s="275" t="s">
        <v>979</v>
      </c>
      <c r="E152" s="275" t="s">
        <v>930</v>
      </c>
      <c r="F152" s="275">
        <v>256</v>
      </c>
      <c r="G152" s="275" t="s">
        <v>932</v>
      </c>
      <c r="H152" s="277">
        <v>356511215521721</v>
      </c>
      <c r="I152" s="275" t="s">
        <v>919</v>
      </c>
      <c r="J152" s="275" t="s">
        <v>920</v>
      </c>
      <c r="K152" s="275" t="s">
        <v>921</v>
      </c>
      <c r="L152" s="301">
        <v>675</v>
      </c>
      <c r="M152" s="302" t="s">
        <v>982</v>
      </c>
      <c r="O152" s="21">
        <v>45474</v>
      </c>
      <c r="P152" t="s">
        <v>1370</v>
      </c>
      <c r="Q152" t="str">
        <f t="shared" si="37"/>
        <v>15 Pro Max 256 WHITE</v>
      </c>
      <c r="R152">
        <v>2540</v>
      </c>
    </row>
    <row r="153" spans="3:18">
      <c r="C153" s="275">
        <v>47</v>
      </c>
      <c r="D153" s="275" t="s">
        <v>979</v>
      </c>
      <c r="E153" s="275" t="s">
        <v>930</v>
      </c>
      <c r="F153" s="275">
        <v>256</v>
      </c>
      <c r="G153" s="275" t="s">
        <v>932</v>
      </c>
      <c r="H153" s="277">
        <v>351306995689847</v>
      </c>
      <c r="I153" s="275" t="s">
        <v>919</v>
      </c>
      <c r="J153" s="275" t="s">
        <v>920</v>
      </c>
      <c r="K153" s="275" t="s">
        <v>921</v>
      </c>
      <c r="L153" s="301">
        <v>675</v>
      </c>
      <c r="M153" s="302" t="s">
        <v>982</v>
      </c>
      <c r="O153" s="21">
        <v>45474</v>
      </c>
      <c r="P153" t="s">
        <v>1370</v>
      </c>
      <c r="Q153" t="str">
        <f t="shared" si="37"/>
        <v>15 Pro Max 256 WHITE</v>
      </c>
      <c r="R153">
        <v>2540</v>
      </c>
    </row>
    <row r="154" spans="3:18">
      <c r="C154" s="275">
        <v>48</v>
      </c>
      <c r="D154" s="275" t="s">
        <v>979</v>
      </c>
      <c r="E154" s="275" t="s">
        <v>930</v>
      </c>
      <c r="F154" s="275">
        <v>256</v>
      </c>
      <c r="G154" s="275" t="s">
        <v>932</v>
      </c>
      <c r="H154" s="277">
        <v>356964993452629</v>
      </c>
      <c r="I154" s="275" t="s">
        <v>919</v>
      </c>
      <c r="J154" s="275" t="s">
        <v>920</v>
      </c>
      <c r="K154" s="275" t="s">
        <v>921</v>
      </c>
      <c r="L154" s="301">
        <v>675</v>
      </c>
      <c r="M154" s="302" t="s">
        <v>982</v>
      </c>
      <c r="O154" s="21">
        <v>45474</v>
      </c>
      <c r="P154" t="s">
        <v>1370</v>
      </c>
      <c r="Q154" t="str">
        <f t="shared" si="37"/>
        <v>15 Pro Max 256 WHITE</v>
      </c>
      <c r="R154">
        <v>2540</v>
      </c>
    </row>
    <row r="155" spans="3:18">
      <c r="C155" s="275">
        <v>49</v>
      </c>
      <c r="D155" s="275" t="s">
        <v>979</v>
      </c>
      <c r="E155" s="275" t="s">
        <v>930</v>
      </c>
      <c r="F155" s="275">
        <v>256</v>
      </c>
      <c r="G155" s="275" t="s">
        <v>932</v>
      </c>
      <c r="H155" s="277">
        <v>352676523622018</v>
      </c>
      <c r="I155" s="275" t="s">
        <v>919</v>
      </c>
      <c r="J155" s="275" t="s">
        <v>920</v>
      </c>
      <c r="K155" s="275" t="s">
        <v>921</v>
      </c>
      <c r="L155" s="301">
        <v>675</v>
      </c>
      <c r="M155" s="302" t="s">
        <v>982</v>
      </c>
      <c r="O155" s="21">
        <v>45469</v>
      </c>
      <c r="P155" t="s">
        <v>561</v>
      </c>
      <c r="Q155" t="str">
        <f t="shared" si="37"/>
        <v>15 Pro Max 256 WHITE</v>
      </c>
      <c r="R155">
        <v>2560</v>
      </c>
    </row>
    <row r="156" spans="3:18">
      <c r="C156" s="275">
        <v>50</v>
      </c>
      <c r="D156" s="275" t="s">
        <v>979</v>
      </c>
      <c r="E156" s="275" t="s">
        <v>930</v>
      </c>
      <c r="F156" s="275">
        <v>256</v>
      </c>
      <c r="G156" s="275" t="s">
        <v>932</v>
      </c>
      <c r="H156" s="277">
        <v>358606715731222</v>
      </c>
      <c r="I156" s="275" t="s">
        <v>919</v>
      </c>
      <c r="J156" s="275" t="s">
        <v>931</v>
      </c>
      <c r="K156" s="275" t="s">
        <v>921</v>
      </c>
      <c r="L156" s="301">
        <v>655</v>
      </c>
      <c r="M156" s="302" t="s">
        <v>982</v>
      </c>
      <c r="O156" s="21">
        <v>45469</v>
      </c>
      <c r="P156" t="s">
        <v>561</v>
      </c>
      <c r="Q156" t="str">
        <f t="shared" si="37"/>
        <v>15 Pro Max 256 WHITE</v>
      </c>
      <c r="R156">
        <v>2450</v>
      </c>
    </row>
    <row r="157" spans="3:18">
      <c r="C157" s="275">
        <v>51</v>
      </c>
      <c r="D157" s="275" t="s">
        <v>979</v>
      </c>
      <c r="E157" s="275" t="s">
        <v>930</v>
      </c>
      <c r="F157" s="275">
        <v>256</v>
      </c>
      <c r="G157" s="275" t="s">
        <v>932</v>
      </c>
      <c r="H157" s="277">
        <v>355430975876665</v>
      </c>
      <c r="I157" s="275" t="s">
        <v>919</v>
      </c>
      <c r="J157" s="275" t="s">
        <v>931</v>
      </c>
      <c r="K157" s="275" t="s">
        <v>921</v>
      </c>
      <c r="L157" s="301">
        <v>655</v>
      </c>
      <c r="M157" s="302" t="s">
        <v>982</v>
      </c>
      <c r="O157" s="21">
        <v>45479</v>
      </c>
      <c r="P157" t="s">
        <v>561</v>
      </c>
      <c r="Q157" t="str">
        <f t="shared" si="37"/>
        <v>15 Pro Max 256 WHITE</v>
      </c>
      <c r="R157">
        <v>2420</v>
      </c>
    </row>
    <row r="158" spans="3:18">
      <c r="C158" s="275">
        <v>52</v>
      </c>
      <c r="D158" s="275" t="s">
        <v>979</v>
      </c>
      <c r="E158" s="275" t="s">
        <v>930</v>
      </c>
      <c r="F158" s="275">
        <v>256</v>
      </c>
      <c r="G158" s="275" t="s">
        <v>932</v>
      </c>
      <c r="H158" s="277">
        <v>356964995847602</v>
      </c>
      <c r="I158" s="275" t="s">
        <v>919</v>
      </c>
      <c r="J158" s="275" t="s">
        <v>931</v>
      </c>
      <c r="K158" s="275" t="s">
        <v>921</v>
      </c>
      <c r="L158" s="301">
        <v>655</v>
      </c>
      <c r="M158" s="302" t="s">
        <v>982</v>
      </c>
      <c r="O158" s="21">
        <v>45479</v>
      </c>
      <c r="P158" t="s">
        <v>561</v>
      </c>
      <c r="Q158" t="str">
        <f t="shared" si="37"/>
        <v>15 Pro Max 256 WHITE</v>
      </c>
      <c r="R158">
        <v>2420</v>
      </c>
    </row>
    <row r="159" spans="3:18" s="231" customFormat="1">
      <c r="C159" s="377">
        <v>53</v>
      </c>
      <c r="D159" s="377" t="s">
        <v>979</v>
      </c>
      <c r="E159" s="377" t="s">
        <v>930</v>
      </c>
      <c r="F159" s="377">
        <v>512</v>
      </c>
      <c r="G159" s="377" t="s">
        <v>929</v>
      </c>
      <c r="H159" s="378">
        <v>352676524849776</v>
      </c>
      <c r="I159" s="377" t="s">
        <v>919</v>
      </c>
      <c r="J159" s="377" t="s">
        <v>920</v>
      </c>
      <c r="K159" s="377" t="s">
        <v>921</v>
      </c>
      <c r="L159" s="379">
        <v>780</v>
      </c>
      <c r="M159" s="380" t="s">
        <v>982</v>
      </c>
      <c r="P159" s="231" t="s">
        <v>1408</v>
      </c>
      <c r="Q159" s="231" t="str">
        <f t="shared" si="37"/>
        <v>15 Pro Max 512 NATURAL</v>
      </c>
      <c r="R159" s="231">
        <v>0</v>
      </c>
    </row>
    <row r="160" spans="3:18" s="231" customFormat="1">
      <c r="C160" s="377">
        <v>54</v>
      </c>
      <c r="D160" s="377" t="s">
        <v>979</v>
      </c>
      <c r="E160" s="377" t="s">
        <v>930</v>
      </c>
      <c r="F160" s="377" t="s">
        <v>933</v>
      </c>
      <c r="G160" s="377" t="s">
        <v>918</v>
      </c>
      <c r="H160" s="378">
        <v>354934254179205</v>
      </c>
      <c r="I160" s="377" t="s">
        <v>919</v>
      </c>
      <c r="J160" s="377" t="s">
        <v>920</v>
      </c>
      <c r="K160" s="377" t="s">
        <v>921</v>
      </c>
      <c r="L160" s="379">
        <v>820</v>
      </c>
      <c r="M160" s="380" t="s">
        <v>982</v>
      </c>
      <c r="P160" s="231" t="s">
        <v>1408</v>
      </c>
      <c r="Q160" s="231" t="str">
        <f t="shared" si="37"/>
        <v>15 Pro Max 1TB BLACK</v>
      </c>
      <c r="R160" s="231">
        <v>0</v>
      </c>
    </row>
    <row r="161" spans="2:18">
      <c r="B161" t="s">
        <v>1367</v>
      </c>
      <c r="C161" s="275">
        <v>55</v>
      </c>
      <c r="D161" s="275" t="s">
        <v>979</v>
      </c>
      <c r="E161" s="275">
        <v>15</v>
      </c>
      <c r="F161" s="275">
        <v>128</v>
      </c>
      <c r="G161" s="275" t="s">
        <v>918</v>
      </c>
      <c r="H161" s="277">
        <v>356321254364722</v>
      </c>
      <c r="I161" s="275" t="s">
        <v>936</v>
      </c>
      <c r="J161" s="275" t="s">
        <v>931</v>
      </c>
      <c r="K161" s="275" t="s">
        <v>921</v>
      </c>
      <c r="L161" s="301">
        <v>340</v>
      </c>
      <c r="M161" s="303" t="s">
        <v>982</v>
      </c>
      <c r="O161" s="21">
        <v>45478</v>
      </c>
      <c r="P161" t="s">
        <v>561</v>
      </c>
      <c r="Q161" t="str">
        <f t="shared" si="37"/>
        <v>15 128 BLACK</v>
      </c>
      <c r="R161">
        <v>1330</v>
      </c>
    </row>
    <row r="162" spans="2:18">
      <c r="B162" t="s">
        <v>1367</v>
      </c>
      <c r="C162" s="275">
        <v>56</v>
      </c>
      <c r="D162" s="275" t="s">
        <v>979</v>
      </c>
      <c r="E162" s="275">
        <v>15</v>
      </c>
      <c r="F162" s="275">
        <v>128</v>
      </c>
      <c r="G162" s="275" t="s">
        <v>918</v>
      </c>
      <c r="H162" s="277">
        <v>358892501358665</v>
      </c>
      <c r="I162" s="275" t="s">
        <v>936</v>
      </c>
      <c r="J162" s="275" t="s">
        <v>931</v>
      </c>
      <c r="K162" s="275" t="s">
        <v>921</v>
      </c>
      <c r="L162" s="301">
        <v>340</v>
      </c>
      <c r="M162" s="303" t="s">
        <v>982</v>
      </c>
      <c r="O162" s="21">
        <v>45478</v>
      </c>
      <c r="P162" t="s">
        <v>561</v>
      </c>
      <c r="Q162" t="str">
        <f t="shared" si="37"/>
        <v>15 128 BLACK</v>
      </c>
      <c r="R162">
        <v>1330</v>
      </c>
    </row>
    <row r="163" spans="2:18">
      <c r="C163" s="275">
        <v>57</v>
      </c>
      <c r="D163" s="275" t="s">
        <v>979</v>
      </c>
      <c r="E163" s="275" t="s">
        <v>937</v>
      </c>
      <c r="F163" s="275">
        <v>128</v>
      </c>
      <c r="G163" s="275" t="s">
        <v>938</v>
      </c>
      <c r="H163" s="277">
        <v>358677231802482</v>
      </c>
      <c r="I163" s="275" t="s">
        <v>936</v>
      </c>
      <c r="J163" s="275" t="s">
        <v>931</v>
      </c>
      <c r="K163" s="275" t="s">
        <v>921</v>
      </c>
      <c r="L163" s="301">
        <v>380</v>
      </c>
      <c r="M163" s="303" t="s">
        <v>982</v>
      </c>
      <c r="O163" s="21">
        <v>45497</v>
      </c>
      <c r="P163" t="s">
        <v>805</v>
      </c>
      <c r="Q163" t="str">
        <f t="shared" si="37"/>
        <v>13 Pro Max 128 GREEN</v>
      </c>
      <c r="R163">
        <v>0</v>
      </c>
    </row>
    <row r="164" spans="2:18">
      <c r="C164" s="275">
        <v>58</v>
      </c>
      <c r="D164" s="275" t="s">
        <v>979</v>
      </c>
      <c r="E164" s="275" t="s">
        <v>925</v>
      </c>
      <c r="F164" s="275">
        <v>128</v>
      </c>
      <c r="G164" s="275" t="s">
        <v>939</v>
      </c>
      <c r="H164" s="277">
        <v>356752987328123</v>
      </c>
      <c r="I164" s="275" t="s">
        <v>936</v>
      </c>
      <c r="J164" s="275" t="s">
        <v>931</v>
      </c>
      <c r="K164" s="275" t="s">
        <v>921</v>
      </c>
      <c r="L164" s="301">
        <v>350</v>
      </c>
      <c r="M164" s="303" t="s">
        <v>982</v>
      </c>
      <c r="O164" s="21">
        <v>45497</v>
      </c>
      <c r="P164" t="s">
        <v>1594</v>
      </c>
      <c r="Q164" t="str">
        <f t="shared" si="37"/>
        <v>14 Plus 128 STARLIGHT</v>
      </c>
      <c r="R164">
        <v>0</v>
      </c>
    </row>
    <row r="165" spans="2:18">
      <c r="B165" t="s">
        <v>1368</v>
      </c>
      <c r="C165" s="275">
        <v>59</v>
      </c>
      <c r="D165" s="275" t="s">
        <v>979</v>
      </c>
      <c r="E165" s="275" t="s">
        <v>930</v>
      </c>
      <c r="F165" s="275">
        <v>256</v>
      </c>
      <c r="G165" s="275" t="s">
        <v>922</v>
      </c>
      <c r="H165" s="277">
        <v>351581970656090</v>
      </c>
      <c r="I165" s="275" t="s">
        <v>936</v>
      </c>
      <c r="J165" s="275" t="s">
        <v>920</v>
      </c>
      <c r="K165" s="275" t="s">
        <v>921</v>
      </c>
      <c r="L165" s="301">
        <v>635</v>
      </c>
      <c r="M165" s="303" t="s">
        <v>982</v>
      </c>
      <c r="O165" s="21">
        <v>45487</v>
      </c>
      <c r="P165" t="s">
        <v>561</v>
      </c>
      <c r="Q165" t="str">
        <f t="shared" si="37"/>
        <v>15 Pro Max 256 BLUE</v>
      </c>
      <c r="R165">
        <v>2700</v>
      </c>
    </row>
    <row r="166" spans="2:18">
      <c r="C166" s="275">
        <v>60</v>
      </c>
      <c r="D166" s="275" t="s">
        <v>980</v>
      </c>
      <c r="E166" s="275" t="s">
        <v>956</v>
      </c>
      <c r="F166" s="275">
        <v>32</v>
      </c>
      <c r="G166" s="275" t="s">
        <v>957</v>
      </c>
      <c r="H166" s="277">
        <v>355344821429563</v>
      </c>
      <c r="I166" s="275" t="s">
        <v>936</v>
      </c>
      <c r="J166" s="275" t="s">
        <v>931</v>
      </c>
      <c r="K166" s="275" t="s">
        <v>921</v>
      </c>
      <c r="L166" s="301">
        <v>25</v>
      </c>
      <c r="M166" s="302" t="s">
        <v>984</v>
      </c>
      <c r="O166" s="21">
        <v>45497</v>
      </c>
      <c r="P166" t="s">
        <v>1408</v>
      </c>
      <c r="Q166" t="str">
        <f t="shared" si="37"/>
        <v>G-Play 32 --</v>
      </c>
      <c r="R166">
        <v>0</v>
      </c>
    </row>
    <row r="167" spans="2:18">
      <c r="C167" s="275">
        <v>61</v>
      </c>
      <c r="D167" s="275" t="s">
        <v>980</v>
      </c>
      <c r="E167" s="275" t="s">
        <v>956</v>
      </c>
      <c r="F167" s="275">
        <v>64</v>
      </c>
      <c r="G167" s="275" t="s">
        <v>957</v>
      </c>
      <c r="H167" s="277">
        <v>356891115522593</v>
      </c>
      <c r="I167" s="275" t="s">
        <v>936</v>
      </c>
      <c r="J167" s="275" t="s">
        <v>931</v>
      </c>
      <c r="K167" s="275" t="s">
        <v>921</v>
      </c>
      <c r="L167" s="301">
        <v>25</v>
      </c>
      <c r="M167" s="302" t="s">
        <v>985</v>
      </c>
      <c r="O167" s="21">
        <v>45497</v>
      </c>
      <c r="P167" t="s">
        <v>1408</v>
      </c>
      <c r="Q167" t="str">
        <f t="shared" si="37"/>
        <v>G-Play 64 --</v>
      </c>
      <c r="R167">
        <v>0</v>
      </c>
    </row>
    <row r="168" spans="2:18">
      <c r="C168" s="275">
        <v>62</v>
      </c>
      <c r="D168" s="275" t="s">
        <v>980</v>
      </c>
      <c r="E168" s="275" t="s">
        <v>956</v>
      </c>
      <c r="F168" s="275">
        <v>128</v>
      </c>
      <c r="G168" s="275" t="s">
        <v>958</v>
      </c>
      <c r="H168" s="277">
        <v>355986600465166</v>
      </c>
      <c r="I168" s="275" t="s">
        <v>936</v>
      </c>
      <c r="J168" s="275" t="s">
        <v>920</v>
      </c>
      <c r="K168" s="275" t="s">
        <v>921</v>
      </c>
      <c r="L168" s="301">
        <v>25</v>
      </c>
      <c r="M168" s="302" t="s">
        <v>986</v>
      </c>
      <c r="O168" s="21">
        <v>45497</v>
      </c>
      <c r="P168" t="s">
        <v>1408</v>
      </c>
      <c r="Q168" t="str">
        <f>CONCATENATE(E168," ",F168," ",G168)</f>
        <v>G-Play 128 SILVER</v>
      </c>
      <c r="R168">
        <v>0</v>
      </c>
    </row>
    <row r="169" spans="2:18">
      <c r="C169" s="275">
        <v>63</v>
      </c>
      <c r="D169" s="275" t="s">
        <v>977</v>
      </c>
      <c r="E169" s="275" t="s">
        <v>959</v>
      </c>
      <c r="F169" s="275" t="s">
        <v>957</v>
      </c>
      <c r="G169" s="275" t="s">
        <v>918</v>
      </c>
      <c r="H169" s="277">
        <v>351347074903527</v>
      </c>
      <c r="I169" s="275" t="s">
        <v>936</v>
      </c>
      <c r="J169" s="275" t="s">
        <v>931</v>
      </c>
      <c r="K169" s="275" t="s">
        <v>921</v>
      </c>
      <c r="L169" s="301">
        <v>25</v>
      </c>
      <c r="M169" s="302" t="s">
        <v>982</v>
      </c>
      <c r="O169" s="21">
        <v>45497</v>
      </c>
      <c r="P169" t="s">
        <v>1408</v>
      </c>
      <c r="Q169" t="str">
        <f t="shared" si="37"/>
        <v>Galaxy A03s -- BLACK</v>
      </c>
      <c r="R169">
        <v>0</v>
      </c>
    </row>
    <row r="170" spans="2:18">
      <c r="C170" s="275">
        <v>64</v>
      </c>
      <c r="D170" s="275" t="s">
        <v>977</v>
      </c>
      <c r="E170" s="275" t="s">
        <v>959</v>
      </c>
      <c r="F170" s="275" t="s">
        <v>957</v>
      </c>
      <c r="G170" s="275" t="s">
        <v>922</v>
      </c>
      <c r="H170" s="277">
        <v>357052525910337</v>
      </c>
      <c r="I170" s="275" t="s">
        <v>936</v>
      </c>
      <c r="J170" s="275" t="s">
        <v>931</v>
      </c>
      <c r="K170" s="275" t="s">
        <v>921</v>
      </c>
      <c r="L170" s="301">
        <v>25</v>
      </c>
      <c r="M170" s="302" t="s">
        <v>982</v>
      </c>
      <c r="O170" s="21">
        <v>45497</v>
      </c>
      <c r="P170" t="s">
        <v>1408</v>
      </c>
      <c r="Q170" t="str">
        <f t="shared" si="37"/>
        <v>Galaxy A03s -- BLUE</v>
      </c>
      <c r="R170">
        <v>0</v>
      </c>
    </row>
    <row r="171" spans="2:18">
      <c r="C171" s="275">
        <v>65</v>
      </c>
      <c r="D171" s="275" t="s">
        <v>977</v>
      </c>
      <c r="E171" s="275" t="s">
        <v>959</v>
      </c>
      <c r="F171" s="275" t="s">
        <v>957</v>
      </c>
      <c r="G171" s="275" t="s">
        <v>922</v>
      </c>
      <c r="H171" s="277">
        <v>355151133996449</v>
      </c>
      <c r="I171" s="275" t="s">
        <v>936</v>
      </c>
      <c r="J171" s="275" t="s">
        <v>931</v>
      </c>
      <c r="K171" s="275" t="s">
        <v>921</v>
      </c>
      <c r="L171" s="301">
        <v>25</v>
      </c>
      <c r="M171" s="302" t="s">
        <v>982</v>
      </c>
      <c r="O171" s="21">
        <v>45497</v>
      </c>
      <c r="P171" t="s">
        <v>1408</v>
      </c>
      <c r="Q171" t="str">
        <f t="shared" si="37"/>
        <v>Galaxy A03s -- BLUE</v>
      </c>
      <c r="R171">
        <v>0</v>
      </c>
    </row>
    <row r="172" spans="2:18">
      <c r="C172" s="275">
        <v>66</v>
      </c>
      <c r="D172" s="275" t="s">
        <v>977</v>
      </c>
      <c r="E172" s="275" t="s">
        <v>960</v>
      </c>
      <c r="F172" s="275">
        <v>32</v>
      </c>
      <c r="G172" s="275" t="s">
        <v>918</v>
      </c>
      <c r="H172" s="277">
        <v>355250371594336</v>
      </c>
      <c r="I172" s="275" t="s">
        <v>936</v>
      </c>
      <c r="J172" s="275" t="s">
        <v>931</v>
      </c>
      <c r="K172" s="275" t="s">
        <v>921</v>
      </c>
      <c r="L172" s="301">
        <v>25</v>
      </c>
      <c r="M172" s="302" t="s">
        <v>982</v>
      </c>
      <c r="O172" s="21">
        <v>45497</v>
      </c>
      <c r="P172" t="s">
        <v>1408</v>
      </c>
      <c r="Q172" t="str">
        <f t="shared" ref="Q172:Q186" si="39">CONCATENATE(E172," ",F172," ",G172)</f>
        <v>Galaxy A11 32 BLACK</v>
      </c>
      <c r="R172">
        <v>0</v>
      </c>
    </row>
    <row r="173" spans="2:18">
      <c r="C173" s="275">
        <v>67</v>
      </c>
      <c r="D173" s="275" t="s">
        <v>977</v>
      </c>
      <c r="E173" s="275" t="s">
        <v>961</v>
      </c>
      <c r="F173" s="275" t="s">
        <v>957</v>
      </c>
      <c r="G173" s="275" t="s">
        <v>918</v>
      </c>
      <c r="H173" s="277">
        <v>355069177416605</v>
      </c>
      <c r="I173" s="275" t="s">
        <v>936</v>
      </c>
      <c r="J173" s="275" t="s">
        <v>931</v>
      </c>
      <c r="K173" s="275" t="s">
        <v>921</v>
      </c>
      <c r="L173" s="301">
        <v>25</v>
      </c>
      <c r="M173" s="302" t="s">
        <v>982</v>
      </c>
      <c r="O173" s="21">
        <v>45497</v>
      </c>
      <c r="P173" t="s">
        <v>1408</v>
      </c>
      <c r="Q173" t="str">
        <f t="shared" si="39"/>
        <v>Galaxy A12 -- BLACK</v>
      </c>
      <c r="R173">
        <v>0</v>
      </c>
    </row>
    <row r="174" spans="2:18">
      <c r="C174" s="275">
        <v>68</v>
      </c>
      <c r="D174" s="275" t="s">
        <v>977</v>
      </c>
      <c r="E174" s="275" t="s">
        <v>961</v>
      </c>
      <c r="F174" s="275" t="s">
        <v>957</v>
      </c>
      <c r="G174" s="275" t="s">
        <v>918</v>
      </c>
      <c r="H174" s="277">
        <v>355069178166431</v>
      </c>
      <c r="I174" s="275" t="s">
        <v>936</v>
      </c>
      <c r="J174" s="275" t="s">
        <v>931</v>
      </c>
      <c r="K174" s="275" t="s">
        <v>921</v>
      </c>
      <c r="L174" s="301">
        <v>25</v>
      </c>
      <c r="M174" s="302" t="s">
        <v>982</v>
      </c>
      <c r="O174" s="21">
        <v>45497</v>
      </c>
      <c r="P174" t="s">
        <v>1408</v>
      </c>
      <c r="Q174" t="str">
        <f t="shared" si="39"/>
        <v>Galaxy A12 -- BLACK</v>
      </c>
      <c r="R174">
        <v>0</v>
      </c>
    </row>
    <row r="175" spans="2:18">
      <c r="C175" s="275">
        <v>69</v>
      </c>
      <c r="D175" s="275" t="s">
        <v>977</v>
      </c>
      <c r="E175" s="275" t="s">
        <v>962</v>
      </c>
      <c r="F175" s="275">
        <v>32</v>
      </c>
      <c r="G175" s="275" t="s">
        <v>918</v>
      </c>
      <c r="H175" s="277">
        <v>358226400555123</v>
      </c>
      <c r="I175" s="275" t="s">
        <v>936</v>
      </c>
      <c r="J175" s="275" t="s">
        <v>931</v>
      </c>
      <c r="K175" s="275" t="s">
        <v>921</v>
      </c>
      <c r="L175" s="301">
        <v>25</v>
      </c>
      <c r="M175" s="302" t="s">
        <v>982</v>
      </c>
      <c r="O175" s="21">
        <v>45497</v>
      </c>
      <c r="P175" t="s">
        <v>1408</v>
      </c>
      <c r="Q175" t="str">
        <f t="shared" si="39"/>
        <v>Galaxy A13 32 BLACK</v>
      </c>
      <c r="R175">
        <v>0</v>
      </c>
    </row>
    <row r="176" spans="2:18">
      <c r="C176" s="275">
        <v>70</v>
      </c>
      <c r="D176" s="275" t="s">
        <v>977</v>
      </c>
      <c r="E176" s="275" t="s">
        <v>962</v>
      </c>
      <c r="F176" s="275" t="s">
        <v>957</v>
      </c>
      <c r="G176" s="275" t="s">
        <v>918</v>
      </c>
      <c r="H176" s="277">
        <v>358997693099389</v>
      </c>
      <c r="I176" s="275" t="s">
        <v>936</v>
      </c>
      <c r="J176" s="275" t="s">
        <v>931</v>
      </c>
      <c r="K176" s="275" t="s">
        <v>921</v>
      </c>
      <c r="L176" s="301">
        <v>25</v>
      </c>
      <c r="M176" s="302" t="s">
        <v>982</v>
      </c>
      <c r="O176" s="21">
        <v>45497</v>
      </c>
      <c r="P176" t="s">
        <v>1408</v>
      </c>
      <c r="Q176" t="str">
        <f t="shared" si="39"/>
        <v>Galaxy A13 -- BLACK</v>
      </c>
      <c r="R176">
        <v>0</v>
      </c>
    </row>
    <row r="177" spans="2:18">
      <c r="C177" s="275">
        <v>71</v>
      </c>
      <c r="D177" s="275" t="s">
        <v>977</v>
      </c>
      <c r="E177" s="275" t="s">
        <v>963</v>
      </c>
      <c r="F177" s="275">
        <v>64</v>
      </c>
      <c r="G177" s="275" t="s">
        <v>918</v>
      </c>
      <c r="H177" s="277">
        <v>352958242330788</v>
      </c>
      <c r="I177" s="275" t="s">
        <v>936</v>
      </c>
      <c r="J177" s="275" t="s">
        <v>931</v>
      </c>
      <c r="K177" s="275" t="s">
        <v>921</v>
      </c>
      <c r="L177" s="301">
        <v>40</v>
      </c>
      <c r="M177" s="302" t="s">
        <v>982</v>
      </c>
      <c r="O177" s="21">
        <v>45497</v>
      </c>
      <c r="P177" t="s">
        <v>1408</v>
      </c>
      <c r="Q177" t="str">
        <f t="shared" si="39"/>
        <v>Galaxy A14 64 BLACK</v>
      </c>
      <c r="R177">
        <v>0</v>
      </c>
    </row>
    <row r="178" spans="2:18">
      <c r="C178" s="275">
        <v>72</v>
      </c>
      <c r="D178" s="275" t="s">
        <v>977</v>
      </c>
      <c r="E178" s="275" t="s">
        <v>964</v>
      </c>
      <c r="F178" s="282" t="s">
        <v>957</v>
      </c>
      <c r="G178" s="275" t="s">
        <v>918</v>
      </c>
      <c r="H178" s="619">
        <v>354232112295895</v>
      </c>
      <c r="I178" s="275" t="s">
        <v>936</v>
      </c>
      <c r="J178" s="275" t="s">
        <v>931</v>
      </c>
      <c r="K178" s="275" t="s">
        <v>921</v>
      </c>
      <c r="L178" s="301">
        <v>25</v>
      </c>
      <c r="M178" s="302" t="s">
        <v>982</v>
      </c>
      <c r="O178" s="21">
        <v>45497</v>
      </c>
      <c r="P178" t="s">
        <v>1408</v>
      </c>
      <c r="Q178" t="str">
        <f t="shared" si="39"/>
        <v>Galaxy A20 -- BLACK</v>
      </c>
      <c r="R178">
        <v>0</v>
      </c>
    </row>
    <row r="179" spans="2:18">
      <c r="C179" s="275">
        <v>73</v>
      </c>
      <c r="D179" s="275" t="s">
        <v>977</v>
      </c>
      <c r="E179" s="275" t="s">
        <v>965</v>
      </c>
      <c r="F179" s="283"/>
      <c r="G179" s="275" t="s">
        <v>918</v>
      </c>
      <c r="H179" s="619"/>
      <c r="I179" s="275" t="s">
        <v>936</v>
      </c>
      <c r="J179" s="275" t="s">
        <v>931</v>
      </c>
      <c r="K179" s="275" t="s">
        <v>921</v>
      </c>
      <c r="L179" s="301">
        <v>25</v>
      </c>
      <c r="M179" s="302" t="s">
        <v>982</v>
      </c>
      <c r="O179" s="21">
        <v>45497</v>
      </c>
      <c r="P179" t="s">
        <v>1408</v>
      </c>
      <c r="Q179" t="str">
        <f t="shared" si="39"/>
        <v>Galaxy A21`  BLACK</v>
      </c>
      <c r="R179">
        <v>0</v>
      </c>
    </row>
    <row r="180" spans="2:18">
      <c r="C180" s="275">
        <v>74</v>
      </c>
      <c r="D180" s="275" t="s">
        <v>977</v>
      </c>
      <c r="E180" s="275" t="s">
        <v>966</v>
      </c>
      <c r="F180" s="275">
        <v>128</v>
      </c>
      <c r="G180" s="275" t="s">
        <v>918</v>
      </c>
      <c r="H180" s="277">
        <v>350323100459751</v>
      </c>
      <c r="I180" s="275" t="s">
        <v>936</v>
      </c>
      <c r="J180" s="275" t="s">
        <v>931</v>
      </c>
      <c r="K180" s="275" t="s">
        <v>921</v>
      </c>
      <c r="L180" s="301">
        <v>80</v>
      </c>
      <c r="M180" s="302" t="s">
        <v>982</v>
      </c>
      <c r="O180" s="21">
        <v>45497</v>
      </c>
      <c r="P180" t="s">
        <v>1408</v>
      </c>
      <c r="Q180" t="str">
        <f t="shared" si="39"/>
        <v>Galaxy A25 128 BLACK</v>
      </c>
      <c r="R180">
        <v>0</v>
      </c>
    </row>
    <row r="181" spans="2:18">
      <c r="C181" s="275">
        <v>75</v>
      </c>
      <c r="D181" s="275" t="s">
        <v>977</v>
      </c>
      <c r="E181" s="275" t="s">
        <v>966</v>
      </c>
      <c r="F181" s="275">
        <v>128</v>
      </c>
      <c r="G181" s="275" t="s">
        <v>918</v>
      </c>
      <c r="H181" s="277">
        <v>350323100475492</v>
      </c>
      <c r="I181" s="275" t="s">
        <v>936</v>
      </c>
      <c r="J181" s="275" t="s">
        <v>931</v>
      </c>
      <c r="K181" s="275" t="s">
        <v>921</v>
      </c>
      <c r="L181" s="301">
        <v>80</v>
      </c>
      <c r="M181" s="302" t="s">
        <v>982</v>
      </c>
      <c r="O181" s="21">
        <v>45497</v>
      </c>
      <c r="P181" t="s">
        <v>1408</v>
      </c>
      <c r="Q181" t="str">
        <f t="shared" si="39"/>
        <v>Galaxy A25 128 BLACK</v>
      </c>
      <c r="R181">
        <v>0</v>
      </c>
    </row>
    <row r="182" spans="2:18">
      <c r="C182" s="275">
        <v>76</v>
      </c>
      <c r="D182" s="275" t="s">
        <v>977</v>
      </c>
      <c r="E182" s="275" t="s">
        <v>967</v>
      </c>
      <c r="F182" s="275" t="s">
        <v>957</v>
      </c>
      <c r="G182" s="275" t="s">
        <v>918</v>
      </c>
      <c r="H182" s="277">
        <v>351404591111843</v>
      </c>
      <c r="I182" s="275" t="s">
        <v>936</v>
      </c>
      <c r="J182" s="275" t="s">
        <v>931</v>
      </c>
      <c r="K182" s="275" t="s">
        <v>921</v>
      </c>
      <c r="L182" s="301">
        <v>30</v>
      </c>
      <c r="M182" s="302" t="s">
        <v>982</v>
      </c>
      <c r="O182" s="21">
        <v>45497</v>
      </c>
      <c r="P182" t="s">
        <v>1408</v>
      </c>
      <c r="Q182" t="str">
        <f t="shared" si="39"/>
        <v>Galaxy A32 -- BLACK</v>
      </c>
      <c r="R182">
        <v>0</v>
      </c>
    </row>
    <row r="183" spans="2:18">
      <c r="C183" s="275">
        <v>77</v>
      </c>
      <c r="D183" s="275" t="s">
        <v>977</v>
      </c>
      <c r="E183" s="275" t="s">
        <v>968</v>
      </c>
      <c r="F183" s="275">
        <v>128</v>
      </c>
      <c r="G183" s="275" t="s">
        <v>922</v>
      </c>
      <c r="H183" s="277">
        <v>358622090059220</v>
      </c>
      <c r="I183" s="275" t="s">
        <v>936</v>
      </c>
      <c r="J183" s="275" t="s">
        <v>931</v>
      </c>
      <c r="K183" s="275" t="s">
        <v>921</v>
      </c>
      <c r="L183" s="301">
        <v>35</v>
      </c>
      <c r="M183" s="302" t="s">
        <v>982</v>
      </c>
      <c r="O183" s="21">
        <v>45497</v>
      </c>
      <c r="P183" t="s">
        <v>1408</v>
      </c>
      <c r="Q183" t="str">
        <f t="shared" si="39"/>
        <v>Galaxy Note 9 128 BLUE</v>
      </c>
      <c r="R183">
        <v>0</v>
      </c>
    </row>
    <row r="184" spans="2:18">
      <c r="C184" s="275">
        <v>78</v>
      </c>
      <c r="D184" s="275" t="s">
        <v>977</v>
      </c>
      <c r="E184" s="275" t="s">
        <v>969</v>
      </c>
      <c r="F184" s="275">
        <v>128</v>
      </c>
      <c r="G184" s="275" t="s">
        <v>922</v>
      </c>
      <c r="H184" s="277">
        <v>359823618474326</v>
      </c>
      <c r="I184" s="275" t="s">
        <v>936</v>
      </c>
      <c r="J184" s="275" t="s">
        <v>931</v>
      </c>
      <c r="K184" s="275" t="s">
        <v>921</v>
      </c>
      <c r="L184" s="301">
        <v>80</v>
      </c>
      <c r="M184" s="302" t="s">
        <v>982</v>
      </c>
      <c r="O184" s="21">
        <v>45497</v>
      </c>
      <c r="P184" t="s">
        <v>1408</v>
      </c>
      <c r="Q184" t="str">
        <f t="shared" si="39"/>
        <v>Galaxy S20FE 128 BLUE</v>
      </c>
      <c r="R184">
        <v>0</v>
      </c>
    </row>
    <row r="185" spans="2:18">
      <c r="C185" s="275">
        <v>79</v>
      </c>
      <c r="D185" s="275" t="s">
        <v>977</v>
      </c>
      <c r="E185" s="275" t="s">
        <v>970</v>
      </c>
      <c r="F185" s="275">
        <v>64</v>
      </c>
      <c r="G185" s="275" t="s">
        <v>918</v>
      </c>
      <c r="H185" s="277">
        <v>356353086065276</v>
      </c>
      <c r="I185" s="275" t="s">
        <v>936</v>
      </c>
      <c r="J185" s="275" t="s">
        <v>931</v>
      </c>
      <c r="K185" s="275" t="s">
        <v>921</v>
      </c>
      <c r="L185" s="301">
        <v>25</v>
      </c>
      <c r="M185" s="302" t="s">
        <v>982</v>
      </c>
      <c r="O185" s="21">
        <v>45497</v>
      </c>
      <c r="P185" t="s">
        <v>1408</v>
      </c>
      <c r="Q185" t="str">
        <f t="shared" si="39"/>
        <v>Galaxy S8 64 BLACK</v>
      </c>
      <c r="R185">
        <v>0</v>
      </c>
    </row>
    <row r="186" spans="2:18">
      <c r="C186" s="275">
        <v>80</v>
      </c>
      <c r="D186" s="275" t="s">
        <v>977</v>
      </c>
      <c r="E186" s="275" t="s">
        <v>970</v>
      </c>
      <c r="F186" s="284">
        <v>64</v>
      </c>
      <c r="G186" s="275" t="s">
        <v>922</v>
      </c>
      <c r="H186" s="285">
        <v>359759080153586</v>
      </c>
      <c r="I186" s="275" t="s">
        <v>936</v>
      </c>
      <c r="J186" s="275" t="s">
        <v>931</v>
      </c>
      <c r="K186" s="275" t="s">
        <v>921</v>
      </c>
      <c r="L186" s="304">
        <v>25</v>
      </c>
      <c r="M186" s="302" t="s">
        <v>982</v>
      </c>
      <c r="O186" s="21">
        <v>45497</v>
      </c>
      <c r="P186" t="s">
        <v>1408</v>
      </c>
      <c r="Q186" t="str">
        <f t="shared" si="39"/>
        <v>Galaxy S8 64 BLUE</v>
      </c>
      <c r="R186">
        <v>0</v>
      </c>
    </row>
    <row r="187" spans="2:18">
      <c r="B187" t="s">
        <v>1369</v>
      </c>
      <c r="C187" s="275">
        <v>81</v>
      </c>
      <c r="D187" s="275" t="s">
        <v>1365</v>
      </c>
      <c r="E187" s="275" t="s">
        <v>1366</v>
      </c>
      <c r="F187" s="284"/>
      <c r="G187" s="275"/>
      <c r="H187" s="285"/>
      <c r="I187" s="275"/>
      <c r="J187" s="275"/>
      <c r="K187" s="275"/>
      <c r="L187" s="304">
        <v>665</v>
      </c>
      <c r="M187" s="302"/>
    </row>
    <row r="188" spans="2:18">
      <c r="C188" s="286"/>
      <c r="D188" s="286"/>
      <c r="E188" s="286"/>
      <c r="F188" s="286"/>
      <c r="G188" s="286"/>
      <c r="H188" s="286"/>
      <c r="I188" s="286"/>
      <c r="J188" s="286"/>
      <c r="K188" s="286"/>
      <c r="L188" s="287">
        <f>SUM(L107:L187)</f>
        <v>35930</v>
      </c>
      <c r="M188" s="302"/>
      <c r="R188">
        <f>SUM(R107:R186)</f>
        <v>108690</v>
      </c>
    </row>
    <row r="189" spans="2:18">
      <c r="C189" s="302"/>
      <c r="D189" s="302"/>
      <c r="E189" s="302"/>
      <c r="F189" s="302"/>
      <c r="G189" s="302"/>
      <c r="H189" s="302"/>
      <c r="I189" s="302"/>
      <c r="J189" s="302"/>
      <c r="K189" s="302"/>
      <c r="L189" s="302"/>
      <c r="M189" s="302"/>
    </row>
    <row r="192" spans="2:18">
      <c r="P192">
        <v>51</v>
      </c>
    </row>
    <row r="195" spans="3:43">
      <c r="R195" t="s">
        <v>1515</v>
      </c>
      <c r="S195" t="s">
        <v>1529</v>
      </c>
      <c r="AB195" t="s">
        <v>1586</v>
      </c>
      <c r="AC195" t="s">
        <v>1692</v>
      </c>
    </row>
    <row r="196" spans="3:43" ht="18">
      <c r="C196" s="83" t="s">
        <v>22</v>
      </c>
      <c r="D196" s="83" t="s">
        <v>23</v>
      </c>
      <c r="E196" s="84">
        <v>45474</v>
      </c>
      <c r="F196" s="84">
        <v>45475</v>
      </c>
      <c r="G196" s="84">
        <v>45476</v>
      </c>
      <c r="H196" s="84">
        <v>45477</v>
      </c>
      <c r="I196" s="84">
        <v>45478</v>
      </c>
      <c r="J196" s="84">
        <v>45479</v>
      </c>
      <c r="K196" s="84">
        <v>45480</v>
      </c>
      <c r="L196" s="84">
        <v>45481</v>
      </c>
      <c r="M196" s="84">
        <v>45482</v>
      </c>
      <c r="N196" s="84">
        <v>45483</v>
      </c>
      <c r="O196" s="84">
        <v>45484</v>
      </c>
      <c r="P196" s="84">
        <v>45485</v>
      </c>
      <c r="Q196" s="84">
        <v>45486</v>
      </c>
      <c r="R196" s="84">
        <v>45487</v>
      </c>
      <c r="S196" s="84">
        <v>45488</v>
      </c>
      <c r="T196" s="84">
        <v>45489</v>
      </c>
      <c r="U196" s="84">
        <v>45490</v>
      </c>
      <c r="V196" s="84">
        <v>45491</v>
      </c>
      <c r="W196" s="84">
        <v>45492</v>
      </c>
      <c r="X196" s="84">
        <v>45493</v>
      </c>
      <c r="Y196" s="84">
        <v>45494</v>
      </c>
      <c r="Z196" s="84">
        <v>45495</v>
      </c>
      <c r="AA196" s="84">
        <v>45496</v>
      </c>
      <c r="AB196" s="84">
        <v>45497</v>
      </c>
      <c r="AC196" s="84">
        <v>45498</v>
      </c>
      <c r="AD196" s="84">
        <v>45499</v>
      </c>
      <c r="AE196" s="84">
        <v>45500</v>
      </c>
      <c r="AF196" s="84">
        <v>45501</v>
      </c>
      <c r="AG196" s="84">
        <v>45502</v>
      </c>
      <c r="AH196" s="84">
        <v>45503</v>
      </c>
      <c r="AI196" s="85" t="s">
        <v>25</v>
      </c>
      <c r="AK196" s="155"/>
      <c r="AL196" s="164" t="s">
        <v>22</v>
      </c>
      <c r="AM196" s="164" t="s">
        <v>23</v>
      </c>
      <c r="AN196" s="85" t="s">
        <v>25</v>
      </c>
      <c r="AO196" s="85" t="s">
        <v>468</v>
      </c>
      <c r="AP196" s="85" t="s">
        <v>11</v>
      </c>
      <c r="AQ196" s="155"/>
    </row>
    <row r="197" spans="3:43" ht="15.6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K197" s="155"/>
      <c r="AL197" s="156"/>
      <c r="AM197" s="156"/>
      <c r="AN197" s="155"/>
      <c r="AO197" s="155"/>
      <c r="AP197" s="155"/>
      <c r="AQ197" s="155"/>
    </row>
    <row r="198" spans="3:43" ht="15.6">
      <c r="C198" s="26" t="s">
        <v>26</v>
      </c>
      <c r="D198" s="31"/>
      <c r="E198" s="18"/>
      <c r="F198" s="18"/>
      <c r="G198" s="18"/>
      <c r="H198" s="25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K198" s="155"/>
      <c r="AL198" s="157" t="s">
        <v>26</v>
      </c>
      <c r="AM198" s="158"/>
      <c r="AN198" s="159"/>
      <c r="AO198" s="160"/>
      <c r="AP198" s="160"/>
      <c r="AQ198" s="155"/>
    </row>
    <row r="199" spans="3:43" ht="15.6">
      <c r="C199" s="18"/>
      <c r="D199" s="31" t="s">
        <v>29</v>
      </c>
      <c r="E199" s="18">
        <v>4</v>
      </c>
      <c r="F199" s="18"/>
      <c r="G199" s="18"/>
      <c r="H199" s="25">
        <v>-3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>
        <v>2</v>
      </c>
      <c r="AD199" s="18">
        <v>-1</v>
      </c>
      <c r="AE199" s="18"/>
      <c r="AF199" s="18"/>
      <c r="AG199" s="18"/>
      <c r="AH199" s="18">
        <v>3</v>
      </c>
      <c r="AI199" s="18">
        <f t="shared" ref="AI199:AI206" si="40">SUM(E199:AH199)</f>
        <v>5</v>
      </c>
      <c r="AK199" s="155"/>
      <c r="AL199" s="159"/>
      <c r="AM199" s="31" t="s">
        <v>29</v>
      </c>
      <c r="AN199" s="159">
        <f t="shared" ref="AN199:AN206" si="41">AI199</f>
        <v>5</v>
      </c>
      <c r="AO199" s="201">
        <f>202000/77</f>
        <v>2623.3766233766232</v>
      </c>
      <c r="AP199" s="422">
        <f t="shared" ref="AP199:AP206" si="42">AN199*AO199</f>
        <v>13116.883116883117</v>
      </c>
      <c r="AQ199" s="155" t="s">
        <v>721</v>
      </c>
    </row>
    <row r="200" spans="3:43" ht="28.2">
      <c r="C200" s="18"/>
      <c r="D200" s="31" t="s">
        <v>1528</v>
      </c>
      <c r="E200" s="18"/>
      <c r="F200" s="18"/>
      <c r="G200" s="18"/>
      <c r="H200" s="25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>
        <v>6</v>
      </c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>
        <v>-1</v>
      </c>
      <c r="AE200" s="18"/>
      <c r="AF200" s="18"/>
      <c r="AG200" s="18"/>
      <c r="AH200" s="18">
        <v>-1</v>
      </c>
      <c r="AI200" s="18">
        <f t="shared" si="40"/>
        <v>4</v>
      </c>
      <c r="AK200" s="155"/>
      <c r="AL200" s="159"/>
      <c r="AM200" s="31" t="s">
        <v>1528</v>
      </c>
      <c r="AN200" s="159">
        <f t="shared" si="41"/>
        <v>4</v>
      </c>
      <c r="AO200" s="159">
        <v>2445</v>
      </c>
      <c r="AP200" s="161">
        <f t="shared" si="42"/>
        <v>9780</v>
      </c>
      <c r="AQ200" s="155"/>
    </row>
    <row r="201" spans="3:43" ht="28.2">
      <c r="C201" s="18"/>
      <c r="D201" s="31" t="s">
        <v>1704</v>
      </c>
      <c r="E201" s="18"/>
      <c r="F201" s="18"/>
      <c r="G201" s="18"/>
      <c r="H201" s="25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>
        <v>5</v>
      </c>
      <c r="AI201" s="18">
        <f t="shared" si="40"/>
        <v>5</v>
      </c>
      <c r="AK201" s="155"/>
      <c r="AL201" s="159"/>
      <c r="AM201" s="31" t="str">
        <f>D201</f>
        <v>IP 15Promax 512Gb JV</v>
      </c>
      <c r="AN201" s="159">
        <f t="shared" si="41"/>
        <v>5</v>
      </c>
      <c r="AO201" s="159">
        <v>2792</v>
      </c>
      <c r="AP201" s="161">
        <f t="shared" si="42"/>
        <v>13960</v>
      </c>
      <c r="AQ201" s="155"/>
    </row>
    <row r="202" spans="3:43" ht="15.6">
      <c r="C202" s="18"/>
      <c r="D202" s="31" t="s">
        <v>1526</v>
      </c>
      <c r="E202" s="18"/>
      <c r="F202" s="18"/>
      <c r="G202" s="18"/>
      <c r="H202" s="25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>
        <v>1</v>
      </c>
      <c r="T202" s="18"/>
      <c r="U202" s="18"/>
      <c r="V202" s="18"/>
      <c r="W202" s="18"/>
      <c r="X202" s="18"/>
      <c r="Y202" s="18"/>
      <c r="Z202" s="18"/>
      <c r="AA202" s="18"/>
      <c r="AB202" s="18"/>
      <c r="AC202" s="18">
        <v>2</v>
      </c>
      <c r="AD202" s="18"/>
      <c r="AE202" s="18"/>
      <c r="AF202" s="18"/>
      <c r="AG202" s="18"/>
      <c r="AH202" s="18"/>
      <c r="AI202" s="18">
        <f t="shared" si="40"/>
        <v>3</v>
      </c>
      <c r="AK202" s="155"/>
      <c r="AL202" s="159"/>
      <c r="AM202" s="31" t="s">
        <v>1526</v>
      </c>
      <c r="AN202" s="159">
        <f t="shared" si="41"/>
        <v>3</v>
      </c>
      <c r="AO202" s="201">
        <v>2210</v>
      </c>
      <c r="AP202" s="161">
        <f t="shared" si="42"/>
        <v>6630</v>
      </c>
      <c r="AQ202" s="155"/>
    </row>
    <row r="203" spans="3:43" ht="15.6">
      <c r="C203" s="18"/>
      <c r="D203" s="31" t="s">
        <v>1527</v>
      </c>
      <c r="E203" s="18"/>
      <c r="F203" s="18"/>
      <c r="G203" s="18"/>
      <c r="H203" s="25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>
        <v>2</v>
      </c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>
        <v>-1</v>
      </c>
      <c r="AI203" s="18">
        <f t="shared" si="40"/>
        <v>1</v>
      </c>
      <c r="AK203" s="155"/>
      <c r="AL203" s="159"/>
      <c r="AM203" s="31" t="s">
        <v>1527</v>
      </c>
      <c r="AN203" s="159">
        <f t="shared" si="41"/>
        <v>1</v>
      </c>
      <c r="AO203" s="201">
        <v>2350</v>
      </c>
      <c r="AP203" s="161">
        <f t="shared" si="42"/>
        <v>2350</v>
      </c>
      <c r="AQ203" s="155"/>
    </row>
    <row r="204" spans="3:43" ht="15.6">
      <c r="C204" s="18"/>
      <c r="D204" s="31" t="s">
        <v>1616</v>
      </c>
      <c r="E204" s="18"/>
      <c r="F204" s="18"/>
      <c r="G204" s="18"/>
      <c r="H204" s="25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>
        <v>1</v>
      </c>
      <c r="AD204" s="18"/>
      <c r="AE204" s="18"/>
      <c r="AF204" s="18"/>
      <c r="AG204" s="18"/>
      <c r="AH204" s="18"/>
      <c r="AI204" s="18">
        <f t="shared" si="40"/>
        <v>1</v>
      </c>
      <c r="AK204" s="155"/>
      <c r="AL204" s="159"/>
      <c r="AM204" s="31" t="str">
        <f>D204</f>
        <v>IP 15Pro 1TB Lock</v>
      </c>
      <c r="AN204" s="159">
        <f t="shared" si="41"/>
        <v>1</v>
      </c>
      <c r="AO204" s="201"/>
      <c r="AP204" s="161"/>
      <c r="AQ204" s="155"/>
    </row>
    <row r="205" spans="3:43" ht="15.6">
      <c r="C205" s="18"/>
      <c r="D205" s="31" t="s">
        <v>1147</v>
      </c>
      <c r="E205" s="18"/>
      <c r="F205" s="18"/>
      <c r="G205" s="18"/>
      <c r="H205" s="25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>
        <v>2</v>
      </c>
      <c r="T205" s="18"/>
      <c r="U205" s="18"/>
      <c r="V205" s="18"/>
      <c r="W205" s="18"/>
      <c r="X205" s="18"/>
      <c r="Y205" s="18"/>
      <c r="Z205" s="18"/>
      <c r="AA205" s="18"/>
      <c r="AB205" s="18"/>
      <c r="AC205" s="18">
        <f>12-12</f>
        <v>0</v>
      </c>
      <c r="AD205" s="18">
        <v>-2</v>
      </c>
      <c r="AE205" s="18"/>
      <c r="AF205" s="18"/>
      <c r="AG205" s="18"/>
      <c r="AH205" s="18"/>
      <c r="AI205" s="18">
        <f t="shared" si="40"/>
        <v>0</v>
      </c>
      <c r="AK205" s="155"/>
      <c r="AL205" s="159"/>
      <c r="AM205" s="31" t="s">
        <v>1147</v>
      </c>
      <c r="AN205" s="159">
        <f t="shared" si="41"/>
        <v>0</v>
      </c>
      <c r="AO205" s="201">
        <v>0</v>
      </c>
      <c r="AP205" s="161">
        <f t="shared" si="42"/>
        <v>0</v>
      </c>
      <c r="AQ205" s="155"/>
    </row>
    <row r="206" spans="3:43" ht="15.6">
      <c r="C206" s="18"/>
      <c r="D206" s="31" t="s">
        <v>1585</v>
      </c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>
        <v>1</v>
      </c>
      <c r="AC206" s="18"/>
      <c r="AD206" s="18"/>
      <c r="AE206" s="18"/>
      <c r="AF206" s="18"/>
      <c r="AG206" s="18"/>
      <c r="AH206" s="18"/>
      <c r="AI206" s="18">
        <f t="shared" si="40"/>
        <v>1</v>
      </c>
      <c r="AK206" s="155"/>
      <c r="AL206" s="159"/>
      <c r="AM206" s="32" t="str">
        <f>D206</f>
        <v>IP 14Plus 128GB Lock</v>
      </c>
      <c r="AN206" s="18">
        <f t="shared" si="41"/>
        <v>1</v>
      </c>
      <c r="AO206" s="201">
        <v>1450</v>
      </c>
      <c r="AP206" s="161">
        <f t="shared" si="42"/>
        <v>1450</v>
      </c>
      <c r="AQ206" s="155"/>
    </row>
    <row r="207" spans="3:43" ht="15.6">
      <c r="C207" s="18"/>
      <c r="D207" s="31" t="s">
        <v>228</v>
      </c>
      <c r="E207" s="18">
        <v>2</v>
      </c>
      <c r="F207" s="18"/>
      <c r="G207" s="18"/>
      <c r="H207" s="25"/>
      <c r="I207" s="18"/>
      <c r="J207" s="18"/>
      <c r="K207" s="18"/>
      <c r="L207" s="18"/>
      <c r="M207" s="18"/>
      <c r="N207" s="18"/>
      <c r="O207" s="18"/>
      <c r="P207" s="18"/>
      <c r="Q207" s="18"/>
      <c r="R207" s="18">
        <v>-2</v>
      </c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>
        <f t="shared" ref="AI207:AI213" si="43">SUM(E207:AH207)</f>
        <v>0</v>
      </c>
      <c r="AK207" s="155"/>
      <c r="AL207" s="159"/>
      <c r="AM207" s="31" t="s">
        <v>228</v>
      </c>
      <c r="AN207" s="18">
        <f t="shared" ref="AN207:AN213" si="44">AI207</f>
        <v>0</v>
      </c>
      <c r="AO207" s="202">
        <v>0</v>
      </c>
      <c r="AP207" s="161">
        <f t="shared" ref="AP207:AP213" si="45">AN207*AO207</f>
        <v>0</v>
      </c>
      <c r="AQ207" s="155"/>
    </row>
    <row r="208" spans="3:43" ht="15.6">
      <c r="C208" s="18"/>
      <c r="D208" s="31" t="s">
        <v>36</v>
      </c>
      <c r="E208" s="18">
        <v>12</v>
      </c>
      <c r="F208" s="18"/>
      <c r="G208" s="18"/>
      <c r="H208" s="25"/>
      <c r="I208" s="18"/>
      <c r="J208" s="18">
        <v>-3</v>
      </c>
      <c r="K208" s="18"/>
      <c r="L208" s="18"/>
      <c r="M208" s="18">
        <v>-7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>
        <f t="shared" si="43"/>
        <v>2</v>
      </c>
      <c r="AK208" s="155"/>
      <c r="AL208" s="159"/>
      <c r="AM208" s="31" t="s">
        <v>36</v>
      </c>
      <c r="AN208" s="18">
        <f t="shared" si="44"/>
        <v>2</v>
      </c>
      <c r="AO208" s="202">
        <v>1411.35</v>
      </c>
      <c r="AP208" s="161">
        <f t="shared" si="45"/>
        <v>2822.7</v>
      </c>
      <c r="AQ208" s="155"/>
    </row>
    <row r="209" spans="3:43" ht="15.6">
      <c r="C209" s="18"/>
      <c r="D209" s="31" t="s">
        <v>37</v>
      </c>
      <c r="E209" s="18">
        <v>14</v>
      </c>
      <c r="F209" s="18">
        <v>-5</v>
      </c>
      <c r="G209" s="18"/>
      <c r="H209" s="25"/>
      <c r="I209" s="18"/>
      <c r="J209" s="18">
        <v>-7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>
        <f t="shared" si="43"/>
        <v>2</v>
      </c>
      <c r="AK209" s="155"/>
      <c r="AL209" s="159"/>
      <c r="AM209" s="31" t="s">
        <v>37</v>
      </c>
      <c r="AN209" s="18">
        <f t="shared" si="44"/>
        <v>2</v>
      </c>
      <c r="AO209" s="202">
        <v>1766.37</v>
      </c>
      <c r="AP209" s="161">
        <f t="shared" si="45"/>
        <v>3532.74</v>
      </c>
      <c r="AQ209" s="155"/>
    </row>
    <row r="210" spans="3:43" ht="15.6">
      <c r="C210" s="18"/>
      <c r="D210" s="31"/>
      <c r="E210" s="18"/>
      <c r="F210" s="18"/>
      <c r="G210" s="18"/>
      <c r="H210" s="25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>
        <f t="shared" si="43"/>
        <v>0</v>
      </c>
      <c r="AK210" s="155"/>
      <c r="AL210" s="159"/>
      <c r="AM210" s="31"/>
      <c r="AN210" s="18"/>
      <c r="AO210" s="201"/>
      <c r="AP210" s="161"/>
      <c r="AQ210" s="155"/>
    </row>
    <row r="211" spans="3:43" ht="15.6">
      <c r="C211" s="18"/>
      <c r="D211" s="31" t="s">
        <v>41</v>
      </c>
      <c r="E211" s="18">
        <v>2</v>
      </c>
      <c r="F211" s="18"/>
      <c r="G211" s="18"/>
      <c r="H211" s="25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>
        <v>-2</v>
      </c>
      <c r="AE211" s="18"/>
      <c r="AF211" s="18"/>
      <c r="AG211" s="18"/>
      <c r="AH211" s="18"/>
      <c r="AI211" s="18">
        <f t="shared" si="43"/>
        <v>0</v>
      </c>
      <c r="AK211" s="155"/>
      <c r="AL211" s="159"/>
      <c r="AM211" s="31" t="s">
        <v>41</v>
      </c>
      <c r="AN211" s="18">
        <f t="shared" si="44"/>
        <v>0</v>
      </c>
      <c r="AO211" s="201">
        <v>0</v>
      </c>
      <c r="AP211" s="161">
        <f t="shared" si="45"/>
        <v>0</v>
      </c>
      <c r="AQ211" s="155"/>
    </row>
    <row r="212" spans="3:43" ht="15.6">
      <c r="C212" s="18"/>
      <c r="D212" s="31" t="s">
        <v>40</v>
      </c>
      <c r="E212" s="18">
        <v>11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>
        <v>-10</v>
      </c>
      <c r="AE212" s="18"/>
      <c r="AF212" s="18"/>
      <c r="AG212" s="18"/>
      <c r="AH212" s="18">
        <v>-1</v>
      </c>
      <c r="AI212" s="18">
        <f t="shared" si="43"/>
        <v>0</v>
      </c>
      <c r="AK212" s="155"/>
      <c r="AL212" s="159"/>
      <c r="AM212" s="31" t="s">
        <v>40</v>
      </c>
      <c r="AN212" s="18">
        <f t="shared" si="44"/>
        <v>0</v>
      </c>
      <c r="AO212" s="201">
        <v>925</v>
      </c>
      <c r="AP212" s="161">
        <f t="shared" si="45"/>
        <v>0</v>
      </c>
      <c r="AQ212" s="155"/>
    </row>
    <row r="213" spans="3:43" ht="15.6">
      <c r="C213" s="18"/>
      <c r="D213" s="31" t="s">
        <v>1524</v>
      </c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>
        <v>1</v>
      </c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>
        <v>-1</v>
      </c>
      <c r="AI213" s="18">
        <f t="shared" si="43"/>
        <v>0</v>
      </c>
      <c r="AK213" s="155"/>
      <c r="AL213" s="159"/>
      <c r="AM213" s="31" t="s">
        <v>1525</v>
      </c>
      <c r="AN213" s="18">
        <f t="shared" si="44"/>
        <v>0</v>
      </c>
      <c r="AO213" s="201">
        <v>1040</v>
      </c>
      <c r="AP213" s="161">
        <f t="shared" si="45"/>
        <v>0</v>
      </c>
      <c r="AQ213" s="155"/>
    </row>
    <row r="214" spans="3:43" ht="15.6">
      <c r="C214" s="18"/>
      <c r="D214" s="31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K214" s="155"/>
      <c r="AL214" s="159"/>
      <c r="AM214" s="31"/>
      <c r="AN214" s="18"/>
      <c r="AO214" s="201"/>
      <c r="AP214" s="161"/>
      <c r="AQ214" s="155"/>
    </row>
    <row r="215" spans="3:43" ht="15.6">
      <c r="C215" s="18"/>
      <c r="D215" s="31" t="s">
        <v>229</v>
      </c>
      <c r="E215" s="18">
        <v>2</v>
      </c>
      <c r="F215" s="18"/>
      <c r="G215" s="18"/>
      <c r="H215" s="25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>
        <f t="shared" ref="AI215:AI217" si="46">SUM(E215:AH215)</f>
        <v>2</v>
      </c>
      <c r="AK215" s="155"/>
      <c r="AL215" s="159"/>
      <c r="AM215" s="31" t="s">
        <v>229</v>
      </c>
      <c r="AN215" s="18">
        <f t="shared" ref="AN215:AN217" si="47">AI215</f>
        <v>2</v>
      </c>
      <c r="AO215" s="202">
        <v>1169</v>
      </c>
      <c r="AP215" s="161">
        <f t="shared" ref="AP215:AP217" si="48">AN215*AO215</f>
        <v>2338</v>
      </c>
      <c r="AQ215" s="155"/>
    </row>
    <row r="216" spans="3:43" ht="15.6">
      <c r="C216" s="18"/>
      <c r="D216" s="32" t="s">
        <v>560</v>
      </c>
      <c r="E216" s="18">
        <v>2</v>
      </c>
      <c r="F216" s="18"/>
      <c r="G216" s="18"/>
      <c r="H216" s="25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>
        <f t="shared" si="46"/>
        <v>2</v>
      </c>
      <c r="AK216" s="155"/>
      <c r="AL216" s="159"/>
      <c r="AM216" s="32" t="s">
        <v>560</v>
      </c>
      <c r="AN216" s="18">
        <f t="shared" si="47"/>
        <v>2</v>
      </c>
      <c r="AO216" s="201">
        <v>1013</v>
      </c>
      <c r="AP216" s="161">
        <f t="shared" si="48"/>
        <v>2026</v>
      </c>
      <c r="AQ216" s="155"/>
    </row>
    <row r="217" spans="3:43" ht="15.6">
      <c r="C217" s="18"/>
      <c r="D217" s="32" t="s">
        <v>230</v>
      </c>
      <c r="E217" s="18">
        <v>1</v>
      </c>
      <c r="F217" s="18"/>
      <c r="G217" s="18"/>
      <c r="H217" s="18"/>
      <c r="I217" s="18"/>
      <c r="J217" s="18">
        <v>-1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>
        <f t="shared" si="46"/>
        <v>0</v>
      </c>
      <c r="AK217" s="155"/>
      <c r="AL217" s="159"/>
      <c r="AM217" s="32" t="s">
        <v>230</v>
      </c>
      <c r="AN217" s="18">
        <f t="shared" si="47"/>
        <v>0</v>
      </c>
      <c r="AO217" s="201">
        <v>0</v>
      </c>
      <c r="AP217" s="161">
        <f t="shared" si="48"/>
        <v>0</v>
      </c>
      <c r="AQ217" s="155"/>
    </row>
    <row r="218" spans="3:43" ht="15.6">
      <c r="C218" s="18"/>
      <c r="D218" s="31"/>
      <c r="E218" s="18"/>
      <c r="F218" s="18"/>
      <c r="G218" s="18"/>
      <c r="H218" s="25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K218" s="155"/>
      <c r="AL218" s="159"/>
      <c r="AM218" s="31"/>
      <c r="AN218" s="18"/>
      <c r="AO218" s="201"/>
      <c r="AP218" s="161"/>
      <c r="AQ218" s="155"/>
    </row>
    <row r="219" spans="3:43" ht="15.6">
      <c r="C219" s="18"/>
      <c r="D219" s="31" t="s">
        <v>231</v>
      </c>
      <c r="E219" s="18">
        <v>6</v>
      </c>
      <c r="F219" s="18">
        <v>-5</v>
      </c>
      <c r="G219" s="18"/>
      <c r="H219" s="25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>
        <f t="shared" ref="AI219:AI222" si="49">SUM(E219:AH219)</f>
        <v>1</v>
      </c>
      <c r="AK219" s="155"/>
      <c r="AL219" s="159"/>
      <c r="AM219" s="31" t="s">
        <v>231</v>
      </c>
      <c r="AN219" s="18">
        <f t="shared" ref="AN219:AN223" si="50">AI219</f>
        <v>1</v>
      </c>
      <c r="AO219" s="201">
        <v>926.35599999999999</v>
      </c>
      <c r="AP219" s="161">
        <f t="shared" ref="AP219:AP220" si="51">AN219*AO219</f>
        <v>926.35599999999999</v>
      </c>
      <c r="AQ219" s="155"/>
    </row>
    <row r="220" spans="3:43" ht="15.6">
      <c r="C220" s="18"/>
      <c r="D220" s="31" t="s">
        <v>232</v>
      </c>
      <c r="E220" s="18">
        <v>50</v>
      </c>
      <c r="F220" s="18">
        <v>-50</v>
      </c>
      <c r="G220" s="18"/>
      <c r="H220" s="25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>
        <f t="shared" si="49"/>
        <v>0</v>
      </c>
      <c r="AK220" s="155"/>
      <c r="AL220" s="159"/>
      <c r="AM220" s="31" t="s">
        <v>232</v>
      </c>
      <c r="AN220" s="18">
        <f t="shared" si="50"/>
        <v>0</v>
      </c>
      <c r="AO220" s="201">
        <v>0</v>
      </c>
      <c r="AP220" s="161">
        <f t="shared" si="51"/>
        <v>0</v>
      </c>
      <c r="AQ220" s="155"/>
    </row>
    <row r="221" spans="3:43" ht="15.6">
      <c r="C221" s="18"/>
      <c r="D221" s="31" t="s">
        <v>233</v>
      </c>
      <c r="E221" s="18">
        <v>1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>
        <f t="shared" si="49"/>
        <v>1</v>
      </c>
      <c r="AK221" s="155"/>
      <c r="AL221" s="159"/>
      <c r="AM221" s="31" t="s">
        <v>233</v>
      </c>
      <c r="AN221" s="18">
        <f t="shared" si="50"/>
        <v>1</v>
      </c>
      <c r="AO221" s="202">
        <v>780.56</v>
      </c>
      <c r="AP221" s="161">
        <f t="shared" ref="AP221" si="52">AN221*AO221</f>
        <v>780.56</v>
      </c>
      <c r="AQ221" s="155"/>
    </row>
    <row r="222" spans="3:43" ht="15.6">
      <c r="C222" s="18"/>
      <c r="D222" s="31" t="s">
        <v>234</v>
      </c>
      <c r="E222" s="18">
        <v>4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>
        <f t="shared" si="49"/>
        <v>4</v>
      </c>
      <c r="AK222" s="155"/>
      <c r="AL222" s="159"/>
      <c r="AM222" s="31" t="s">
        <v>234</v>
      </c>
      <c r="AN222" s="18">
        <f t="shared" si="50"/>
        <v>4</v>
      </c>
      <c r="AO222" s="201">
        <v>489</v>
      </c>
      <c r="AP222" s="161">
        <f t="shared" ref="AP222:AP223" si="53">AN222*AO222</f>
        <v>1956</v>
      </c>
      <c r="AQ222" s="155"/>
    </row>
    <row r="223" spans="3:43" ht="15.6">
      <c r="C223" s="18"/>
      <c r="D223" s="31" t="s">
        <v>235</v>
      </c>
      <c r="E223" s="18">
        <v>5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>
        <f>SUM(E223:AH223)</f>
        <v>5</v>
      </c>
      <c r="AK223" s="155"/>
      <c r="AL223" s="159"/>
      <c r="AM223" s="31" t="s">
        <v>235</v>
      </c>
      <c r="AN223" s="18">
        <f t="shared" si="50"/>
        <v>5</v>
      </c>
      <c r="AO223" s="201">
        <v>524.04999999999995</v>
      </c>
      <c r="AP223" s="161">
        <f t="shared" si="53"/>
        <v>2620.25</v>
      </c>
      <c r="AQ223" s="155"/>
    </row>
    <row r="224" spans="3:43" ht="15.6">
      <c r="C224" s="18"/>
      <c r="D224" s="3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K224" s="155"/>
      <c r="AL224" s="159"/>
      <c r="AM224" s="31"/>
      <c r="AN224" s="18"/>
      <c r="AO224" s="201"/>
      <c r="AP224" s="161"/>
      <c r="AQ224" s="155"/>
    </row>
    <row r="225" spans="3:43" ht="15.6">
      <c r="C225" s="18"/>
      <c r="D225" s="58" t="s">
        <v>636</v>
      </c>
      <c r="E225" s="30">
        <v>10</v>
      </c>
      <c r="F225" s="30">
        <v>2</v>
      </c>
      <c r="G225" s="30"/>
      <c r="H225" s="18"/>
      <c r="I225" s="18">
        <f>-3+3</f>
        <v>0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>
        <v>1</v>
      </c>
      <c r="X225" s="18"/>
      <c r="Y225" s="18"/>
      <c r="Z225" s="18">
        <v>-7</v>
      </c>
      <c r="AA225" s="18">
        <v>-2</v>
      </c>
      <c r="AB225" s="18"/>
      <c r="AC225" s="18"/>
      <c r="AD225" s="18"/>
      <c r="AE225" s="18"/>
      <c r="AF225" s="18">
        <v>-3</v>
      </c>
      <c r="AG225" s="18">
        <v>2</v>
      </c>
      <c r="AH225" s="18"/>
      <c r="AI225" s="18">
        <f>SUM(E225:AH225)</f>
        <v>3</v>
      </c>
      <c r="AK225" s="155"/>
      <c r="AL225" s="159"/>
      <c r="AM225" s="58" t="str">
        <f>D225</f>
        <v>Watch Ultra 2</v>
      </c>
      <c r="AN225" s="18">
        <f t="shared" ref="AN225:AN226" si="54">AI225</f>
        <v>3</v>
      </c>
      <c r="AO225" s="202">
        <f>180000/77</f>
        <v>2337.6623376623374</v>
      </c>
      <c r="AP225" s="161">
        <f t="shared" ref="AP225:AP226" si="55">AN225*AO225</f>
        <v>7012.9870129870123</v>
      </c>
      <c r="AQ225" s="155" t="s">
        <v>1566</v>
      </c>
    </row>
    <row r="226" spans="3:43" ht="15.6">
      <c r="C226" s="18"/>
      <c r="D226" s="58" t="s">
        <v>463</v>
      </c>
      <c r="E226" s="30">
        <v>1</v>
      </c>
      <c r="F226" s="30"/>
      <c r="G226" s="30"/>
      <c r="H226" s="25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>
        <f>SUM(E226:AH226)</f>
        <v>1</v>
      </c>
      <c r="AK226" s="155"/>
      <c r="AL226" s="159"/>
      <c r="AM226" s="58" t="s">
        <v>463</v>
      </c>
      <c r="AN226" s="18">
        <f t="shared" si="54"/>
        <v>1</v>
      </c>
      <c r="AO226" s="201">
        <v>300</v>
      </c>
      <c r="AP226" s="161">
        <f t="shared" si="55"/>
        <v>300</v>
      </c>
      <c r="AQ226" s="155"/>
    </row>
    <row r="227" spans="3:43" ht="15.6">
      <c r="C227" s="27" t="s">
        <v>47</v>
      </c>
      <c r="D227" s="31"/>
      <c r="E227" s="18"/>
      <c r="F227" s="18"/>
      <c r="G227" s="18"/>
      <c r="H227" s="25"/>
      <c r="I227" s="29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>
        <f>SUM(E227:AH227)</f>
        <v>0</v>
      </c>
      <c r="AK227" s="155"/>
      <c r="AL227" s="157" t="s">
        <v>47</v>
      </c>
      <c r="AM227" s="31"/>
      <c r="AN227" s="18"/>
      <c r="AO227" s="201"/>
      <c r="AP227" s="161"/>
      <c r="AQ227" s="155"/>
    </row>
    <row r="228" spans="3:43" ht="15.6">
      <c r="C228" s="28"/>
      <c r="D228" s="31" t="s">
        <v>51</v>
      </c>
      <c r="E228" s="18">
        <v>1</v>
      </c>
      <c r="F228" s="18"/>
      <c r="G228" s="18"/>
      <c r="H228" s="25"/>
      <c r="I228" s="29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>
        <f t="shared" ref="AI228" si="56">SUM(E228:AH228)</f>
        <v>1</v>
      </c>
      <c r="AK228" s="155"/>
      <c r="AL228" s="159"/>
      <c r="AM228" s="31" t="s">
        <v>51</v>
      </c>
      <c r="AN228" s="18">
        <f t="shared" ref="AN228" si="57">AI228</f>
        <v>1</v>
      </c>
      <c r="AO228" s="201">
        <v>555.6</v>
      </c>
      <c r="AP228" s="161">
        <f>AN228*AO228</f>
        <v>555.6</v>
      </c>
      <c r="AQ228" s="155"/>
    </row>
    <row r="229" spans="3:43" ht="15.6">
      <c r="C229" s="28"/>
      <c r="D229" s="32"/>
      <c r="E229" s="18"/>
      <c r="F229" s="18"/>
      <c r="G229" s="18"/>
      <c r="H229" s="18"/>
      <c r="I229" s="29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K229" s="155"/>
      <c r="AL229" s="159"/>
      <c r="AM229" s="32"/>
      <c r="AN229" s="18"/>
      <c r="AO229" s="201"/>
      <c r="AP229" s="161"/>
      <c r="AQ229" s="155"/>
    </row>
    <row r="230" spans="3:43" ht="15.6">
      <c r="C230" s="28"/>
      <c r="D230" s="32" t="s">
        <v>56</v>
      </c>
      <c r="E230" s="18">
        <v>1</v>
      </c>
      <c r="F230" s="18"/>
      <c r="G230" s="18"/>
      <c r="H230" s="25"/>
      <c r="I230" s="29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>
        <f t="shared" ref="AI230:AI231" si="58">SUM(E230:AH230)</f>
        <v>1</v>
      </c>
      <c r="AK230" s="155"/>
      <c r="AL230" s="159"/>
      <c r="AM230" s="32" t="s">
        <v>56</v>
      </c>
      <c r="AN230" s="18">
        <f t="shared" ref="AN230:AN232" si="59">AI230</f>
        <v>1</v>
      </c>
      <c r="AO230" s="201">
        <v>555.6</v>
      </c>
      <c r="AP230" s="161">
        <f>AN230*AO230</f>
        <v>555.6</v>
      </c>
      <c r="AQ230" s="155"/>
    </row>
    <row r="231" spans="3:43" ht="15.6">
      <c r="C231" s="28"/>
      <c r="D231" s="31" t="s">
        <v>58</v>
      </c>
      <c r="E231" s="18">
        <v>1</v>
      </c>
      <c r="F231" s="18"/>
      <c r="G231" s="18"/>
      <c r="H231" s="25"/>
      <c r="I231" s="29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>
        <f t="shared" si="58"/>
        <v>1</v>
      </c>
      <c r="AK231" s="155"/>
      <c r="AL231" s="159"/>
      <c r="AM231" s="31" t="s">
        <v>58</v>
      </c>
      <c r="AN231" s="18">
        <f t="shared" si="59"/>
        <v>1</v>
      </c>
      <c r="AO231" s="201">
        <v>555.6</v>
      </c>
      <c r="AP231" s="161">
        <f>AN231*AO231</f>
        <v>555.6</v>
      </c>
      <c r="AQ231" s="155"/>
    </row>
    <row r="232" spans="3:43" ht="15.6">
      <c r="C232" s="28"/>
      <c r="D232" s="31" t="s">
        <v>122</v>
      </c>
      <c r="E232" s="18">
        <v>1</v>
      </c>
      <c r="F232" s="18"/>
      <c r="G232" s="18"/>
      <c r="H232" s="25"/>
      <c r="I232" s="29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>
        <f>SUM(E232:AH232)</f>
        <v>1</v>
      </c>
      <c r="AK232" s="155"/>
      <c r="AL232" s="159"/>
      <c r="AM232" s="31" t="s">
        <v>122</v>
      </c>
      <c r="AN232" s="18">
        <f t="shared" si="59"/>
        <v>1</v>
      </c>
      <c r="AO232" s="201">
        <v>555.6</v>
      </c>
      <c r="AP232" s="161">
        <f>AN232*AO232</f>
        <v>555.6</v>
      </c>
      <c r="AQ232" s="155"/>
    </row>
    <row r="233" spans="3:43" ht="15.6">
      <c r="C233" s="28"/>
      <c r="D233" s="32"/>
      <c r="E233" s="18"/>
      <c r="F233" s="18"/>
      <c r="G233" s="18"/>
      <c r="H233" s="18"/>
      <c r="I233" s="29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K233" s="155"/>
      <c r="AL233" s="159"/>
      <c r="AM233" s="32"/>
      <c r="AN233" s="18"/>
      <c r="AO233" s="201"/>
      <c r="AP233" s="161"/>
      <c r="AQ233" s="155"/>
    </row>
    <row r="234" spans="3:43" ht="15.6">
      <c r="C234" s="27" t="s">
        <v>59</v>
      </c>
      <c r="D234" s="31" t="s">
        <v>60</v>
      </c>
      <c r="E234" s="18">
        <v>1</v>
      </c>
      <c r="F234" s="18"/>
      <c r="G234" s="18"/>
      <c r="H234" s="25"/>
      <c r="I234" s="29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>
        <f>SUM(E234:AH234)</f>
        <v>1</v>
      </c>
      <c r="AK234" s="155"/>
      <c r="AL234" s="157" t="s">
        <v>59</v>
      </c>
      <c r="AM234" s="31" t="s">
        <v>60</v>
      </c>
      <c r="AN234" s="18">
        <f t="shared" ref="AN234:AN235" si="60">AI234</f>
        <v>1</v>
      </c>
      <c r="AO234" s="201">
        <v>555.6</v>
      </c>
      <c r="AP234" s="161">
        <f>AN234*AO234</f>
        <v>555.6</v>
      </c>
      <c r="AQ234" s="155"/>
    </row>
    <row r="235" spans="3:43" ht="15.6">
      <c r="C235" s="28"/>
      <c r="D235" s="31" t="s">
        <v>849</v>
      </c>
      <c r="E235" s="18">
        <f>48+58</f>
        <v>106</v>
      </c>
      <c r="F235" s="18">
        <f>-48-24</f>
        <v>-72</v>
      </c>
      <c r="G235" s="18"/>
      <c r="H235" s="25"/>
      <c r="I235" s="29">
        <v>-31</v>
      </c>
      <c r="J235" s="18"/>
      <c r="K235" s="18"/>
      <c r="L235" s="18">
        <v>92</v>
      </c>
      <c r="M235" s="18">
        <v>-28</v>
      </c>
      <c r="N235" s="18"/>
      <c r="O235" s="18">
        <v>-67</v>
      </c>
      <c r="P235" s="18"/>
      <c r="Q235" s="18"/>
      <c r="R235" s="18"/>
      <c r="S235" s="18"/>
      <c r="T235" s="18"/>
      <c r="U235" s="18">
        <v>42</v>
      </c>
      <c r="V235" s="18">
        <v>54</v>
      </c>
      <c r="W235" s="18">
        <f>-30-22-43</f>
        <v>-95</v>
      </c>
      <c r="X235" s="18"/>
      <c r="Y235" s="18"/>
      <c r="Z235" s="18">
        <v>55</v>
      </c>
      <c r="AA235" s="18"/>
      <c r="AB235" s="18">
        <v>-56</v>
      </c>
      <c r="AC235" s="18"/>
      <c r="AD235" s="18">
        <v>56</v>
      </c>
      <c r="AE235" s="18">
        <v>-30</v>
      </c>
      <c r="AF235" s="18"/>
      <c r="AG235" s="18">
        <v>-26</v>
      </c>
      <c r="AH235" s="18">
        <f>168-150+17</f>
        <v>35</v>
      </c>
      <c r="AI235" s="18">
        <f>SUM(E235:AH235)</f>
        <v>35</v>
      </c>
      <c r="AK235" s="155"/>
      <c r="AL235" s="159"/>
      <c r="AM235" s="31" t="s">
        <v>849</v>
      </c>
      <c r="AN235" s="18">
        <f t="shared" si="60"/>
        <v>35</v>
      </c>
      <c r="AO235" s="201">
        <v>0</v>
      </c>
      <c r="AP235" s="161">
        <f>AN235*AO235</f>
        <v>0</v>
      </c>
      <c r="AQ235" s="155"/>
    </row>
    <row r="236" spans="3:43" ht="15.6">
      <c r="C236" s="82"/>
      <c r="D236" s="81"/>
      <c r="E236" s="81">
        <f t="shared" ref="E236:J236" si="61">SUM(E198:E235)</f>
        <v>238</v>
      </c>
      <c r="F236" s="81">
        <f t="shared" si="61"/>
        <v>-130</v>
      </c>
      <c r="G236" s="81">
        <f t="shared" si="61"/>
        <v>0</v>
      </c>
      <c r="H236" s="81">
        <f t="shared" si="61"/>
        <v>-3</v>
      </c>
      <c r="I236" s="81">
        <f t="shared" si="61"/>
        <v>-31</v>
      </c>
      <c r="J236" s="81">
        <f t="shared" si="61"/>
        <v>-11</v>
      </c>
      <c r="K236" s="81"/>
      <c r="L236" s="81"/>
      <c r="M236" s="81">
        <f t="shared" ref="M236:N236" si="62">SUM(M198:M235)</f>
        <v>-35</v>
      </c>
      <c r="N236" s="81">
        <f t="shared" si="62"/>
        <v>0</v>
      </c>
      <c r="O236" s="81"/>
      <c r="P236" s="81">
        <f t="shared" ref="P236:Q236" si="63">SUM(P198:P235)</f>
        <v>0</v>
      </c>
      <c r="Q236" s="81">
        <f t="shared" si="63"/>
        <v>0</v>
      </c>
      <c r="R236" s="81">
        <f>SUM(R198:R235)</f>
        <v>-2</v>
      </c>
      <c r="S236" s="81">
        <f>SUM(S198:S235)</f>
        <v>12</v>
      </c>
      <c r="T236" s="81"/>
      <c r="U236" s="81">
        <f>SUM(U198:U235)</f>
        <v>42</v>
      </c>
      <c r="V236" s="81">
        <f>SUM(V198:V235)</f>
        <v>54</v>
      </c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>
        <f>SUM(AH198:AH235)</f>
        <v>39</v>
      </c>
      <c r="AI236" s="81">
        <f>SUM(AI198:AI235)</f>
        <v>83</v>
      </c>
      <c r="AK236" s="155"/>
      <c r="AL236" s="162"/>
      <c r="AM236" s="162"/>
      <c r="AN236" s="81">
        <f>SUM(AN198:AN235)</f>
        <v>83</v>
      </c>
      <c r="AO236" s="160"/>
      <c r="AP236" s="163">
        <f>SUM(AP198:AP235)</f>
        <v>74380.476129870149</v>
      </c>
      <c r="AQ236" s="155"/>
    </row>
    <row r="240" spans="3:43">
      <c r="S240" t="s">
        <v>1832</v>
      </c>
    </row>
    <row r="241" spans="3:43" ht="18">
      <c r="C241" s="83" t="s">
        <v>22</v>
      </c>
      <c r="D241" s="83" t="s">
        <v>23</v>
      </c>
      <c r="E241" s="84">
        <v>45505</v>
      </c>
      <c r="F241" s="84">
        <v>45506</v>
      </c>
      <c r="G241" s="84">
        <v>45507</v>
      </c>
      <c r="H241" s="84">
        <v>45508</v>
      </c>
      <c r="I241" s="84">
        <v>45509</v>
      </c>
      <c r="J241" s="84">
        <v>45510</v>
      </c>
      <c r="K241" s="84">
        <v>45511</v>
      </c>
      <c r="L241" s="84">
        <v>45512</v>
      </c>
      <c r="M241" s="84">
        <v>45513</v>
      </c>
      <c r="N241" s="84">
        <v>45514</v>
      </c>
      <c r="O241" s="84">
        <v>45515</v>
      </c>
      <c r="P241" s="84">
        <v>45516</v>
      </c>
      <c r="Q241" s="84">
        <v>45517</v>
      </c>
      <c r="R241" s="84">
        <v>45518</v>
      </c>
      <c r="S241" s="84">
        <v>45519</v>
      </c>
      <c r="T241" s="84">
        <v>45520</v>
      </c>
      <c r="U241" s="84">
        <v>45521</v>
      </c>
      <c r="V241" s="84">
        <v>45522</v>
      </c>
      <c r="W241" s="84">
        <v>45523</v>
      </c>
      <c r="X241" s="84">
        <v>45524</v>
      </c>
      <c r="Y241" s="84">
        <v>45525</v>
      </c>
      <c r="Z241" s="84">
        <v>45526</v>
      </c>
      <c r="AA241" s="84">
        <v>45527</v>
      </c>
      <c r="AB241" s="84">
        <v>45528</v>
      </c>
      <c r="AC241" s="84">
        <v>45529</v>
      </c>
      <c r="AD241" s="84">
        <v>45530</v>
      </c>
      <c r="AE241" s="84">
        <v>45531</v>
      </c>
      <c r="AF241" s="84">
        <v>45532</v>
      </c>
      <c r="AG241" s="84">
        <v>45533</v>
      </c>
      <c r="AH241" s="84">
        <v>45534</v>
      </c>
      <c r="AI241" s="85" t="s">
        <v>25</v>
      </c>
      <c r="AK241" s="155"/>
      <c r="AL241" s="164" t="s">
        <v>22</v>
      </c>
      <c r="AM241" s="164" t="s">
        <v>23</v>
      </c>
      <c r="AN241" s="85" t="s">
        <v>25</v>
      </c>
      <c r="AO241" s="85" t="s">
        <v>468</v>
      </c>
      <c r="AP241" s="85" t="s">
        <v>11</v>
      </c>
      <c r="AQ241" s="155"/>
    </row>
    <row r="242" spans="3:43" ht="15.6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K242" s="155"/>
      <c r="AL242" s="156"/>
      <c r="AM242" s="156"/>
      <c r="AN242" s="155"/>
      <c r="AO242" s="155"/>
      <c r="AP242" s="155"/>
      <c r="AQ242" s="155"/>
    </row>
    <row r="243" spans="3:43" ht="15.6">
      <c r="C243" s="26" t="s">
        <v>26</v>
      </c>
      <c r="D243" s="31"/>
      <c r="E243" s="18"/>
      <c r="F243" s="18"/>
      <c r="G243" s="18"/>
      <c r="H243" s="25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K243" s="155"/>
      <c r="AL243" s="157" t="s">
        <v>26</v>
      </c>
      <c r="AM243" s="158"/>
      <c r="AN243" s="159"/>
      <c r="AO243" s="160"/>
      <c r="AP243" s="160"/>
      <c r="AQ243" s="155"/>
    </row>
    <row r="244" spans="3:43" ht="15.6">
      <c r="C244" s="18"/>
      <c r="D244" s="31" t="s">
        <v>29</v>
      </c>
      <c r="E244" s="18">
        <v>5</v>
      </c>
      <c r="F244" s="18"/>
      <c r="G244" s="18"/>
      <c r="H244" s="25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>
        <f>5+2</f>
        <v>7</v>
      </c>
      <c r="T244" s="18"/>
      <c r="U244" s="18">
        <v>-1</v>
      </c>
      <c r="V244" s="18"/>
      <c r="W244" s="18">
        <v>-6</v>
      </c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>
        <f t="shared" ref="AI244:AI255" si="64">SUM(E244:AH244)</f>
        <v>5</v>
      </c>
      <c r="AK244" s="155"/>
      <c r="AL244" s="159"/>
      <c r="AM244" s="31" t="s">
        <v>29</v>
      </c>
      <c r="AN244" s="159">
        <f t="shared" ref="AN244:AN251" si="65">AI244</f>
        <v>5</v>
      </c>
      <c r="AO244" s="201">
        <f>202000/77</f>
        <v>2623.3766233766232</v>
      </c>
      <c r="AP244" s="422">
        <f t="shared" ref="AP244:AP248" si="66">AN244*AO244</f>
        <v>13116.883116883117</v>
      </c>
      <c r="AQ244" s="155" t="s">
        <v>721</v>
      </c>
    </row>
    <row r="245" spans="3:43" ht="28.2">
      <c r="C245" s="18"/>
      <c r="D245" s="31" t="s">
        <v>1528</v>
      </c>
      <c r="E245" s="18">
        <v>4</v>
      </c>
      <c r="F245" s="18">
        <v>-3</v>
      </c>
      <c r="G245" s="18"/>
      <c r="H245" s="25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>
        <v>-1</v>
      </c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>
        <f t="shared" si="64"/>
        <v>0</v>
      </c>
      <c r="AK245" s="155"/>
      <c r="AL245" s="159"/>
      <c r="AM245" s="31" t="s">
        <v>1528</v>
      </c>
      <c r="AN245" s="159">
        <f t="shared" si="65"/>
        <v>0</v>
      </c>
      <c r="AO245" s="159">
        <v>2445</v>
      </c>
      <c r="AP245" s="161">
        <f t="shared" si="66"/>
        <v>0</v>
      </c>
      <c r="AQ245" s="155"/>
    </row>
    <row r="246" spans="3:43" ht="28.2">
      <c r="C246" s="18"/>
      <c r="D246" s="31" t="s">
        <v>1704</v>
      </c>
      <c r="E246" s="18">
        <v>5</v>
      </c>
      <c r="F246" s="18"/>
      <c r="G246" s="18">
        <v>-2</v>
      </c>
      <c r="H246" s="25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>
        <v>-2</v>
      </c>
      <c r="V246" s="18"/>
      <c r="W246" s="18">
        <v>-1</v>
      </c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>
        <f t="shared" si="64"/>
        <v>0</v>
      </c>
      <c r="AK246" s="155"/>
      <c r="AL246" s="159"/>
      <c r="AM246" s="31" t="str">
        <f>D246</f>
        <v>IP 15Promax 512Gb JV</v>
      </c>
      <c r="AN246" s="159">
        <f t="shared" si="65"/>
        <v>0</v>
      </c>
      <c r="AO246" s="159">
        <v>2792</v>
      </c>
      <c r="AP246" s="161">
        <f t="shared" si="66"/>
        <v>0</v>
      </c>
      <c r="AQ246" s="155"/>
    </row>
    <row r="247" spans="3:43" ht="15.6">
      <c r="C247" s="18"/>
      <c r="D247" s="31" t="s">
        <v>1827</v>
      </c>
      <c r="E247" s="18">
        <v>3</v>
      </c>
      <c r="F247" s="18"/>
      <c r="G247" s="18"/>
      <c r="H247" s="25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>
        <v>-1</v>
      </c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>
        <f t="shared" si="64"/>
        <v>2</v>
      </c>
      <c r="AK247" s="155"/>
      <c r="AL247" s="159"/>
      <c r="AM247" s="31" t="s">
        <v>1526</v>
      </c>
      <c r="AN247" s="159">
        <f t="shared" si="65"/>
        <v>2</v>
      </c>
      <c r="AO247" s="201">
        <v>2210</v>
      </c>
      <c r="AP247" s="161">
        <f t="shared" si="66"/>
        <v>4420</v>
      </c>
      <c r="AQ247" s="155"/>
    </row>
    <row r="248" spans="3:43" ht="15.6">
      <c r="C248" s="18"/>
      <c r="D248" s="31" t="s">
        <v>1828</v>
      </c>
      <c r="E248" s="18">
        <v>1</v>
      </c>
      <c r="F248" s="18"/>
      <c r="G248" s="18"/>
      <c r="H248" s="25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>
        <f t="shared" si="64"/>
        <v>1</v>
      </c>
      <c r="AK248" s="155"/>
      <c r="AL248" s="159"/>
      <c r="AM248" s="31" t="s">
        <v>1527</v>
      </c>
      <c r="AN248" s="159">
        <f t="shared" si="65"/>
        <v>1</v>
      </c>
      <c r="AO248" s="201">
        <v>2350</v>
      </c>
      <c r="AP248" s="161">
        <f t="shared" si="66"/>
        <v>2350</v>
      </c>
      <c r="AQ248" s="155"/>
    </row>
    <row r="249" spans="3:43" ht="15.6">
      <c r="C249" s="18"/>
      <c r="D249" s="31" t="s">
        <v>1829</v>
      </c>
      <c r="E249" s="18">
        <v>1</v>
      </c>
      <c r="F249" s="18"/>
      <c r="G249" s="18"/>
      <c r="H249" s="25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>
        <f t="shared" si="64"/>
        <v>1</v>
      </c>
      <c r="AK249" s="155"/>
      <c r="AL249" s="159"/>
      <c r="AM249" s="31" t="str">
        <f>D249</f>
        <v xml:space="preserve">IP 15Pro 1TB </v>
      </c>
      <c r="AN249" s="159">
        <f t="shared" si="65"/>
        <v>1</v>
      </c>
      <c r="AO249" s="201"/>
      <c r="AP249" s="161"/>
      <c r="AQ249" s="155"/>
    </row>
    <row r="250" spans="3:43" ht="15.6">
      <c r="C250" s="18"/>
      <c r="D250" s="31" t="s">
        <v>1830</v>
      </c>
      <c r="E250" s="18">
        <v>0</v>
      </c>
      <c r="F250" s="18"/>
      <c r="G250" s="18"/>
      <c r="H250" s="25"/>
      <c r="I250" s="18"/>
      <c r="J250" s="18">
        <v>3</v>
      </c>
      <c r="K250" s="18"/>
      <c r="L250" s="18"/>
      <c r="M250" s="18"/>
      <c r="N250" s="18"/>
      <c r="O250" s="18"/>
      <c r="P250" s="18"/>
      <c r="Q250" s="18"/>
      <c r="R250" s="18"/>
      <c r="S250" s="18">
        <v>1</v>
      </c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>
        <f t="shared" si="64"/>
        <v>4</v>
      </c>
      <c r="AK250" s="155"/>
      <c r="AL250" s="159"/>
      <c r="AM250" s="31" t="str">
        <f>D250</f>
        <v xml:space="preserve">IP 15Pro 128GB </v>
      </c>
      <c r="AN250" s="159">
        <f t="shared" si="65"/>
        <v>4</v>
      </c>
      <c r="AO250" s="201"/>
      <c r="AP250" s="161"/>
      <c r="AQ250" s="155"/>
    </row>
    <row r="251" spans="3:43" ht="15.6">
      <c r="C251" s="18"/>
      <c r="D251" s="31" t="s">
        <v>1831</v>
      </c>
      <c r="E251" s="18">
        <v>1</v>
      </c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>
        <f t="shared" si="64"/>
        <v>1</v>
      </c>
      <c r="AK251" s="155"/>
      <c r="AL251" s="159"/>
      <c r="AM251" s="32" t="str">
        <f>D251</f>
        <v xml:space="preserve">IP 14Plus 128GB </v>
      </c>
      <c r="AN251" s="18">
        <f t="shared" si="65"/>
        <v>1</v>
      </c>
      <c r="AO251" s="201">
        <v>1450</v>
      </c>
      <c r="AP251" s="161">
        <f t="shared" ref="AP251:AP254" si="67">AN251*AO251</f>
        <v>1450</v>
      </c>
      <c r="AQ251" s="155"/>
    </row>
    <row r="252" spans="3:43" ht="15.6">
      <c r="C252" s="18"/>
      <c r="D252" s="3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K252" s="155"/>
      <c r="AL252" s="159"/>
      <c r="AM252" s="32"/>
      <c r="AN252" s="18"/>
      <c r="AO252" s="201"/>
      <c r="AP252" s="161"/>
      <c r="AQ252" s="155"/>
    </row>
    <row r="253" spans="3:43" ht="15.6">
      <c r="C253" s="18"/>
      <c r="D253" s="31" t="s">
        <v>36</v>
      </c>
      <c r="E253" s="18">
        <v>2</v>
      </c>
      <c r="F253" s="18"/>
      <c r="G253" s="18"/>
      <c r="H253" s="25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>
        <f t="shared" si="64"/>
        <v>2</v>
      </c>
      <c r="AK253" s="155"/>
      <c r="AL253" s="159"/>
      <c r="AM253" s="31" t="s">
        <v>36</v>
      </c>
      <c r="AN253" s="18">
        <f t="shared" ref="AN253:AN254" si="68">AI253</f>
        <v>2</v>
      </c>
      <c r="AO253" s="202">
        <v>1411.35</v>
      </c>
      <c r="AP253" s="161">
        <f t="shared" si="67"/>
        <v>2822.7</v>
      </c>
      <c r="AQ253" s="155"/>
    </row>
    <row r="254" spans="3:43" ht="15.6">
      <c r="C254" s="18"/>
      <c r="D254" s="31" t="s">
        <v>37</v>
      </c>
      <c r="E254" s="18">
        <v>2</v>
      </c>
      <c r="F254" s="18"/>
      <c r="G254" s="18"/>
      <c r="H254" s="25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>
        <f t="shared" si="64"/>
        <v>2</v>
      </c>
      <c r="AK254" s="155"/>
      <c r="AL254" s="159"/>
      <c r="AM254" s="31" t="s">
        <v>37</v>
      </c>
      <c r="AN254" s="18">
        <f t="shared" si="68"/>
        <v>2</v>
      </c>
      <c r="AO254" s="202">
        <v>1766.37</v>
      </c>
      <c r="AP254" s="161">
        <f t="shared" si="67"/>
        <v>3532.74</v>
      </c>
      <c r="AQ254" s="155"/>
    </row>
    <row r="255" spans="3:43" ht="15.6">
      <c r="C255" s="18"/>
      <c r="D255" s="31"/>
      <c r="E255" s="18"/>
      <c r="F255" s="18"/>
      <c r="G255" s="18"/>
      <c r="H255" s="25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>
        <f t="shared" si="64"/>
        <v>0</v>
      </c>
      <c r="AK255" s="155"/>
      <c r="AL255" s="159"/>
      <c r="AM255" s="31"/>
      <c r="AN255" s="18"/>
      <c r="AO255" s="201"/>
      <c r="AP255" s="161"/>
      <c r="AQ255" s="155"/>
    </row>
    <row r="256" spans="3:43" ht="15.6">
      <c r="C256" s="18"/>
      <c r="D256" s="31" t="s">
        <v>229</v>
      </c>
      <c r="E256" s="18">
        <v>2</v>
      </c>
      <c r="F256" s="18">
        <v>-2</v>
      </c>
      <c r="G256" s="18"/>
      <c r="H256" s="25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>
        <f t="shared" ref="AI256:AI257" si="69">SUM(E256:AH256)</f>
        <v>0</v>
      </c>
      <c r="AK256" s="155"/>
      <c r="AL256" s="159"/>
      <c r="AM256" s="31" t="s">
        <v>229</v>
      </c>
      <c r="AN256" s="18">
        <f t="shared" ref="AN256:AN257" si="70">AI256</f>
        <v>0</v>
      </c>
      <c r="AO256" s="202">
        <v>1169</v>
      </c>
      <c r="AP256" s="161">
        <f t="shared" ref="AP256:AP257" si="71">AN256*AO256</f>
        <v>0</v>
      </c>
      <c r="AQ256" s="155"/>
    </row>
    <row r="257" spans="3:43" ht="15.6">
      <c r="C257" s="18"/>
      <c r="D257" s="32" t="s">
        <v>560</v>
      </c>
      <c r="E257" s="18">
        <v>2</v>
      </c>
      <c r="F257" s="18"/>
      <c r="G257" s="18"/>
      <c r="H257" s="25"/>
      <c r="I257" s="18"/>
      <c r="J257" s="18"/>
      <c r="K257" s="18"/>
      <c r="L257" s="18"/>
      <c r="M257" s="18"/>
      <c r="N257" s="18"/>
      <c r="O257" s="18"/>
      <c r="P257" s="18"/>
      <c r="Q257" s="18">
        <v>-1</v>
      </c>
      <c r="R257" s="18"/>
      <c r="S257" s="18"/>
      <c r="T257" s="18"/>
      <c r="U257" s="18">
        <v>-1</v>
      </c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>
        <f t="shared" si="69"/>
        <v>0</v>
      </c>
      <c r="AK257" s="155"/>
      <c r="AL257" s="159"/>
      <c r="AM257" s="32" t="s">
        <v>560</v>
      </c>
      <c r="AN257" s="18">
        <f t="shared" si="70"/>
        <v>0</v>
      </c>
      <c r="AO257" s="201">
        <v>1013</v>
      </c>
      <c r="AP257" s="161">
        <f t="shared" si="71"/>
        <v>0</v>
      </c>
      <c r="AQ257" s="155"/>
    </row>
    <row r="258" spans="3:43" ht="15.6">
      <c r="C258" s="18"/>
      <c r="D258" s="31"/>
      <c r="E258" s="18"/>
      <c r="F258" s="18"/>
      <c r="G258" s="18"/>
      <c r="H258" s="25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K258" s="155"/>
      <c r="AL258" s="159"/>
      <c r="AM258" s="31"/>
      <c r="AN258" s="18"/>
      <c r="AO258" s="201"/>
      <c r="AP258" s="161"/>
      <c r="AQ258" s="155"/>
    </row>
    <row r="259" spans="3:43" ht="15.6">
      <c r="C259" s="18"/>
      <c r="D259" s="31" t="s">
        <v>231</v>
      </c>
      <c r="E259" s="18">
        <v>1</v>
      </c>
      <c r="F259" s="18"/>
      <c r="G259" s="18"/>
      <c r="H259" s="25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>
        <f t="shared" ref="AI259:AI261" si="72">SUM(E259:AH259)</f>
        <v>1</v>
      </c>
      <c r="AK259" s="155"/>
      <c r="AL259" s="159"/>
      <c r="AM259" s="31" t="s">
        <v>231</v>
      </c>
      <c r="AN259" s="18">
        <f t="shared" ref="AN259:AN262" si="73">AI259</f>
        <v>1</v>
      </c>
      <c r="AO259" s="201">
        <v>926.35599999999999</v>
      </c>
      <c r="AP259" s="161">
        <f t="shared" ref="AP259:AP262" si="74">AN259*AO259</f>
        <v>926.35599999999999</v>
      </c>
      <c r="AQ259" s="155"/>
    </row>
    <row r="260" spans="3:43" ht="15.6">
      <c r="C260" s="18"/>
      <c r="D260" s="31" t="s">
        <v>233</v>
      </c>
      <c r="E260" s="18">
        <v>1</v>
      </c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>
        <f t="shared" si="72"/>
        <v>1</v>
      </c>
      <c r="AK260" s="155"/>
      <c r="AL260" s="159"/>
      <c r="AM260" s="31" t="s">
        <v>233</v>
      </c>
      <c r="AN260" s="18">
        <f t="shared" si="73"/>
        <v>1</v>
      </c>
      <c r="AO260" s="202">
        <v>780.56</v>
      </c>
      <c r="AP260" s="161">
        <f t="shared" si="74"/>
        <v>780.56</v>
      </c>
      <c r="AQ260" s="155"/>
    </row>
    <row r="261" spans="3:43" ht="15.6">
      <c r="C261" s="18"/>
      <c r="D261" s="31" t="s">
        <v>234</v>
      </c>
      <c r="E261" s="18">
        <v>4</v>
      </c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>
        <f t="shared" si="72"/>
        <v>4</v>
      </c>
      <c r="AK261" s="155"/>
      <c r="AL261" s="159"/>
      <c r="AM261" s="31" t="s">
        <v>234</v>
      </c>
      <c r="AN261" s="18">
        <f t="shared" si="73"/>
        <v>4</v>
      </c>
      <c r="AO261" s="201">
        <v>489</v>
      </c>
      <c r="AP261" s="161">
        <f t="shared" si="74"/>
        <v>1956</v>
      </c>
      <c r="AQ261" s="155"/>
    </row>
    <row r="262" spans="3:43" ht="15.6">
      <c r="C262" s="18"/>
      <c r="D262" s="31" t="s">
        <v>235</v>
      </c>
      <c r="E262" s="18">
        <v>5</v>
      </c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>
        <f>SUM(E262:AH262)</f>
        <v>5</v>
      </c>
      <c r="AK262" s="155"/>
      <c r="AL262" s="159"/>
      <c r="AM262" s="31" t="s">
        <v>235</v>
      </c>
      <c r="AN262" s="18">
        <f t="shared" si="73"/>
        <v>5</v>
      </c>
      <c r="AO262" s="201">
        <v>524.04999999999995</v>
      </c>
      <c r="AP262" s="161">
        <f t="shared" si="74"/>
        <v>2620.25</v>
      </c>
      <c r="AQ262" s="155"/>
    </row>
    <row r="263" spans="3:43" ht="15.6">
      <c r="C263" s="18"/>
      <c r="D263" s="31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K263" s="155"/>
      <c r="AL263" s="159"/>
      <c r="AM263" s="31"/>
      <c r="AN263" s="18"/>
      <c r="AO263" s="201"/>
      <c r="AP263" s="161"/>
      <c r="AQ263" s="155"/>
    </row>
    <row r="264" spans="3:43" ht="15.6">
      <c r="C264" s="18"/>
      <c r="D264" s="58" t="s">
        <v>636</v>
      </c>
      <c r="E264" s="30">
        <v>2</v>
      </c>
      <c r="F264" s="30"/>
      <c r="G264" s="30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>
        <f>SUM(E264:AH264)</f>
        <v>2</v>
      </c>
      <c r="AK264" s="155"/>
      <c r="AL264" s="159"/>
      <c r="AM264" s="58" t="str">
        <f>D264</f>
        <v>Watch Ultra 2</v>
      </c>
      <c r="AN264" s="18">
        <f t="shared" ref="AN264:AN265" si="75">AI264</f>
        <v>2</v>
      </c>
      <c r="AO264" s="202">
        <f>180000/77</f>
        <v>2337.6623376623374</v>
      </c>
      <c r="AP264" s="161">
        <f t="shared" ref="AP264:AP265" si="76">AN264*AO264</f>
        <v>4675.3246753246749</v>
      </c>
      <c r="AQ264" s="155" t="s">
        <v>1566</v>
      </c>
    </row>
    <row r="265" spans="3:43" ht="15.6">
      <c r="C265" s="18"/>
      <c r="D265" s="58" t="s">
        <v>463</v>
      </c>
      <c r="E265" s="30">
        <v>1</v>
      </c>
      <c r="F265" s="30"/>
      <c r="G265" s="30"/>
      <c r="H265" s="25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>
        <f>SUM(E265:AH265)</f>
        <v>1</v>
      </c>
      <c r="AK265" s="155"/>
      <c r="AL265" s="159"/>
      <c r="AM265" s="58" t="s">
        <v>463</v>
      </c>
      <c r="AN265" s="18">
        <f t="shared" si="75"/>
        <v>1</v>
      </c>
      <c r="AO265" s="201">
        <v>300</v>
      </c>
      <c r="AP265" s="161">
        <f t="shared" si="76"/>
        <v>300</v>
      </c>
      <c r="AQ265" s="155"/>
    </row>
    <row r="266" spans="3:43" ht="15.6">
      <c r="C266" s="27" t="s">
        <v>47</v>
      </c>
      <c r="D266" s="31"/>
      <c r="E266" s="18"/>
      <c r="F266" s="18"/>
      <c r="G266" s="18"/>
      <c r="H266" s="25"/>
      <c r="I266" s="29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>
        <f>SUM(E266:AH266)</f>
        <v>0</v>
      </c>
      <c r="AK266" s="155"/>
      <c r="AL266" s="157" t="s">
        <v>47</v>
      </c>
      <c r="AM266" s="31"/>
      <c r="AN266" s="18"/>
      <c r="AO266" s="201"/>
      <c r="AP266" s="161"/>
      <c r="AQ266" s="155"/>
    </row>
    <row r="267" spans="3:43" ht="15.6">
      <c r="C267" s="28"/>
      <c r="D267" s="31" t="s">
        <v>1820</v>
      </c>
      <c r="E267" s="18"/>
      <c r="F267" s="18"/>
      <c r="G267" s="18"/>
      <c r="H267" s="25"/>
      <c r="I267" s="29"/>
      <c r="J267" s="18"/>
      <c r="K267" s="18"/>
      <c r="L267" s="18"/>
      <c r="M267" s="18"/>
      <c r="N267" s="18"/>
      <c r="O267" s="18"/>
      <c r="P267" s="18"/>
      <c r="Q267" s="18"/>
      <c r="R267" s="18"/>
      <c r="S267" s="18">
        <v>2</v>
      </c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>
        <f t="shared" ref="AI267:AI278" si="77">SUM(E267:AH267)</f>
        <v>2</v>
      </c>
      <c r="AK267" s="155"/>
      <c r="AL267" s="159"/>
      <c r="AM267" s="31" t="s">
        <v>1820</v>
      </c>
      <c r="AN267" s="18">
        <f t="shared" ref="AN267:AN273" si="78">AI267</f>
        <v>2</v>
      </c>
      <c r="AO267" s="201"/>
      <c r="AP267" s="161"/>
      <c r="AQ267" s="155"/>
    </row>
    <row r="268" spans="3:43" ht="15.6">
      <c r="C268" s="28"/>
      <c r="D268" s="31" t="s">
        <v>1821</v>
      </c>
      <c r="E268" s="18"/>
      <c r="F268" s="18"/>
      <c r="G268" s="18"/>
      <c r="H268" s="25"/>
      <c r="I268" s="29"/>
      <c r="J268" s="18"/>
      <c r="K268" s="18"/>
      <c r="L268" s="18"/>
      <c r="M268" s="18"/>
      <c r="N268" s="18"/>
      <c r="O268" s="18"/>
      <c r="P268" s="18"/>
      <c r="Q268" s="18"/>
      <c r="R268" s="18"/>
      <c r="S268" s="18">
        <v>6</v>
      </c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>
        <f t="shared" si="77"/>
        <v>6</v>
      </c>
      <c r="AK268" s="155"/>
      <c r="AL268" s="159"/>
      <c r="AM268" s="31" t="s">
        <v>1821</v>
      </c>
      <c r="AN268" s="18">
        <f t="shared" si="78"/>
        <v>6</v>
      </c>
      <c r="AO268" s="201"/>
      <c r="AP268" s="161"/>
      <c r="AQ268" s="155"/>
    </row>
    <row r="269" spans="3:43" ht="15.6">
      <c r="C269" s="28"/>
      <c r="D269" s="31" t="s">
        <v>1822</v>
      </c>
      <c r="E269" s="18"/>
      <c r="F269" s="18"/>
      <c r="G269" s="18"/>
      <c r="H269" s="25"/>
      <c r="I269" s="29"/>
      <c r="J269" s="18"/>
      <c r="K269" s="18"/>
      <c r="L269" s="18"/>
      <c r="M269" s="18"/>
      <c r="N269" s="18"/>
      <c r="O269" s="18"/>
      <c r="P269" s="18"/>
      <c r="Q269" s="18"/>
      <c r="R269" s="18"/>
      <c r="S269" s="18">
        <f>1+4</f>
        <v>5</v>
      </c>
      <c r="T269" s="18"/>
      <c r="U269" s="18"/>
      <c r="V269" s="18"/>
      <c r="W269" s="18">
        <v>0</v>
      </c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>
        <f t="shared" si="77"/>
        <v>5</v>
      </c>
      <c r="AK269" s="155"/>
      <c r="AL269" s="159"/>
      <c r="AM269" s="31" t="s">
        <v>1822</v>
      </c>
      <c r="AN269" s="18">
        <f t="shared" si="78"/>
        <v>5</v>
      </c>
      <c r="AO269" s="201"/>
      <c r="AP269" s="161"/>
      <c r="AQ269" s="155"/>
    </row>
    <row r="270" spans="3:43" ht="15.6">
      <c r="C270" s="28"/>
      <c r="D270" s="31" t="s">
        <v>1826</v>
      </c>
      <c r="E270" s="18"/>
      <c r="F270" s="18"/>
      <c r="G270" s="18"/>
      <c r="H270" s="25"/>
      <c r="I270" s="29"/>
      <c r="J270" s="18"/>
      <c r="K270" s="18"/>
      <c r="L270" s="18"/>
      <c r="M270" s="18"/>
      <c r="N270" s="18"/>
      <c r="O270" s="18"/>
      <c r="P270" s="18"/>
      <c r="Q270" s="18"/>
      <c r="R270" s="18"/>
      <c r="S270" s="18">
        <v>1</v>
      </c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>
        <f t="shared" si="77"/>
        <v>1</v>
      </c>
      <c r="AK270" s="155"/>
      <c r="AL270" s="159"/>
      <c r="AM270" s="31" t="s">
        <v>1826</v>
      </c>
      <c r="AN270" s="18">
        <f t="shared" si="78"/>
        <v>1</v>
      </c>
      <c r="AO270" s="201"/>
      <c r="AP270" s="161"/>
      <c r="AQ270" s="155"/>
    </row>
    <row r="271" spans="3:43" ht="15.6">
      <c r="C271" s="28"/>
      <c r="D271" s="31" t="s">
        <v>1823</v>
      </c>
      <c r="E271" s="18"/>
      <c r="F271" s="18"/>
      <c r="G271" s="18"/>
      <c r="H271" s="25"/>
      <c r="I271" s="29"/>
      <c r="J271" s="18"/>
      <c r="K271" s="18"/>
      <c r="L271" s="18"/>
      <c r="M271" s="18"/>
      <c r="N271" s="18"/>
      <c r="O271" s="18"/>
      <c r="P271" s="18"/>
      <c r="Q271" s="18"/>
      <c r="R271" s="18"/>
      <c r="S271" s="18">
        <v>1</v>
      </c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>
        <f t="shared" si="77"/>
        <v>1</v>
      </c>
      <c r="AK271" s="155"/>
      <c r="AL271" s="159"/>
      <c r="AM271" s="31" t="s">
        <v>1823</v>
      </c>
      <c r="AN271" s="18">
        <f t="shared" si="78"/>
        <v>1</v>
      </c>
      <c r="AO271" s="201"/>
      <c r="AP271" s="161"/>
      <c r="AQ271" s="155"/>
    </row>
    <row r="272" spans="3:43" ht="15.6">
      <c r="C272" s="28"/>
      <c r="D272" s="31" t="s">
        <v>1825</v>
      </c>
      <c r="E272" s="18"/>
      <c r="F272" s="18"/>
      <c r="G272" s="18"/>
      <c r="H272" s="25"/>
      <c r="I272" s="29"/>
      <c r="J272" s="18"/>
      <c r="K272" s="18"/>
      <c r="L272" s="18"/>
      <c r="M272" s="18"/>
      <c r="N272" s="18"/>
      <c r="O272" s="18"/>
      <c r="P272" s="18"/>
      <c r="Q272" s="18"/>
      <c r="R272" s="18"/>
      <c r="S272" s="18">
        <v>2</v>
      </c>
      <c r="T272" s="18"/>
      <c r="U272" s="18"/>
      <c r="V272" s="18"/>
      <c r="W272" s="18">
        <v>-2</v>
      </c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>
        <f t="shared" si="77"/>
        <v>0</v>
      </c>
      <c r="AK272" s="155"/>
      <c r="AL272" s="159"/>
      <c r="AM272" s="31" t="s">
        <v>1825</v>
      </c>
      <c r="AN272" s="18">
        <f t="shared" si="78"/>
        <v>0</v>
      </c>
      <c r="AO272" s="201"/>
      <c r="AP272" s="161"/>
      <c r="AQ272" s="155"/>
    </row>
    <row r="273" spans="3:43" ht="15.6">
      <c r="C273" s="28"/>
      <c r="D273" s="31" t="s">
        <v>51</v>
      </c>
      <c r="E273" s="18">
        <v>1</v>
      </c>
      <c r="F273" s="18"/>
      <c r="G273" s="18"/>
      <c r="H273" s="25"/>
      <c r="I273" s="29"/>
      <c r="J273" s="18"/>
      <c r="K273" s="18"/>
      <c r="L273" s="18"/>
      <c r="M273" s="18"/>
      <c r="N273" s="18"/>
      <c r="O273" s="18"/>
      <c r="P273" s="18"/>
      <c r="Q273" s="18"/>
      <c r="R273" s="18"/>
      <c r="S273" s="18">
        <v>1</v>
      </c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>
        <f t="shared" si="77"/>
        <v>2</v>
      </c>
      <c r="AK273" s="155"/>
      <c r="AL273" s="159"/>
      <c r="AM273" s="31" t="s">
        <v>51</v>
      </c>
      <c r="AN273" s="18">
        <f t="shared" si="78"/>
        <v>2</v>
      </c>
      <c r="AO273" s="201">
        <v>555.6</v>
      </c>
      <c r="AP273" s="161">
        <f>AN273*AO273</f>
        <v>1111.2</v>
      </c>
      <c r="AQ273" s="155"/>
    </row>
    <row r="274" spans="3:43" ht="15.6">
      <c r="C274" s="28"/>
      <c r="D274" s="32"/>
      <c r="E274" s="18"/>
      <c r="F274" s="18"/>
      <c r="G274" s="18"/>
      <c r="H274" s="18"/>
      <c r="I274" s="29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K274" s="155"/>
      <c r="AL274" s="159"/>
      <c r="AM274" s="32"/>
      <c r="AN274" s="18"/>
      <c r="AO274" s="201"/>
      <c r="AP274" s="161"/>
      <c r="AQ274" s="155"/>
    </row>
    <row r="275" spans="3:43" ht="15.6">
      <c r="C275" s="28"/>
      <c r="D275" s="32" t="s">
        <v>56</v>
      </c>
      <c r="E275" s="18">
        <v>1</v>
      </c>
      <c r="F275" s="18"/>
      <c r="G275" s="18"/>
      <c r="H275" s="25"/>
      <c r="I275" s="29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>
        <f t="shared" si="77"/>
        <v>1</v>
      </c>
      <c r="AK275" s="155"/>
      <c r="AL275" s="159"/>
      <c r="AM275" s="32" t="s">
        <v>56</v>
      </c>
      <c r="AN275" s="18">
        <f>AI275</f>
        <v>1</v>
      </c>
      <c r="AO275" s="201">
        <v>555.6</v>
      </c>
      <c r="AP275" s="161">
        <f>AN275*AO275</f>
        <v>555.6</v>
      </c>
      <c r="AQ275" s="155"/>
    </row>
    <row r="276" spans="3:43" ht="15.6">
      <c r="C276" s="28"/>
      <c r="D276" s="31" t="s">
        <v>58</v>
      </c>
      <c r="E276" s="18">
        <v>1</v>
      </c>
      <c r="F276" s="18"/>
      <c r="G276" s="18"/>
      <c r="H276" s="25"/>
      <c r="I276" s="29"/>
      <c r="J276" s="18"/>
      <c r="K276" s="18"/>
      <c r="L276" s="18"/>
      <c r="M276" s="18"/>
      <c r="N276" s="18"/>
      <c r="O276" s="18"/>
      <c r="P276" s="18"/>
      <c r="Q276" s="18"/>
      <c r="R276" s="18"/>
      <c r="S276" s="18">
        <v>1</v>
      </c>
      <c r="T276" s="18"/>
      <c r="U276" s="18"/>
      <c r="V276" s="18"/>
      <c r="W276" s="18">
        <v>-1</v>
      </c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>
        <f t="shared" si="77"/>
        <v>1</v>
      </c>
      <c r="AK276" s="155"/>
      <c r="AL276" s="159"/>
      <c r="AM276" s="31" t="s">
        <v>58</v>
      </c>
      <c r="AN276" s="18">
        <f>AI276</f>
        <v>1</v>
      </c>
      <c r="AO276" s="201">
        <v>555.6</v>
      </c>
      <c r="AP276" s="161">
        <f>AN276*AO276</f>
        <v>555.6</v>
      </c>
      <c r="AQ276" s="155"/>
    </row>
    <row r="277" spans="3:43" ht="15.6">
      <c r="C277" s="28"/>
      <c r="D277" s="31" t="s">
        <v>1824</v>
      </c>
      <c r="E277" s="18"/>
      <c r="F277" s="18"/>
      <c r="G277" s="18"/>
      <c r="H277" s="25"/>
      <c r="I277" s="29"/>
      <c r="J277" s="18"/>
      <c r="K277" s="18"/>
      <c r="L277" s="18"/>
      <c r="M277" s="18"/>
      <c r="N277" s="18"/>
      <c r="O277" s="18"/>
      <c r="P277" s="18"/>
      <c r="Q277" s="18"/>
      <c r="R277" s="18"/>
      <c r="S277" s="18">
        <v>1</v>
      </c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>
        <f t="shared" si="77"/>
        <v>1</v>
      </c>
      <c r="AK277" s="155"/>
      <c r="AL277" s="159"/>
      <c r="AM277" s="31" t="s">
        <v>1824</v>
      </c>
      <c r="AN277" s="18">
        <f>AI277</f>
        <v>1</v>
      </c>
      <c r="AO277" s="201"/>
      <c r="AP277" s="161"/>
      <c r="AQ277" s="155"/>
    </row>
    <row r="278" spans="3:43" ht="15.6">
      <c r="C278" s="28"/>
      <c r="D278" s="31" t="s">
        <v>122</v>
      </c>
      <c r="E278" s="18">
        <v>1</v>
      </c>
      <c r="F278" s="18"/>
      <c r="G278" s="18"/>
      <c r="H278" s="25"/>
      <c r="I278" s="29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>
        <f t="shared" si="77"/>
        <v>1</v>
      </c>
      <c r="AK278" s="155"/>
      <c r="AL278" s="159"/>
      <c r="AM278" s="31" t="s">
        <v>122</v>
      </c>
      <c r="AN278" s="18">
        <f>AI278</f>
        <v>1</v>
      </c>
      <c r="AO278" s="201">
        <v>555.6</v>
      </c>
      <c r="AP278" s="161">
        <f>AN278*AO278</f>
        <v>555.6</v>
      </c>
      <c r="AQ278" s="155"/>
    </row>
    <row r="279" spans="3:43" ht="15.6">
      <c r="C279" s="28"/>
      <c r="D279" s="32"/>
      <c r="E279" s="18"/>
      <c r="F279" s="18"/>
      <c r="G279" s="18"/>
      <c r="H279" s="18"/>
      <c r="I279" s="29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K279" s="155"/>
      <c r="AL279" s="159"/>
      <c r="AM279" s="32"/>
      <c r="AN279" s="18"/>
      <c r="AO279" s="201"/>
      <c r="AP279" s="161"/>
      <c r="AQ279" s="155"/>
    </row>
    <row r="280" spans="3:43" ht="15.6">
      <c r="C280" s="27" t="s">
        <v>59</v>
      </c>
      <c r="D280" s="31" t="s">
        <v>60</v>
      </c>
      <c r="E280" s="18">
        <v>1</v>
      </c>
      <c r="F280" s="18"/>
      <c r="G280" s="18"/>
      <c r="H280" s="25"/>
      <c r="I280" s="29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>
        <f>SUM(E280:AH280)</f>
        <v>1</v>
      </c>
      <c r="AK280" s="155"/>
      <c r="AL280" s="157" t="s">
        <v>59</v>
      </c>
      <c r="AM280" s="31" t="s">
        <v>60</v>
      </c>
      <c r="AN280" s="18">
        <f t="shared" ref="AN280:AN281" si="79">AI280</f>
        <v>1</v>
      </c>
      <c r="AO280" s="201">
        <v>555.6</v>
      </c>
      <c r="AP280" s="161">
        <f>AN280*AO280</f>
        <v>555.6</v>
      </c>
      <c r="AQ280" s="155"/>
    </row>
    <row r="281" spans="3:43" ht="15.6">
      <c r="C281" s="28"/>
      <c r="D281" s="31" t="s">
        <v>849</v>
      </c>
      <c r="E281" s="18">
        <v>35</v>
      </c>
      <c r="F281" s="18">
        <v>-15</v>
      </c>
      <c r="G281" s="18"/>
      <c r="H281" s="25"/>
      <c r="I281" s="29"/>
      <c r="J281" s="18"/>
      <c r="K281" s="18">
        <v>102</v>
      </c>
      <c r="L281" s="18"/>
      <c r="M281" s="18"/>
      <c r="N281" s="18"/>
      <c r="O281" s="18"/>
      <c r="P281" s="18"/>
      <c r="Q281" s="18">
        <v>-50</v>
      </c>
      <c r="R281" s="18"/>
      <c r="S281" s="18"/>
      <c r="T281" s="18"/>
      <c r="U281" s="18"/>
      <c r="V281" s="18"/>
      <c r="W281" s="18">
        <v>-72</v>
      </c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>
        <f>SUM(E281:AH281)</f>
        <v>0</v>
      </c>
      <c r="AK281" s="155"/>
      <c r="AL281" s="159"/>
      <c r="AM281" s="31" t="s">
        <v>849</v>
      </c>
      <c r="AN281" s="18">
        <f t="shared" si="79"/>
        <v>0</v>
      </c>
      <c r="AO281" s="201">
        <v>0</v>
      </c>
      <c r="AP281" s="161">
        <f>AN281*AO281</f>
        <v>0</v>
      </c>
      <c r="AQ281" s="155"/>
    </row>
    <row r="282" spans="3:43" ht="15.6">
      <c r="C282" s="82"/>
      <c r="D282" s="81"/>
      <c r="E282" s="81">
        <f t="shared" ref="E282:J282" si="80">SUM(E243:E281)</f>
        <v>82</v>
      </c>
      <c r="F282" s="81">
        <f t="shared" si="80"/>
        <v>-20</v>
      </c>
      <c r="G282" s="81">
        <f t="shared" si="80"/>
        <v>-2</v>
      </c>
      <c r="H282" s="81">
        <f t="shared" si="80"/>
        <v>0</v>
      </c>
      <c r="I282" s="81">
        <f t="shared" si="80"/>
        <v>0</v>
      </c>
      <c r="J282" s="81">
        <f t="shared" si="80"/>
        <v>3</v>
      </c>
      <c r="K282" s="81"/>
      <c r="L282" s="81"/>
      <c r="M282" s="81">
        <f t="shared" ref="M282:N282" si="81">SUM(M243:M281)</f>
        <v>0</v>
      </c>
      <c r="N282" s="81">
        <f t="shared" si="81"/>
        <v>0</v>
      </c>
      <c r="O282" s="81"/>
      <c r="P282" s="81">
        <f t="shared" ref="P282:Q282" si="82">SUM(P243:P281)</f>
        <v>0</v>
      </c>
      <c r="Q282" s="81">
        <f t="shared" si="82"/>
        <v>-51</v>
      </c>
      <c r="R282" s="81">
        <f>SUM(R243:R281)</f>
        <v>0</v>
      </c>
      <c r="S282" s="81">
        <f>SUM(S243:S281)</f>
        <v>28</v>
      </c>
      <c r="T282" s="81"/>
      <c r="U282" s="81">
        <f>SUM(U243:U281)</f>
        <v>-6</v>
      </c>
      <c r="V282" s="81">
        <f>SUM(V243:V281)</f>
        <v>0</v>
      </c>
      <c r="W282" s="81">
        <f>SUM(W243:W281)</f>
        <v>-82</v>
      </c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>
        <f>SUM(AH243:AH281)</f>
        <v>0</v>
      </c>
      <c r="AI282" s="81">
        <f>SUM(AI243:AI281)</f>
        <v>54</v>
      </c>
      <c r="AK282" s="155"/>
      <c r="AL282" s="162"/>
      <c r="AM282" s="162"/>
      <c r="AN282" s="81">
        <f>SUM(AN243:AN281)</f>
        <v>54</v>
      </c>
      <c r="AO282" s="160"/>
      <c r="AP282" s="163">
        <f>SUM(AP243:AP281)</f>
        <v>42284.413792207793</v>
      </c>
      <c r="AQ282" s="155"/>
    </row>
    <row r="287" spans="3:43" ht="18">
      <c r="C287" s="83" t="s">
        <v>22</v>
      </c>
      <c r="D287" s="83" t="s">
        <v>23</v>
      </c>
      <c r="E287" s="84">
        <v>45524</v>
      </c>
      <c r="F287" s="84">
        <v>45506</v>
      </c>
      <c r="G287" s="84">
        <v>45507</v>
      </c>
      <c r="H287" s="84">
        <v>45508</v>
      </c>
      <c r="I287" s="84">
        <v>45509</v>
      </c>
      <c r="J287" s="84">
        <v>45510</v>
      </c>
      <c r="K287" s="84">
        <v>45511</v>
      </c>
      <c r="L287" s="84">
        <v>45512</v>
      </c>
      <c r="M287" s="84">
        <v>45513</v>
      </c>
      <c r="N287" s="84">
        <v>45514</v>
      </c>
      <c r="O287" s="84">
        <v>45515</v>
      </c>
      <c r="P287" s="84">
        <v>45516</v>
      </c>
      <c r="Q287" s="84">
        <v>45517</v>
      </c>
      <c r="R287" s="84">
        <v>45518</v>
      </c>
      <c r="S287" s="84">
        <v>45519</v>
      </c>
      <c r="T287" s="84">
        <v>45520</v>
      </c>
      <c r="U287" s="84">
        <v>45521</v>
      </c>
      <c r="V287" s="84">
        <v>45522</v>
      </c>
      <c r="W287" s="84">
        <v>45523</v>
      </c>
      <c r="X287" s="84">
        <v>45524</v>
      </c>
      <c r="Y287" s="84">
        <v>45525</v>
      </c>
      <c r="Z287" s="84">
        <v>45526</v>
      </c>
      <c r="AA287" s="84">
        <v>45527</v>
      </c>
      <c r="AB287" s="84">
        <v>45528</v>
      </c>
      <c r="AC287" s="84">
        <v>45529</v>
      </c>
      <c r="AD287" s="84">
        <v>45530</v>
      </c>
      <c r="AE287" s="84">
        <v>45531</v>
      </c>
      <c r="AF287" s="84">
        <v>45532</v>
      </c>
      <c r="AG287" s="84">
        <v>45533</v>
      </c>
      <c r="AH287" s="84">
        <v>45534</v>
      </c>
      <c r="AI287" s="85" t="s">
        <v>25</v>
      </c>
      <c r="AK287" s="155"/>
      <c r="AL287" s="164" t="s">
        <v>22</v>
      </c>
      <c r="AM287" s="164" t="s">
        <v>23</v>
      </c>
      <c r="AN287" s="85" t="s">
        <v>25</v>
      </c>
      <c r="AO287" s="85" t="s">
        <v>468</v>
      </c>
      <c r="AP287" s="85" t="s">
        <v>11</v>
      </c>
      <c r="AQ287" s="155"/>
    </row>
    <row r="288" spans="3:43" ht="15.6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K288" s="155"/>
      <c r="AL288" s="156"/>
      <c r="AM288" s="156"/>
      <c r="AN288" s="155"/>
      <c r="AO288" s="155"/>
      <c r="AP288" s="155"/>
      <c r="AQ288" s="155"/>
    </row>
    <row r="289" spans="3:43" ht="15.6">
      <c r="C289" s="26" t="s">
        <v>26</v>
      </c>
      <c r="D289" s="31"/>
      <c r="E289" s="18"/>
      <c r="F289" s="18"/>
      <c r="G289" s="18"/>
      <c r="H289" s="25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K289" s="155"/>
      <c r="AL289" s="157" t="s">
        <v>26</v>
      </c>
      <c r="AM289" s="158"/>
      <c r="AN289" s="159"/>
      <c r="AO289" s="160"/>
      <c r="AP289" s="160"/>
      <c r="AQ289" s="155"/>
    </row>
    <row r="290" spans="3:43" ht="15.6">
      <c r="C290" s="18"/>
      <c r="D290" s="31" t="s">
        <v>29</v>
      </c>
      <c r="E290" s="18">
        <v>5</v>
      </c>
      <c r="F290" s="18"/>
      <c r="G290" s="18"/>
      <c r="H290" s="25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>
        <f t="shared" ref="AI290:AI298" si="83">SUM(E290:AH290)</f>
        <v>5</v>
      </c>
      <c r="AK290" s="155"/>
      <c r="AL290" s="159"/>
      <c r="AM290" s="31" t="s">
        <v>29</v>
      </c>
      <c r="AN290" s="159">
        <f t="shared" ref="AN290:AN298" si="84">AI290</f>
        <v>5</v>
      </c>
      <c r="AO290" s="201">
        <f>202000/77</f>
        <v>2623.3766233766232</v>
      </c>
      <c r="AP290" s="468">
        <f t="shared" ref="AP290:AP297" si="85">AN290*AO290</f>
        <v>13116.883116883117</v>
      </c>
      <c r="AQ290" s="155" t="s">
        <v>721</v>
      </c>
    </row>
    <row r="291" spans="3:43" ht="15.6">
      <c r="C291" s="18"/>
      <c r="D291" s="31" t="s">
        <v>1827</v>
      </c>
      <c r="E291" s="18">
        <v>2</v>
      </c>
      <c r="F291" s="18"/>
      <c r="G291" s="18"/>
      <c r="H291" s="25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>
        <v>-2</v>
      </c>
      <c r="AF291" s="18"/>
      <c r="AG291" s="18"/>
      <c r="AH291" s="18"/>
      <c r="AI291" s="18">
        <f t="shared" si="83"/>
        <v>0</v>
      </c>
      <c r="AK291" s="155"/>
      <c r="AL291" s="159"/>
      <c r="AM291" s="31" t="s">
        <v>1526</v>
      </c>
      <c r="AN291" s="159">
        <f t="shared" si="84"/>
        <v>0</v>
      </c>
      <c r="AO291" s="201">
        <v>2210</v>
      </c>
      <c r="AP291" s="468">
        <f t="shared" si="85"/>
        <v>0</v>
      </c>
      <c r="AQ291" s="155"/>
    </row>
    <row r="292" spans="3:43" ht="15.6">
      <c r="C292" s="18"/>
      <c r="D292" s="31" t="s">
        <v>1828</v>
      </c>
      <c r="E292" s="18">
        <v>1</v>
      </c>
      <c r="F292" s="18"/>
      <c r="G292" s="18"/>
      <c r="H292" s="25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>
        <v>-1</v>
      </c>
      <c r="AF292" s="18"/>
      <c r="AG292" s="18"/>
      <c r="AH292" s="18"/>
      <c r="AI292" s="18">
        <f t="shared" si="83"/>
        <v>0</v>
      </c>
      <c r="AK292" s="155"/>
      <c r="AL292" s="159"/>
      <c r="AM292" s="31" t="s">
        <v>1527</v>
      </c>
      <c r="AN292" s="159">
        <f t="shared" si="84"/>
        <v>0</v>
      </c>
      <c r="AO292" s="201">
        <v>2350</v>
      </c>
      <c r="AP292" s="468">
        <f t="shared" si="85"/>
        <v>0</v>
      </c>
      <c r="AQ292" s="155"/>
    </row>
    <row r="293" spans="3:43" ht="15.6">
      <c r="C293" s="18"/>
      <c r="D293" s="31" t="s">
        <v>1829</v>
      </c>
      <c r="E293" s="18">
        <v>1</v>
      </c>
      <c r="F293" s="18"/>
      <c r="G293" s="18"/>
      <c r="H293" s="25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>
        <v>-1</v>
      </c>
      <c r="AF293" s="18"/>
      <c r="AG293" s="18"/>
      <c r="AH293" s="18"/>
      <c r="AI293" s="18">
        <f t="shared" si="83"/>
        <v>0</v>
      </c>
      <c r="AK293" s="155"/>
      <c r="AL293" s="159"/>
      <c r="AM293" s="31" t="str">
        <f t="shared" ref="AM293:AM298" si="86">D293</f>
        <v xml:space="preserve">IP 15Pro 1TB </v>
      </c>
      <c r="AN293" s="159">
        <f t="shared" si="84"/>
        <v>0</v>
      </c>
      <c r="AO293" s="201">
        <f>175000/77</f>
        <v>2272.7272727272725</v>
      </c>
      <c r="AP293" s="468">
        <f t="shared" si="85"/>
        <v>0</v>
      </c>
      <c r="AQ293" s="155"/>
    </row>
    <row r="294" spans="3:43" ht="15.6">
      <c r="C294" s="18"/>
      <c r="D294" s="31" t="s">
        <v>1830</v>
      </c>
      <c r="E294" s="18">
        <v>4</v>
      </c>
      <c r="F294" s="18"/>
      <c r="G294" s="18"/>
      <c r="H294" s="25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>
        <f t="shared" si="83"/>
        <v>4</v>
      </c>
      <c r="AK294" s="155"/>
      <c r="AL294" s="159"/>
      <c r="AM294" s="31" t="str">
        <f t="shared" si="86"/>
        <v xml:space="preserve">IP 15Pro 128GB </v>
      </c>
      <c r="AN294" s="159">
        <f t="shared" si="84"/>
        <v>4</v>
      </c>
      <c r="AO294" s="201">
        <f>145000/77</f>
        <v>1883.1168831168832</v>
      </c>
      <c r="AP294" s="468">
        <f t="shared" si="85"/>
        <v>7532.4675324675327</v>
      </c>
      <c r="AQ294" s="155"/>
    </row>
    <row r="295" spans="3:43" ht="28.2">
      <c r="C295" s="18"/>
      <c r="D295" s="31" t="s">
        <v>1941</v>
      </c>
      <c r="E295" s="18"/>
      <c r="F295" s="18"/>
      <c r="G295" s="18"/>
      <c r="H295" s="25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>
        <v>1</v>
      </c>
      <c r="AF295" s="18"/>
      <c r="AG295" s="18"/>
      <c r="AH295" s="18"/>
      <c r="AI295" s="18">
        <f t="shared" si="83"/>
        <v>1</v>
      </c>
      <c r="AK295" s="155"/>
      <c r="AL295" s="159"/>
      <c r="AM295" s="31" t="str">
        <f t="shared" si="86"/>
        <v>IP 15ProMax 512Gb FU</v>
      </c>
      <c r="AN295" s="159">
        <f t="shared" si="84"/>
        <v>1</v>
      </c>
      <c r="AO295" s="201">
        <v>4428</v>
      </c>
      <c r="AP295" s="468">
        <f t="shared" si="85"/>
        <v>4428</v>
      </c>
      <c r="AQ295" s="155"/>
    </row>
    <row r="296" spans="3:43" ht="15.45" customHeight="1">
      <c r="C296" s="18"/>
      <c r="D296" s="31" t="s">
        <v>1940</v>
      </c>
      <c r="E296" s="18"/>
      <c r="F296" s="18"/>
      <c r="G296" s="18"/>
      <c r="H296" s="25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>
        <v>8</v>
      </c>
      <c r="AF296" s="18"/>
      <c r="AG296" s="18"/>
      <c r="AH296" s="18">
        <v>-7</v>
      </c>
      <c r="AI296" s="18">
        <f t="shared" si="83"/>
        <v>1</v>
      </c>
      <c r="AK296" s="155"/>
      <c r="AL296" s="159"/>
      <c r="AM296" s="31" t="str">
        <f t="shared" si="86"/>
        <v>IP 15ProMax 256Gb FU</v>
      </c>
      <c r="AN296" s="159">
        <f t="shared" si="84"/>
        <v>1</v>
      </c>
      <c r="AO296" s="202">
        <v>3796.875</v>
      </c>
      <c r="AP296" s="468">
        <f t="shared" si="85"/>
        <v>3796.875</v>
      </c>
      <c r="AQ296" s="155"/>
    </row>
    <row r="297" spans="3:43" ht="15.6">
      <c r="C297" s="18"/>
      <c r="D297" s="31" t="s">
        <v>1939</v>
      </c>
      <c r="E297" s="18"/>
      <c r="F297" s="18"/>
      <c r="G297" s="18"/>
      <c r="H297" s="25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>
        <v>1</v>
      </c>
      <c r="AF297" s="18"/>
      <c r="AG297" s="18"/>
      <c r="AH297" s="18"/>
      <c r="AI297" s="18">
        <f t="shared" si="83"/>
        <v>1</v>
      </c>
      <c r="AK297" s="155"/>
      <c r="AL297" s="159"/>
      <c r="AM297" s="31" t="str">
        <f t="shared" si="86"/>
        <v>IP 15Pro 128GB FU</v>
      </c>
      <c r="AN297" s="159">
        <f t="shared" si="84"/>
        <v>1</v>
      </c>
      <c r="AO297" s="201">
        <v>3186</v>
      </c>
      <c r="AP297" s="468">
        <f t="shared" si="85"/>
        <v>3186</v>
      </c>
      <c r="AQ297" s="155"/>
    </row>
    <row r="298" spans="3:43" ht="15.6">
      <c r="C298" s="18"/>
      <c r="D298" s="31" t="s">
        <v>1831</v>
      </c>
      <c r="E298" s="18">
        <v>1</v>
      </c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>
        <f t="shared" si="83"/>
        <v>1</v>
      </c>
      <c r="AK298" s="155"/>
      <c r="AL298" s="159"/>
      <c r="AM298" s="32" t="str">
        <f t="shared" si="86"/>
        <v xml:space="preserve">IP 14Plus 128GB </v>
      </c>
      <c r="AN298" s="18">
        <f t="shared" si="84"/>
        <v>1</v>
      </c>
      <c r="AO298" s="201">
        <v>1450</v>
      </c>
      <c r="AP298" s="468">
        <f t="shared" ref="AP298" si="87">AN298*AO298</f>
        <v>1450</v>
      </c>
      <c r="AQ298" s="155"/>
    </row>
    <row r="299" spans="3:43" ht="15.6">
      <c r="C299" s="18"/>
      <c r="D299" s="3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K299" s="155"/>
      <c r="AL299" s="159"/>
      <c r="AM299" s="32"/>
      <c r="AN299" s="18"/>
      <c r="AO299" s="201"/>
      <c r="AP299" s="468"/>
      <c r="AQ299" s="155"/>
    </row>
    <row r="300" spans="3:43" ht="15.6">
      <c r="C300" s="18"/>
      <c r="D300" s="31" t="s">
        <v>37</v>
      </c>
      <c r="E300" s="18">
        <v>4</v>
      </c>
      <c r="F300" s="18"/>
      <c r="G300" s="18"/>
      <c r="H300" s="25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>
        <v>-1</v>
      </c>
      <c r="AF300" s="18"/>
      <c r="AG300" s="18"/>
      <c r="AH300" s="18"/>
      <c r="AI300" s="18">
        <f t="shared" ref="AI300:AI301" si="88">SUM(E300:AH300)</f>
        <v>3</v>
      </c>
      <c r="AK300" s="155"/>
      <c r="AL300" s="159"/>
      <c r="AM300" s="31" t="s">
        <v>37</v>
      </c>
      <c r="AN300" s="18">
        <f t="shared" ref="AN300" si="89">AI300</f>
        <v>3</v>
      </c>
      <c r="AO300" s="202">
        <v>1588.86</v>
      </c>
      <c r="AP300" s="468">
        <f t="shared" ref="AP300" si="90">AN300*AO300</f>
        <v>4766.58</v>
      </c>
      <c r="AQ300" s="155"/>
    </row>
    <row r="301" spans="3:43" ht="15.6">
      <c r="C301" s="18"/>
      <c r="D301" s="31"/>
      <c r="E301" s="18"/>
      <c r="F301" s="18"/>
      <c r="G301" s="18"/>
      <c r="H301" s="25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>
        <f t="shared" si="88"/>
        <v>0</v>
      </c>
      <c r="AK301" s="155"/>
      <c r="AL301" s="159"/>
      <c r="AM301" s="31"/>
      <c r="AN301" s="18"/>
      <c r="AO301" s="201"/>
      <c r="AP301" s="468"/>
      <c r="AQ301" s="155"/>
    </row>
    <row r="302" spans="3:43" ht="15.6">
      <c r="C302" s="18"/>
      <c r="D302" s="31" t="s">
        <v>231</v>
      </c>
      <c r="E302" s="18">
        <v>1</v>
      </c>
      <c r="F302" s="18"/>
      <c r="G302" s="18"/>
      <c r="H302" s="25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>
        <f t="shared" ref="AI302:AI304" si="91">SUM(E302:AH302)</f>
        <v>1</v>
      </c>
      <c r="AK302" s="155"/>
      <c r="AL302" s="159"/>
      <c r="AM302" s="31" t="s">
        <v>231</v>
      </c>
      <c r="AN302" s="18">
        <f t="shared" ref="AN302:AN305" si="92">AI302</f>
        <v>1</v>
      </c>
      <c r="AO302" s="201">
        <v>926.35599999999999</v>
      </c>
      <c r="AP302" s="468">
        <f t="shared" ref="AP302:AP305" si="93">AN302*AO302</f>
        <v>926.35599999999999</v>
      </c>
      <c r="AQ302" s="155"/>
    </row>
    <row r="303" spans="3:43" ht="15.6">
      <c r="C303" s="18"/>
      <c r="D303" s="31" t="s">
        <v>233</v>
      </c>
      <c r="E303" s="18">
        <v>1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>
        <f t="shared" si="91"/>
        <v>1</v>
      </c>
      <c r="AK303" s="155"/>
      <c r="AL303" s="159"/>
      <c r="AM303" s="31" t="s">
        <v>233</v>
      </c>
      <c r="AN303" s="18">
        <f t="shared" si="92"/>
        <v>1</v>
      </c>
      <c r="AO303" s="202">
        <v>780.56</v>
      </c>
      <c r="AP303" s="468">
        <f t="shared" si="93"/>
        <v>780.56</v>
      </c>
      <c r="AQ303" s="155"/>
    </row>
    <row r="304" spans="3:43" ht="15.6">
      <c r="C304" s="18"/>
      <c r="D304" s="31" t="s">
        <v>234</v>
      </c>
      <c r="E304" s="18">
        <v>4</v>
      </c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>
        <f t="shared" si="91"/>
        <v>4</v>
      </c>
      <c r="AK304" s="155"/>
      <c r="AL304" s="159"/>
      <c r="AM304" s="31" t="s">
        <v>234</v>
      </c>
      <c r="AN304" s="18">
        <f t="shared" si="92"/>
        <v>4</v>
      </c>
      <c r="AO304" s="201">
        <v>489</v>
      </c>
      <c r="AP304" s="468">
        <f t="shared" si="93"/>
        <v>1956</v>
      </c>
      <c r="AQ304" s="155"/>
    </row>
    <row r="305" spans="3:43" ht="15.6">
      <c r="C305" s="18"/>
      <c r="D305" s="31" t="s">
        <v>235</v>
      </c>
      <c r="E305" s="18">
        <v>5</v>
      </c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>
        <f>SUM(E305:AH305)</f>
        <v>5</v>
      </c>
      <c r="AK305" s="155"/>
      <c r="AL305" s="159"/>
      <c r="AM305" s="31" t="s">
        <v>235</v>
      </c>
      <c r="AN305" s="18">
        <f t="shared" si="92"/>
        <v>5</v>
      </c>
      <c r="AO305" s="201">
        <v>524.04999999999995</v>
      </c>
      <c r="AP305" s="468">
        <f t="shared" si="93"/>
        <v>2620.25</v>
      </c>
      <c r="AQ305" s="155"/>
    </row>
    <row r="306" spans="3:43" ht="15.6">
      <c r="C306" s="18"/>
      <c r="D306" s="3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K306" s="155"/>
      <c r="AL306" s="159"/>
      <c r="AM306" s="31"/>
      <c r="AN306" s="18"/>
      <c r="AO306" s="201"/>
      <c r="AP306" s="468"/>
      <c r="AQ306" s="155"/>
    </row>
    <row r="307" spans="3:43" ht="15.6">
      <c r="C307" s="18"/>
      <c r="D307" s="58" t="s">
        <v>636</v>
      </c>
      <c r="E307" s="30">
        <v>2</v>
      </c>
      <c r="F307" s="30"/>
      <c r="G307" s="30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>
        <f>SUM(E307:AH307)</f>
        <v>2</v>
      </c>
      <c r="AK307" s="155"/>
      <c r="AL307" s="159"/>
      <c r="AM307" s="58" t="str">
        <f>D307</f>
        <v>Watch Ultra 2</v>
      </c>
      <c r="AN307" s="18">
        <f t="shared" ref="AN307:AN308" si="94">AI307</f>
        <v>2</v>
      </c>
      <c r="AO307" s="202">
        <f>180000/77</f>
        <v>2337.6623376623374</v>
      </c>
      <c r="AP307" s="468">
        <f t="shared" ref="AP307:AP314" si="95">AN307*AO307</f>
        <v>4675.3246753246749</v>
      </c>
      <c r="AQ307" s="155" t="s">
        <v>1566</v>
      </c>
    </row>
    <row r="308" spans="3:43" ht="15.6">
      <c r="C308" s="18"/>
      <c r="D308" s="58" t="s">
        <v>463</v>
      </c>
      <c r="E308" s="30">
        <v>1</v>
      </c>
      <c r="F308" s="30"/>
      <c r="G308" s="30"/>
      <c r="H308" s="25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>
        <f>SUM(E308:AH308)</f>
        <v>1</v>
      </c>
      <c r="AK308" s="155"/>
      <c r="AL308" s="159"/>
      <c r="AM308" s="58" t="s">
        <v>463</v>
      </c>
      <c r="AN308" s="18">
        <f t="shared" si="94"/>
        <v>1</v>
      </c>
      <c r="AO308" s="201">
        <v>300</v>
      </c>
      <c r="AP308" s="468">
        <f t="shared" si="95"/>
        <v>300</v>
      </c>
      <c r="AQ308" s="155"/>
    </row>
    <row r="309" spans="3:43" ht="15.6">
      <c r="C309" s="27" t="s">
        <v>47</v>
      </c>
      <c r="D309" s="31"/>
      <c r="E309" s="18"/>
      <c r="F309" s="18"/>
      <c r="G309" s="18"/>
      <c r="H309" s="25"/>
      <c r="I309" s="29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>
        <f>SUM(E309:AH309)</f>
        <v>0</v>
      </c>
      <c r="AK309" s="155"/>
      <c r="AL309" s="157" t="s">
        <v>47</v>
      </c>
      <c r="AM309" s="31"/>
      <c r="AN309" s="18"/>
      <c r="AO309" s="201"/>
      <c r="AP309" s="468"/>
      <c r="AQ309" s="155"/>
    </row>
    <row r="310" spans="3:43" ht="15.6">
      <c r="C310" s="28"/>
      <c r="D310" s="31" t="s">
        <v>1820</v>
      </c>
      <c r="E310" s="18">
        <v>2</v>
      </c>
      <c r="F310" s="18"/>
      <c r="G310" s="18"/>
      <c r="H310" s="25"/>
      <c r="I310" s="29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>
        <v>-1</v>
      </c>
      <c r="AI310" s="18">
        <f t="shared" ref="AI310:AI316" si="96">SUM(E310:AH310)</f>
        <v>1</v>
      </c>
      <c r="AK310" s="155"/>
      <c r="AL310" s="159"/>
      <c r="AM310" s="31" t="s">
        <v>1820</v>
      </c>
      <c r="AN310" s="18">
        <f t="shared" ref="AN310:AN316" si="97">AI310</f>
        <v>1</v>
      </c>
      <c r="AO310" s="201">
        <v>3139</v>
      </c>
      <c r="AP310" s="468">
        <f t="shared" si="95"/>
        <v>3139</v>
      </c>
      <c r="AQ310" s="155"/>
    </row>
    <row r="311" spans="3:43" ht="15.6">
      <c r="C311" s="28"/>
      <c r="D311" s="31" t="s">
        <v>1821</v>
      </c>
      <c r="E311" s="18">
        <v>6</v>
      </c>
      <c r="F311" s="18"/>
      <c r="G311" s="18"/>
      <c r="H311" s="25"/>
      <c r="I311" s="29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>
        <v>2</v>
      </c>
      <c r="AF311" s="18"/>
      <c r="AG311" s="18"/>
      <c r="AH311" s="18">
        <v>-1</v>
      </c>
      <c r="AI311" s="18">
        <f t="shared" si="96"/>
        <v>7</v>
      </c>
      <c r="AK311" s="155"/>
      <c r="AL311" s="159"/>
      <c r="AM311" s="31" t="s">
        <v>1821</v>
      </c>
      <c r="AN311" s="18">
        <f t="shared" si="97"/>
        <v>7</v>
      </c>
      <c r="AO311" s="202">
        <v>2816</v>
      </c>
      <c r="AP311" s="468">
        <f t="shared" si="95"/>
        <v>19712</v>
      </c>
      <c r="AQ311" s="155"/>
    </row>
    <row r="312" spans="3:43" ht="15.6">
      <c r="C312" s="28"/>
      <c r="D312" s="31" t="s">
        <v>1822</v>
      </c>
      <c r="E312" s="18">
        <v>5</v>
      </c>
      <c r="F312" s="18"/>
      <c r="G312" s="18"/>
      <c r="H312" s="25"/>
      <c r="I312" s="29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>
        <f t="shared" si="96"/>
        <v>5</v>
      </c>
      <c r="AK312" s="155"/>
      <c r="AL312" s="159"/>
      <c r="AM312" s="31" t="s">
        <v>1822</v>
      </c>
      <c r="AN312" s="18">
        <f t="shared" si="97"/>
        <v>5</v>
      </c>
      <c r="AO312" s="201">
        <v>2110.3000000000002</v>
      </c>
      <c r="AP312" s="468">
        <f t="shared" si="95"/>
        <v>10551.5</v>
      </c>
      <c r="AQ312" s="155"/>
    </row>
    <row r="313" spans="3:43" ht="15.6">
      <c r="C313" s="28"/>
      <c r="D313" s="31" t="s">
        <v>1826</v>
      </c>
      <c r="E313" s="18">
        <v>1</v>
      </c>
      <c r="F313" s="18"/>
      <c r="G313" s="18"/>
      <c r="H313" s="25"/>
      <c r="I313" s="29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>
        <f t="shared" si="96"/>
        <v>1</v>
      </c>
      <c r="AK313" s="155"/>
      <c r="AL313" s="159"/>
      <c r="AM313" s="31" t="s">
        <v>1826</v>
      </c>
      <c r="AN313" s="18">
        <f t="shared" si="97"/>
        <v>1</v>
      </c>
      <c r="AO313" s="201">
        <v>1816.3</v>
      </c>
      <c r="AP313" s="468">
        <f t="shared" si="95"/>
        <v>1816.3</v>
      </c>
      <c r="AQ313" s="155"/>
    </row>
    <row r="314" spans="3:43" ht="15.6">
      <c r="C314" s="28"/>
      <c r="D314" s="31" t="s">
        <v>1823</v>
      </c>
      <c r="E314" s="18">
        <v>1</v>
      </c>
      <c r="F314" s="18"/>
      <c r="G314" s="18"/>
      <c r="H314" s="25"/>
      <c r="I314" s="29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>
        <f t="shared" si="96"/>
        <v>1</v>
      </c>
      <c r="AK314" s="155"/>
      <c r="AL314" s="159"/>
      <c r="AM314" s="31" t="s">
        <v>1823</v>
      </c>
      <c r="AN314" s="18">
        <f t="shared" si="97"/>
        <v>1</v>
      </c>
      <c r="AO314" s="201">
        <v>1595.9</v>
      </c>
      <c r="AP314" s="468">
        <f t="shared" si="95"/>
        <v>1595.9</v>
      </c>
      <c r="AQ314" s="155"/>
    </row>
    <row r="315" spans="3:43" ht="15.6">
      <c r="C315" s="28"/>
      <c r="D315" s="31" t="s">
        <v>51</v>
      </c>
      <c r="E315" s="18">
        <v>2</v>
      </c>
      <c r="F315" s="18"/>
      <c r="G315" s="18"/>
      <c r="H315" s="25"/>
      <c r="I315" s="29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>
        <f t="shared" si="96"/>
        <v>2</v>
      </c>
      <c r="AK315" s="155"/>
      <c r="AL315" s="159"/>
      <c r="AM315" s="31" t="s">
        <v>51</v>
      </c>
      <c r="AN315" s="18">
        <f t="shared" si="97"/>
        <v>2</v>
      </c>
      <c r="AO315" s="201">
        <v>1118</v>
      </c>
      <c r="AP315" s="468">
        <f>AN315*AO315</f>
        <v>2236</v>
      </c>
      <c r="AQ315" s="155"/>
    </row>
    <row r="316" spans="3:43" ht="15.6">
      <c r="C316" s="28"/>
      <c r="D316" s="32" t="s">
        <v>1942</v>
      </c>
      <c r="E316" s="18"/>
      <c r="F316" s="18"/>
      <c r="G316" s="18"/>
      <c r="H316" s="18"/>
      <c r="I316" s="29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>
        <v>1</v>
      </c>
      <c r="AF316" s="18"/>
      <c r="AG316" s="18"/>
      <c r="AH316" s="18"/>
      <c r="AI316" s="18">
        <f t="shared" si="96"/>
        <v>1</v>
      </c>
      <c r="AK316" s="155"/>
      <c r="AL316" s="159"/>
      <c r="AM316" s="31" t="s">
        <v>1943</v>
      </c>
      <c r="AN316" s="18">
        <f t="shared" si="97"/>
        <v>1</v>
      </c>
      <c r="AO316" s="201">
        <v>2079</v>
      </c>
      <c r="AP316" s="468">
        <f>AN316*AO316</f>
        <v>2079</v>
      </c>
      <c r="AQ316" s="155"/>
    </row>
    <row r="317" spans="3:43" ht="15.6">
      <c r="C317" s="28"/>
      <c r="D317" s="32" t="s">
        <v>56</v>
      </c>
      <c r="E317" s="18">
        <v>1</v>
      </c>
      <c r="F317" s="18"/>
      <c r="G317" s="18"/>
      <c r="H317" s="25"/>
      <c r="I317" s="29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>
        <f t="shared" ref="AI317:AI320" si="98">SUM(E317:AH317)</f>
        <v>1</v>
      </c>
      <c r="AK317" s="155"/>
      <c r="AL317" s="159"/>
      <c r="AM317" s="32" t="s">
        <v>56</v>
      </c>
      <c r="AN317" s="18">
        <f>AI317</f>
        <v>1</v>
      </c>
      <c r="AO317" s="201">
        <v>555.6</v>
      </c>
      <c r="AP317" s="468">
        <f>AN317*AO317</f>
        <v>555.6</v>
      </c>
      <c r="AQ317" s="155"/>
    </row>
    <row r="318" spans="3:43" ht="15.6">
      <c r="C318" s="28"/>
      <c r="D318" s="31" t="s">
        <v>58</v>
      </c>
      <c r="E318" s="18">
        <v>1</v>
      </c>
      <c r="F318" s="18"/>
      <c r="G318" s="18"/>
      <c r="H318" s="25"/>
      <c r="I318" s="29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>
        <f t="shared" si="98"/>
        <v>1</v>
      </c>
      <c r="AK318" s="155"/>
      <c r="AL318" s="159"/>
      <c r="AM318" s="31" t="s">
        <v>58</v>
      </c>
      <c r="AN318" s="18">
        <f>AI318</f>
        <v>1</v>
      </c>
      <c r="AO318" s="201">
        <v>555.6</v>
      </c>
      <c r="AP318" s="468">
        <f>AN318*AO318</f>
        <v>555.6</v>
      </c>
      <c r="AQ318" s="155"/>
    </row>
    <row r="319" spans="3:43" ht="15.6">
      <c r="C319" s="28"/>
      <c r="D319" s="31" t="s">
        <v>1824</v>
      </c>
      <c r="E319" s="18">
        <v>1</v>
      </c>
      <c r="F319" s="18"/>
      <c r="G319" s="18"/>
      <c r="H319" s="25"/>
      <c r="I319" s="29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>
        <v>-1</v>
      </c>
      <c r="AI319" s="18">
        <f t="shared" si="98"/>
        <v>0</v>
      </c>
      <c r="AK319" s="155"/>
      <c r="AL319" s="159"/>
      <c r="AM319" s="31" t="s">
        <v>1824</v>
      </c>
      <c r="AN319" s="18">
        <f>AI319</f>
        <v>0</v>
      </c>
      <c r="AO319" s="201"/>
      <c r="AP319" s="468"/>
      <c r="AQ319" s="155"/>
    </row>
    <row r="320" spans="3:43" ht="15.6">
      <c r="C320" s="28"/>
      <c r="D320" s="31" t="s">
        <v>122</v>
      </c>
      <c r="E320" s="18">
        <v>1</v>
      </c>
      <c r="F320" s="18"/>
      <c r="G320" s="18"/>
      <c r="H320" s="25"/>
      <c r="I320" s="29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>
        <f t="shared" si="98"/>
        <v>1</v>
      </c>
      <c r="AK320" s="155"/>
      <c r="AL320" s="159"/>
      <c r="AM320" s="31" t="s">
        <v>122</v>
      </c>
      <c r="AN320" s="18">
        <f>AI320</f>
        <v>1</v>
      </c>
      <c r="AO320" s="201">
        <v>555.6</v>
      </c>
      <c r="AP320" s="468">
        <f>AN320*AO320</f>
        <v>555.6</v>
      </c>
      <c r="AQ320" s="155"/>
    </row>
    <row r="321" spans="3:43" ht="15.6">
      <c r="C321" s="28"/>
      <c r="D321" s="32"/>
      <c r="E321" s="18"/>
      <c r="F321" s="18"/>
      <c r="G321" s="18"/>
      <c r="H321" s="18"/>
      <c r="I321" s="29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K321" s="155"/>
      <c r="AL321" s="159"/>
      <c r="AM321" s="32"/>
      <c r="AN321" s="18"/>
      <c r="AO321" s="201"/>
      <c r="AP321" s="468"/>
      <c r="AQ321" s="155"/>
    </row>
    <row r="322" spans="3:43" ht="15.6">
      <c r="C322" s="27" t="s">
        <v>59</v>
      </c>
      <c r="D322" s="31" t="s">
        <v>60</v>
      </c>
      <c r="E322" s="18">
        <v>1</v>
      </c>
      <c r="F322" s="18"/>
      <c r="G322" s="18"/>
      <c r="H322" s="25"/>
      <c r="I322" s="29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>
        <f>SUM(E322:AH322)</f>
        <v>1</v>
      </c>
      <c r="AK322" s="155"/>
      <c r="AL322" s="157" t="s">
        <v>59</v>
      </c>
      <c r="AM322" s="31" t="s">
        <v>60</v>
      </c>
      <c r="AN322" s="18">
        <f t="shared" ref="AN322" si="99">AI322</f>
        <v>1</v>
      </c>
      <c r="AO322" s="201">
        <v>555.6</v>
      </c>
      <c r="AP322" s="468">
        <f>AN322*AO322</f>
        <v>555.6</v>
      </c>
      <c r="AQ322" s="155"/>
    </row>
    <row r="323" spans="3:43" ht="15.6">
      <c r="C323" s="28"/>
      <c r="D323" s="31"/>
      <c r="E323" s="18"/>
      <c r="F323" s="18"/>
      <c r="G323" s="18"/>
      <c r="H323" s="25"/>
      <c r="I323" s="29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>
        <f>SUM(E323:AH323)</f>
        <v>0</v>
      </c>
      <c r="AK323" s="155"/>
      <c r="AL323" s="159"/>
      <c r="AM323" s="31"/>
      <c r="AN323" s="18"/>
      <c r="AO323" s="201"/>
      <c r="AP323" s="468">
        <f>AN323*AO323</f>
        <v>0</v>
      </c>
      <c r="AQ323" s="155"/>
    </row>
    <row r="324" spans="3:43" ht="15.6">
      <c r="C324" s="82"/>
      <c r="D324" s="81"/>
      <c r="E324" s="81">
        <f t="shared" ref="E324:J324" si="100">SUM(E289:E323)</f>
        <v>54</v>
      </c>
      <c r="F324" s="81">
        <f t="shared" si="100"/>
        <v>0</v>
      </c>
      <c r="G324" s="81">
        <f t="shared" si="100"/>
        <v>0</v>
      </c>
      <c r="H324" s="81">
        <f t="shared" si="100"/>
        <v>0</v>
      </c>
      <c r="I324" s="81">
        <f t="shared" si="100"/>
        <v>0</v>
      </c>
      <c r="J324" s="81">
        <f t="shared" si="100"/>
        <v>0</v>
      </c>
      <c r="K324" s="81"/>
      <c r="L324" s="81"/>
      <c r="M324" s="81">
        <f t="shared" ref="M324:N324" si="101">SUM(M289:M323)</f>
        <v>0</v>
      </c>
      <c r="N324" s="81">
        <f t="shared" si="101"/>
        <v>0</v>
      </c>
      <c r="O324" s="81"/>
      <c r="P324" s="81">
        <f t="shared" ref="P324:Q324" si="102">SUM(P289:P323)</f>
        <v>0</v>
      </c>
      <c r="Q324" s="81">
        <f t="shared" si="102"/>
        <v>0</v>
      </c>
      <c r="R324" s="81">
        <f>SUM(R289:R323)</f>
        <v>0</v>
      </c>
      <c r="S324" s="81">
        <f>SUM(S289:S323)</f>
        <v>0</v>
      </c>
      <c r="T324" s="81"/>
      <c r="U324" s="81">
        <f>SUM(U289:U323)</f>
        <v>0</v>
      </c>
      <c r="V324" s="81">
        <f>SUM(V289:V323)</f>
        <v>0</v>
      </c>
      <c r="W324" s="81">
        <f>SUM(W289:W323)</f>
        <v>0</v>
      </c>
      <c r="X324" s="81"/>
      <c r="Y324" s="81"/>
      <c r="Z324" s="81"/>
      <c r="AA324" s="81"/>
      <c r="AB324" s="81"/>
      <c r="AC324" s="81"/>
      <c r="AD324" s="81"/>
      <c r="AE324" s="81">
        <f>SUM(AE289:AE323)</f>
        <v>8</v>
      </c>
      <c r="AF324" s="81"/>
      <c r="AG324" s="81"/>
      <c r="AH324" s="81">
        <f>SUM(AH289:AH323)</f>
        <v>-10</v>
      </c>
      <c r="AI324" s="81">
        <f>SUM(AI289:AI323)</f>
        <v>52</v>
      </c>
      <c r="AK324" s="155"/>
      <c r="AL324" s="162"/>
      <c r="AM324" s="162"/>
      <c r="AN324" s="81">
        <f>SUM(AN289:AN323)</f>
        <v>52</v>
      </c>
      <c r="AO324" s="160"/>
      <c r="AP324" s="163">
        <f>SUM(AP289:AP323)</f>
        <v>92887.396324675341</v>
      </c>
      <c r="AQ324" s="155"/>
    </row>
    <row r="328" spans="3:43" ht="18">
      <c r="C328" s="83" t="s">
        <v>22</v>
      </c>
      <c r="D328" s="83" t="s">
        <v>23</v>
      </c>
      <c r="E328" s="84">
        <v>45536</v>
      </c>
      <c r="F328" s="84">
        <v>45537</v>
      </c>
      <c r="G328" s="84">
        <v>45538</v>
      </c>
      <c r="H328" s="84">
        <v>45539</v>
      </c>
      <c r="I328" s="84">
        <v>45540</v>
      </c>
      <c r="J328" s="84">
        <v>45541</v>
      </c>
      <c r="K328" s="84">
        <v>45542</v>
      </c>
      <c r="L328" s="84">
        <v>45543</v>
      </c>
      <c r="M328" s="84">
        <v>45544</v>
      </c>
      <c r="N328" s="84">
        <v>45545</v>
      </c>
      <c r="O328" s="84">
        <v>45546</v>
      </c>
      <c r="P328" s="84">
        <v>45547</v>
      </c>
      <c r="Q328" s="84">
        <v>45548</v>
      </c>
      <c r="R328" s="84">
        <v>45549</v>
      </c>
      <c r="S328" s="84">
        <v>45550</v>
      </c>
      <c r="T328" s="84">
        <v>45551</v>
      </c>
      <c r="U328" s="84">
        <v>45552</v>
      </c>
      <c r="V328" s="84">
        <v>45553</v>
      </c>
      <c r="W328" s="84">
        <v>45554</v>
      </c>
      <c r="X328" s="84">
        <v>45555</v>
      </c>
      <c r="Y328" s="84">
        <v>45556</v>
      </c>
      <c r="Z328" s="84">
        <v>45557</v>
      </c>
      <c r="AA328" s="84">
        <v>45558</v>
      </c>
      <c r="AB328" s="84">
        <v>45559</v>
      </c>
      <c r="AC328" s="84">
        <v>45560</v>
      </c>
      <c r="AD328" s="84">
        <v>45561</v>
      </c>
      <c r="AE328" s="84">
        <v>45562</v>
      </c>
      <c r="AF328" s="84">
        <v>45563</v>
      </c>
      <c r="AG328" s="84">
        <v>45564</v>
      </c>
      <c r="AH328" s="84">
        <v>45565</v>
      </c>
      <c r="AI328" s="85" t="s">
        <v>25</v>
      </c>
      <c r="AK328" s="155"/>
      <c r="AL328" s="164" t="s">
        <v>22</v>
      </c>
      <c r="AM328" s="164" t="s">
        <v>23</v>
      </c>
      <c r="AN328" s="85" t="s">
        <v>25</v>
      </c>
      <c r="AO328" s="85" t="s">
        <v>468</v>
      </c>
      <c r="AP328" s="85" t="s">
        <v>11</v>
      </c>
      <c r="AQ328" s="155"/>
    </row>
    <row r="329" spans="3:43" ht="15.6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K329" s="155"/>
      <c r="AL329" s="156"/>
      <c r="AM329" s="156"/>
      <c r="AN329" s="155"/>
      <c r="AO329" s="155"/>
      <c r="AP329" s="155"/>
      <c r="AQ329" s="155"/>
    </row>
    <row r="330" spans="3:43" ht="15.6">
      <c r="C330" s="26" t="s">
        <v>26</v>
      </c>
      <c r="D330" s="31"/>
      <c r="E330" s="18"/>
      <c r="F330" s="18"/>
      <c r="G330" s="18"/>
      <c r="H330" s="25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K330" s="155"/>
      <c r="AL330" s="157" t="s">
        <v>26</v>
      </c>
      <c r="AM330" s="158"/>
      <c r="AN330" s="159"/>
      <c r="AO330" s="160"/>
      <c r="AP330" s="160"/>
      <c r="AQ330" s="155"/>
    </row>
    <row r="331" spans="3:43" ht="15.6">
      <c r="C331" s="18"/>
      <c r="D331" s="31" t="s">
        <v>29</v>
      </c>
      <c r="E331" s="18">
        <v>5</v>
      </c>
      <c r="F331" s="18"/>
      <c r="G331" s="18"/>
      <c r="H331" s="25"/>
      <c r="I331" s="18"/>
      <c r="J331" s="18">
        <v>-1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>
        <f t="shared" ref="AI331:AI337" si="103">SUM(E331:AH331)</f>
        <v>4</v>
      </c>
      <c r="AK331" s="155">
        <v>-3</v>
      </c>
      <c r="AL331" s="159"/>
      <c r="AM331" s="31" t="s">
        <v>29</v>
      </c>
      <c r="AN331" s="159">
        <f t="shared" ref="AN331:AN337" si="104">AI331</f>
        <v>4</v>
      </c>
      <c r="AO331" s="201">
        <f>202000/77</f>
        <v>2623.3766233766232</v>
      </c>
      <c r="AP331" s="468">
        <f t="shared" ref="AP331:AP337" si="105">AN331*AO331</f>
        <v>10493.506493506493</v>
      </c>
      <c r="AQ331" s="155" t="s">
        <v>721</v>
      </c>
    </row>
    <row r="332" spans="3:43" ht="15.6">
      <c r="C332" s="18"/>
      <c r="D332" s="31" t="s">
        <v>1830</v>
      </c>
      <c r="E332" s="18">
        <v>3</v>
      </c>
      <c r="F332" s="18"/>
      <c r="G332" s="18"/>
      <c r="H332" s="25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>
        <v>-3</v>
      </c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>
        <f t="shared" si="103"/>
        <v>0</v>
      </c>
      <c r="AK332" s="155">
        <v>-3</v>
      </c>
      <c r="AL332" s="159"/>
      <c r="AM332" s="31" t="str">
        <f t="shared" ref="AM332:AM337" si="106">D332</f>
        <v xml:space="preserve">IP 15Pro 128GB </v>
      </c>
      <c r="AN332" s="159">
        <f t="shared" si="104"/>
        <v>0</v>
      </c>
      <c r="AO332" s="201">
        <f>145000/77</f>
        <v>1883.1168831168832</v>
      </c>
      <c r="AP332" s="468">
        <f t="shared" si="105"/>
        <v>0</v>
      </c>
      <c r="AQ332" s="155"/>
    </row>
    <row r="333" spans="3:43" ht="15.6">
      <c r="C333" s="18"/>
      <c r="D333" s="31" t="s">
        <v>1998</v>
      </c>
      <c r="E333" s="18">
        <v>1</v>
      </c>
      <c r="F333" s="18"/>
      <c r="G333" s="18">
        <v>-1</v>
      </c>
      <c r="H333" s="25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>
        <f t="shared" si="103"/>
        <v>0</v>
      </c>
      <c r="AK333" s="155"/>
      <c r="AL333" s="159"/>
      <c r="AM333" s="31" t="str">
        <f t="shared" si="106"/>
        <v xml:space="preserve">IP 15 128GB </v>
      </c>
      <c r="AN333" s="159">
        <f t="shared" si="104"/>
        <v>0</v>
      </c>
      <c r="AO333" s="201">
        <f>105000/77</f>
        <v>1363.6363636363637</v>
      </c>
      <c r="AP333" s="468">
        <f t="shared" si="105"/>
        <v>0</v>
      </c>
      <c r="AQ333" s="155"/>
    </row>
    <row r="334" spans="3:43" ht="28.2">
      <c r="C334" s="18"/>
      <c r="D334" s="31" t="s">
        <v>1941</v>
      </c>
      <c r="E334" s="18">
        <v>1</v>
      </c>
      <c r="F334" s="18"/>
      <c r="G334" s="18"/>
      <c r="H334" s="25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>
        <f t="shared" si="103"/>
        <v>1</v>
      </c>
      <c r="AK334" s="155" t="s">
        <v>982</v>
      </c>
      <c r="AL334" s="159"/>
      <c r="AM334" s="31" t="str">
        <f t="shared" si="106"/>
        <v>IP 15ProMax 512Gb FU</v>
      </c>
      <c r="AN334" s="159">
        <f t="shared" si="104"/>
        <v>1</v>
      </c>
      <c r="AO334" s="201">
        <v>4428</v>
      </c>
      <c r="AP334" s="468">
        <f t="shared" si="105"/>
        <v>4428</v>
      </c>
      <c r="AQ334" s="155"/>
    </row>
    <row r="335" spans="3:43" ht="28.2">
      <c r="C335" s="18"/>
      <c r="D335" s="31" t="s">
        <v>1940</v>
      </c>
      <c r="E335" s="18">
        <v>1</v>
      </c>
      <c r="F335" s="18"/>
      <c r="G335" s="18">
        <v>-1</v>
      </c>
      <c r="H335" s="25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>
        <f t="shared" si="103"/>
        <v>0</v>
      </c>
      <c r="AK335" s="155"/>
      <c r="AL335" s="159"/>
      <c r="AM335" s="31" t="str">
        <f t="shared" si="106"/>
        <v>IP 15ProMax 256Gb FU</v>
      </c>
      <c r="AN335" s="159">
        <f t="shared" si="104"/>
        <v>0</v>
      </c>
      <c r="AO335" s="202">
        <v>3796.875</v>
      </c>
      <c r="AP335" s="468">
        <f t="shared" si="105"/>
        <v>0</v>
      </c>
      <c r="AQ335" s="155"/>
    </row>
    <row r="336" spans="3:43" ht="15.6">
      <c r="C336" s="18"/>
      <c r="D336" s="31" t="s">
        <v>1939</v>
      </c>
      <c r="E336" s="18">
        <v>1</v>
      </c>
      <c r="F336" s="18"/>
      <c r="G336" s="18"/>
      <c r="H336" s="25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>
        <f t="shared" si="103"/>
        <v>1</v>
      </c>
      <c r="AK336" s="155" t="s">
        <v>982</v>
      </c>
      <c r="AL336" s="159"/>
      <c r="AM336" s="31" t="str">
        <f t="shared" si="106"/>
        <v>IP 15Pro 128GB FU</v>
      </c>
      <c r="AN336" s="159">
        <f t="shared" si="104"/>
        <v>1</v>
      </c>
      <c r="AO336" s="201">
        <v>3186</v>
      </c>
      <c r="AP336" s="468">
        <f t="shared" si="105"/>
        <v>3186</v>
      </c>
      <c r="AQ336" s="155"/>
    </row>
    <row r="337" spans="3:43" ht="15.6">
      <c r="C337" s="18"/>
      <c r="D337" s="31" t="s">
        <v>1831</v>
      </c>
      <c r="E337" s="18">
        <v>1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>
        <f t="shared" si="103"/>
        <v>1</v>
      </c>
      <c r="AK337" s="155" t="s">
        <v>982</v>
      </c>
      <c r="AL337" s="159"/>
      <c r="AM337" s="32" t="str">
        <f t="shared" si="106"/>
        <v xml:space="preserve">IP 14Plus 128GB </v>
      </c>
      <c r="AN337" s="18">
        <f t="shared" si="104"/>
        <v>1</v>
      </c>
      <c r="AO337" s="201">
        <v>1450</v>
      </c>
      <c r="AP337" s="468">
        <f t="shared" si="105"/>
        <v>1450</v>
      </c>
      <c r="AQ337" s="155"/>
    </row>
    <row r="338" spans="3:43" ht="15.6">
      <c r="C338" s="18"/>
      <c r="D338" s="31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K338" s="155"/>
      <c r="AL338" s="159"/>
      <c r="AM338" s="32"/>
      <c r="AN338" s="18"/>
      <c r="AO338" s="201"/>
      <c r="AP338" s="468"/>
      <c r="AQ338" s="155"/>
    </row>
    <row r="339" spans="3:43" ht="15.6">
      <c r="C339" s="18"/>
      <c r="D339" s="31" t="s">
        <v>37</v>
      </c>
      <c r="E339" s="18">
        <v>3</v>
      </c>
      <c r="F339" s="18"/>
      <c r="G339" s="18"/>
      <c r="H339" s="25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>
        <f t="shared" ref="AI339:AI343" si="107">SUM(E339:AH339)</f>
        <v>3</v>
      </c>
      <c r="AK339" s="155" t="s">
        <v>982</v>
      </c>
      <c r="AL339" s="159"/>
      <c r="AM339" s="31" t="s">
        <v>37</v>
      </c>
      <c r="AN339" s="18">
        <f t="shared" ref="AN339" si="108">AI339</f>
        <v>3</v>
      </c>
      <c r="AO339" s="202">
        <v>1588.86</v>
      </c>
      <c r="AP339" s="468">
        <f t="shared" ref="AP339" si="109">AN339*AO339</f>
        <v>4766.58</v>
      </c>
      <c r="AQ339" s="155"/>
    </row>
    <row r="340" spans="3:43" ht="16.2" thickBot="1">
      <c r="C340" s="18"/>
      <c r="D340" s="31"/>
      <c r="E340" s="18"/>
      <c r="F340" s="18"/>
      <c r="G340" s="18"/>
      <c r="H340" s="25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>
        <f t="shared" si="107"/>
        <v>0</v>
      </c>
      <c r="AK340" s="155" t="s">
        <v>2029</v>
      </c>
      <c r="AL340" s="159"/>
      <c r="AM340" s="31"/>
      <c r="AN340" s="18"/>
      <c r="AO340" s="201"/>
      <c r="AP340" s="468"/>
      <c r="AQ340" s="155"/>
    </row>
    <row r="341" spans="3:43" ht="15.6">
      <c r="C341" s="18"/>
      <c r="D341" s="31" t="s">
        <v>231</v>
      </c>
      <c r="E341" s="18">
        <v>1</v>
      </c>
      <c r="F341" s="18"/>
      <c r="G341" s="18"/>
      <c r="H341" s="25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>
        <f t="shared" si="107"/>
        <v>1</v>
      </c>
      <c r="AK341" s="620">
        <v>-1</v>
      </c>
      <c r="AL341" s="515"/>
      <c r="AM341" s="31" t="s">
        <v>231</v>
      </c>
      <c r="AN341" s="18">
        <f t="shared" ref="AN341:AN344" si="110">AI341</f>
        <v>1</v>
      </c>
      <c r="AO341" s="201">
        <v>926.35599999999999</v>
      </c>
      <c r="AP341" s="468">
        <f t="shared" ref="AP341:AP344" si="111">AN341*AO341</f>
        <v>926.35599999999999</v>
      </c>
      <c r="AQ341" s="155"/>
    </row>
    <row r="342" spans="3:43" ht="16.2" thickBot="1">
      <c r="C342" s="18"/>
      <c r="D342" s="31" t="s">
        <v>233</v>
      </c>
      <c r="E342" s="18">
        <v>1</v>
      </c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>
        <f t="shared" si="107"/>
        <v>1</v>
      </c>
      <c r="AK342" s="621"/>
      <c r="AL342" s="515"/>
      <c r="AM342" s="31" t="s">
        <v>233</v>
      </c>
      <c r="AN342" s="18">
        <f t="shared" si="110"/>
        <v>1</v>
      </c>
      <c r="AO342" s="202">
        <v>780.56</v>
      </c>
      <c r="AP342" s="468">
        <f t="shared" si="111"/>
        <v>780.56</v>
      </c>
      <c r="AQ342" s="155"/>
    </row>
    <row r="343" spans="3:43" ht="15.6">
      <c r="C343" s="18"/>
      <c r="D343" s="31" t="s">
        <v>234</v>
      </c>
      <c r="E343" s="18">
        <v>4</v>
      </c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>
        <f t="shared" si="107"/>
        <v>4</v>
      </c>
      <c r="AK343" s="155">
        <v>1</v>
      </c>
      <c r="AL343" s="159"/>
      <c r="AM343" s="31" t="s">
        <v>234</v>
      </c>
      <c r="AN343" s="18">
        <f t="shared" si="110"/>
        <v>4</v>
      </c>
      <c r="AO343" s="201">
        <v>489</v>
      </c>
      <c r="AP343" s="468">
        <f t="shared" si="111"/>
        <v>1956</v>
      </c>
      <c r="AQ343" s="155"/>
    </row>
    <row r="344" spans="3:43" ht="15.6">
      <c r="C344" s="18"/>
      <c r="D344" s="31" t="s">
        <v>235</v>
      </c>
      <c r="E344" s="18">
        <v>5</v>
      </c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>
        <f>SUM(E344:AH344)</f>
        <v>5</v>
      </c>
      <c r="AK344" s="155" t="s">
        <v>982</v>
      </c>
      <c r="AL344" s="159"/>
      <c r="AM344" s="31" t="s">
        <v>235</v>
      </c>
      <c r="AN344" s="18">
        <f t="shared" si="110"/>
        <v>5</v>
      </c>
      <c r="AO344" s="201">
        <v>524.04999999999995</v>
      </c>
      <c r="AP344" s="468">
        <f t="shared" si="111"/>
        <v>2620.25</v>
      </c>
      <c r="AQ344" s="155"/>
    </row>
    <row r="345" spans="3:43" ht="15.6">
      <c r="C345" s="18"/>
      <c r="D345" s="31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K345" s="155"/>
      <c r="AL345" s="159"/>
      <c r="AM345" s="31"/>
      <c r="AN345" s="18"/>
      <c r="AO345" s="201"/>
      <c r="AP345" s="468"/>
      <c r="AQ345" s="155"/>
    </row>
    <row r="346" spans="3:43" ht="15.6">
      <c r="C346" s="18"/>
      <c r="D346" s="58" t="s">
        <v>636</v>
      </c>
      <c r="E346" s="30">
        <v>2</v>
      </c>
      <c r="F346" s="30"/>
      <c r="G346" s="30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>
        <f>SUM(E346:AH346)</f>
        <v>2</v>
      </c>
      <c r="AK346" s="155">
        <v>-1</v>
      </c>
      <c r="AL346" s="159"/>
      <c r="AM346" s="58" t="str">
        <f>D346</f>
        <v>Watch Ultra 2</v>
      </c>
      <c r="AN346" s="18">
        <f t="shared" ref="AN346:AN347" si="112">AI346</f>
        <v>2</v>
      </c>
      <c r="AO346" s="202">
        <f>180000/77</f>
        <v>2337.6623376623374</v>
      </c>
      <c r="AP346" s="468">
        <f t="shared" ref="AP346:AP347" si="113">AN346*AO346</f>
        <v>4675.3246753246749</v>
      </c>
      <c r="AQ346" s="155" t="s">
        <v>1566</v>
      </c>
    </row>
    <row r="347" spans="3:43" ht="15.6">
      <c r="C347" s="18"/>
      <c r="D347" s="58" t="s">
        <v>463</v>
      </c>
      <c r="E347" s="30">
        <v>1</v>
      </c>
      <c r="F347" s="30"/>
      <c r="G347" s="30"/>
      <c r="H347" s="25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>
        <f>SUM(E347:AH347)</f>
        <v>1</v>
      </c>
      <c r="AK347" s="155"/>
      <c r="AL347" s="159"/>
      <c r="AM347" s="58" t="s">
        <v>463</v>
      </c>
      <c r="AN347" s="18">
        <f t="shared" si="112"/>
        <v>1</v>
      </c>
      <c r="AO347" s="201">
        <v>300</v>
      </c>
      <c r="AP347" s="468">
        <f t="shared" si="113"/>
        <v>300</v>
      </c>
      <c r="AQ347" s="155"/>
    </row>
    <row r="348" spans="3:43" ht="15.6">
      <c r="C348" s="27" t="s">
        <v>47</v>
      </c>
      <c r="D348" s="31"/>
      <c r="E348" s="18"/>
      <c r="F348" s="18"/>
      <c r="G348" s="18"/>
      <c r="H348" s="25"/>
      <c r="I348" s="29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>
        <f>SUM(E348:AH348)</f>
        <v>0</v>
      </c>
      <c r="AK348" s="155" t="s">
        <v>982</v>
      </c>
      <c r="AL348" s="157" t="s">
        <v>47</v>
      </c>
      <c r="AM348" s="31"/>
      <c r="AN348" s="18"/>
      <c r="AO348" s="201"/>
      <c r="AP348" s="468"/>
      <c r="AQ348" s="155"/>
    </row>
    <row r="349" spans="3:43" ht="15.6">
      <c r="C349" s="28"/>
      <c r="D349" s="31" t="s">
        <v>1820</v>
      </c>
      <c r="E349" s="18">
        <v>1</v>
      </c>
      <c r="F349" s="18"/>
      <c r="G349" s="18"/>
      <c r="H349" s="25"/>
      <c r="I349" s="29"/>
      <c r="J349" s="18"/>
      <c r="K349" s="18">
        <v>-1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>
        <f t="shared" ref="AI349:AI358" si="114">SUM(E349:AH349)</f>
        <v>0</v>
      </c>
      <c r="AK349" s="155"/>
      <c r="AL349" s="159"/>
      <c r="AM349" s="31" t="s">
        <v>1820</v>
      </c>
      <c r="AN349" s="18">
        <f t="shared" ref="AN349:AN355" si="115">AI349</f>
        <v>0</v>
      </c>
      <c r="AO349" s="201">
        <v>3139</v>
      </c>
      <c r="AP349" s="468">
        <f t="shared" ref="AP349:AP353" si="116">AN349*AO349</f>
        <v>0</v>
      </c>
      <c r="AQ349" s="155"/>
    </row>
    <row r="350" spans="3:43" ht="15.6">
      <c r="C350" s="28"/>
      <c r="D350" s="31" t="s">
        <v>1821</v>
      </c>
      <c r="E350" s="18">
        <v>7</v>
      </c>
      <c r="F350" s="18"/>
      <c r="G350" s="18">
        <v>-2</v>
      </c>
      <c r="H350" s="25"/>
      <c r="I350" s="29"/>
      <c r="J350" s="18"/>
      <c r="K350" s="18">
        <v>-5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>
        <f t="shared" si="114"/>
        <v>0</v>
      </c>
      <c r="AK350" s="155"/>
      <c r="AL350" s="159"/>
      <c r="AM350" s="31" t="s">
        <v>1821</v>
      </c>
      <c r="AN350" s="18">
        <f t="shared" si="115"/>
        <v>0</v>
      </c>
      <c r="AO350" s="202">
        <v>2816</v>
      </c>
      <c r="AP350" s="468">
        <f t="shared" si="116"/>
        <v>0</v>
      </c>
      <c r="AQ350" s="155"/>
    </row>
    <row r="351" spans="3:43" ht="15.6">
      <c r="C351" s="28"/>
      <c r="D351" s="31" t="s">
        <v>1822</v>
      </c>
      <c r="E351" s="18">
        <v>5</v>
      </c>
      <c r="F351" s="18"/>
      <c r="G351" s="18"/>
      <c r="H351" s="25"/>
      <c r="I351" s="29"/>
      <c r="J351" s="18"/>
      <c r="K351" s="18">
        <v>-5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>
        <f t="shared" si="114"/>
        <v>0</v>
      </c>
      <c r="AK351" s="155"/>
      <c r="AL351" s="159"/>
      <c r="AM351" s="31" t="s">
        <v>1822</v>
      </c>
      <c r="AN351" s="18">
        <f t="shared" si="115"/>
        <v>0</v>
      </c>
      <c r="AO351" s="201">
        <v>2110.3000000000002</v>
      </c>
      <c r="AP351" s="468">
        <f t="shared" si="116"/>
        <v>0</v>
      </c>
      <c r="AQ351" s="155"/>
    </row>
    <row r="352" spans="3:43" ht="15.6">
      <c r="C352" s="28"/>
      <c r="D352" s="31" t="s">
        <v>1826</v>
      </c>
      <c r="E352" s="18">
        <v>1</v>
      </c>
      <c r="F352" s="18"/>
      <c r="G352" s="18"/>
      <c r="H352" s="25"/>
      <c r="I352" s="29"/>
      <c r="J352" s="18"/>
      <c r="K352" s="18">
        <v>-1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>
        <f t="shared" si="114"/>
        <v>0</v>
      </c>
      <c r="AK352" s="155"/>
      <c r="AL352" s="159"/>
      <c r="AM352" s="31" t="s">
        <v>1826</v>
      </c>
      <c r="AN352" s="18">
        <f t="shared" si="115"/>
        <v>0</v>
      </c>
      <c r="AO352" s="201">
        <v>1816.3</v>
      </c>
      <c r="AP352" s="468">
        <f t="shared" si="116"/>
        <v>0</v>
      </c>
      <c r="AQ352" s="155"/>
    </row>
    <row r="353" spans="3:43" ht="15.6">
      <c r="C353" s="28"/>
      <c r="D353" s="31" t="s">
        <v>1823</v>
      </c>
      <c r="E353" s="18">
        <v>1</v>
      </c>
      <c r="F353" s="18"/>
      <c r="G353" s="18"/>
      <c r="H353" s="25"/>
      <c r="I353" s="29"/>
      <c r="J353" s="18"/>
      <c r="K353" s="18">
        <v>-1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>
        <f t="shared" si="114"/>
        <v>0</v>
      </c>
      <c r="AK353" s="155"/>
      <c r="AL353" s="159"/>
      <c r="AM353" s="31" t="s">
        <v>1823</v>
      </c>
      <c r="AN353" s="18">
        <f t="shared" si="115"/>
        <v>0</v>
      </c>
      <c r="AO353" s="201">
        <v>1595.9</v>
      </c>
      <c r="AP353" s="468">
        <f t="shared" si="116"/>
        <v>0</v>
      </c>
      <c r="AQ353" s="155"/>
    </row>
    <row r="354" spans="3:43" ht="15.6">
      <c r="C354" s="28"/>
      <c r="D354" s="31" t="s">
        <v>51</v>
      </c>
      <c r="E354" s="18">
        <v>2</v>
      </c>
      <c r="F354" s="18"/>
      <c r="G354" s="18"/>
      <c r="H354" s="25"/>
      <c r="I354" s="29"/>
      <c r="J354" s="18">
        <v>-1</v>
      </c>
      <c r="K354" s="18">
        <v>-1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>
        <f t="shared" si="114"/>
        <v>0</v>
      </c>
      <c r="AK354" s="155"/>
      <c r="AL354" s="159"/>
      <c r="AM354" s="31" t="s">
        <v>51</v>
      </c>
      <c r="AN354" s="18">
        <f t="shared" si="115"/>
        <v>0</v>
      </c>
      <c r="AO354" s="201">
        <v>1118</v>
      </c>
      <c r="AP354" s="468">
        <f>AN354*AO354</f>
        <v>0</v>
      </c>
      <c r="AQ354" s="155"/>
    </row>
    <row r="355" spans="3:43" ht="15.6">
      <c r="C355" s="28"/>
      <c r="D355" s="32" t="s">
        <v>1942</v>
      </c>
      <c r="E355" s="18">
        <v>1</v>
      </c>
      <c r="F355" s="18"/>
      <c r="G355" s="18"/>
      <c r="H355" s="18"/>
      <c r="I355" s="29"/>
      <c r="J355" s="18">
        <v>-1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>
        <f t="shared" si="114"/>
        <v>0</v>
      </c>
      <c r="AK355" s="155"/>
      <c r="AL355" s="159"/>
      <c r="AM355" s="31" t="s">
        <v>1943</v>
      </c>
      <c r="AN355" s="18">
        <f t="shared" si="115"/>
        <v>0</v>
      </c>
      <c r="AO355" s="201">
        <v>2079</v>
      </c>
      <c r="AP355" s="468">
        <f>AN355*AO355</f>
        <v>0</v>
      </c>
      <c r="AQ355" s="155"/>
    </row>
    <row r="356" spans="3:43" ht="15.6">
      <c r="C356" s="28"/>
      <c r="D356" s="32" t="s">
        <v>56</v>
      </c>
      <c r="E356" s="18">
        <v>1</v>
      </c>
      <c r="F356" s="18"/>
      <c r="G356" s="18"/>
      <c r="H356" s="25"/>
      <c r="I356" s="29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>
        <f t="shared" si="114"/>
        <v>1</v>
      </c>
      <c r="AK356" s="155" t="s">
        <v>982</v>
      </c>
      <c r="AL356" s="159"/>
      <c r="AM356" s="32" t="s">
        <v>56</v>
      </c>
      <c r="AN356" s="18">
        <f>AI356</f>
        <v>1</v>
      </c>
      <c r="AO356" s="201">
        <v>555.6</v>
      </c>
      <c r="AP356" s="468">
        <f>AN356*AO356</f>
        <v>555.6</v>
      </c>
      <c r="AQ356" s="155"/>
    </row>
    <row r="357" spans="3:43" ht="15.6">
      <c r="C357" s="28"/>
      <c r="D357" s="31" t="s">
        <v>58</v>
      </c>
      <c r="E357" s="18">
        <v>1</v>
      </c>
      <c r="F357" s="18"/>
      <c r="G357" s="18"/>
      <c r="H357" s="25"/>
      <c r="I357" s="29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>
        <f t="shared" si="114"/>
        <v>1</v>
      </c>
      <c r="AK357" s="155" t="s">
        <v>982</v>
      </c>
      <c r="AL357" s="159"/>
      <c r="AM357" s="31" t="s">
        <v>58</v>
      </c>
      <c r="AN357" s="18">
        <f>AI357</f>
        <v>1</v>
      </c>
      <c r="AO357" s="201">
        <v>555.6</v>
      </c>
      <c r="AP357" s="468">
        <f>AN357*AO357</f>
        <v>555.6</v>
      </c>
      <c r="AQ357" s="155"/>
    </row>
    <row r="358" spans="3:43" ht="15.6">
      <c r="C358" s="28"/>
      <c r="D358" s="31" t="s">
        <v>122</v>
      </c>
      <c r="E358" s="18">
        <v>1</v>
      </c>
      <c r="F358" s="18"/>
      <c r="G358" s="18"/>
      <c r="H358" s="25"/>
      <c r="I358" s="29"/>
      <c r="J358" s="18">
        <v>-1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>
        <f t="shared" si="114"/>
        <v>0</v>
      </c>
      <c r="AK358" s="155"/>
      <c r="AL358" s="159"/>
      <c r="AM358" s="31" t="s">
        <v>122</v>
      </c>
      <c r="AN358" s="18">
        <f>AI358</f>
        <v>0</v>
      </c>
      <c r="AO358" s="201">
        <v>555.6</v>
      </c>
      <c r="AP358" s="468">
        <f>AN358*AO358</f>
        <v>0</v>
      </c>
      <c r="AQ358" s="155"/>
    </row>
    <row r="359" spans="3:43" ht="15.6">
      <c r="C359" s="28"/>
      <c r="D359" s="32"/>
      <c r="E359" s="18"/>
      <c r="F359" s="18"/>
      <c r="G359" s="18"/>
      <c r="H359" s="18"/>
      <c r="I359" s="29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K359" s="155"/>
      <c r="AL359" s="159"/>
      <c r="AM359" s="32"/>
      <c r="AN359" s="18"/>
      <c r="AO359" s="201"/>
      <c r="AP359" s="468"/>
      <c r="AQ359" s="155"/>
    </row>
    <row r="360" spans="3:43" ht="15.6">
      <c r="C360" s="27" t="s">
        <v>59</v>
      </c>
      <c r="D360" s="31" t="s">
        <v>60</v>
      </c>
      <c r="E360" s="18">
        <v>1</v>
      </c>
      <c r="F360" s="18"/>
      <c r="G360" s="18"/>
      <c r="H360" s="25"/>
      <c r="I360" s="29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>
        <f>SUM(E360:AH360)</f>
        <v>1</v>
      </c>
      <c r="AK360" s="155" t="s">
        <v>982</v>
      </c>
      <c r="AL360" s="157" t="s">
        <v>59</v>
      </c>
      <c r="AM360" s="31" t="s">
        <v>60</v>
      </c>
      <c r="AN360" s="18">
        <f t="shared" ref="AN360" si="117">AI360</f>
        <v>1</v>
      </c>
      <c r="AO360" s="201">
        <v>555.6</v>
      </c>
      <c r="AP360" s="468">
        <f>AN360*AO360</f>
        <v>555.6</v>
      </c>
      <c r="AQ360" s="155"/>
    </row>
    <row r="361" spans="3:43" ht="15.6">
      <c r="C361" s="28"/>
      <c r="D361" s="31"/>
      <c r="E361" s="18"/>
      <c r="F361" s="18"/>
      <c r="G361" s="18"/>
      <c r="H361" s="25"/>
      <c r="I361" s="29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>
        <f>SUM(E361:AH361)</f>
        <v>0</v>
      </c>
      <c r="AK361" s="155"/>
      <c r="AL361" s="159"/>
      <c r="AM361" s="31"/>
      <c r="AN361" s="18"/>
      <c r="AO361" s="201"/>
      <c r="AP361" s="468">
        <f>AN361*AO361</f>
        <v>0</v>
      </c>
      <c r="AQ361" s="155"/>
    </row>
    <row r="362" spans="3:43" ht="15.6">
      <c r="C362" s="82"/>
      <c r="D362" s="81"/>
      <c r="E362" s="81">
        <f t="shared" ref="E362:K362" si="118">SUM(E330:E361)</f>
        <v>52</v>
      </c>
      <c r="F362" s="81">
        <f t="shared" si="118"/>
        <v>0</v>
      </c>
      <c r="G362" s="81">
        <f t="shared" si="118"/>
        <v>-4</v>
      </c>
      <c r="H362" s="81">
        <f t="shared" si="118"/>
        <v>0</v>
      </c>
      <c r="I362" s="81">
        <f t="shared" si="118"/>
        <v>0</v>
      </c>
      <c r="J362" s="81">
        <f t="shared" si="118"/>
        <v>-4</v>
      </c>
      <c r="K362" s="81">
        <f t="shared" si="118"/>
        <v>-14</v>
      </c>
      <c r="L362" s="81"/>
      <c r="M362" s="81">
        <f t="shared" ref="M362:N362" si="119">SUM(M330:M361)</f>
        <v>0</v>
      </c>
      <c r="N362" s="81">
        <f t="shared" si="119"/>
        <v>0</v>
      </c>
      <c r="O362" s="81"/>
      <c r="P362" s="81">
        <f t="shared" ref="P362:Q362" si="120">SUM(P330:P361)</f>
        <v>0</v>
      </c>
      <c r="Q362" s="81">
        <f t="shared" si="120"/>
        <v>0</v>
      </c>
      <c r="R362" s="81">
        <f>SUM(R330:R361)</f>
        <v>0</v>
      </c>
      <c r="S362" s="81">
        <f>SUM(S330:S361)</f>
        <v>0</v>
      </c>
      <c r="T362" s="81"/>
      <c r="U362" s="81">
        <f>SUM(U330:U361)</f>
        <v>-3</v>
      </c>
      <c r="V362" s="81">
        <f>SUM(V330:V361)</f>
        <v>0</v>
      </c>
      <c r="W362" s="81">
        <f>SUM(W330:W361)</f>
        <v>0</v>
      </c>
      <c r="X362" s="81"/>
      <c r="Y362" s="81"/>
      <c r="Z362" s="81"/>
      <c r="AA362" s="81"/>
      <c r="AB362" s="81"/>
      <c r="AC362" s="81"/>
      <c r="AD362" s="81"/>
      <c r="AE362" s="81">
        <f>SUM(AE330:AE361)</f>
        <v>0</v>
      </c>
      <c r="AF362" s="81"/>
      <c r="AG362" s="81"/>
      <c r="AH362" s="81">
        <f>SUM(AH330:AH361)</f>
        <v>0</v>
      </c>
      <c r="AI362" s="81">
        <f>SUM(AI330:AI361)</f>
        <v>27</v>
      </c>
      <c r="AK362" s="155"/>
      <c r="AL362" s="162"/>
      <c r="AM362" s="162"/>
      <c r="AN362" s="81">
        <f>SUM(AN330:AN361)</f>
        <v>27</v>
      </c>
      <c r="AO362" s="160"/>
      <c r="AP362" s="163">
        <f>SUM(AP330:AP361)</f>
        <v>37249.377168831168</v>
      </c>
      <c r="AQ362" s="155"/>
    </row>
    <row r="365" spans="3:43">
      <c r="H365" t="s">
        <v>2151</v>
      </c>
      <c r="M365" t="s">
        <v>2151</v>
      </c>
      <c r="T365" t="s">
        <v>941</v>
      </c>
    </row>
    <row r="366" spans="3:43" ht="18">
      <c r="C366" s="83" t="s">
        <v>22</v>
      </c>
      <c r="D366" s="83" t="s">
        <v>23</v>
      </c>
      <c r="E366" s="84">
        <v>45566</v>
      </c>
      <c r="F366" s="84">
        <v>45567</v>
      </c>
      <c r="G366" s="84">
        <v>45568</v>
      </c>
      <c r="H366" s="84">
        <v>45569</v>
      </c>
      <c r="I366" s="84">
        <v>45570</v>
      </c>
      <c r="J366" s="84">
        <v>45571</v>
      </c>
      <c r="K366" s="84">
        <v>45572</v>
      </c>
      <c r="L366" s="84">
        <v>45573</v>
      </c>
      <c r="M366" s="84">
        <v>45574</v>
      </c>
      <c r="N366" s="84">
        <v>45575</v>
      </c>
      <c r="O366" s="84">
        <v>45576</v>
      </c>
      <c r="P366" s="84">
        <v>45577</v>
      </c>
      <c r="Q366" s="84">
        <v>45578</v>
      </c>
      <c r="R366" s="84">
        <v>45579</v>
      </c>
      <c r="S366" s="84">
        <v>45580</v>
      </c>
      <c r="T366" s="84">
        <v>45581</v>
      </c>
      <c r="U366" s="84">
        <v>45582</v>
      </c>
      <c r="V366" s="84">
        <v>45583</v>
      </c>
      <c r="W366" s="84">
        <v>45584</v>
      </c>
      <c r="X366" s="84">
        <v>45585</v>
      </c>
      <c r="Y366" s="84">
        <v>45586</v>
      </c>
      <c r="Z366" s="84">
        <v>45587</v>
      </c>
      <c r="AA366" s="84">
        <v>45588</v>
      </c>
      <c r="AB366" s="84">
        <v>45589</v>
      </c>
      <c r="AC366" s="84">
        <v>45590</v>
      </c>
      <c r="AD366" s="84">
        <v>45591</v>
      </c>
      <c r="AE366" s="84">
        <v>45592</v>
      </c>
      <c r="AF366" s="84">
        <v>45593</v>
      </c>
      <c r="AG366" s="84">
        <v>45594</v>
      </c>
      <c r="AH366" s="84">
        <v>45595</v>
      </c>
      <c r="AI366" s="85" t="s">
        <v>25</v>
      </c>
      <c r="AK366" s="155"/>
      <c r="AL366" s="164" t="s">
        <v>22</v>
      </c>
      <c r="AM366" s="164" t="s">
        <v>23</v>
      </c>
      <c r="AN366" s="85" t="s">
        <v>25</v>
      </c>
      <c r="AO366" s="85" t="s">
        <v>468</v>
      </c>
      <c r="AP366" s="85" t="s">
        <v>11</v>
      </c>
      <c r="AQ366" s="155"/>
    </row>
    <row r="367" spans="3:43" ht="15.6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K367" s="155"/>
      <c r="AL367" s="156"/>
      <c r="AM367" s="156"/>
      <c r="AN367" s="155"/>
      <c r="AO367" s="155"/>
      <c r="AP367" s="155"/>
      <c r="AQ367" s="155"/>
    </row>
    <row r="368" spans="3:43" ht="15.6">
      <c r="C368" s="26" t="s">
        <v>26</v>
      </c>
      <c r="D368" s="31"/>
      <c r="E368" s="18"/>
      <c r="F368" s="18"/>
      <c r="G368" s="18"/>
      <c r="H368" s="25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K368" s="155"/>
      <c r="AL368" s="157" t="s">
        <v>26</v>
      </c>
      <c r="AM368" s="158"/>
      <c r="AN368" s="159"/>
      <c r="AO368" s="160"/>
      <c r="AP368" s="160"/>
      <c r="AQ368" s="155"/>
    </row>
    <row r="369" spans="3:43" ht="15.6">
      <c r="C369" s="18"/>
      <c r="D369" s="31" t="s">
        <v>2369</v>
      </c>
      <c r="E369" s="18"/>
      <c r="F369" s="18"/>
      <c r="G369" s="18"/>
      <c r="H369" s="25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>
        <v>1</v>
      </c>
      <c r="AC369" s="18"/>
      <c r="AD369" s="18">
        <v>1</v>
      </c>
      <c r="AE369" s="18"/>
      <c r="AF369" s="18">
        <v>1</v>
      </c>
      <c r="AG369" s="18">
        <v>3</v>
      </c>
      <c r="AH369" s="18">
        <v>-6</v>
      </c>
      <c r="AI369" s="18">
        <f t="shared" ref="AI369:AI393" si="121">SUM(E369:AH369)</f>
        <v>0</v>
      </c>
      <c r="AK369" s="155"/>
      <c r="AL369" s="159"/>
      <c r="AM369" s="31" t="s">
        <v>2369</v>
      </c>
      <c r="AN369" s="159">
        <f t="shared" ref="AN369:AN378" si="122">AI369</f>
        <v>0</v>
      </c>
      <c r="AO369" s="160">
        <f t="shared" ref="AO369:AO370" si="123">AQ369/77.5</f>
        <v>0</v>
      </c>
      <c r="AP369" s="468">
        <f t="shared" ref="AP369:AP370" si="124">AN369*AO369</f>
        <v>0</v>
      </c>
      <c r="AQ369" s="155"/>
    </row>
    <row r="370" spans="3:43" ht="15.6">
      <c r="C370" s="18"/>
      <c r="D370" s="31" t="s">
        <v>2370</v>
      </c>
      <c r="E370" s="18"/>
      <c r="F370" s="18"/>
      <c r="G370" s="18"/>
      <c r="H370" s="25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>
        <v>2</v>
      </c>
      <c r="AG370" s="18"/>
      <c r="AH370" s="18">
        <v>-2</v>
      </c>
      <c r="AI370" s="18">
        <f t="shared" si="121"/>
        <v>0</v>
      </c>
      <c r="AK370" s="155"/>
      <c r="AL370" s="159"/>
      <c r="AM370" s="31" t="s">
        <v>2370</v>
      </c>
      <c r="AN370" s="159">
        <f t="shared" si="122"/>
        <v>0</v>
      </c>
      <c r="AO370" s="160">
        <f t="shared" si="123"/>
        <v>0</v>
      </c>
      <c r="AP370" s="468">
        <f t="shared" si="124"/>
        <v>0</v>
      </c>
      <c r="AQ370" s="155"/>
    </row>
    <row r="371" spans="3:43" ht="15.6">
      <c r="C371" s="18"/>
      <c r="D371" s="31" t="s">
        <v>2157</v>
      </c>
      <c r="E371" s="18"/>
      <c r="F371" s="18"/>
      <c r="G371" s="18"/>
      <c r="H371" s="25"/>
      <c r="I371" s="18"/>
      <c r="J371" s="18"/>
      <c r="K371" s="18"/>
      <c r="L371" s="18"/>
      <c r="M371" s="18">
        <v>3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>
        <v>1</v>
      </c>
      <c r="AA371" s="18"/>
      <c r="AB371" s="18"/>
      <c r="AC371" s="18"/>
      <c r="AD371" s="18"/>
      <c r="AE371" s="18"/>
      <c r="AF371" s="18"/>
      <c r="AG371" s="18"/>
      <c r="AH371" s="18">
        <v>-4</v>
      </c>
      <c r="AI371" s="18">
        <f t="shared" si="121"/>
        <v>0</v>
      </c>
      <c r="AK371" s="155"/>
      <c r="AL371" s="159"/>
      <c r="AM371" s="31" t="s">
        <v>2157</v>
      </c>
      <c r="AN371" s="159">
        <f t="shared" si="122"/>
        <v>0</v>
      </c>
      <c r="AO371" s="160">
        <f>AQ371/77.5</f>
        <v>1935.483870967742</v>
      </c>
      <c r="AP371" s="468">
        <f>AN371*AO371</f>
        <v>0</v>
      </c>
      <c r="AQ371" s="155">
        <v>150000</v>
      </c>
    </row>
    <row r="372" spans="3:43" ht="15.6">
      <c r="C372" s="18"/>
      <c r="D372" s="31" t="s">
        <v>2297</v>
      </c>
      <c r="E372" s="18"/>
      <c r="F372" s="18"/>
      <c r="G372" s="18"/>
      <c r="H372" s="25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>
        <v>1</v>
      </c>
      <c r="AA372" s="18"/>
      <c r="AB372" s="18"/>
      <c r="AC372" s="18"/>
      <c r="AD372" s="18"/>
      <c r="AE372" s="18"/>
      <c r="AF372" s="18"/>
      <c r="AG372" s="18"/>
      <c r="AH372" s="18">
        <v>-1</v>
      </c>
      <c r="AI372" s="18">
        <f t="shared" si="121"/>
        <v>0</v>
      </c>
      <c r="AK372" s="155"/>
      <c r="AL372" s="159"/>
      <c r="AM372" s="31" t="s">
        <v>2297</v>
      </c>
      <c r="AN372" s="159">
        <f t="shared" si="122"/>
        <v>0</v>
      </c>
      <c r="AO372" s="160">
        <f>AQ372/77.5</f>
        <v>1677.4193548387098</v>
      </c>
      <c r="AP372" s="468">
        <f>AN372*AO372</f>
        <v>0</v>
      </c>
      <c r="AQ372" s="155">
        <v>130000</v>
      </c>
    </row>
    <row r="373" spans="3:43" ht="15.6">
      <c r="C373" s="18"/>
      <c r="D373" s="31" t="s">
        <v>29</v>
      </c>
      <c r="E373" s="18">
        <v>4</v>
      </c>
      <c r="F373" s="18">
        <v>-3</v>
      </c>
      <c r="G373" s="18"/>
      <c r="H373" s="25">
        <v>4</v>
      </c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>
        <v>-4</v>
      </c>
      <c r="X373" s="18"/>
      <c r="Y373" s="18"/>
      <c r="Z373" s="18"/>
      <c r="AA373" s="18"/>
      <c r="AB373" s="18">
        <v>1</v>
      </c>
      <c r="AC373" s="18"/>
      <c r="AD373" s="18"/>
      <c r="AE373" s="18"/>
      <c r="AF373" s="18"/>
      <c r="AG373" s="18"/>
      <c r="AH373" s="18">
        <v>-1</v>
      </c>
      <c r="AI373" s="18">
        <f t="shared" si="121"/>
        <v>1</v>
      </c>
      <c r="AK373" s="155"/>
      <c r="AL373" s="159"/>
      <c r="AM373" s="31" t="s">
        <v>29</v>
      </c>
      <c r="AN373" s="159">
        <f t="shared" si="122"/>
        <v>1</v>
      </c>
      <c r="AO373" s="201">
        <f>202000/77</f>
        <v>2623.3766233766232</v>
      </c>
      <c r="AP373" s="468">
        <f t="shared" ref="AP373:AP378" si="125">AN373*AO373</f>
        <v>2623.3766233766232</v>
      </c>
      <c r="AQ373" s="155" t="s">
        <v>721</v>
      </c>
    </row>
    <row r="374" spans="3:43" ht="15.6">
      <c r="C374" s="18"/>
      <c r="D374" s="31"/>
      <c r="E374" s="18"/>
      <c r="F374" s="18"/>
      <c r="G374" s="18"/>
      <c r="H374" s="25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K374" s="155"/>
      <c r="AL374" s="159"/>
      <c r="AM374" s="31"/>
      <c r="AN374" s="159"/>
      <c r="AO374" s="201"/>
      <c r="AP374" s="468"/>
      <c r="AQ374" s="155"/>
    </row>
    <row r="375" spans="3:43" ht="15.6">
      <c r="C375" s="18"/>
      <c r="D375" s="31"/>
      <c r="E375" s="18"/>
      <c r="F375" s="18"/>
      <c r="G375" s="18"/>
      <c r="H375" s="25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K375" s="155"/>
      <c r="AL375" s="159"/>
      <c r="AM375" s="31"/>
      <c r="AN375" s="159"/>
      <c r="AO375" s="201"/>
      <c r="AP375" s="468"/>
      <c r="AQ375" s="155"/>
    </row>
    <row r="376" spans="3:43" ht="28.2">
      <c r="C376" s="18"/>
      <c r="D376" s="31" t="s">
        <v>1941</v>
      </c>
      <c r="E376" s="18">
        <v>1</v>
      </c>
      <c r="F376" s="18"/>
      <c r="G376" s="18"/>
      <c r="H376" s="25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>
        <f t="shared" si="121"/>
        <v>1</v>
      </c>
      <c r="AK376" s="155"/>
      <c r="AL376" s="159"/>
      <c r="AM376" s="31" t="str">
        <f t="shared" ref="AM376:AM378" si="126">D376</f>
        <v>IP 15ProMax 512Gb FU</v>
      </c>
      <c r="AN376" s="159">
        <f t="shared" si="122"/>
        <v>1</v>
      </c>
      <c r="AO376" s="201">
        <v>4428</v>
      </c>
      <c r="AP376" s="468">
        <f t="shared" si="125"/>
        <v>4428</v>
      </c>
      <c r="AQ376" s="155"/>
    </row>
    <row r="377" spans="3:43" ht="15.6">
      <c r="C377" s="18"/>
      <c r="D377" s="31" t="s">
        <v>1939</v>
      </c>
      <c r="E377" s="18">
        <v>1</v>
      </c>
      <c r="F377" s="18"/>
      <c r="G377" s="18"/>
      <c r="H377" s="25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>
        <f t="shared" si="121"/>
        <v>1</v>
      </c>
      <c r="AK377" s="155"/>
      <c r="AL377" s="159"/>
      <c r="AM377" s="31" t="str">
        <f t="shared" si="126"/>
        <v>IP 15Pro 128GB FU</v>
      </c>
      <c r="AN377" s="159">
        <f t="shared" si="122"/>
        <v>1</v>
      </c>
      <c r="AO377" s="201">
        <v>3186</v>
      </c>
      <c r="AP377" s="468">
        <f t="shared" si="125"/>
        <v>3186</v>
      </c>
      <c r="AQ377" s="155"/>
    </row>
    <row r="378" spans="3:43" ht="15.6">
      <c r="C378" s="18"/>
      <c r="D378" s="31" t="s">
        <v>1831</v>
      </c>
      <c r="E378" s="18">
        <v>1</v>
      </c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>
        <f t="shared" si="121"/>
        <v>1</v>
      </c>
      <c r="AK378" s="155"/>
      <c r="AL378" s="159"/>
      <c r="AM378" s="32" t="str">
        <f t="shared" si="126"/>
        <v xml:space="preserve">IP 14Plus 128GB </v>
      </c>
      <c r="AN378" s="18">
        <f t="shared" si="122"/>
        <v>1</v>
      </c>
      <c r="AO378" s="201">
        <v>1450</v>
      </c>
      <c r="AP378" s="468">
        <f t="shared" si="125"/>
        <v>1450</v>
      </c>
      <c r="AQ378" s="155"/>
    </row>
    <row r="379" spans="3:43" ht="15.6">
      <c r="C379" s="18"/>
      <c r="D379" s="31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K379" s="155"/>
      <c r="AL379" s="159"/>
      <c r="AM379" s="32"/>
      <c r="AN379" s="18"/>
      <c r="AO379" s="201"/>
      <c r="AP379" s="468"/>
      <c r="AQ379" s="155"/>
    </row>
    <row r="380" spans="3:43" ht="15.6">
      <c r="C380" s="18"/>
      <c r="D380" s="31" t="s">
        <v>37</v>
      </c>
      <c r="E380" s="18">
        <v>3</v>
      </c>
      <c r="F380" s="18"/>
      <c r="G380" s="18"/>
      <c r="H380" s="25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>
        <f t="shared" si="121"/>
        <v>3</v>
      </c>
      <c r="AK380" s="155"/>
      <c r="AL380" s="159"/>
      <c r="AM380" s="31" t="s">
        <v>37</v>
      </c>
      <c r="AN380" s="18">
        <f t="shared" ref="AN380" si="127">AI380</f>
        <v>3</v>
      </c>
      <c r="AO380" s="202">
        <v>1588.86</v>
      </c>
      <c r="AP380" s="468">
        <f t="shared" ref="AP380" si="128">AN380*AO380</f>
        <v>4766.58</v>
      </c>
      <c r="AQ380" s="155"/>
    </row>
    <row r="381" spans="3:43" ht="15.6">
      <c r="C381" s="18"/>
      <c r="D381" s="31"/>
      <c r="E381" s="18"/>
      <c r="F381" s="18"/>
      <c r="G381" s="18"/>
      <c r="H381" s="25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K381" s="155"/>
      <c r="AL381" s="159"/>
      <c r="AM381" s="31"/>
      <c r="AN381" s="18"/>
      <c r="AO381" s="201"/>
      <c r="AP381" s="468"/>
      <c r="AQ381" s="155"/>
    </row>
    <row r="382" spans="3:43" ht="15.6">
      <c r="C382" s="18"/>
      <c r="D382" s="31" t="s">
        <v>231</v>
      </c>
      <c r="E382" s="18">
        <v>1</v>
      </c>
      <c r="F382" s="18"/>
      <c r="G382" s="18"/>
      <c r="H382" s="25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>
        <f t="shared" si="121"/>
        <v>1</v>
      </c>
      <c r="AK382" s="155"/>
      <c r="AL382" s="159"/>
      <c r="AM382" s="31" t="s">
        <v>231</v>
      </c>
      <c r="AN382" s="18">
        <f t="shared" ref="AN382:AN385" si="129">AI382</f>
        <v>1</v>
      </c>
      <c r="AO382" s="201">
        <v>926.35599999999999</v>
      </c>
      <c r="AP382" s="468">
        <f t="shared" ref="AP382:AP385" si="130">AN382*AO382</f>
        <v>926.35599999999999</v>
      </c>
      <c r="AQ382" s="155"/>
    </row>
    <row r="383" spans="3:43" ht="15.6">
      <c r="C383" s="18"/>
      <c r="D383" s="31" t="s">
        <v>233</v>
      </c>
      <c r="E383" s="18">
        <v>1</v>
      </c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>
        <f t="shared" si="121"/>
        <v>1</v>
      </c>
      <c r="AK383" s="155"/>
      <c r="AL383" s="159"/>
      <c r="AM383" s="31" t="s">
        <v>233</v>
      </c>
      <c r="AN383" s="18">
        <f t="shared" si="129"/>
        <v>1</v>
      </c>
      <c r="AO383" s="202">
        <v>780.56</v>
      </c>
      <c r="AP383" s="468">
        <f t="shared" si="130"/>
        <v>780.56</v>
      </c>
      <c r="AQ383" s="155"/>
    </row>
    <row r="384" spans="3:43" ht="15.6">
      <c r="C384" s="18"/>
      <c r="D384" s="31" t="s">
        <v>234</v>
      </c>
      <c r="E384" s="18">
        <v>4</v>
      </c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>
        <f t="shared" si="121"/>
        <v>4</v>
      </c>
      <c r="AK384" s="155"/>
      <c r="AL384" s="159"/>
      <c r="AM384" s="31" t="s">
        <v>234</v>
      </c>
      <c r="AN384" s="18">
        <f t="shared" si="129"/>
        <v>4</v>
      </c>
      <c r="AO384" s="201">
        <v>489</v>
      </c>
      <c r="AP384" s="468">
        <f t="shared" si="130"/>
        <v>1956</v>
      </c>
      <c r="AQ384" s="155"/>
    </row>
    <row r="385" spans="2:43" ht="15.6">
      <c r="C385" s="18"/>
      <c r="D385" s="31" t="s">
        <v>235</v>
      </c>
      <c r="E385" s="18">
        <v>5</v>
      </c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>
        <f t="shared" si="121"/>
        <v>5</v>
      </c>
      <c r="AK385" s="155"/>
      <c r="AL385" s="159"/>
      <c r="AM385" s="31" t="s">
        <v>235</v>
      </c>
      <c r="AN385" s="18">
        <f t="shared" si="129"/>
        <v>5</v>
      </c>
      <c r="AO385" s="201">
        <v>524.04999999999995</v>
      </c>
      <c r="AP385" s="468">
        <f t="shared" si="130"/>
        <v>2620.25</v>
      </c>
      <c r="AQ385" s="155"/>
    </row>
    <row r="386" spans="2:43" ht="15.6">
      <c r="C386" s="18"/>
      <c r="D386" s="31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155"/>
      <c r="AL386" s="159"/>
      <c r="AM386" s="31"/>
      <c r="AN386" s="18"/>
      <c r="AO386" s="201"/>
      <c r="AP386" s="468"/>
      <c r="AQ386" s="155"/>
    </row>
    <row r="387" spans="2:43" ht="15.6">
      <c r="C387" s="18"/>
      <c r="D387" s="58" t="s">
        <v>636</v>
      </c>
      <c r="E387" s="30">
        <v>2</v>
      </c>
      <c r="F387" s="30"/>
      <c r="G387" s="30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>
        <v>-1</v>
      </c>
      <c r="AI387" s="18">
        <f t="shared" si="121"/>
        <v>1</v>
      </c>
      <c r="AK387" s="155"/>
      <c r="AL387" s="159"/>
      <c r="AM387" s="31" t="str">
        <f>D387</f>
        <v>Watch Ultra 2</v>
      </c>
      <c r="AN387" s="18">
        <f t="shared" ref="AN387:AN388" si="131">AI387</f>
        <v>1</v>
      </c>
      <c r="AO387" s="202">
        <f>180000/77</f>
        <v>2337.6623376623374</v>
      </c>
      <c r="AP387" s="468">
        <f t="shared" ref="AP387:AP388" si="132">AN387*AO387</f>
        <v>2337.6623376623374</v>
      </c>
      <c r="AQ387" s="155" t="s">
        <v>1566</v>
      </c>
    </row>
    <row r="388" spans="2:43" ht="15.6">
      <c r="C388" s="18"/>
      <c r="D388" s="58" t="s">
        <v>463</v>
      </c>
      <c r="E388" s="30">
        <v>1</v>
      </c>
      <c r="F388" s="30"/>
      <c r="G388" s="30"/>
      <c r="H388" s="25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>
        <f t="shared" si="121"/>
        <v>1</v>
      </c>
      <c r="AK388" s="155"/>
      <c r="AL388" s="159"/>
      <c r="AM388" s="31" t="s">
        <v>463</v>
      </c>
      <c r="AN388" s="18">
        <f t="shared" si="131"/>
        <v>1</v>
      </c>
      <c r="AO388" s="201">
        <v>300</v>
      </c>
      <c r="AP388" s="468">
        <f t="shared" si="132"/>
        <v>300</v>
      </c>
      <c r="AQ388" s="155"/>
    </row>
    <row r="389" spans="2:43" ht="15.6">
      <c r="C389" s="27" t="s">
        <v>47</v>
      </c>
      <c r="D389" s="31"/>
      <c r="E389" s="18"/>
      <c r="F389" s="18"/>
      <c r="G389" s="18"/>
      <c r="H389" s="25"/>
      <c r="I389" s="29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K389" s="155"/>
      <c r="AL389" s="157" t="s">
        <v>47</v>
      </c>
      <c r="AM389" s="31"/>
      <c r="AN389" s="18"/>
      <c r="AO389" s="201"/>
      <c r="AP389" s="468"/>
      <c r="AQ389" s="155"/>
    </row>
    <row r="390" spans="2:43" ht="15.6">
      <c r="C390" s="28"/>
      <c r="D390" s="32" t="s">
        <v>56</v>
      </c>
      <c r="E390" s="18">
        <v>1</v>
      </c>
      <c r="F390" s="18"/>
      <c r="G390" s="18"/>
      <c r="H390" s="25"/>
      <c r="I390" s="29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>
        <f t="shared" si="121"/>
        <v>1</v>
      </c>
      <c r="AK390" s="155"/>
      <c r="AL390" s="159"/>
      <c r="AM390" s="32" t="s">
        <v>56</v>
      </c>
      <c r="AN390" s="18">
        <f>AI390</f>
        <v>1</v>
      </c>
      <c r="AO390" s="201">
        <v>555.6</v>
      </c>
      <c r="AP390" s="468">
        <f>AN390*AO390</f>
        <v>555.6</v>
      </c>
      <c r="AQ390" s="155"/>
    </row>
    <row r="391" spans="2:43" ht="15.6">
      <c r="C391" s="28"/>
      <c r="D391" s="31" t="s">
        <v>58</v>
      </c>
      <c r="E391" s="18">
        <v>1</v>
      </c>
      <c r="F391" s="18"/>
      <c r="G391" s="18"/>
      <c r="H391" s="25"/>
      <c r="I391" s="29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>
        <f t="shared" si="121"/>
        <v>1</v>
      </c>
      <c r="AK391" s="155"/>
      <c r="AL391" s="159"/>
      <c r="AM391" s="31" t="s">
        <v>58</v>
      </c>
      <c r="AN391" s="18">
        <f>AI391</f>
        <v>1</v>
      </c>
      <c r="AO391" s="201">
        <v>555.6</v>
      </c>
      <c r="AP391" s="468">
        <f>AN391*AO391</f>
        <v>555.6</v>
      </c>
      <c r="AQ391" s="155"/>
    </row>
    <row r="392" spans="2:43" ht="15.6">
      <c r="C392" s="28"/>
      <c r="D392" s="32"/>
      <c r="E392" s="18"/>
      <c r="F392" s="18"/>
      <c r="G392" s="18"/>
      <c r="H392" s="18"/>
      <c r="I392" s="29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K392" s="155"/>
      <c r="AL392" s="159"/>
      <c r="AM392" s="32"/>
      <c r="AN392" s="18"/>
      <c r="AO392" s="201"/>
      <c r="AP392" s="468"/>
      <c r="AQ392" s="155"/>
    </row>
    <row r="393" spans="2:43" ht="15.6">
      <c r="C393" s="27" t="s">
        <v>59</v>
      </c>
      <c r="D393" s="31" t="s">
        <v>60</v>
      </c>
      <c r="E393" s="18">
        <v>1</v>
      </c>
      <c r="F393" s="18"/>
      <c r="G393" s="18"/>
      <c r="H393" s="25"/>
      <c r="I393" s="29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>
        <f t="shared" si="121"/>
        <v>1</v>
      </c>
      <c r="AK393" s="155"/>
      <c r="AL393" s="27" t="s">
        <v>59</v>
      </c>
      <c r="AM393" s="31" t="s">
        <v>60</v>
      </c>
      <c r="AN393" s="18">
        <f t="shared" ref="AN393" si="133">AI393</f>
        <v>1</v>
      </c>
      <c r="AO393" s="201">
        <v>555.6</v>
      </c>
      <c r="AP393" s="468">
        <f>AN393*AO393</f>
        <v>555.6</v>
      </c>
      <c r="AQ393" s="155"/>
    </row>
    <row r="394" spans="2:43" ht="15.6">
      <c r="C394" s="28"/>
      <c r="D394" s="31"/>
      <c r="E394" s="18"/>
      <c r="F394" s="18"/>
      <c r="G394" s="18"/>
      <c r="H394" s="25"/>
      <c r="I394" s="29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K394" s="155"/>
      <c r="AL394" s="28"/>
      <c r="AM394" s="31"/>
      <c r="AN394" s="18"/>
      <c r="AO394" s="201"/>
      <c r="AP394" s="468"/>
      <c r="AQ394" s="155"/>
    </row>
    <row r="395" spans="2:43" ht="15.6">
      <c r="B395" t="s">
        <v>2224</v>
      </c>
      <c r="C395" s="28"/>
      <c r="D395" s="31"/>
      <c r="E395" s="18"/>
      <c r="F395" s="18"/>
      <c r="G395" s="18"/>
      <c r="H395" s="25"/>
      <c r="I395" s="29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K395" s="155"/>
      <c r="AL395" s="28"/>
      <c r="AM395" s="31"/>
      <c r="AN395" s="18"/>
      <c r="AO395" s="201"/>
      <c r="AP395" s="468"/>
      <c r="AQ395" s="155"/>
    </row>
    <row r="396" spans="2:43" ht="15.6">
      <c r="C396" s="26" t="s">
        <v>26</v>
      </c>
      <c r="D396" s="31"/>
      <c r="E396" s="18"/>
      <c r="F396" s="18"/>
      <c r="G396" s="18"/>
      <c r="H396" s="25"/>
      <c r="I396" s="29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K396" s="155" t="s">
        <v>2224</v>
      </c>
      <c r="AL396" s="26" t="s">
        <v>26</v>
      </c>
      <c r="AM396" s="31"/>
      <c r="AN396" s="18"/>
      <c r="AO396" s="201"/>
      <c r="AP396" s="468"/>
      <c r="AQ396" s="155"/>
    </row>
    <row r="397" spans="2:43" ht="15.6">
      <c r="C397" s="28"/>
      <c r="D397" s="31" t="s">
        <v>2226</v>
      </c>
      <c r="E397" s="18"/>
      <c r="F397" s="18"/>
      <c r="G397" s="18"/>
      <c r="H397" s="25"/>
      <c r="I397" s="29"/>
      <c r="J397" s="18"/>
      <c r="K397" s="18"/>
      <c r="L397" s="18"/>
      <c r="M397" s="18"/>
      <c r="N397" s="18"/>
      <c r="O397" s="18"/>
      <c r="P397" s="18"/>
      <c r="Q397" s="18">
        <v>2</v>
      </c>
      <c r="R397" s="18"/>
      <c r="S397" s="18"/>
      <c r="T397" s="18">
        <v>-2</v>
      </c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>
        <f t="shared" ref="AI397:AI404" si="134">SUM(E397:AH397)</f>
        <v>0</v>
      </c>
      <c r="AK397" s="155"/>
      <c r="AL397" s="28"/>
      <c r="AM397" s="31" t="s">
        <v>2226</v>
      </c>
      <c r="AN397" s="18">
        <f>AI397</f>
        <v>0</v>
      </c>
      <c r="AO397" s="201"/>
      <c r="AP397" s="468"/>
      <c r="AQ397" s="155"/>
    </row>
    <row r="398" spans="2:43" ht="15.6">
      <c r="C398" s="28"/>
      <c r="D398" s="31" t="s">
        <v>2225</v>
      </c>
      <c r="E398" s="18"/>
      <c r="F398" s="18"/>
      <c r="G398" s="18"/>
      <c r="H398" s="25"/>
      <c r="I398" s="29"/>
      <c r="J398" s="18"/>
      <c r="K398" s="18"/>
      <c r="L398" s="18"/>
      <c r="M398" s="18"/>
      <c r="N398" s="18"/>
      <c r="O398" s="18"/>
      <c r="P398" s="18"/>
      <c r="Q398" s="18">
        <v>18</v>
      </c>
      <c r="R398" s="18">
        <v>-2</v>
      </c>
      <c r="S398" s="18">
        <v>-12</v>
      </c>
      <c r="T398" s="18">
        <v>-4</v>
      </c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>
        <f t="shared" si="134"/>
        <v>0</v>
      </c>
      <c r="AK398" s="155"/>
      <c r="AL398" s="28"/>
      <c r="AM398" s="31" t="s">
        <v>2225</v>
      </c>
      <c r="AN398" s="18">
        <f>AI398</f>
        <v>0</v>
      </c>
      <c r="AO398" s="201"/>
      <c r="AP398" s="468"/>
      <c r="AQ398" s="155"/>
    </row>
    <row r="399" spans="2:43" ht="15.6">
      <c r="C399" s="28"/>
      <c r="D399" s="31"/>
      <c r="E399" s="18"/>
      <c r="F399" s="18"/>
      <c r="G399" s="18"/>
      <c r="H399" s="25"/>
      <c r="I399" s="29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K399" s="155"/>
      <c r="AL399" s="28"/>
      <c r="AM399" s="31"/>
      <c r="AN399" s="18"/>
      <c r="AO399" s="201"/>
      <c r="AP399" s="468"/>
      <c r="AQ399" s="155"/>
    </row>
    <row r="400" spans="2:43" ht="15.6">
      <c r="C400" s="28"/>
      <c r="D400" s="31" t="s">
        <v>2320</v>
      </c>
      <c r="E400" s="18"/>
      <c r="F400" s="18"/>
      <c r="G400" s="18"/>
      <c r="H400" s="25"/>
      <c r="I400" s="29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>
        <f>4</f>
        <v>4</v>
      </c>
      <c r="AA400" s="18"/>
      <c r="AB400" s="18"/>
      <c r="AC400" s="18"/>
      <c r="AD400" s="18"/>
      <c r="AE400" s="18"/>
      <c r="AF400" s="18"/>
      <c r="AG400" s="18"/>
      <c r="AH400" s="18"/>
      <c r="AI400" s="18">
        <f t="shared" si="134"/>
        <v>4</v>
      </c>
      <c r="AK400" s="155"/>
      <c r="AL400" s="28"/>
      <c r="AM400" s="31" t="s">
        <v>2320</v>
      </c>
      <c r="AN400" s="18">
        <f t="shared" ref="AN400:AN404" si="135">AI400</f>
        <v>4</v>
      </c>
      <c r="AO400" s="201"/>
      <c r="AP400" s="468"/>
      <c r="AQ400" s="155"/>
    </row>
    <row r="401" spans="3:43" ht="15.6">
      <c r="C401" s="28"/>
      <c r="D401" s="31" t="s">
        <v>301</v>
      </c>
      <c r="E401" s="18"/>
      <c r="F401" s="18"/>
      <c r="G401" s="18"/>
      <c r="H401" s="25"/>
      <c r="I401" s="29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>
        <f>8+4</f>
        <v>12</v>
      </c>
      <c r="AA401" s="18"/>
      <c r="AB401" s="18"/>
      <c r="AC401" s="18"/>
      <c r="AD401" s="18"/>
      <c r="AE401" s="18"/>
      <c r="AF401" s="18"/>
      <c r="AG401" s="18"/>
      <c r="AH401" s="18"/>
      <c r="AI401" s="18">
        <f t="shared" si="134"/>
        <v>12</v>
      </c>
      <c r="AK401" s="155"/>
      <c r="AL401" s="28"/>
      <c r="AM401" s="31" t="s">
        <v>301</v>
      </c>
      <c r="AN401" s="18">
        <f t="shared" si="135"/>
        <v>12</v>
      </c>
      <c r="AO401" s="201"/>
      <c r="AP401" s="468"/>
      <c r="AQ401" s="155"/>
    </row>
    <row r="402" spans="3:43" ht="15.6">
      <c r="C402" s="28"/>
      <c r="D402" s="31" t="s">
        <v>2321</v>
      </c>
      <c r="E402" s="18"/>
      <c r="F402" s="18"/>
      <c r="G402" s="18"/>
      <c r="H402" s="25"/>
      <c r="I402" s="29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>
        <f>53+26</f>
        <v>79</v>
      </c>
      <c r="AA402" s="18"/>
      <c r="AB402" s="18"/>
      <c r="AC402" s="18"/>
      <c r="AD402" s="18"/>
      <c r="AE402" s="18"/>
      <c r="AF402" s="18"/>
      <c r="AG402" s="18"/>
      <c r="AH402" s="18"/>
      <c r="AI402" s="18">
        <f t="shared" si="134"/>
        <v>79</v>
      </c>
      <c r="AK402" s="155"/>
      <c r="AL402" s="28"/>
      <c r="AM402" s="31" t="s">
        <v>2321</v>
      </c>
      <c r="AN402" s="18">
        <f t="shared" si="135"/>
        <v>79</v>
      </c>
      <c r="AO402" s="201"/>
      <c r="AP402" s="468"/>
      <c r="AQ402" s="155"/>
    </row>
    <row r="403" spans="3:43" ht="15.6">
      <c r="C403" s="28"/>
      <c r="D403" s="31" t="s">
        <v>2323</v>
      </c>
      <c r="E403" s="18"/>
      <c r="F403" s="18"/>
      <c r="G403" s="18"/>
      <c r="H403" s="25"/>
      <c r="I403" s="29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>
        <f>10</f>
        <v>10</v>
      </c>
      <c r="AA403" s="18"/>
      <c r="AB403" s="18"/>
      <c r="AC403" s="18"/>
      <c r="AD403" s="18"/>
      <c r="AE403" s="18"/>
      <c r="AF403" s="18"/>
      <c r="AG403" s="18"/>
      <c r="AH403" s="18"/>
      <c r="AI403" s="18">
        <f t="shared" si="134"/>
        <v>10</v>
      </c>
      <c r="AK403" s="155"/>
      <c r="AL403" s="28"/>
      <c r="AM403" s="31" t="s">
        <v>2323</v>
      </c>
      <c r="AN403" s="18">
        <f t="shared" si="135"/>
        <v>10</v>
      </c>
      <c r="AO403" s="201"/>
      <c r="AP403" s="468"/>
      <c r="AQ403" s="155"/>
    </row>
    <row r="404" spans="3:43" ht="15.6">
      <c r="C404" s="28"/>
      <c r="D404" s="31" t="s">
        <v>2322</v>
      </c>
      <c r="E404" s="18"/>
      <c r="F404" s="18"/>
      <c r="G404" s="18"/>
      <c r="H404" s="25"/>
      <c r="I404" s="29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>
        <f>40</f>
        <v>40</v>
      </c>
      <c r="AA404" s="18"/>
      <c r="AB404" s="18"/>
      <c r="AC404" s="18"/>
      <c r="AD404" s="18"/>
      <c r="AE404" s="18"/>
      <c r="AF404" s="18"/>
      <c r="AG404" s="18"/>
      <c r="AH404" s="18"/>
      <c r="AI404" s="18">
        <f t="shared" si="134"/>
        <v>40</v>
      </c>
      <c r="AK404" s="155"/>
      <c r="AL404" s="28"/>
      <c r="AM404" s="31" t="s">
        <v>2322</v>
      </c>
      <c r="AN404" s="18">
        <f t="shared" si="135"/>
        <v>40</v>
      </c>
      <c r="AO404" s="201"/>
      <c r="AP404" s="468"/>
      <c r="AQ404" s="155"/>
    </row>
    <row r="405" spans="3:43" ht="15.6">
      <c r="C405" s="26" t="s">
        <v>569</v>
      </c>
      <c r="D405" s="31"/>
      <c r="E405" s="18"/>
      <c r="F405" s="18"/>
      <c r="G405" s="18"/>
      <c r="H405" s="25"/>
      <c r="I405" s="29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K405" s="155"/>
      <c r="AL405" s="26" t="s">
        <v>569</v>
      </c>
      <c r="AM405" s="31"/>
      <c r="AN405" s="18"/>
      <c r="AO405" s="201"/>
      <c r="AP405" s="468"/>
      <c r="AQ405" s="155"/>
    </row>
    <row r="406" spans="3:43" ht="15.6">
      <c r="C406" s="28"/>
      <c r="D406" s="31" t="s">
        <v>2097</v>
      </c>
      <c r="E406" s="18"/>
      <c r="F406" s="18"/>
      <c r="G406" s="18"/>
      <c r="H406" s="25"/>
      <c r="I406" s="29"/>
      <c r="J406" s="18"/>
      <c r="K406" s="18"/>
      <c r="L406" s="18"/>
      <c r="M406" s="18"/>
      <c r="N406" s="18">
        <v>49</v>
      </c>
      <c r="O406" s="18"/>
      <c r="P406" s="18"/>
      <c r="Q406" s="18"/>
      <c r="R406" s="18">
        <v>55</v>
      </c>
      <c r="S406" s="18">
        <v>-80</v>
      </c>
      <c r="T406" s="18">
        <v>93</v>
      </c>
      <c r="U406" s="18"/>
      <c r="V406" s="18"/>
      <c r="W406" s="18"/>
      <c r="X406" s="18"/>
      <c r="Y406" s="18">
        <f>-20-20-10-2-20-1-3</f>
        <v>-76</v>
      </c>
      <c r="Z406" s="18">
        <f>4+44-30</f>
        <v>18</v>
      </c>
      <c r="AA406" s="18"/>
      <c r="AB406" s="18"/>
      <c r="AC406" s="18"/>
      <c r="AD406" s="18"/>
      <c r="AE406" s="18"/>
      <c r="AF406" s="18"/>
      <c r="AG406" s="18"/>
      <c r="AH406" s="18"/>
      <c r="AI406" s="18">
        <f t="shared" ref="AI406:AI409" si="136">SUM(E406:AH406)</f>
        <v>59</v>
      </c>
      <c r="AK406" s="155"/>
      <c r="AL406" s="28"/>
      <c r="AM406" s="31" t="s">
        <v>2097</v>
      </c>
      <c r="AN406" s="18">
        <f>AI406</f>
        <v>59</v>
      </c>
      <c r="AO406" s="201"/>
      <c r="AP406" s="468"/>
      <c r="AQ406" s="155"/>
    </row>
    <row r="407" spans="3:43" ht="15.6">
      <c r="C407" s="28"/>
      <c r="D407" s="31" t="s">
        <v>2027</v>
      </c>
      <c r="E407" s="18"/>
      <c r="F407" s="18"/>
      <c r="G407" s="18"/>
      <c r="H407" s="25"/>
      <c r="I407" s="29"/>
      <c r="J407" s="18"/>
      <c r="K407" s="18"/>
      <c r="L407" s="18"/>
      <c r="M407" s="18"/>
      <c r="N407" s="18">
        <v>32</v>
      </c>
      <c r="O407" s="18"/>
      <c r="P407" s="18"/>
      <c r="Q407" s="18"/>
      <c r="R407" s="18">
        <v>10</v>
      </c>
      <c r="S407" s="18">
        <v>-1</v>
      </c>
      <c r="T407" s="18">
        <v>49</v>
      </c>
      <c r="U407" s="18">
        <v>-12</v>
      </c>
      <c r="V407" s="18"/>
      <c r="W407" s="18"/>
      <c r="X407" s="18"/>
      <c r="Y407" s="18">
        <f>-10-8-1-48-10</f>
        <v>-77</v>
      </c>
      <c r="Z407" s="18">
        <f>64+119-63-1</f>
        <v>119</v>
      </c>
      <c r="AA407" s="18"/>
      <c r="AB407" s="18"/>
      <c r="AC407" s="18"/>
      <c r="AD407" s="18"/>
      <c r="AE407" s="18"/>
      <c r="AF407" s="18"/>
      <c r="AG407" s="18"/>
      <c r="AH407" s="18"/>
      <c r="AI407" s="18">
        <f t="shared" si="136"/>
        <v>120</v>
      </c>
      <c r="AK407" s="155"/>
      <c r="AL407" s="28"/>
      <c r="AM407" s="31" t="s">
        <v>2027</v>
      </c>
      <c r="AN407" s="18">
        <f>AI407</f>
        <v>120</v>
      </c>
      <c r="AO407" s="201"/>
      <c r="AP407" s="468"/>
      <c r="AQ407" s="155"/>
    </row>
    <row r="408" spans="3:43" ht="15.6">
      <c r="C408" s="28"/>
      <c r="D408" s="31"/>
      <c r="E408" s="18"/>
      <c r="F408" s="18"/>
      <c r="G408" s="18"/>
      <c r="H408" s="25"/>
      <c r="I408" s="29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K408" s="155"/>
      <c r="AL408" s="28"/>
      <c r="AM408" s="31"/>
      <c r="AN408" s="18"/>
      <c r="AO408" s="201"/>
      <c r="AP408" s="468"/>
      <c r="AQ408" s="155"/>
    </row>
    <row r="409" spans="3:43" ht="15.6">
      <c r="C409" s="28"/>
      <c r="D409" s="31" t="s">
        <v>2227</v>
      </c>
      <c r="E409" s="18"/>
      <c r="F409" s="18"/>
      <c r="G409" s="18"/>
      <c r="H409" s="25"/>
      <c r="I409" s="29"/>
      <c r="J409" s="18"/>
      <c r="K409" s="18"/>
      <c r="L409" s="18"/>
      <c r="M409" s="18"/>
      <c r="N409" s="18">
        <v>1</v>
      </c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>
        <f t="shared" si="136"/>
        <v>1</v>
      </c>
      <c r="AK409" s="155"/>
      <c r="AL409" s="28"/>
      <c r="AM409" s="31" t="s">
        <v>2227</v>
      </c>
      <c r="AN409" s="18">
        <f>AI409</f>
        <v>1</v>
      </c>
      <c r="AO409" s="201"/>
      <c r="AP409" s="468"/>
      <c r="AQ409" s="155"/>
    </row>
    <row r="410" spans="3:43" ht="15.6">
      <c r="C410" s="26" t="s">
        <v>2229</v>
      </c>
      <c r="D410" s="31"/>
      <c r="E410" s="18"/>
      <c r="F410" s="18"/>
      <c r="G410" s="18"/>
      <c r="H410" s="25"/>
      <c r="I410" s="29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K410" s="155"/>
      <c r="AL410" s="26" t="s">
        <v>2229</v>
      </c>
      <c r="AM410" s="31"/>
      <c r="AN410" s="18"/>
      <c r="AO410" s="201"/>
      <c r="AP410" s="468"/>
      <c r="AQ410" s="155"/>
    </row>
    <row r="411" spans="3:43" ht="15.6">
      <c r="C411" s="28"/>
      <c r="D411" s="31" t="s">
        <v>2228</v>
      </c>
      <c r="E411" s="18"/>
      <c r="F411" s="18"/>
      <c r="G411" s="18"/>
      <c r="H411" s="25"/>
      <c r="I411" s="29"/>
      <c r="J411" s="18"/>
      <c r="K411" s="18"/>
      <c r="L411" s="18"/>
      <c r="M411" s="18"/>
      <c r="N411" s="18"/>
      <c r="O411" s="18"/>
      <c r="P411" s="18"/>
      <c r="Q411" s="18">
        <v>1</v>
      </c>
      <c r="R411" s="18"/>
      <c r="S411" s="18"/>
      <c r="T411" s="18"/>
      <c r="U411" s="18"/>
      <c r="V411" s="18"/>
      <c r="W411" s="18"/>
      <c r="X411" s="18"/>
      <c r="Y411" s="18"/>
      <c r="Z411" s="18">
        <v>17</v>
      </c>
      <c r="AA411" s="18"/>
      <c r="AB411" s="18"/>
      <c r="AC411" s="18"/>
      <c r="AD411" s="18"/>
      <c r="AE411" s="18"/>
      <c r="AF411" s="18"/>
      <c r="AG411" s="18"/>
      <c r="AH411" s="18"/>
      <c r="AI411" s="18">
        <f t="shared" ref="AI411:AI413" si="137">SUM(E411:AH411)</f>
        <v>18</v>
      </c>
      <c r="AK411" s="155"/>
      <c r="AL411" s="28"/>
      <c r="AM411" s="31" t="s">
        <v>2228</v>
      </c>
      <c r="AN411" s="18">
        <f>AI411</f>
        <v>18</v>
      </c>
      <c r="AO411" s="201"/>
      <c r="AP411" s="468"/>
      <c r="AQ411" s="155"/>
    </row>
    <row r="412" spans="3:43" ht="15.6">
      <c r="C412" s="28"/>
      <c r="D412" s="31" t="s">
        <v>2230</v>
      </c>
      <c r="E412" s="18"/>
      <c r="F412" s="18"/>
      <c r="G412" s="18"/>
      <c r="H412" s="25"/>
      <c r="I412" s="29"/>
      <c r="J412" s="18"/>
      <c r="K412" s="18"/>
      <c r="L412" s="18"/>
      <c r="M412" s="18"/>
      <c r="N412" s="18"/>
      <c r="O412" s="18"/>
      <c r="P412" s="18"/>
      <c r="Q412" s="18">
        <v>1</v>
      </c>
      <c r="R412" s="18"/>
      <c r="S412" s="18"/>
      <c r="T412" s="18"/>
      <c r="U412" s="18"/>
      <c r="V412" s="18"/>
      <c r="W412" s="18"/>
      <c r="X412" s="18"/>
      <c r="Y412" s="18"/>
      <c r="Z412" s="18">
        <v>15</v>
      </c>
      <c r="AA412" s="18"/>
      <c r="AB412" s="18"/>
      <c r="AC412" s="18"/>
      <c r="AD412" s="18"/>
      <c r="AE412" s="18"/>
      <c r="AF412" s="18"/>
      <c r="AG412" s="18"/>
      <c r="AH412" s="18"/>
      <c r="AI412" s="18">
        <f t="shared" si="137"/>
        <v>16</v>
      </c>
      <c r="AK412" s="155"/>
      <c r="AL412" s="28"/>
      <c r="AM412" s="31" t="s">
        <v>2230</v>
      </c>
      <c r="AN412" s="18">
        <f>AI412</f>
        <v>16</v>
      </c>
      <c r="AO412" s="201"/>
      <c r="AP412" s="468"/>
      <c r="AQ412" s="155"/>
    </row>
    <row r="413" spans="3:43" ht="15.6">
      <c r="C413" s="28"/>
      <c r="D413" s="31" t="s">
        <v>2313</v>
      </c>
      <c r="E413" s="18"/>
      <c r="F413" s="18"/>
      <c r="G413" s="18"/>
      <c r="H413" s="25"/>
      <c r="I413" s="29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>
        <v>15</v>
      </c>
      <c r="AA413" s="18"/>
      <c r="AB413" s="18"/>
      <c r="AC413" s="18"/>
      <c r="AD413" s="18"/>
      <c r="AE413" s="18"/>
      <c r="AF413" s="18"/>
      <c r="AG413" s="18"/>
      <c r="AH413" s="18"/>
      <c r="AI413" s="18">
        <f t="shared" si="137"/>
        <v>15</v>
      </c>
      <c r="AK413" s="155"/>
      <c r="AL413" s="28"/>
      <c r="AM413" s="31" t="s">
        <v>2313</v>
      </c>
      <c r="AN413" s="18">
        <f>AI413</f>
        <v>15</v>
      </c>
      <c r="AO413" s="201"/>
      <c r="AP413" s="468"/>
      <c r="AQ413" s="155"/>
    </row>
    <row r="414" spans="3:43" ht="15.6">
      <c r="C414" s="28"/>
      <c r="D414" s="31"/>
      <c r="E414" s="18"/>
      <c r="F414" s="18"/>
      <c r="G414" s="18"/>
      <c r="H414" s="25"/>
      <c r="I414" s="29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K414" s="155"/>
      <c r="AL414" s="159"/>
      <c r="AM414" s="31"/>
      <c r="AN414" s="18"/>
      <c r="AO414" s="201"/>
      <c r="AP414" s="468">
        <f>AN414*AO414</f>
        <v>0</v>
      </c>
      <c r="AQ414" s="155"/>
    </row>
    <row r="415" spans="3:43" ht="15.6">
      <c r="C415" s="82"/>
      <c r="D415" s="81"/>
      <c r="E415" s="81">
        <f t="shared" ref="E415:K415" si="138">SUM(E368:E414)</f>
        <v>27</v>
      </c>
      <c r="F415" s="81">
        <f t="shared" si="138"/>
        <v>-3</v>
      </c>
      <c r="G415" s="81">
        <f t="shared" si="138"/>
        <v>0</v>
      </c>
      <c r="H415" s="81">
        <f t="shared" si="138"/>
        <v>4</v>
      </c>
      <c r="I415" s="81">
        <f t="shared" si="138"/>
        <v>0</v>
      </c>
      <c r="J415" s="81">
        <f t="shared" si="138"/>
        <v>0</v>
      </c>
      <c r="K415" s="81">
        <f t="shared" si="138"/>
        <v>0</v>
      </c>
      <c r="L415" s="81"/>
      <c r="M415" s="81">
        <f t="shared" ref="M415:N415" si="139">SUM(M368:M414)</f>
        <v>3</v>
      </c>
      <c r="N415" s="81">
        <f t="shared" si="139"/>
        <v>82</v>
      </c>
      <c r="O415" s="81"/>
      <c r="P415" s="81">
        <f t="shared" ref="P415:Q415" si="140">SUM(P368:P414)</f>
        <v>0</v>
      </c>
      <c r="Q415" s="81">
        <f t="shared" si="140"/>
        <v>22</v>
      </c>
      <c r="R415" s="81">
        <f>SUM(R368:R414)</f>
        <v>63</v>
      </c>
      <c r="S415" s="81">
        <f>SUM(S368:S414)</f>
        <v>-93</v>
      </c>
      <c r="T415" s="81"/>
      <c r="U415" s="81">
        <f>SUM(U368:U414)</f>
        <v>-12</v>
      </c>
      <c r="V415" s="81">
        <f>SUM(V368:V414)</f>
        <v>0</v>
      </c>
      <c r="W415" s="81">
        <f>SUM(W368:W414)</f>
        <v>-4</v>
      </c>
      <c r="X415" s="81"/>
      <c r="Y415" s="81"/>
      <c r="Z415" s="81"/>
      <c r="AA415" s="81"/>
      <c r="AB415" s="81"/>
      <c r="AC415" s="81"/>
      <c r="AD415" s="81"/>
      <c r="AE415" s="81">
        <f>SUM(AE368:AE414)</f>
        <v>0</v>
      </c>
      <c r="AF415" s="81"/>
      <c r="AG415" s="81"/>
      <c r="AH415" s="81">
        <f>SUM(AH368:AH414)</f>
        <v>-15</v>
      </c>
      <c r="AI415" s="81">
        <f>SUM(AI368:AI414)</f>
        <v>397</v>
      </c>
      <c r="AK415" s="155"/>
      <c r="AL415" s="162"/>
      <c r="AM415" s="162"/>
      <c r="AN415" s="81">
        <f>SUM(AN368:AN414)</f>
        <v>397</v>
      </c>
      <c r="AO415" s="160"/>
      <c r="AP415" s="163">
        <f>SUM(AP368:AP414)</f>
        <v>27041.584961038956</v>
      </c>
      <c r="AQ415" s="155"/>
    </row>
    <row r="424" spans="3:43" ht="19.8">
      <c r="AA424" s="541"/>
      <c r="AB424" s="541" t="s">
        <v>2335</v>
      </c>
      <c r="AC424" s="541" t="s">
        <v>2332</v>
      </c>
      <c r="AD424" s="541" t="s">
        <v>2333</v>
      </c>
      <c r="AE424" s="541" t="s">
        <v>2334</v>
      </c>
      <c r="AF424" s="541" t="s">
        <v>857</v>
      </c>
      <c r="AG424" s="541" t="s">
        <v>2332</v>
      </c>
      <c r="AH424" s="541" t="s">
        <v>857</v>
      </c>
      <c r="AI424" s="541" t="s">
        <v>857</v>
      </c>
      <c r="AJ424" s="541"/>
    </row>
    <row r="425" spans="3:43" ht="19.8">
      <c r="AA425" s="541" t="s">
        <v>2330</v>
      </c>
      <c r="AB425" s="541">
        <v>41</v>
      </c>
      <c r="AC425" s="541">
        <v>4</v>
      </c>
      <c r="AD425" s="541">
        <v>-30</v>
      </c>
      <c r="AE425" s="541">
        <v>44</v>
      </c>
      <c r="AF425" s="541">
        <v>-30</v>
      </c>
      <c r="AG425" s="541">
        <v>68</v>
      </c>
      <c r="AH425" s="541">
        <v>-50</v>
      </c>
      <c r="AI425" s="541">
        <v>-5</v>
      </c>
      <c r="AJ425" s="541">
        <f>SUM(AB425:AI425)</f>
        <v>42</v>
      </c>
    </row>
    <row r="426" spans="3:43" ht="19.8">
      <c r="AA426" s="541" t="s">
        <v>2331</v>
      </c>
      <c r="AB426" s="541">
        <v>1</v>
      </c>
      <c r="AC426" s="541">
        <v>64</v>
      </c>
      <c r="AD426" s="541">
        <f>-63-1</f>
        <v>-64</v>
      </c>
      <c r="AE426" s="541">
        <v>119</v>
      </c>
      <c r="AF426" s="541">
        <f>-19-9-10</f>
        <v>-38</v>
      </c>
      <c r="AG426" s="541">
        <v>53</v>
      </c>
      <c r="AH426" s="541">
        <v>-5</v>
      </c>
      <c r="AI426" s="541">
        <v>-5</v>
      </c>
      <c r="AJ426" s="541">
        <f>SUM(AB426:AI426)</f>
        <v>125</v>
      </c>
    </row>
    <row r="431" spans="3:43" ht="18">
      <c r="C431" s="83" t="s">
        <v>22</v>
      </c>
      <c r="D431" s="83" t="s">
        <v>23</v>
      </c>
      <c r="E431" s="84">
        <v>45566</v>
      </c>
      <c r="F431" s="84">
        <v>45567</v>
      </c>
      <c r="G431" s="84">
        <v>45568</v>
      </c>
      <c r="H431" s="84">
        <v>45569</v>
      </c>
      <c r="I431" s="84">
        <v>45570</v>
      </c>
      <c r="J431" s="84">
        <v>45571</v>
      </c>
      <c r="K431" s="84">
        <v>45572</v>
      </c>
      <c r="L431" s="84">
        <v>45573</v>
      </c>
      <c r="M431" s="84">
        <v>45574</v>
      </c>
      <c r="N431" s="84">
        <v>45575</v>
      </c>
      <c r="O431" s="84">
        <v>45576</v>
      </c>
      <c r="P431" s="84">
        <v>45577</v>
      </c>
      <c r="Q431" s="84">
        <v>45578</v>
      </c>
      <c r="R431" s="84">
        <v>45579</v>
      </c>
      <c r="S431" s="84">
        <v>45580</v>
      </c>
      <c r="T431" s="84">
        <v>45581</v>
      </c>
      <c r="U431" s="84">
        <v>45582</v>
      </c>
      <c r="V431" s="84">
        <v>45583</v>
      </c>
      <c r="W431" s="84">
        <v>45584</v>
      </c>
      <c r="X431" s="84">
        <v>45585</v>
      </c>
      <c r="Y431" s="84">
        <v>45586</v>
      </c>
      <c r="Z431" s="84">
        <v>45587</v>
      </c>
      <c r="AA431" s="84">
        <v>45588</v>
      </c>
      <c r="AB431" s="84">
        <v>45589</v>
      </c>
      <c r="AC431" s="84">
        <v>45590</v>
      </c>
      <c r="AD431" s="84">
        <v>45591</v>
      </c>
      <c r="AE431" s="84">
        <v>45592</v>
      </c>
      <c r="AF431" s="84">
        <v>45593</v>
      </c>
      <c r="AG431" s="84">
        <v>45594</v>
      </c>
      <c r="AH431" s="84">
        <v>45595</v>
      </c>
      <c r="AI431" s="85" t="s">
        <v>25</v>
      </c>
      <c r="AK431" s="155"/>
      <c r="AL431" s="164" t="s">
        <v>22</v>
      </c>
      <c r="AM431" s="164" t="s">
        <v>23</v>
      </c>
      <c r="AN431" s="85" t="s">
        <v>25</v>
      </c>
      <c r="AO431" s="85" t="s">
        <v>468</v>
      </c>
      <c r="AP431" s="85" t="s">
        <v>11</v>
      </c>
      <c r="AQ431" s="155"/>
    </row>
    <row r="432" spans="3:43" ht="15.6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K432" s="155"/>
      <c r="AL432" s="156"/>
      <c r="AM432" s="156"/>
      <c r="AN432" s="155"/>
      <c r="AO432" s="155"/>
      <c r="AP432" s="155"/>
      <c r="AQ432" s="155"/>
    </row>
    <row r="433" spans="3:44" ht="15.6">
      <c r="C433" s="26" t="s">
        <v>26</v>
      </c>
      <c r="D433" s="31"/>
      <c r="E433" s="18"/>
      <c r="F433" s="18"/>
      <c r="G433" s="18"/>
      <c r="H433" s="25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K433" s="155"/>
      <c r="AL433" s="157" t="s">
        <v>26</v>
      </c>
      <c r="AM433" s="158"/>
      <c r="AN433" s="159"/>
      <c r="AO433" s="160"/>
      <c r="AP433" s="160"/>
      <c r="AQ433" s="155"/>
    </row>
    <row r="434" spans="3:44" ht="30.6">
      <c r="C434" s="26"/>
      <c r="D434" s="31" t="s">
        <v>29</v>
      </c>
      <c r="E434" s="18">
        <v>1</v>
      </c>
      <c r="F434" s="18"/>
      <c r="G434" s="18"/>
      <c r="H434" s="25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>
        <f t="shared" ref="AI434:AI437" si="141">SUM(E434:AH434)</f>
        <v>1</v>
      </c>
      <c r="AK434" s="155"/>
      <c r="AL434" s="157"/>
      <c r="AM434" s="158" t="str">
        <f>D434</f>
        <v>IP 15ProMax 256Gb</v>
      </c>
      <c r="AN434" s="159">
        <f>AI434</f>
        <v>1</v>
      </c>
      <c r="AO434" s="201">
        <f>202000/77</f>
        <v>2623.3766233766232</v>
      </c>
      <c r="AP434" s="160"/>
      <c r="AQ434" s="155"/>
    </row>
    <row r="435" spans="3:44" ht="28.2">
      <c r="C435" s="18"/>
      <c r="D435" s="31" t="s">
        <v>1941</v>
      </c>
      <c r="E435" s="18">
        <v>1</v>
      </c>
      <c r="F435" s="18"/>
      <c r="G435" s="18"/>
      <c r="H435" s="25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>
        <f t="shared" si="141"/>
        <v>1</v>
      </c>
      <c r="AK435" s="155"/>
      <c r="AL435" s="159"/>
      <c r="AM435" s="31" t="str">
        <f t="shared" ref="AM435:AM437" si="142">D435</f>
        <v>IP 15ProMax 512Gb FU</v>
      </c>
      <c r="AN435" s="159">
        <f t="shared" ref="AN435:AN437" si="143">AI435</f>
        <v>1</v>
      </c>
      <c r="AO435" s="159">
        <v>4428</v>
      </c>
      <c r="AP435" s="468">
        <f t="shared" ref="AP435:AP437" si="144">AN435*AO435</f>
        <v>4428</v>
      </c>
      <c r="AQ435" s="155"/>
      <c r="AR435" t="s">
        <v>2367</v>
      </c>
    </row>
    <row r="436" spans="3:44" ht="15.6">
      <c r="C436" s="18"/>
      <c r="D436" s="31" t="s">
        <v>1939</v>
      </c>
      <c r="E436" s="18">
        <v>1</v>
      </c>
      <c r="F436" s="18"/>
      <c r="G436" s="18"/>
      <c r="H436" s="25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>
        <f t="shared" si="141"/>
        <v>1</v>
      </c>
      <c r="AK436" s="155"/>
      <c r="AL436" s="565"/>
      <c r="AM436" s="566" t="str">
        <f t="shared" si="142"/>
        <v>IP 15Pro 128GB FU</v>
      </c>
      <c r="AN436" s="565">
        <f t="shared" si="143"/>
        <v>1</v>
      </c>
      <c r="AO436" s="567">
        <v>3186</v>
      </c>
      <c r="AP436" s="568">
        <f t="shared" si="144"/>
        <v>3186</v>
      </c>
      <c r="AQ436" s="155"/>
    </row>
    <row r="437" spans="3:44" ht="15.6">
      <c r="C437" s="18"/>
      <c r="D437" s="31" t="s">
        <v>1831</v>
      </c>
      <c r="E437" s="18">
        <v>1</v>
      </c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>
        <f t="shared" si="141"/>
        <v>1</v>
      </c>
      <c r="AK437" s="155"/>
      <c r="AL437" s="159"/>
      <c r="AM437" s="32" t="str">
        <f t="shared" si="142"/>
        <v xml:space="preserve">IP 14Plus 128GB </v>
      </c>
      <c r="AN437" s="18">
        <f t="shared" si="143"/>
        <v>1</v>
      </c>
      <c r="AO437" s="201">
        <v>1450</v>
      </c>
      <c r="AP437" s="468">
        <f t="shared" si="144"/>
        <v>1450</v>
      </c>
      <c r="AQ437" s="155"/>
    </row>
    <row r="438" spans="3:44" ht="15.6">
      <c r="C438" s="18"/>
      <c r="D438" s="31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K438" s="155"/>
      <c r="AL438" s="159"/>
      <c r="AM438" s="32"/>
      <c r="AN438" s="18"/>
      <c r="AO438" s="201"/>
      <c r="AP438" s="468"/>
      <c r="AQ438" s="155"/>
    </row>
    <row r="439" spans="3:44" ht="15.6">
      <c r="C439" s="18"/>
      <c r="D439" s="31" t="s">
        <v>37</v>
      </c>
      <c r="E439" s="18">
        <v>3</v>
      </c>
      <c r="F439" s="18"/>
      <c r="G439" s="18"/>
      <c r="H439" s="25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>
        <f t="shared" ref="AI439" si="145">SUM(E439:AH439)</f>
        <v>3</v>
      </c>
      <c r="AK439" s="155"/>
      <c r="AL439" s="159"/>
      <c r="AM439" s="31" t="s">
        <v>37</v>
      </c>
      <c r="AN439" s="18">
        <f t="shared" ref="AN439" si="146">AI439</f>
        <v>3</v>
      </c>
      <c r="AO439" s="202">
        <v>1588.86</v>
      </c>
      <c r="AP439" s="468">
        <f t="shared" ref="AP439" si="147">AN439*AO439</f>
        <v>4766.58</v>
      </c>
      <c r="AQ439" s="155"/>
    </row>
    <row r="440" spans="3:44" ht="15.6">
      <c r="C440" s="18"/>
      <c r="D440" s="31"/>
      <c r="E440" s="18"/>
      <c r="F440" s="18"/>
      <c r="G440" s="18"/>
      <c r="H440" s="25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K440" s="155"/>
      <c r="AL440" s="159"/>
      <c r="AM440" s="31"/>
      <c r="AN440" s="18"/>
      <c r="AO440" s="201"/>
      <c r="AP440" s="468"/>
      <c r="AQ440" s="155"/>
    </row>
    <row r="441" spans="3:44" ht="15.6">
      <c r="C441" s="18"/>
      <c r="D441" s="31" t="s">
        <v>231</v>
      </c>
      <c r="E441" s="18">
        <v>1</v>
      </c>
      <c r="F441" s="18"/>
      <c r="G441" s="18"/>
      <c r="H441" s="25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>
        <f t="shared" ref="AI441:AI444" si="148">SUM(E441:AH441)</f>
        <v>1</v>
      </c>
      <c r="AK441" s="155"/>
      <c r="AL441" s="159"/>
      <c r="AM441" s="31" t="s">
        <v>231</v>
      </c>
      <c r="AN441" s="18">
        <f t="shared" ref="AN441:AN444" si="149">AI441</f>
        <v>1</v>
      </c>
      <c r="AO441" s="201">
        <v>926.35599999999999</v>
      </c>
      <c r="AP441" s="468">
        <f t="shared" ref="AP441:AP444" si="150">AN441*AO441</f>
        <v>926.35599999999999</v>
      </c>
      <c r="AQ441" s="155"/>
    </row>
    <row r="442" spans="3:44" ht="15.6">
      <c r="C442" s="18"/>
      <c r="D442" s="31" t="s">
        <v>233</v>
      </c>
      <c r="E442" s="18">
        <v>1</v>
      </c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>
        <f t="shared" si="148"/>
        <v>1</v>
      </c>
      <c r="AK442" s="155"/>
      <c r="AL442" s="159"/>
      <c r="AM442" s="31" t="s">
        <v>233</v>
      </c>
      <c r="AN442" s="18">
        <f t="shared" si="149"/>
        <v>1</v>
      </c>
      <c r="AO442" s="202">
        <v>780.56</v>
      </c>
      <c r="AP442" s="468">
        <f t="shared" si="150"/>
        <v>780.56</v>
      </c>
      <c r="AQ442" s="155"/>
    </row>
    <row r="443" spans="3:44" ht="15.6">
      <c r="C443" s="18"/>
      <c r="D443" s="31" t="s">
        <v>234</v>
      </c>
      <c r="E443" s="18">
        <v>4</v>
      </c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>
        <f t="shared" si="148"/>
        <v>4</v>
      </c>
      <c r="AK443" s="155"/>
      <c r="AL443" s="159"/>
      <c r="AM443" s="31" t="s">
        <v>234</v>
      </c>
      <c r="AN443" s="18">
        <f t="shared" si="149"/>
        <v>4</v>
      </c>
      <c r="AO443" s="201">
        <v>489</v>
      </c>
      <c r="AP443" s="468">
        <f t="shared" si="150"/>
        <v>1956</v>
      </c>
      <c r="AQ443" s="155"/>
    </row>
    <row r="444" spans="3:44" ht="15.6">
      <c r="C444" s="18"/>
      <c r="D444" s="31" t="s">
        <v>235</v>
      </c>
      <c r="E444" s="18">
        <v>5</v>
      </c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>
        <f t="shared" si="148"/>
        <v>5</v>
      </c>
      <c r="AK444" s="155"/>
      <c r="AL444" s="159"/>
      <c r="AM444" s="31" t="s">
        <v>235</v>
      </c>
      <c r="AN444" s="18">
        <f t="shared" si="149"/>
        <v>5</v>
      </c>
      <c r="AO444" s="201">
        <v>524.04999999999995</v>
      </c>
      <c r="AP444" s="468">
        <f t="shared" si="150"/>
        <v>2620.25</v>
      </c>
      <c r="AQ444" s="155"/>
    </row>
    <row r="445" spans="3:44" ht="15.6">
      <c r="C445" s="18"/>
      <c r="D445" s="31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K445" s="155"/>
      <c r="AL445" s="159"/>
      <c r="AM445" s="31"/>
      <c r="AN445" s="18"/>
      <c r="AO445" s="201"/>
      <c r="AP445" s="468"/>
      <c r="AQ445" s="155"/>
    </row>
    <row r="446" spans="3:44" ht="15.6">
      <c r="C446" s="18"/>
      <c r="D446" s="58" t="s">
        <v>636</v>
      </c>
      <c r="E446" s="30">
        <v>2</v>
      </c>
      <c r="F446" s="30"/>
      <c r="G446" s="30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>
        <v>-1</v>
      </c>
      <c r="AI446" s="18">
        <f t="shared" ref="AI446:AI447" si="151">SUM(E446:AH446)</f>
        <v>1</v>
      </c>
      <c r="AK446" s="155"/>
      <c r="AL446" s="159"/>
      <c r="AM446" s="31" t="str">
        <f>D446</f>
        <v>Watch Ultra 2</v>
      </c>
      <c r="AN446" s="18">
        <f t="shared" ref="AN446:AN447" si="152">AI446</f>
        <v>1</v>
      </c>
      <c r="AO446" s="202">
        <f>180000/77</f>
        <v>2337.6623376623374</v>
      </c>
      <c r="AP446" s="468">
        <f t="shared" ref="AP446:AP447" si="153">AN446*AO446</f>
        <v>2337.6623376623374</v>
      </c>
      <c r="AQ446" s="155" t="s">
        <v>1566</v>
      </c>
    </row>
    <row r="447" spans="3:44" ht="15.6">
      <c r="C447" s="18"/>
      <c r="D447" s="58" t="s">
        <v>463</v>
      </c>
      <c r="E447" s="30">
        <v>1</v>
      </c>
      <c r="F447" s="30"/>
      <c r="G447" s="30"/>
      <c r="H447" s="25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>
        <f t="shared" si="151"/>
        <v>1</v>
      </c>
      <c r="AK447" s="155"/>
      <c r="AL447" s="159"/>
      <c r="AM447" s="31" t="s">
        <v>463</v>
      </c>
      <c r="AN447" s="18">
        <f t="shared" si="152"/>
        <v>1</v>
      </c>
      <c r="AO447" s="201">
        <v>300</v>
      </c>
      <c r="AP447" s="468">
        <f t="shared" si="153"/>
        <v>300</v>
      </c>
      <c r="AQ447" s="155"/>
    </row>
    <row r="448" spans="3:44" ht="15.6">
      <c r="C448" s="27" t="s">
        <v>47</v>
      </c>
      <c r="D448" s="31"/>
      <c r="E448" s="18"/>
      <c r="F448" s="18"/>
      <c r="G448" s="18"/>
      <c r="H448" s="25"/>
      <c r="I448" s="29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K448" s="155"/>
      <c r="AL448" s="157" t="s">
        <v>47</v>
      </c>
      <c r="AM448" s="31"/>
      <c r="AN448" s="18"/>
      <c r="AO448" s="201"/>
      <c r="AP448" s="468"/>
      <c r="AQ448" s="155"/>
    </row>
    <row r="449" spans="3:43" ht="15.6">
      <c r="C449" s="28"/>
      <c r="D449" s="32" t="s">
        <v>56</v>
      </c>
      <c r="E449" s="18">
        <v>1</v>
      </c>
      <c r="F449" s="18"/>
      <c r="G449" s="18"/>
      <c r="H449" s="25"/>
      <c r="I449" s="29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>
        <f t="shared" ref="AI449:AI451" si="154">SUM(E449:AH449)</f>
        <v>1</v>
      </c>
      <c r="AK449" s="155"/>
      <c r="AL449" s="159"/>
      <c r="AM449" s="32" t="s">
        <v>56</v>
      </c>
      <c r="AN449" s="18">
        <f>AI449</f>
        <v>1</v>
      </c>
      <c r="AO449" s="201">
        <v>555.6</v>
      </c>
      <c r="AP449" s="468">
        <f t="shared" ref="AP449:AP454" si="155">AN449*AO449</f>
        <v>555.6</v>
      </c>
      <c r="AQ449" s="155"/>
    </row>
    <row r="450" spans="3:43" ht="15.6">
      <c r="C450" s="28"/>
      <c r="D450" s="31" t="s">
        <v>58</v>
      </c>
      <c r="E450" s="18">
        <v>1</v>
      </c>
      <c r="F450" s="18"/>
      <c r="G450" s="18"/>
      <c r="H450" s="25"/>
      <c r="I450" s="29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>
        <f t="shared" si="154"/>
        <v>1</v>
      </c>
      <c r="AK450" s="155"/>
      <c r="AL450" s="159"/>
      <c r="AM450" s="31" t="s">
        <v>58</v>
      </c>
      <c r="AN450" s="18">
        <f>AI450</f>
        <v>1</v>
      </c>
      <c r="AO450" s="201">
        <v>555.6</v>
      </c>
      <c r="AP450" s="468">
        <f t="shared" si="155"/>
        <v>555.6</v>
      </c>
      <c r="AQ450" s="155"/>
    </row>
    <row r="451" spans="3:43" ht="15.6">
      <c r="C451" s="28"/>
      <c r="D451" s="32" t="s">
        <v>2445</v>
      </c>
      <c r="E451" s="18"/>
      <c r="F451" s="18"/>
      <c r="G451" s="18"/>
      <c r="H451" s="18"/>
      <c r="I451" s="29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>
        <v>1</v>
      </c>
      <c r="AI451" s="18">
        <f t="shared" si="154"/>
        <v>1</v>
      </c>
      <c r="AK451" s="155"/>
      <c r="AL451" s="159"/>
      <c r="AM451" s="32" t="s">
        <v>2445</v>
      </c>
      <c r="AN451" s="18">
        <f>AI451</f>
        <v>1</v>
      </c>
      <c r="AO451" s="201">
        <v>2770</v>
      </c>
      <c r="AP451" s="468">
        <f t="shared" si="155"/>
        <v>2770</v>
      </c>
      <c r="AQ451" s="155"/>
    </row>
    <row r="452" spans="3:43" ht="15.6">
      <c r="C452" s="27" t="s">
        <v>59</v>
      </c>
      <c r="D452" s="31" t="s">
        <v>60</v>
      </c>
      <c r="E452" s="18">
        <v>1</v>
      </c>
      <c r="F452" s="18"/>
      <c r="G452" s="18"/>
      <c r="H452" s="25"/>
      <c r="I452" s="29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>
        <f t="shared" ref="AI452" si="156">SUM(E452:AH452)</f>
        <v>1</v>
      </c>
      <c r="AK452" s="155"/>
      <c r="AL452" s="27" t="s">
        <v>59</v>
      </c>
      <c r="AM452" s="31" t="s">
        <v>60</v>
      </c>
      <c r="AN452" s="18">
        <f t="shared" ref="AN452" si="157">AI452</f>
        <v>1</v>
      </c>
      <c r="AO452" s="201">
        <v>555.6</v>
      </c>
      <c r="AP452" s="468">
        <f t="shared" si="155"/>
        <v>555.6</v>
      </c>
      <c r="AQ452" s="155"/>
    </row>
    <row r="453" spans="3:43" ht="15.6">
      <c r="C453" s="28"/>
      <c r="D453" s="31"/>
      <c r="E453" s="18"/>
      <c r="F453" s="18"/>
      <c r="G453" s="18"/>
      <c r="H453" s="25"/>
      <c r="I453" s="29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K453" s="155"/>
      <c r="AL453" s="28"/>
      <c r="AM453" s="31" t="s">
        <v>2458</v>
      </c>
      <c r="AN453" s="18">
        <v>1</v>
      </c>
      <c r="AO453" s="201">
        <v>555.6</v>
      </c>
      <c r="AP453" s="468">
        <f t="shared" si="155"/>
        <v>555.6</v>
      </c>
      <c r="AQ453" s="155"/>
    </row>
    <row r="454" spans="3:43" ht="15.6">
      <c r="C454" s="28"/>
      <c r="D454" s="31"/>
      <c r="E454" s="18"/>
      <c r="F454" s="18"/>
      <c r="G454" s="18"/>
      <c r="H454" s="25"/>
      <c r="I454" s="29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K454" s="155"/>
      <c r="AL454" s="159"/>
      <c r="AM454" s="31" t="s">
        <v>122</v>
      </c>
      <c r="AN454" s="18">
        <v>1</v>
      </c>
      <c r="AO454" s="201">
        <v>555.6</v>
      </c>
      <c r="AP454" s="468">
        <f t="shared" si="155"/>
        <v>555.6</v>
      </c>
      <c r="AQ454" s="155"/>
    </row>
    <row r="455" spans="3:43" ht="15.6">
      <c r="C455" s="82"/>
      <c r="D455" s="81"/>
      <c r="E455" s="81">
        <f t="shared" ref="E455:K455" si="158">SUM(E433:E454)</f>
        <v>24</v>
      </c>
      <c r="F455" s="81">
        <f t="shared" si="158"/>
        <v>0</v>
      </c>
      <c r="G455" s="81">
        <f t="shared" si="158"/>
        <v>0</v>
      </c>
      <c r="H455" s="81">
        <f t="shared" si="158"/>
        <v>0</v>
      </c>
      <c r="I455" s="81">
        <f t="shared" si="158"/>
        <v>0</v>
      </c>
      <c r="J455" s="81">
        <f t="shared" si="158"/>
        <v>0</v>
      </c>
      <c r="K455" s="81">
        <f t="shared" si="158"/>
        <v>0</v>
      </c>
      <c r="L455" s="81"/>
      <c r="M455" s="81">
        <f>SUM(M433:M454)</f>
        <v>0</v>
      </c>
      <c r="N455" s="81">
        <f>SUM(N433:N454)</f>
        <v>0</v>
      </c>
      <c r="O455" s="81"/>
      <c r="P455" s="81">
        <f>SUM(P433:P454)</f>
        <v>0</v>
      </c>
      <c r="Q455" s="81">
        <f>SUM(Q433:Q454)</f>
        <v>0</v>
      </c>
      <c r="R455" s="81">
        <f>SUM(R433:R454)</f>
        <v>0</v>
      </c>
      <c r="S455" s="81">
        <f>SUM(S433:S454)</f>
        <v>0</v>
      </c>
      <c r="T455" s="81"/>
      <c r="U455" s="81">
        <f>SUM(U433:U454)</f>
        <v>0</v>
      </c>
      <c r="V455" s="81">
        <f>SUM(V433:V454)</f>
        <v>0</v>
      </c>
      <c r="W455" s="81">
        <f>SUM(W433:W454)</f>
        <v>0</v>
      </c>
      <c r="X455" s="81"/>
      <c r="Y455" s="81"/>
      <c r="Z455" s="81"/>
      <c r="AA455" s="81"/>
      <c r="AB455" s="81"/>
      <c r="AC455" s="81"/>
      <c r="AD455" s="81"/>
      <c r="AE455" s="81">
        <f>SUM(AE433:AE454)</f>
        <v>0</v>
      </c>
      <c r="AF455" s="81"/>
      <c r="AG455" s="81"/>
      <c r="AH455" s="81">
        <f>SUM(AH433:AH454)</f>
        <v>0</v>
      </c>
      <c r="AI455" s="81">
        <f>SUM(AI433:AI454)</f>
        <v>24</v>
      </c>
      <c r="AK455" s="155"/>
      <c r="AL455" s="162"/>
      <c r="AM455" s="162"/>
      <c r="AN455" s="81">
        <f>SUM(AN433:AN454)</f>
        <v>26</v>
      </c>
      <c r="AO455" s="160"/>
      <c r="AP455" s="163">
        <f>SUM(AP433:AP454)</f>
        <v>28299.408337662331</v>
      </c>
      <c r="AQ455" s="155"/>
    </row>
    <row r="459" spans="3:43" ht="18">
      <c r="C459" s="83" t="s">
        <v>22</v>
      </c>
      <c r="D459" s="83" t="s">
        <v>23</v>
      </c>
      <c r="E459" s="84"/>
      <c r="F459" s="84"/>
      <c r="G459" s="84"/>
      <c r="H459" s="84">
        <v>45684</v>
      </c>
      <c r="I459" s="84">
        <v>45695</v>
      </c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5" t="s">
        <v>25</v>
      </c>
      <c r="AK459" s="155"/>
      <c r="AL459" s="164" t="s">
        <v>22</v>
      </c>
      <c r="AM459" s="164" t="s">
        <v>23</v>
      </c>
      <c r="AN459" s="85" t="s">
        <v>25</v>
      </c>
      <c r="AO459" s="85" t="s">
        <v>468</v>
      </c>
      <c r="AP459" s="85" t="s">
        <v>11</v>
      </c>
      <c r="AQ459" s="155"/>
    </row>
    <row r="460" spans="3:43" ht="15.6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K460" s="155"/>
      <c r="AL460" s="156"/>
      <c r="AM460" s="156"/>
      <c r="AN460" s="155"/>
      <c r="AO460" s="155"/>
      <c r="AP460" s="155"/>
      <c r="AQ460" s="155"/>
    </row>
    <row r="461" spans="3:43" ht="15.6">
      <c r="C461" s="26" t="s">
        <v>26</v>
      </c>
      <c r="D461" s="31"/>
      <c r="E461" s="18"/>
      <c r="F461" s="18"/>
      <c r="G461" s="18"/>
      <c r="H461" s="25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K461" s="155"/>
      <c r="AL461" s="157" t="s">
        <v>26</v>
      </c>
      <c r="AM461" s="158"/>
      <c r="AN461" s="159"/>
      <c r="AO461" s="160"/>
      <c r="AP461" s="160"/>
      <c r="AQ461" s="155"/>
    </row>
    <row r="462" spans="3:43" ht="15.6">
      <c r="C462" s="18"/>
      <c r="D462" s="31" t="s">
        <v>1941</v>
      </c>
      <c r="E462" s="18">
        <v>1</v>
      </c>
      <c r="F462" s="18"/>
      <c r="G462" s="18"/>
      <c r="H462" s="25">
        <v>-1</v>
      </c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>
        <f t="shared" ref="AI462:AI464" si="159">SUM(E462:AH462)</f>
        <v>0</v>
      </c>
      <c r="AK462" s="155"/>
      <c r="AL462" s="159"/>
      <c r="AM462" s="31"/>
      <c r="AN462" s="159"/>
      <c r="AO462" s="159"/>
      <c r="AP462" s="468"/>
      <c r="AQ462" s="155"/>
    </row>
    <row r="463" spans="3:43" ht="15.6">
      <c r="C463" s="18"/>
      <c r="D463" s="31" t="s">
        <v>1939</v>
      </c>
      <c r="E463" s="18">
        <v>1</v>
      </c>
      <c r="F463" s="18"/>
      <c r="G463" s="18"/>
      <c r="H463" s="25">
        <v>-1</v>
      </c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>
        <f t="shared" si="159"/>
        <v>0</v>
      </c>
      <c r="AK463" s="155"/>
      <c r="AL463" s="565"/>
      <c r="AM463" s="566"/>
      <c r="AN463" s="565"/>
      <c r="AO463" s="567"/>
      <c r="AP463" s="568"/>
      <c r="AQ463" s="155"/>
    </row>
    <row r="464" spans="3:43" ht="15.6">
      <c r="C464" s="18"/>
      <c r="D464" s="31" t="s">
        <v>1831</v>
      </c>
      <c r="E464" s="18">
        <v>1</v>
      </c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>
        <f t="shared" si="159"/>
        <v>1</v>
      </c>
      <c r="AK464" s="155"/>
      <c r="AL464" s="159"/>
      <c r="AM464" s="32" t="str">
        <f t="shared" ref="AM464" si="160">D464</f>
        <v xml:space="preserve">IP 14Plus 128GB </v>
      </c>
      <c r="AN464" s="18">
        <f t="shared" ref="AN464" si="161">AI464</f>
        <v>1</v>
      </c>
      <c r="AO464" s="201">
        <v>1450</v>
      </c>
      <c r="AP464" s="468">
        <f t="shared" ref="AP464" si="162">AN464*AO464</f>
        <v>1450</v>
      </c>
      <c r="AQ464" s="155"/>
    </row>
    <row r="465" spans="3:43" ht="15.6">
      <c r="C465" s="18"/>
      <c r="D465" s="31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K465" s="155"/>
      <c r="AL465" s="159"/>
      <c r="AM465" s="32"/>
      <c r="AN465" s="18"/>
      <c r="AO465" s="201"/>
      <c r="AP465" s="468"/>
      <c r="AQ465" s="155"/>
    </row>
    <row r="466" spans="3:43" ht="15.6">
      <c r="C466" s="18"/>
      <c r="D466" s="31" t="s">
        <v>37</v>
      </c>
      <c r="E466" s="18">
        <v>3</v>
      </c>
      <c r="F466" s="18"/>
      <c r="G466" s="18"/>
      <c r="H466" s="25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>
        <f t="shared" ref="AI466" si="163">SUM(E466:AH466)</f>
        <v>3</v>
      </c>
      <c r="AK466" s="155"/>
      <c r="AL466" s="159"/>
      <c r="AM466" s="31" t="s">
        <v>37</v>
      </c>
      <c r="AN466" s="18">
        <f t="shared" ref="AN466" si="164">AI466</f>
        <v>3</v>
      </c>
      <c r="AO466" s="202">
        <v>1588.86</v>
      </c>
      <c r="AP466" s="468">
        <f t="shared" ref="AP466" si="165">AN466*AO466</f>
        <v>4766.58</v>
      </c>
      <c r="AQ466" s="155"/>
    </row>
    <row r="467" spans="3:43" ht="15.6">
      <c r="C467" s="18"/>
      <c r="D467" s="31"/>
      <c r="E467" s="18"/>
      <c r="F467" s="18"/>
      <c r="G467" s="18"/>
      <c r="H467" s="25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K467" s="155"/>
      <c r="AL467" s="159"/>
      <c r="AM467" s="31"/>
      <c r="AN467" s="18"/>
      <c r="AO467" s="201"/>
      <c r="AP467" s="468"/>
      <c r="AQ467" s="155"/>
    </row>
    <row r="468" spans="3:43" ht="15.6">
      <c r="C468" s="18"/>
      <c r="D468" s="31" t="s">
        <v>231</v>
      </c>
      <c r="E468" s="18">
        <v>1</v>
      </c>
      <c r="F468" s="18"/>
      <c r="G468" s="18"/>
      <c r="H468" s="25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>
        <f t="shared" ref="AI468:AI471" si="166">SUM(E468:AH468)</f>
        <v>1</v>
      </c>
      <c r="AK468" s="155"/>
      <c r="AL468" s="159"/>
      <c r="AM468" s="31" t="s">
        <v>231</v>
      </c>
      <c r="AN468" s="18">
        <f t="shared" ref="AN468:AN471" si="167">AI468</f>
        <v>1</v>
      </c>
      <c r="AO468" s="201">
        <v>926.35599999999999</v>
      </c>
      <c r="AP468" s="468">
        <f t="shared" ref="AP468:AP471" si="168">AN468*AO468</f>
        <v>926.35599999999999</v>
      </c>
      <c r="AQ468" s="155"/>
    </row>
    <row r="469" spans="3:43" ht="15.6">
      <c r="C469" s="18"/>
      <c r="D469" s="31" t="s">
        <v>233</v>
      </c>
      <c r="E469" s="18">
        <v>1</v>
      </c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>
        <f t="shared" si="166"/>
        <v>1</v>
      </c>
      <c r="AK469" s="155"/>
      <c r="AL469" s="159"/>
      <c r="AM469" s="31" t="s">
        <v>233</v>
      </c>
      <c r="AN469" s="18">
        <f t="shared" si="167"/>
        <v>1</v>
      </c>
      <c r="AO469" s="202">
        <v>780.56</v>
      </c>
      <c r="AP469" s="468">
        <f t="shared" si="168"/>
        <v>780.56</v>
      </c>
      <c r="AQ469" s="155"/>
    </row>
    <row r="470" spans="3:43" ht="15.6">
      <c r="C470" s="18"/>
      <c r="D470" s="31" t="s">
        <v>234</v>
      </c>
      <c r="E470" s="18">
        <v>4</v>
      </c>
      <c r="F470" s="18"/>
      <c r="G470" s="18"/>
      <c r="H470" s="18"/>
      <c r="I470" s="18">
        <v>-1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>
        <f t="shared" si="166"/>
        <v>3</v>
      </c>
      <c r="AK470" s="155"/>
      <c r="AL470" s="159"/>
      <c r="AM470" s="31" t="s">
        <v>234</v>
      </c>
      <c r="AN470" s="18">
        <f t="shared" si="167"/>
        <v>3</v>
      </c>
      <c r="AO470" s="201">
        <v>489</v>
      </c>
      <c r="AP470" s="468">
        <f t="shared" si="168"/>
        <v>1467</v>
      </c>
      <c r="AQ470" s="155"/>
    </row>
    <row r="471" spans="3:43" ht="15.6">
      <c r="C471" s="18"/>
      <c r="D471" s="31" t="s">
        <v>235</v>
      </c>
      <c r="E471" s="18">
        <v>5</v>
      </c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>
        <f t="shared" si="166"/>
        <v>5</v>
      </c>
      <c r="AK471" s="155"/>
      <c r="AL471" s="159"/>
      <c r="AM471" s="31" t="s">
        <v>235</v>
      </c>
      <c r="AN471" s="18">
        <f t="shared" si="167"/>
        <v>5</v>
      </c>
      <c r="AO471" s="201">
        <v>524.04999999999995</v>
      </c>
      <c r="AP471" s="468">
        <f t="shared" si="168"/>
        <v>2620.25</v>
      </c>
      <c r="AQ471" s="155"/>
    </row>
    <row r="472" spans="3:43" ht="15.6">
      <c r="C472" s="18"/>
      <c r="D472" s="31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K472" s="155"/>
      <c r="AL472" s="159"/>
      <c r="AM472" s="31"/>
      <c r="AN472" s="18"/>
      <c r="AO472" s="201"/>
      <c r="AP472" s="468"/>
      <c r="AQ472" s="155"/>
    </row>
    <row r="473" spans="3:43" ht="15.6">
      <c r="C473" s="18"/>
      <c r="D473" s="58" t="s">
        <v>636</v>
      </c>
      <c r="E473" s="30">
        <v>1</v>
      </c>
      <c r="F473" s="30"/>
      <c r="G473" s="30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>
        <f t="shared" ref="AI473:AI474" si="169">SUM(E473:AH473)</f>
        <v>1</v>
      </c>
      <c r="AK473" s="155"/>
      <c r="AL473" s="159"/>
      <c r="AM473" s="31" t="str">
        <f>D473</f>
        <v>Watch Ultra 2</v>
      </c>
      <c r="AN473" s="18">
        <f t="shared" ref="AN473:AN474" si="170">AI473</f>
        <v>1</v>
      </c>
      <c r="AO473" s="202">
        <f>180000/77</f>
        <v>2337.6623376623374</v>
      </c>
      <c r="AP473" s="468">
        <f t="shared" ref="AP473:AP474" si="171">AN473*AO473</f>
        <v>2337.6623376623374</v>
      </c>
      <c r="AQ473" s="155"/>
    </row>
    <row r="474" spans="3:43" ht="15.6">
      <c r="C474" s="18"/>
      <c r="D474" s="58" t="s">
        <v>463</v>
      </c>
      <c r="E474" s="30">
        <v>1</v>
      </c>
      <c r="F474" s="30"/>
      <c r="G474" s="30"/>
      <c r="H474" s="25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>
        <f t="shared" si="169"/>
        <v>1</v>
      </c>
      <c r="AK474" s="155"/>
      <c r="AL474" s="159"/>
      <c r="AM474" s="31" t="s">
        <v>463</v>
      </c>
      <c r="AN474" s="18">
        <f t="shared" si="170"/>
        <v>1</v>
      </c>
      <c r="AO474" s="201">
        <v>300</v>
      </c>
      <c r="AP474" s="468">
        <f t="shared" si="171"/>
        <v>300</v>
      </c>
      <c r="AQ474" s="155"/>
    </row>
    <row r="475" spans="3:43" ht="15.6">
      <c r="C475" s="27" t="s">
        <v>47</v>
      </c>
      <c r="D475" s="31"/>
      <c r="E475" s="18"/>
      <c r="F475" s="18"/>
      <c r="G475" s="18"/>
      <c r="H475" s="25"/>
      <c r="I475" s="29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K475" s="155"/>
      <c r="AL475" s="157" t="s">
        <v>47</v>
      </c>
      <c r="AM475" s="31"/>
      <c r="AN475" s="18"/>
      <c r="AO475" s="201"/>
      <c r="AP475" s="468"/>
      <c r="AQ475" s="155"/>
    </row>
    <row r="476" spans="3:43" ht="15.6">
      <c r="C476" s="28"/>
      <c r="D476" s="32" t="s">
        <v>56</v>
      </c>
      <c r="E476" s="18">
        <v>1</v>
      </c>
      <c r="F476" s="18"/>
      <c r="G476" s="18"/>
      <c r="H476" s="25"/>
      <c r="I476" s="29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>
        <f t="shared" ref="AI476:AI479" si="172">SUM(E476:AH476)</f>
        <v>1</v>
      </c>
      <c r="AK476" s="155"/>
      <c r="AL476" s="159"/>
      <c r="AM476" s="32" t="s">
        <v>56</v>
      </c>
      <c r="AN476" s="18">
        <f>AI476</f>
        <v>1</v>
      </c>
      <c r="AO476" s="201">
        <v>555.6</v>
      </c>
      <c r="AP476" s="468">
        <f t="shared" ref="AP476:AP481" si="173">AN476*AO476</f>
        <v>555.6</v>
      </c>
      <c r="AQ476" s="155"/>
    </row>
    <row r="477" spans="3:43" ht="15.6">
      <c r="C477" s="28"/>
      <c r="D477" s="31" t="s">
        <v>58</v>
      </c>
      <c r="E477" s="18">
        <v>1</v>
      </c>
      <c r="F477" s="18"/>
      <c r="G477" s="18"/>
      <c r="H477" s="25"/>
      <c r="I477" s="29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>
        <f t="shared" si="172"/>
        <v>1</v>
      </c>
      <c r="AK477" s="155"/>
      <c r="AL477" s="159"/>
      <c r="AM477" s="31" t="s">
        <v>58</v>
      </c>
      <c r="AN477" s="18">
        <f>AI477</f>
        <v>1</v>
      </c>
      <c r="AO477" s="201">
        <v>555.6</v>
      </c>
      <c r="AP477" s="468">
        <f t="shared" si="173"/>
        <v>555.6</v>
      </c>
      <c r="AQ477" s="155"/>
    </row>
    <row r="478" spans="3:43" ht="15.6">
      <c r="C478" s="28"/>
      <c r="D478" s="32" t="s">
        <v>2445</v>
      </c>
      <c r="E478" s="18">
        <v>1</v>
      </c>
      <c r="F478" s="18"/>
      <c r="G478" s="18"/>
      <c r="H478" s="18"/>
      <c r="I478" s="29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>
        <f t="shared" si="172"/>
        <v>1</v>
      </c>
      <c r="AK478" s="155"/>
      <c r="AL478" s="159"/>
      <c r="AM478" s="32" t="s">
        <v>2445</v>
      </c>
      <c r="AN478" s="18">
        <f>AI478</f>
        <v>1</v>
      </c>
      <c r="AO478" s="201">
        <v>2770</v>
      </c>
      <c r="AP478" s="468">
        <f t="shared" si="173"/>
        <v>2770</v>
      </c>
      <c r="AQ478" s="155"/>
    </row>
    <row r="479" spans="3:43" ht="15.6">
      <c r="C479" s="27" t="s">
        <v>59</v>
      </c>
      <c r="D479" s="31" t="s">
        <v>60</v>
      </c>
      <c r="E479" s="18">
        <v>1</v>
      </c>
      <c r="F479" s="18"/>
      <c r="G479" s="18"/>
      <c r="H479" s="25"/>
      <c r="I479" s="29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>
        <f t="shared" si="172"/>
        <v>1</v>
      </c>
      <c r="AK479" s="155"/>
      <c r="AL479" s="27" t="s">
        <v>59</v>
      </c>
      <c r="AM479" s="31" t="s">
        <v>60</v>
      </c>
      <c r="AN479" s="18">
        <f t="shared" ref="AN479" si="174">AI479</f>
        <v>1</v>
      </c>
      <c r="AO479" s="201">
        <v>555.6</v>
      </c>
      <c r="AP479" s="468">
        <f t="shared" si="173"/>
        <v>555.6</v>
      </c>
      <c r="AQ479" s="155"/>
    </row>
    <row r="480" spans="3:43" ht="15.6">
      <c r="C480" s="28"/>
      <c r="D480" s="31"/>
      <c r="E480" s="18"/>
      <c r="F480" s="18"/>
      <c r="G480" s="18"/>
      <c r="H480" s="25"/>
      <c r="I480" s="29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K480" s="155"/>
      <c r="AL480" s="28"/>
      <c r="AM480" s="31" t="s">
        <v>2458</v>
      </c>
      <c r="AN480" s="18">
        <v>1</v>
      </c>
      <c r="AO480" s="201">
        <v>555.6</v>
      </c>
      <c r="AP480" s="468">
        <f t="shared" si="173"/>
        <v>555.6</v>
      </c>
      <c r="AQ480" s="155"/>
    </row>
    <row r="481" spans="3:43" ht="15.6">
      <c r="C481" s="28"/>
      <c r="D481" s="31"/>
      <c r="E481" s="18"/>
      <c r="F481" s="18"/>
      <c r="G481" s="18"/>
      <c r="H481" s="25"/>
      <c r="I481" s="29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K481" s="155"/>
      <c r="AL481" s="159"/>
      <c r="AM481" s="31" t="s">
        <v>122</v>
      </c>
      <c r="AN481" s="18">
        <v>1</v>
      </c>
      <c r="AO481" s="201">
        <v>555.6</v>
      </c>
      <c r="AP481" s="468">
        <f t="shared" si="173"/>
        <v>555.6</v>
      </c>
      <c r="AQ481" s="155"/>
    </row>
    <row r="482" spans="3:43" ht="15.6">
      <c r="C482" s="82"/>
      <c r="D482" s="81"/>
      <c r="E482" s="81">
        <f t="shared" ref="E482:K482" si="175">SUM(E461:E481)</f>
        <v>23</v>
      </c>
      <c r="F482" s="81">
        <f t="shared" si="175"/>
        <v>0</v>
      </c>
      <c r="G482" s="81">
        <f t="shared" si="175"/>
        <v>0</v>
      </c>
      <c r="H482" s="81">
        <f t="shared" si="175"/>
        <v>-2</v>
      </c>
      <c r="I482" s="81">
        <f t="shared" si="175"/>
        <v>-1</v>
      </c>
      <c r="J482" s="81">
        <f t="shared" si="175"/>
        <v>0</v>
      </c>
      <c r="K482" s="81">
        <f t="shared" si="175"/>
        <v>0</v>
      </c>
      <c r="L482" s="81"/>
      <c r="M482" s="81">
        <f>SUM(M461:M481)</f>
        <v>0</v>
      </c>
      <c r="N482" s="81">
        <f>SUM(N461:N481)</f>
        <v>0</v>
      </c>
      <c r="O482" s="81"/>
      <c r="P482" s="81">
        <f>SUM(P461:P481)</f>
        <v>0</v>
      </c>
      <c r="Q482" s="81">
        <f>SUM(Q461:Q481)</f>
        <v>0</v>
      </c>
      <c r="R482" s="81">
        <f>SUM(R461:R481)</f>
        <v>0</v>
      </c>
      <c r="S482" s="81">
        <f>SUM(S461:S481)</f>
        <v>0</v>
      </c>
      <c r="T482" s="81"/>
      <c r="U482" s="81">
        <f>SUM(U461:U481)</f>
        <v>0</v>
      </c>
      <c r="V482" s="81">
        <f>SUM(V461:V481)</f>
        <v>0</v>
      </c>
      <c r="W482" s="81">
        <f>SUM(W461:W481)</f>
        <v>0</v>
      </c>
      <c r="X482" s="81"/>
      <c r="Y482" s="81"/>
      <c r="Z482" s="81"/>
      <c r="AA482" s="81"/>
      <c r="AB482" s="81"/>
      <c r="AC482" s="81"/>
      <c r="AD482" s="81"/>
      <c r="AE482" s="81">
        <f>SUM(AE461:AE481)</f>
        <v>0</v>
      </c>
      <c r="AF482" s="81"/>
      <c r="AG482" s="81"/>
      <c r="AH482" s="81">
        <f>SUM(AH461:AH481)</f>
        <v>0</v>
      </c>
      <c r="AI482" s="81">
        <f>SUM(AI461:AI481)</f>
        <v>20</v>
      </c>
      <c r="AK482" s="155"/>
      <c r="AL482" s="162"/>
      <c r="AM482" s="162"/>
      <c r="AN482" s="81">
        <f>SUM(AN461:AN481)</f>
        <v>22</v>
      </c>
      <c r="AO482" s="160"/>
      <c r="AP482" s="163">
        <f>SUM(AP461:AP481)</f>
        <v>20196.408337662331</v>
      </c>
      <c r="AQ482" s="155"/>
    </row>
    <row r="1155" spans="3:5">
      <c r="E1155" s="21"/>
    </row>
    <row r="1161" spans="3:5" ht="17.399999999999999">
      <c r="C1161" s="241"/>
    </row>
  </sheetData>
  <autoFilter ref="O106:R188" xr:uid="{00000000-0009-0000-0000-000009000000}"/>
  <mergeCells count="3">
    <mergeCell ref="AU13:AV13"/>
    <mergeCell ref="H178:H179"/>
    <mergeCell ref="AK341:AK34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73"/>
  <sheetViews>
    <sheetView topLeftCell="A7" zoomScale="85" zoomScaleNormal="85" workbookViewId="0">
      <selection activeCell="J7" sqref="J7"/>
    </sheetView>
  </sheetViews>
  <sheetFormatPr defaultRowHeight="14.4"/>
  <cols>
    <col min="3" max="3" width="11.6640625" bestFit="1" customWidth="1"/>
    <col min="4" max="4" width="68.77734375" bestFit="1" customWidth="1"/>
    <col min="5" max="5" width="13.5546875" customWidth="1"/>
    <col min="6" max="6" width="13.21875" customWidth="1"/>
    <col min="7" max="7" width="11.77734375" bestFit="1" customWidth="1"/>
    <col min="8" max="9" width="10.5546875" bestFit="1" customWidth="1"/>
    <col min="10" max="10" width="11" bestFit="1" customWidth="1"/>
    <col min="11" max="11" width="30" bestFit="1" customWidth="1"/>
    <col min="12" max="12" width="13.21875" bestFit="1" customWidth="1"/>
  </cols>
  <sheetData>
    <row r="2" spans="10:12" ht="15" thickBot="1"/>
    <row r="3" spans="10:12" ht="15" thickBot="1">
      <c r="J3" s="272" t="s">
        <v>13</v>
      </c>
      <c r="K3" s="272" t="s">
        <v>256</v>
      </c>
      <c r="L3" s="272" t="s">
        <v>839</v>
      </c>
    </row>
    <row r="4" spans="10:12" ht="15" thickBot="1">
      <c r="J4" s="8"/>
      <c r="K4" s="8"/>
      <c r="L4" s="8"/>
    </row>
    <row r="5" spans="10:12" ht="15" thickBot="1">
      <c r="J5" s="270">
        <v>45439</v>
      </c>
      <c r="K5" s="8" t="s">
        <v>1131</v>
      </c>
      <c r="L5" s="271">
        <v>1665.3</v>
      </c>
    </row>
    <row r="6" spans="10:12" ht="15" thickBot="1">
      <c r="J6" s="270">
        <v>45443</v>
      </c>
      <c r="K6" s="8" t="s">
        <v>1132</v>
      </c>
      <c r="L6" s="271">
        <v>16.489999999999998</v>
      </c>
    </row>
    <row r="7" spans="10:12" ht="15" thickBot="1">
      <c r="J7" s="270">
        <v>45449</v>
      </c>
      <c r="K7" s="8" t="s">
        <v>1133</v>
      </c>
      <c r="L7" s="271">
        <v>2847.5</v>
      </c>
    </row>
    <row r="8" spans="10:12" ht="15" thickBot="1">
      <c r="J8" s="270">
        <v>45450</v>
      </c>
      <c r="K8" s="8" t="s">
        <v>1134</v>
      </c>
      <c r="L8" s="271">
        <v>1890</v>
      </c>
    </row>
    <row r="9" spans="10:12" ht="15" thickBot="1">
      <c r="J9" s="270">
        <v>45450</v>
      </c>
      <c r="K9" s="8" t="s">
        <v>1135</v>
      </c>
      <c r="L9" s="271">
        <v>193</v>
      </c>
    </row>
    <row r="10" spans="10:12" ht="15" thickBot="1">
      <c r="J10" s="270">
        <v>45450</v>
      </c>
      <c r="K10" s="8" t="s">
        <v>1136</v>
      </c>
      <c r="L10" s="271">
        <v>94.5</v>
      </c>
    </row>
    <row r="11" spans="10:12" ht="15" thickBot="1">
      <c r="J11" s="270">
        <v>45453</v>
      </c>
      <c r="K11" s="8" t="s">
        <v>1137</v>
      </c>
      <c r="L11" s="271">
        <v>24.36</v>
      </c>
    </row>
    <row r="12" spans="10:12" ht="15" thickBot="1">
      <c r="J12" s="270">
        <v>45456</v>
      </c>
      <c r="K12" s="8" t="s">
        <v>1138</v>
      </c>
      <c r="L12" s="271">
        <v>27.72</v>
      </c>
    </row>
    <row r="13" spans="10:12" ht="15" thickBot="1">
      <c r="J13" s="270"/>
      <c r="K13" s="8"/>
      <c r="L13" s="271"/>
    </row>
    <row r="14" spans="10:12" ht="15" thickBot="1">
      <c r="J14" s="270">
        <v>45468</v>
      </c>
      <c r="K14" s="8" t="s">
        <v>1199</v>
      </c>
      <c r="L14" s="271">
        <v>6109.24</v>
      </c>
    </row>
    <row r="15" spans="10:12" ht="15" thickBot="1">
      <c r="J15" s="270">
        <v>45468</v>
      </c>
      <c r="K15" s="8" t="s">
        <v>1321</v>
      </c>
      <c r="L15" s="271">
        <f>4472.52/94*81.5</f>
        <v>3877.7700000000004</v>
      </c>
    </row>
    <row r="16" spans="10:12" ht="15" thickBot="1">
      <c r="J16" s="270">
        <v>45473</v>
      </c>
      <c r="K16" s="8" t="s">
        <v>1361</v>
      </c>
      <c r="L16" s="271">
        <f>46*75</f>
        <v>3450</v>
      </c>
    </row>
    <row r="17" spans="3:12" ht="15" thickBot="1">
      <c r="J17" s="8"/>
      <c r="K17" s="8"/>
      <c r="L17" s="271"/>
    </row>
    <row r="18" spans="3:12" ht="15" thickBot="1">
      <c r="J18" s="8"/>
      <c r="K18" s="272" t="s">
        <v>11</v>
      </c>
      <c r="L18" s="273">
        <f>SUM(L5:L17)</f>
        <v>20195.88</v>
      </c>
    </row>
    <row r="19" spans="3:12" ht="15" thickBot="1">
      <c r="J19" s="8"/>
      <c r="K19" s="8"/>
      <c r="L19" s="8"/>
    </row>
    <row r="22" spans="3:12" ht="18">
      <c r="D22" s="195" t="s">
        <v>821</v>
      </c>
    </row>
    <row r="23" spans="3:12" ht="18">
      <c r="C23" s="196" t="s">
        <v>13</v>
      </c>
      <c r="D23" s="196" t="s">
        <v>14</v>
      </c>
      <c r="E23" s="196" t="s">
        <v>15</v>
      </c>
      <c r="F23" s="196" t="s">
        <v>16</v>
      </c>
      <c r="G23" s="196" t="s">
        <v>17</v>
      </c>
    </row>
    <row r="24" spans="3:12">
      <c r="C24" s="17"/>
      <c r="D24" s="17"/>
      <c r="E24" s="17"/>
      <c r="F24" s="17"/>
      <c r="G24" s="17"/>
    </row>
    <row r="25" spans="3:12">
      <c r="C25" s="140">
        <v>45431</v>
      </c>
      <c r="D25" s="66" t="s">
        <v>820</v>
      </c>
      <c r="E25" s="64">
        <f>27000*2.44</f>
        <v>65880</v>
      </c>
      <c r="F25" s="17"/>
      <c r="G25" s="109">
        <f>G24+E25-F25</f>
        <v>65880</v>
      </c>
    </row>
    <row r="26" spans="3:12">
      <c r="C26" s="140">
        <v>45452</v>
      </c>
      <c r="D26" s="66" t="s">
        <v>1334</v>
      </c>
      <c r="E26" s="64">
        <f>350*2.44</f>
        <v>854</v>
      </c>
      <c r="F26" s="17"/>
      <c r="G26" s="109">
        <f t="shared" ref="G26:G35" si="0">G25+E26-F26</f>
        <v>66734</v>
      </c>
    </row>
    <row r="27" spans="3:12">
      <c r="C27" s="140">
        <v>45452</v>
      </c>
      <c r="D27" s="66" t="s">
        <v>1335</v>
      </c>
      <c r="E27" s="64">
        <f>150*2.44</f>
        <v>366</v>
      </c>
      <c r="F27" s="17"/>
      <c r="G27" s="109">
        <f t="shared" si="0"/>
        <v>67100</v>
      </c>
    </row>
    <row r="28" spans="3:12">
      <c r="C28" s="140">
        <v>45474</v>
      </c>
      <c r="D28" s="17" t="s">
        <v>1337</v>
      </c>
      <c r="E28" s="64">
        <f>500*2.44</f>
        <v>1220</v>
      </c>
      <c r="F28" s="17"/>
      <c r="G28" s="109">
        <f t="shared" si="0"/>
        <v>68320</v>
      </c>
    </row>
    <row r="29" spans="3:12">
      <c r="C29" s="140">
        <v>45492</v>
      </c>
      <c r="D29" s="17" t="s">
        <v>1572</v>
      </c>
      <c r="E29" s="64">
        <f>500*2.44</f>
        <v>1220</v>
      </c>
      <c r="F29" s="17"/>
      <c r="G29" s="109">
        <f t="shared" si="0"/>
        <v>69540</v>
      </c>
    </row>
    <row r="30" spans="3:12">
      <c r="C30" s="140">
        <v>45493</v>
      </c>
      <c r="D30" s="17" t="s">
        <v>1581</v>
      </c>
      <c r="E30" s="64">
        <f>54000*2.44</f>
        <v>131760</v>
      </c>
      <c r="F30" s="17"/>
      <c r="G30" s="109">
        <f t="shared" si="0"/>
        <v>201300</v>
      </c>
    </row>
    <row r="31" spans="3:12">
      <c r="C31" s="140"/>
      <c r="D31" s="17"/>
      <c r="E31" s="64"/>
      <c r="F31" s="17"/>
      <c r="G31" s="109">
        <f t="shared" si="0"/>
        <v>201300</v>
      </c>
    </row>
    <row r="32" spans="3:12">
      <c r="C32" s="140"/>
      <c r="D32" s="17"/>
      <c r="E32" s="64"/>
      <c r="F32" s="17"/>
      <c r="G32" s="109">
        <f t="shared" si="0"/>
        <v>201300</v>
      </c>
    </row>
    <row r="33" spans="1:8">
      <c r="C33" s="140"/>
      <c r="D33" s="17"/>
      <c r="E33" s="64"/>
      <c r="F33" s="17"/>
      <c r="G33" s="109">
        <f t="shared" si="0"/>
        <v>201300</v>
      </c>
    </row>
    <row r="34" spans="1:8">
      <c r="C34" s="17"/>
      <c r="D34" s="191"/>
      <c r="E34" s="17"/>
      <c r="F34" s="189"/>
      <c r="G34" s="109">
        <f t="shared" si="0"/>
        <v>201300</v>
      </c>
    </row>
    <row r="35" spans="1:8">
      <c r="G35" s="200">
        <f t="shared" si="0"/>
        <v>201300</v>
      </c>
    </row>
    <row r="36" spans="1:8">
      <c r="G36" s="252"/>
    </row>
    <row r="37" spans="1:8">
      <c r="G37" s="252"/>
    </row>
    <row r="39" spans="1:8" ht="18">
      <c r="D39" s="195" t="s">
        <v>843</v>
      </c>
    </row>
    <row r="40" spans="1:8" ht="18">
      <c r="C40" s="196" t="s">
        <v>13</v>
      </c>
      <c r="D40" s="196" t="s">
        <v>14</v>
      </c>
      <c r="E40" s="196" t="s">
        <v>15</v>
      </c>
      <c r="F40" s="196" t="s">
        <v>16</v>
      </c>
      <c r="G40" s="196" t="s">
        <v>17</v>
      </c>
    </row>
    <row r="41" spans="1:8">
      <c r="C41" s="17"/>
      <c r="D41" s="17"/>
      <c r="E41" s="17"/>
      <c r="F41" s="17"/>
      <c r="G41" s="17"/>
    </row>
    <row r="42" spans="1:8">
      <c r="A42" t="s">
        <v>1512</v>
      </c>
      <c r="C42" s="140">
        <v>45428</v>
      </c>
      <c r="D42" s="66" t="s">
        <v>645</v>
      </c>
      <c r="E42" s="64">
        <v>20000</v>
      </c>
      <c r="F42" s="17"/>
      <c r="G42" s="109">
        <f>G41+E42-F42</f>
        <v>20000</v>
      </c>
      <c r="H42" t="s">
        <v>982</v>
      </c>
    </row>
    <row r="43" spans="1:8">
      <c r="A43" t="s">
        <v>1512</v>
      </c>
      <c r="C43" s="140">
        <v>45432</v>
      </c>
      <c r="D43" s="66" t="s">
        <v>649</v>
      </c>
      <c r="E43" s="64">
        <v>58000</v>
      </c>
      <c r="F43" s="17"/>
      <c r="G43" s="109">
        <f t="shared" ref="G43:G80" si="1">G42+E43-F43</f>
        <v>78000</v>
      </c>
      <c r="H43" t="s">
        <v>982</v>
      </c>
    </row>
    <row r="44" spans="1:8">
      <c r="C44" s="140">
        <v>45441</v>
      </c>
      <c r="D44" s="66" t="s">
        <v>671</v>
      </c>
      <c r="E44" s="205"/>
      <c r="F44" s="17">
        <v>19172</v>
      </c>
      <c r="G44" s="109">
        <f t="shared" si="1"/>
        <v>58828</v>
      </c>
      <c r="H44" t="s">
        <v>982</v>
      </c>
    </row>
    <row r="45" spans="1:8">
      <c r="A45" t="s">
        <v>1512</v>
      </c>
      <c r="C45" s="140">
        <v>45440</v>
      </c>
      <c r="D45" s="66" t="s">
        <v>657</v>
      </c>
      <c r="E45" s="64">
        <v>1230</v>
      </c>
      <c r="F45" s="17"/>
      <c r="G45" s="109">
        <f t="shared" si="1"/>
        <v>60058</v>
      </c>
      <c r="H45" t="s">
        <v>982</v>
      </c>
    </row>
    <row r="46" spans="1:8">
      <c r="A46" t="s">
        <v>1512</v>
      </c>
      <c r="C46" s="140">
        <v>45440</v>
      </c>
      <c r="D46" s="66" t="s">
        <v>1143</v>
      </c>
      <c r="E46" s="64">
        <v>30</v>
      </c>
      <c r="F46" s="17"/>
      <c r="G46" s="109">
        <f t="shared" si="1"/>
        <v>60088</v>
      </c>
      <c r="H46" t="s">
        <v>982</v>
      </c>
    </row>
    <row r="47" spans="1:8">
      <c r="A47" t="s">
        <v>1512</v>
      </c>
      <c r="C47" s="190">
        <v>45442</v>
      </c>
      <c r="D47" s="191" t="s">
        <v>836</v>
      </c>
      <c r="E47" s="206">
        <v>1264.58</v>
      </c>
      <c r="F47" s="17"/>
      <c r="G47" s="109">
        <f t="shared" si="1"/>
        <v>61352.58</v>
      </c>
      <c r="H47" t="s">
        <v>982</v>
      </c>
    </row>
    <row r="48" spans="1:8">
      <c r="A48" t="s">
        <v>1512</v>
      </c>
      <c r="C48" s="190">
        <v>45442</v>
      </c>
      <c r="D48" s="66" t="s">
        <v>684</v>
      </c>
      <c r="E48" s="64"/>
      <c r="F48" s="64">
        <v>3240</v>
      </c>
      <c r="G48" s="109">
        <f t="shared" si="1"/>
        <v>58112.58</v>
      </c>
      <c r="H48" t="s">
        <v>982</v>
      </c>
    </row>
    <row r="49" spans="1:8">
      <c r="A49" t="s">
        <v>1512</v>
      </c>
      <c r="C49" s="190">
        <v>45442</v>
      </c>
      <c r="D49" s="17" t="s">
        <v>685</v>
      </c>
      <c r="E49" s="64"/>
      <c r="F49" s="64">
        <v>29520</v>
      </c>
      <c r="G49" s="109">
        <f t="shared" si="1"/>
        <v>28592.58</v>
      </c>
      <c r="H49" t="s">
        <v>982</v>
      </c>
    </row>
    <row r="50" spans="1:8">
      <c r="A50" t="s">
        <v>1512</v>
      </c>
      <c r="C50" s="190">
        <v>45442</v>
      </c>
      <c r="D50" s="17" t="s">
        <v>686</v>
      </c>
      <c r="E50" s="64"/>
      <c r="F50" s="64">
        <v>24300</v>
      </c>
      <c r="G50" s="109">
        <f t="shared" si="1"/>
        <v>4292.5800000000017</v>
      </c>
      <c r="H50" t="s">
        <v>982</v>
      </c>
    </row>
    <row r="51" spans="1:8" ht="15.6">
      <c r="C51" s="330">
        <v>45442</v>
      </c>
      <c r="D51" s="335" t="s">
        <v>847</v>
      </c>
      <c r="E51" s="336">
        <f>L136</f>
        <v>2878.7416025974017</v>
      </c>
      <c r="F51" s="332"/>
      <c r="G51" s="333">
        <f t="shared" si="1"/>
        <v>7171.3216025974034</v>
      </c>
    </row>
    <row r="52" spans="1:8">
      <c r="A52" t="s">
        <v>1512</v>
      </c>
      <c r="C52" s="140">
        <v>45447</v>
      </c>
      <c r="D52" s="66" t="s">
        <v>735</v>
      </c>
      <c r="E52" s="205">
        <v>194.81</v>
      </c>
      <c r="F52" s="17"/>
      <c r="G52" s="109">
        <f t="shared" si="1"/>
        <v>7366.1316025974038</v>
      </c>
      <c r="H52" t="s">
        <v>982</v>
      </c>
    </row>
    <row r="53" spans="1:8">
      <c r="A53" t="s">
        <v>1512</v>
      </c>
      <c r="C53" s="140">
        <v>45448</v>
      </c>
      <c r="D53" s="66" t="s">
        <v>842</v>
      </c>
      <c r="E53" s="205">
        <v>1660</v>
      </c>
      <c r="F53" s="17"/>
      <c r="G53" s="109">
        <f t="shared" si="1"/>
        <v>9026.1316025974047</v>
      </c>
      <c r="H53" t="s">
        <v>982</v>
      </c>
    </row>
    <row r="54" spans="1:8">
      <c r="A54" t="s">
        <v>1512</v>
      </c>
      <c r="C54" s="140">
        <v>45448</v>
      </c>
      <c r="D54" s="66" t="s">
        <v>829</v>
      </c>
      <c r="E54" s="205">
        <v>40</v>
      </c>
      <c r="F54" s="17"/>
      <c r="G54" s="109">
        <f t="shared" si="1"/>
        <v>9066.1316025974047</v>
      </c>
      <c r="H54" t="s">
        <v>982</v>
      </c>
    </row>
    <row r="55" spans="1:8">
      <c r="A55" t="s">
        <v>1512</v>
      </c>
      <c r="C55" s="40">
        <v>45448</v>
      </c>
      <c r="D55" s="66" t="s">
        <v>832</v>
      </c>
      <c r="E55" s="64"/>
      <c r="F55" s="17">
        <v>33600</v>
      </c>
      <c r="G55" s="109">
        <f t="shared" si="1"/>
        <v>-24533.868397402595</v>
      </c>
      <c r="H55" t="s">
        <v>982</v>
      </c>
    </row>
    <row r="56" spans="1:8">
      <c r="A56" t="s">
        <v>1512</v>
      </c>
      <c r="C56" s="40">
        <v>45448</v>
      </c>
      <c r="D56" s="66" t="s">
        <v>855</v>
      </c>
      <c r="E56" s="64">
        <v>31900</v>
      </c>
      <c r="F56" s="17"/>
      <c r="G56" s="109">
        <f t="shared" si="1"/>
        <v>7366.1316025974047</v>
      </c>
      <c r="H56" t="s">
        <v>982</v>
      </c>
    </row>
    <row r="57" spans="1:8">
      <c r="A57" t="s">
        <v>1512</v>
      </c>
      <c r="C57" s="40">
        <v>45449</v>
      </c>
      <c r="D57" s="66" t="s">
        <v>833</v>
      </c>
      <c r="E57" s="64"/>
      <c r="F57" s="17">
        <v>50400</v>
      </c>
      <c r="G57" s="109">
        <f t="shared" si="1"/>
        <v>-43033.868397402592</v>
      </c>
      <c r="H57" t="s">
        <v>982</v>
      </c>
    </row>
    <row r="58" spans="1:8" ht="15.6">
      <c r="C58" s="334">
        <v>45449</v>
      </c>
      <c r="D58" s="335" t="s">
        <v>885</v>
      </c>
      <c r="E58" s="337">
        <f>L158</f>
        <v>10856.774600000004</v>
      </c>
      <c r="F58" s="332"/>
      <c r="G58" s="333">
        <f t="shared" si="1"/>
        <v>-32177.093797402587</v>
      </c>
    </row>
    <row r="59" spans="1:8">
      <c r="A59" t="s">
        <v>1512</v>
      </c>
      <c r="C59" s="40">
        <v>45451</v>
      </c>
      <c r="D59" s="66" t="s">
        <v>855</v>
      </c>
      <c r="E59" s="64">
        <v>40400</v>
      </c>
      <c r="F59" s="17"/>
      <c r="G59" s="109">
        <f t="shared" si="1"/>
        <v>8222.9062025974126</v>
      </c>
      <c r="H59" t="s">
        <v>982</v>
      </c>
    </row>
    <row r="60" spans="1:8">
      <c r="A60" t="s">
        <v>1512</v>
      </c>
      <c r="C60" s="40">
        <v>45453</v>
      </c>
      <c r="D60" s="66" t="s">
        <v>879</v>
      </c>
      <c r="E60" s="64"/>
      <c r="F60" s="17">
        <v>3400</v>
      </c>
      <c r="G60" s="109">
        <f t="shared" si="1"/>
        <v>4822.9062025974126</v>
      </c>
      <c r="H60" t="s">
        <v>982</v>
      </c>
    </row>
    <row r="61" spans="1:8" ht="15.6">
      <c r="C61" s="334">
        <v>45453</v>
      </c>
      <c r="D61" s="335" t="s">
        <v>886</v>
      </c>
      <c r="E61" s="337">
        <f>L187</f>
        <v>8600.9964</v>
      </c>
      <c r="F61" s="332"/>
      <c r="G61" s="109">
        <f t="shared" si="1"/>
        <v>13423.902602597413</v>
      </c>
    </row>
    <row r="62" spans="1:8">
      <c r="A62" t="s">
        <v>1512</v>
      </c>
      <c r="C62" s="40">
        <v>45453</v>
      </c>
      <c r="D62" s="66" t="s">
        <v>892</v>
      </c>
      <c r="E62" s="243">
        <v>1465</v>
      </c>
      <c r="F62" s="112"/>
      <c r="G62" s="109">
        <f t="shared" si="1"/>
        <v>14888.902602597413</v>
      </c>
      <c r="H62" t="s">
        <v>982</v>
      </c>
    </row>
    <row r="63" spans="1:8">
      <c r="A63" t="s">
        <v>1512</v>
      </c>
      <c r="C63" s="40">
        <v>45453</v>
      </c>
      <c r="D63" s="66" t="s">
        <v>893</v>
      </c>
      <c r="E63" s="243">
        <v>35</v>
      </c>
      <c r="F63" s="17"/>
      <c r="G63" s="109">
        <f t="shared" si="1"/>
        <v>14923.902602597413</v>
      </c>
      <c r="H63" t="s">
        <v>982</v>
      </c>
    </row>
    <row r="64" spans="1:8">
      <c r="A64" t="s">
        <v>1512</v>
      </c>
      <c r="C64" s="40">
        <v>45455</v>
      </c>
      <c r="D64" s="66" t="s">
        <v>1116</v>
      </c>
      <c r="E64" s="269"/>
      <c r="F64" s="112">
        <v>62140</v>
      </c>
      <c r="G64" s="109">
        <f t="shared" si="1"/>
        <v>-47216.097397402584</v>
      </c>
      <c r="H64" t="s">
        <v>982</v>
      </c>
    </row>
    <row r="65" spans="1:8">
      <c r="A65" t="s">
        <v>1512</v>
      </c>
      <c r="C65" s="40">
        <v>45455</v>
      </c>
      <c r="D65" s="66" t="s">
        <v>855</v>
      </c>
      <c r="E65" s="64">
        <v>60640</v>
      </c>
      <c r="F65" s="17"/>
      <c r="G65" s="109">
        <f t="shared" si="1"/>
        <v>13423.902602597416</v>
      </c>
      <c r="H65" t="s">
        <v>982</v>
      </c>
    </row>
    <row r="66" spans="1:8">
      <c r="A66" t="s">
        <v>1512</v>
      </c>
      <c r="C66" s="40">
        <v>45456</v>
      </c>
      <c r="D66" s="66" t="s">
        <v>1115</v>
      </c>
      <c r="E66" s="64"/>
      <c r="F66" s="17">
        <v>9990</v>
      </c>
      <c r="G66" s="109">
        <f t="shared" si="1"/>
        <v>3433.9026025974163</v>
      </c>
      <c r="H66" t="s">
        <v>982</v>
      </c>
    </row>
    <row r="67" spans="1:8">
      <c r="A67" t="s">
        <v>1512</v>
      </c>
      <c r="C67" s="40">
        <v>45456</v>
      </c>
      <c r="D67" s="66" t="s">
        <v>1144</v>
      </c>
      <c r="E67" s="64"/>
      <c r="F67" s="17">
        <v>11655</v>
      </c>
      <c r="G67" s="109">
        <f>G66+E67-F67</f>
        <v>-8221.0973974025837</v>
      </c>
      <c r="H67" t="s">
        <v>982</v>
      </c>
    </row>
    <row r="68" spans="1:8">
      <c r="A68" t="s">
        <v>1512</v>
      </c>
      <c r="C68" s="40">
        <v>45457</v>
      </c>
      <c r="D68" s="66" t="s">
        <v>855</v>
      </c>
      <c r="E68" s="64">
        <v>21320</v>
      </c>
      <c r="F68" s="17"/>
      <c r="G68" s="109">
        <f t="shared" si="1"/>
        <v>13098.902602597416</v>
      </c>
      <c r="H68" t="s">
        <v>982</v>
      </c>
    </row>
    <row r="69" spans="1:8">
      <c r="A69" t="s">
        <v>1512</v>
      </c>
      <c r="C69" s="140">
        <v>45462</v>
      </c>
      <c r="D69" s="66" t="s">
        <v>855</v>
      </c>
      <c r="E69" s="205">
        <v>6000</v>
      </c>
      <c r="F69" s="17"/>
      <c r="G69" s="109">
        <f t="shared" si="1"/>
        <v>19098.902602597416</v>
      </c>
      <c r="H69" t="s">
        <v>982</v>
      </c>
    </row>
    <row r="70" spans="1:8">
      <c r="A70" t="s">
        <v>1512</v>
      </c>
      <c r="C70" s="140">
        <v>45463</v>
      </c>
      <c r="D70" s="66" t="s">
        <v>1092</v>
      </c>
      <c r="E70" s="205"/>
      <c r="F70" s="17">
        <v>8350</v>
      </c>
      <c r="G70" s="109">
        <f t="shared" si="1"/>
        <v>10748.902602597416</v>
      </c>
      <c r="H70" t="s">
        <v>982</v>
      </c>
    </row>
    <row r="71" spans="1:8">
      <c r="A71" t="s">
        <v>1512</v>
      </c>
      <c r="C71" s="140">
        <v>45463</v>
      </c>
      <c r="D71" s="66" t="s">
        <v>855</v>
      </c>
      <c r="E71" s="205">
        <v>8350</v>
      </c>
      <c r="F71" s="17"/>
      <c r="G71" s="109">
        <f t="shared" si="1"/>
        <v>19098.902602597416</v>
      </c>
      <c r="H71" t="s">
        <v>982</v>
      </c>
    </row>
    <row r="72" spans="1:8" ht="15.6">
      <c r="C72" s="140">
        <v>45463</v>
      </c>
      <c r="D72" s="342" t="s">
        <v>1156</v>
      </c>
      <c r="E72" s="343">
        <f>L18/2</f>
        <v>10097.94</v>
      </c>
      <c r="F72" s="17"/>
      <c r="G72" s="109">
        <f t="shared" si="1"/>
        <v>29196.842602597419</v>
      </c>
    </row>
    <row r="73" spans="1:8" ht="15.6">
      <c r="A73" t="s">
        <v>1512</v>
      </c>
      <c r="C73" s="140">
        <v>45478</v>
      </c>
      <c r="D73" s="57" t="s">
        <v>1423</v>
      </c>
      <c r="E73" s="391"/>
      <c r="F73" s="17">
        <v>87500</v>
      </c>
      <c r="G73" s="109">
        <f t="shared" si="1"/>
        <v>-58303.157397402581</v>
      </c>
    </row>
    <row r="74" spans="1:8" ht="15.6">
      <c r="C74" s="140"/>
      <c r="D74" s="390"/>
      <c r="E74" s="391"/>
      <c r="F74" s="17"/>
      <c r="G74" s="109">
        <f t="shared" si="1"/>
        <v>-58303.157397402581</v>
      </c>
    </row>
    <row r="75" spans="1:8" ht="15.6">
      <c r="C75" s="140"/>
      <c r="D75" s="390"/>
      <c r="E75" s="391"/>
      <c r="F75" s="17"/>
      <c r="G75" s="109">
        <f t="shared" si="1"/>
        <v>-58303.157397402581</v>
      </c>
    </row>
    <row r="76" spans="1:8" ht="15.6">
      <c r="C76" s="140"/>
      <c r="D76" s="390"/>
      <c r="E76" s="391"/>
      <c r="F76" s="17"/>
      <c r="G76" s="109">
        <f t="shared" si="1"/>
        <v>-58303.157397402581</v>
      </c>
    </row>
    <row r="77" spans="1:8" ht="15.6">
      <c r="C77" s="140"/>
      <c r="D77" s="390"/>
      <c r="E77" s="391"/>
      <c r="F77" s="17"/>
      <c r="G77" s="109">
        <f t="shared" si="1"/>
        <v>-58303.157397402581</v>
      </c>
    </row>
    <row r="78" spans="1:8" ht="15.6">
      <c r="C78" s="140"/>
      <c r="D78" s="390"/>
      <c r="E78" s="391"/>
      <c r="F78" s="17"/>
      <c r="G78" s="109">
        <f t="shared" si="1"/>
        <v>-58303.157397402581</v>
      </c>
    </row>
    <row r="79" spans="1:8">
      <c r="C79" s="17"/>
      <c r="D79" s="191"/>
      <c r="E79" s="17"/>
      <c r="F79" s="189"/>
      <c r="G79" s="109">
        <f t="shared" si="1"/>
        <v>-58303.157397402581</v>
      </c>
    </row>
    <row r="80" spans="1:8">
      <c r="G80" s="200">
        <f t="shared" si="1"/>
        <v>-58303.157397402581</v>
      </c>
    </row>
    <row r="81" spans="1:8">
      <c r="G81" s="252"/>
    </row>
    <row r="82" spans="1:8">
      <c r="G82" s="252"/>
    </row>
    <row r="84" spans="1:8" ht="18">
      <c r="D84" s="195" t="s">
        <v>844</v>
      </c>
    </row>
    <row r="85" spans="1:8" ht="18">
      <c r="C85" s="196" t="s">
        <v>13</v>
      </c>
      <c r="D85" s="196" t="s">
        <v>14</v>
      </c>
      <c r="E85" s="196" t="s">
        <v>15</v>
      </c>
      <c r="F85" s="196" t="s">
        <v>16</v>
      </c>
      <c r="G85" s="196" t="s">
        <v>17</v>
      </c>
    </row>
    <row r="86" spans="1:8" ht="18">
      <c r="C86" s="318"/>
      <c r="D86" s="318"/>
      <c r="E86" s="318"/>
      <c r="F86" s="319"/>
      <c r="G86" s="319"/>
    </row>
    <row r="87" spans="1:8">
      <c r="A87" t="s">
        <v>1512</v>
      </c>
      <c r="C87" s="40">
        <v>45428</v>
      </c>
      <c r="D87" s="17" t="s">
        <v>898</v>
      </c>
      <c r="E87" s="189">
        <f>577.45*2.42</f>
        <v>1397.4290000000001</v>
      </c>
      <c r="F87" s="17"/>
      <c r="G87" s="189">
        <f>G86+E87-F87</f>
        <v>1397.4290000000001</v>
      </c>
    </row>
    <row r="88" spans="1:8">
      <c r="A88" t="s">
        <v>1512</v>
      </c>
      <c r="C88" s="40">
        <v>45428</v>
      </c>
      <c r="D88" s="17" t="s">
        <v>899</v>
      </c>
      <c r="E88" s="189">
        <f>397*2.42</f>
        <v>960.74</v>
      </c>
      <c r="F88" s="17"/>
      <c r="G88" s="189">
        <f t="shared" ref="G88:G96" si="2">G87+E88-F88</f>
        <v>2358.1689999999999</v>
      </c>
    </row>
    <row r="89" spans="1:8">
      <c r="A89" t="s">
        <v>1512</v>
      </c>
      <c r="C89" s="40">
        <v>45428</v>
      </c>
      <c r="D89" s="17" t="s">
        <v>900</v>
      </c>
      <c r="E89" s="189">
        <f>29.09*2.42</f>
        <v>70.397800000000004</v>
      </c>
      <c r="F89" s="17"/>
      <c r="G89" s="189">
        <f t="shared" si="2"/>
        <v>2428.5668000000001</v>
      </c>
    </row>
    <row r="90" spans="1:8">
      <c r="A90" t="s">
        <v>1512</v>
      </c>
      <c r="C90" s="40">
        <v>45428</v>
      </c>
      <c r="D90" s="17" t="s">
        <v>901</v>
      </c>
      <c r="E90" s="189">
        <f>47.49*106*2.42</f>
        <v>12182.134800000002</v>
      </c>
      <c r="F90" s="17"/>
      <c r="G90" s="189">
        <f t="shared" si="2"/>
        <v>14610.701600000002</v>
      </c>
    </row>
    <row r="91" spans="1:8">
      <c r="C91" s="40">
        <v>45428</v>
      </c>
      <c r="D91" s="17" t="s">
        <v>903</v>
      </c>
      <c r="E91" s="189"/>
      <c r="F91" s="17"/>
      <c r="G91" s="189">
        <f t="shared" si="2"/>
        <v>14610.701600000002</v>
      </c>
    </row>
    <row r="92" spans="1:8">
      <c r="A92" t="s">
        <v>1512</v>
      </c>
      <c r="C92" s="40">
        <v>45428</v>
      </c>
      <c r="D92" s="17" t="s">
        <v>902</v>
      </c>
      <c r="E92" s="189">
        <v>37.119999999999997</v>
      </c>
      <c r="F92" s="17"/>
      <c r="G92" s="189">
        <f t="shared" si="2"/>
        <v>14647.821600000003</v>
      </c>
    </row>
    <row r="93" spans="1:8">
      <c r="C93" s="140">
        <v>45441</v>
      </c>
      <c r="D93" s="66" t="s">
        <v>671</v>
      </c>
      <c r="E93" s="17">
        <v>19172</v>
      </c>
      <c r="G93" s="189">
        <f t="shared" si="2"/>
        <v>33819.821600000003</v>
      </c>
      <c r="H93" t="s">
        <v>982</v>
      </c>
    </row>
    <row r="94" spans="1:8">
      <c r="A94" t="s">
        <v>1512</v>
      </c>
      <c r="C94" s="140">
        <v>45441</v>
      </c>
      <c r="D94" s="66" t="s">
        <v>1148</v>
      </c>
      <c r="E94" s="205">
        <v>307.44</v>
      </c>
      <c r="F94" s="17"/>
      <c r="G94" s="189">
        <f t="shared" si="2"/>
        <v>34127.261600000005</v>
      </c>
      <c r="H94" t="s">
        <v>982</v>
      </c>
    </row>
    <row r="95" spans="1:8">
      <c r="A95" t="s">
        <v>1512</v>
      </c>
      <c r="C95" s="190">
        <v>45442</v>
      </c>
      <c r="D95" s="191" t="s">
        <v>846</v>
      </c>
      <c r="E95" s="206"/>
      <c r="F95" s="17">
        <v>1264.58</v>
      </c>
      <c r="G95" s="189">
        <f t="shared" si="2"/>
        <v>32862.681600000004</v>
      </c>
      <c r="H95" t="s">
        <v>982</v>
      </c>
    </row>
    <row r="96" spans="1:8" ht="16.2">
      <c r="C96" s="338">
        <v>45443</v>
      </c>
      <c r="D96" s="331" t="s">
        <v>847</v>
      </c>
      <c r="E96" s="339">
        <f>L137</f>
        <v>2878.7416025974017</v>
      </c>
      <c r="F96" s="332"/>
      <c r="G96" s="341">
        <f t="shared" si="2"/>
        <v>35741.423202597405</v>
      </c>
    </row>
    <row r="97" spans="1:8">
      <c r="A97" t="s">
        <v>1512</v>
      </c>
      <c r="C97" s="40">
        <v>45448</v>
      </c>
      <c r="D97" s="66" t="s">
        <v>845</v>
      </c>
      <c r="E97" s="205">
        <f>360*2.44</f>
        <v>878.4</v>
      </c>
      <c r="F97" s="17"/>
      <c r="G97" s="109">
        <f t="shared" ref="G97:G106" si="3">G96+E97-F97</f>
        <v>36619.823202597407</v>
      </c>
      <c r="H97" t="s">
        <v>982</v>
      </c>
    </row>
    <row r="98" spans="1:8">
      <c r="C98" s="334">
        <v>45449</v>
      </c>
      <c r="D98" s="331" t="s">
        <v>885</v>
      </c>
      <c r="E98" s="340">
        <f>L159</f>
        <v>10856.774600000004</v>
      </c>
      <c r="F98" s="332"/>
      <c r="G98" s="333">
        <f t="shared" si="3"/>
        <v>47476.597802597411</v>
      </c>
    </row>
    <row r="99" spans="1:8">
      <c r="A99" t="s">
        <v>1512</v>
      </c>
      <c r="C99" s="40">
        <v>45449</v>
      </c>
      <c r="D99" s="191" t="s">
        <v>1151</v>
      </c>
      <c r="E99" s="205">
        <v>97.6</v>
      </c>
      <c r="F99" s="17"/>
      <c r="G99" s="109">
        <f t="shared" si="3"/>
        <v>47574.197802597409</v>
      </c>
      <c r="H99" t="s">
        <v>982</v>
      </c>
    </row>
    <row r="100" spans="1:8">
      <c r="A100" t="s">
        <v>1512</v>
      </c>
      <c r="C100" s="40">
        <v>45453</v>
      </c>
      <c r="D100" s="191" t="s">
        <v>1152</v>
      </c>
      <c r="E100" s="205">
        <v>122</v>
      </c>
      <c r="F100" s="17"/>
      <c r="G100" s="109">
        <f t="shared" si="3"/>
        <v>47696.197802597409</v>
      </c>
      <c r="H100" t="s">
        <v>982</v>
      </c>
    </row>
    <row r="101" spans="1:8">
      <c r="C101" s="334">
        <v>45453</v>
      </c>
      <c r="D101" s="331" t="s">
        <v>886</v>
      </c>
      <c r="E101" s="340">
        <f>L188</f>
        <v>8600.9964</v>
      </c>
      <c r="F101" s="332"/>
      <c r="G101" s="333">
        <f t="shared" si="3"/>
        <v>56297.194202597413</v>
      </c>
    </row>
    <row r="102" spans="1:8">
      <c r="A102" t="s">
        <v>1512</v>
      </c>
      <c r="C102" s="40">
        <v>45463</v>
      </c>
      <c r="D102" s="66" t="s">
        <v>1154</v>
      </c>
      <c r="E102" s="17"/>
      <c r="F102" s="205">
        <f>200000/77</f>
        <v>2597.4025974025976</v>
      </c>
      <c r="G102" s="109">
        <f t="shared" si="3"/>
        <v>53699.791605194812</v>
      </c>
    </row>
    <row r="103" spans="1:8">
      <c r="A103" t="s">
        <v>1512</v>
      </c>
      <c r="C103" s="40">
        <v>45463</v>
      </c>
      <c r="D103" s="66" t="s">
        <v>1155</v>
      </c>
      <c r="E103" s="17"/>
      <c r="F103" s="205">
        <f>62222/77</f>
        <v>808.07792207792204</v>
      </c>
      <c r="G103" s="109">
        <f t="shared" si="3"/>
        <v>52891.71368311689</v>
      </c>
    </row>
    <row r="104" spans="1:8" ht="15.6">
      <c r="C104" s="40">
        <v>45463</v>
      </c>
      <c r="D104" s="342" t="s">
        <v>1156</v>
      </c>
      <c r="E104" s="343">
        <f>L18/2</f>
        <v>10097.94</v>
      </c>
      <c r="F104" s="17"/>
      <c r="G104" s="109">
        <f t="shared" si="3"/>
        <v>62989.653683116892</v>
      </c>
    </row>
    <row r="105" spans="1:8">
      <c r="C105" s="17"/>
      <c r="D105" s="191"/>
      <c r="E105" s="17"/>
      <c r="F105" s="189"/>
      <c r="G105" s="109">
        <f t="shared" si="3"/>
        <v>62989.653683116892</v>
      </c>
    </row>
    <row r="106" spans="1:8">
      <c r="G106" s="200">
        <f t="shared" si="3"/>
        <v>62989.653683116892</v>
      </c>
    </row>
    <row r="107" spans="1:8">
      <c r="G107" s="252"/>
    </row>
    <row r="108" spans="1:8" s="254" customFormat="1">
      <c r="G108" s="255"/>
    </row>
    <row r="109" spans="1:8" ht="18">
      <c r="D109" s="195"/>
    </row>
    <row r="112" spans="1:8" ht="17.399999999999999">
      <c r="C112" s="46"/>
      <c r="D112" s="138" t="s">
        <v>826</v>
      </c>
      <c r="E112" s="46"/>
      <c r="F112" s="146"/>
      <c r="G112" s="17"/>
    </row>
    <row r="113" spans="1:8">
      <c r="C113" s="137" t="s">
        <v>13</v>
      </c>
      <c r="D113" s="137" t="s">
        <v>256</v>
      </c>
      <c r="E113" s="137" t="s">
        <v>456</v>
      </c>
      <c r="F113" s="139" t="s">
        <v>8</v>
      </c>
      <c r="G113" s="137" t="s">
        <v>457</v>
      </c>
    </row>
    <row r="114" spans="1:8">
      <c r="C114" s="46"/>
      <c r="D114" s="46"/>
      <c r="E114" s="46"/>
      <c r="F114" s="146"/>
      <c r="G114" s="17"/>
    </row>
    <row r="115" spans="1:8">
      <c r="A115" t="s">
        <v>1512</v>
      </c>
      <c r="C115" s="40">
        <v>45440</v>
      </c>
      <c r="D115" s="66" t="s">
        <v>658</v>
      </c>
      <c r="E115" s="64"/>
      <c r="F115" s="144"/>
      <c r="G115" s="143">
        <v>1230</v>
      </c>
      <c r="H115" t="s">
        <v>982</v>
      </c>
    </row>
    <row r="116" spans="1:8">
      <c r="A116" t="s">
        <v>1512</v>
      </c>
      <c r="C116" s="140">
        <v>45440</v>
      </c>
      <c r="D116" s="66" t="s">
        <v>659</v>
      </c>
      <c r="E116" s="222">
        <f>474.58*35</f>
        <v>16610.3</v>
      </c>
      <c r="F116" s="144">
        <v>2.44</v>
      </c>
      <c r="G116" s="143">
        <f>E116*F116</f>
        <v>40529.131999999998</v>
      </c>
    </row>
    <row r="117" spans="1:8">
      <c r="A117" t="s">
        <v>1512</v>
      </c>
      <c r="C117" s="140">
        <v>45440</v>
      </c>
      <c r="D117" s="66" t="s">
        <v>1140</v>
      </c>
      <c r="E117" s="222">
        <v>1665.3</v>
      </c>
      <c r="F117" s="144">
        <v>2.44</v>
      </c>
      <c r="G117" s="143">
        <f>E117*F117</f>
        <v>4063.3319999999999</v>
      </c>
    </row>
    <row r="118" spans="1:8">
      <c r="A118" t="s">
        <v>1512</v>
      </c>
      <c r="C118" s="140">
        <v>45440</v>
      </c>
      <c r="D118" s="66" t="s">
        <v>1149</v>
      </c>
      <c r="E118" s="222">
        <v>126</v>
      </c>
      <c r="F118" s="144">
        <v>2.44</v>
      </c>
      <c r="G118" s="143">
        <f t="shared" ref="G118:G123" si="4">E118*F118</f>
        <v>307.44</v>
      </c>
      <c r="H118" t="s">
        <v>982</v>
      </c>
    </row>
    <row r="119" spans="1:8">
      <c r="A119" t="s">
        <v>1512</v>
      </c>
      <c r="C119" s="140">
        <v>45440</v>
      </c>
      <c r="D119" s="66" t="s">
        <v>1142</v>
      </c>
      <c r="E119" s="222"/>
      <c r="F119" s="144"/>
      <c r="G119" s="143">
        <v>30</v>
      </c>
      <c r="H119" t="s">
        <v>982</v>
      </c>
    </row>
    <row r="120" spans="1:8">
      <c r="A120" t="s">
        <v>1512</v>
      </c>
      <c r="C120" s="140">
        <v>45443</v>
      </c>
      <c r="D120" s="66" t="s">
        <v>840</v>
      </c>
      <c r="E120" s="141">
        <v>1638.29</v>
      </c>
      <c r="F120" s="144">
        <v>2.44</v>
      </c>
      <c r="G120" s="143">
        <f t="shared" si="4"/>
        <v>3997.4276</v>
      </c>
    </row>
    <row r="121" spans="1:8">
      <c r="A121" t="s">
        <v>1512</v>
      </c>
      <c r="B121" t="s">
        <v>982</v>
      </c>
      <c r="C121" s="140">
        <v>45443</v>
      </c>
      <c r="D121" s="66" t="s">
        <v>1141</v>
      </c>
      <c r="E121" s="141">
        <v>16.489999999999998</v>
      </c>
      <c r="F121" s="144">
        <v>2.44</v>
      </c>
      <c r="G121" s="143">
        <f t="shared" si="4"/>
        <v>40.235599999999998</v>
      </c>
    </row>
    <row r="122" spans="1:8">
      <c r="A122" t="s">
        <v>1512</v>
      </c>
      <c r="C122" s="140">
        <v>45447</v>
      </c>
      <c r="D122" s="66" t="s">
        <v>735</v>
      </c>
      <c r="E122" s="141"/>
      <c r="F122" s="144"/>
      <c r="G122" s="143">
        <f>15000/77</f>
        <v>194.80519480519482</v>
      </c>
      <c r="H122" t="s">
        <v>982</v>
      </c>
    </row>
    <row r="123" spans="1:8">
      <c r="A123" t="s">
        <v>1512</v>
      </c>
      <c r="C123" s="140">
        <v>45471</v>
      </c>
      <c r="D123" s="17" t="s">
        <v>1227</v>
      </c>
      <c r="E123" s="198">
        <v>23.01</v>
      </c>
      <c r="F123" s="144">
        <v>2.44</v>
      </c>
      <c r="G123" s="143">
        <f t="shared" si="4"/>
        <v>56.144400000000005</v>
      </c>
    </row>
    <row r="124" spans="1:8">
      <c r="C124" s="140"/>
      <c r="D124" s="17"/>
      <c r="E124" s="198"/>
      <c r="F124" s="199"/>
      <c r="G124" s="197">
        <f t="shared" ref="G124" si="5">E124*F124</f>
        <v>0</v>
      </c>
    </row>
    <row r="125" spans="1:8" ht="16.2">
      <c r="C125" s="140"/>
      <c r="D125" s="120" t="s">
        <v>660</v>
      </c>
      <c r="E125" s="198"/>
      <c r="F125" s="199"/>
      <c r="G125" s="223">
        <f>SUM(G115:G124)</f>
        <v>50448.516794805197</v>
      </c>
    </row>
    <row r="128" spans="1:8" ht="15" thickBot="1"/>
    <row r="129" spans="1:12" ht="18" thickBot="1">
      <c r="C129" s="86"/>
      <c r="D129" s="110" t="s">
        <v>841</v>
      </c>
      <c r="E129" s="86"/>
      <c r="F129" s="145"/>
    </row>
    <row r="130" spans="1:12" ht="15.6">
      <c r="C130" s="147" t="s">
        <v>13</v>
      </c>
      <c r="D130" s="148" t="s">
        <v>256</v>
      </c>
      <c r="E130" s="148" t="s">
        <v>10</v>
      </c>
      <c r="F130" s="149" t="s">
        <v>257</v>
      </c>
      <c r="K130" s="186" t="s">
        <v>834</v>
      </c>
    </row>
    <row r="131" spans="1:12">
      <c r="C131" s="46"/>
      <c r="D131" s="46"/>
      <c r="E131" s="46"/>
      <c r="F131" s="146"/>
      <c r="K131" s="135" t="s">
        <v>573</v>
      </c>
      <c r="L131" s="184">
        <f>G125</f>
        <v>50448.516794805197</v>
      </c>
    </row>
    <row r="132" spans="1:12">
      <c r="A132" t="s">
        <v>1512</v>
      </c>
      <c r="C132" s="40">
        <v>45441</v>
      </c>
      <c r="D132" s="66" t="s">
        <v>684</v>
      </c>
      <c r="E132" s="64">
        <v>3240</v>
      </c>
      <c r="F132" s="144">
        <f>F131+E132</f>
        <v>3240</v>
      </c>
      <c r="H132" t="s">
        <v>982</v>
      </c>
      <c r="K132" s="135" t="s">
        <v>574</v>
      </c>
      <c r="L132" s="184">
        <f>F139</f>
        <v>57060</v>
      </c>
    </row>
    <row r="133" spans="1:12">
      <c r="A133" t="s">
        <v>1512</v>
      </c>
      <c r="C133" s="40">
        <v>45441</v>
      </c>
      <c r="D133" s="17" t="s">
        <v>685</v>
      </c>
      <c r="E133" s="64">
        <v>29520</v>
      </c>
      <c r="F133" s="144">
        <f>F132+E133</f>
        <v>32760</v>
      </c>
      <c r="H133" t="s">
        <v>982</v>
      </c>
      <c r="K133" s="185" t="s">
        <v>575</v>
      </c>
      <c r="L133" s="187">
        <f>L132-L131</f>
        <v>6611.4832051948033</v>
      </c>
    </row>
    <row r="134" spans="1:12" ht="28.8">
      <c r="A134" t="s">
        <v>1512</v>
      </c>
      <c r="C134" s="40">
        <v>45441</v>
      </c>
      <c r="D134" s="17" t="s">
        <v>686</v>
      </c>
      <c r="E134" s="64">
        <v>24300</v>
      </c>
      <c r="F134" s="144">
        <f t="shared" ref="F134:F139" si="6">F133+E134</f>
        <v>57060</v>
      </c>
      <c r="H134" t="s">
        <v>982</v>
      </c>
      <c r="K134" s="253" t="s">
        <v>1153</v>
      </c>
      <c r="L134" s="1">
        <v>854</v>
      </c>
    </row>
    <row r="135" spans="1:12" ht="15" thickBot="1">
      <c r="C135" s="40"/>
      <c r="D135" s="66"/>
      <c r="E135" s="64"/>
      <c r="F135" s="144">
        <f t="shared" si="6"/>
        <v>57060</v>
      </c>
      <c r="K135" s="151" t="s">
        <v>835</v>
      </c>
      <c r="L135" s="188">
        <f>L133-L134</f>
        <v>5757.4832051948033</v>
      </c>
    </row>
    <row r="136" spans="1:12" ht="15" thickTop="1">
      <c r="C136" s="40"/>
      <c r="D136" s="66"/>
      <c r="E136" s="64"/>
      <c r="F136" s="144">
        <f t="shared" si="6"/>
        <v>57060</v>
      </c>
      <c r="K136" t="s">
        <v>576</v>
      </c>
      <c r="L136" s="184">
        <f>L135/2</f>
        <v>2878.7416025974017</v>
      </c>
    </row>
    <row r="137" spans="1:12">
      <c r="C137" s="40"/>
      <c r="D137" s="17"/>
      <c r="E137" s="64"/>
      <c r="F137" s="144">
        <f t="shared" si="6"/>
        <v>57060</v>
      </c>
      <c r="K137" t="s">
        <v>577</v>
      </c>
      <c r="L137" s="184">
        <f>L135/2</f>
        <v>2878.7416025974017</v>
      </c>
    </row>
    <row r="138" spans="1:12" ht="18">
      <c r="C138" s="140"/>
      <c r="D138" s="166"/>
      <c r="E138" s="64"/>
      <c r="F138" s="144">
        <f t="shared" si="6"/>
        <v>57060</v>
      </c>
    </row>
    <row r="139" spans="1:12" ht="16.2">
      <c r="C139" s="140"/>
      <c r="D139" s="142" t="s">
        <v>458</v>
      </c>
      <c r="E139" s="141"/>
      <c r="F139" s="150">
        <f t="shared" si="6"/>
        <v>57060</v>
      </c>
    </row>
    <row r="142" spans="1:12" s="254" customFormat="1"/>
    <row r="144" spans="1:12" ht="17.399999999999999">
      <c r="C144" s="46"/>
      <c r="D144" s="138" t="s">
        <v>827</v>
      </c>
      <c r="E144" s="46"/>
      <c r="F144" s="146"/>
      <c r="G144" s="17"/>
    </row>
    <row r="145" spans="1:12">
      <c r="C145" s="137" t="s">
        <v>13</v>
      </c>
      <c r="D145" s="137" t="s">
        <v>256</v>
      </c>
      <c r="E145" s="137" t="s">
        <v>456</v>
      </c>
      <c r="F145" s="139" t="s">
        <v>8</v>
      </c>
      <c r="G145" s="137" t="s">
        <v>457</v>
      </c>
    </row>
    <row r="146" spans="1:12">
      <c r="C146" s="46"/>
      <c r="D146" s="46"/>
      <c r="E146" s="46"/>
      <c r="F146" s="146"/>
      <c r="G146" s="17"/>
    </row>
    <row r="147" spans="1:12">
      <c r="A147" t="s">
        <v>1512</v>
      </c>
      <c r="C147" s="40">
        <v>45448</v>
      </c>
      <c r="D147" s="66" t="s">
        <v>828</v>
      </c>
      <c r="E147" s="329" t="s">
        <v>1139</v>
      </c>
      <c r="F147" s="144" t="s">
        <v>1139</v>
      </c>
      <c r="G147" s="143">
        <v>1660</v>
      </c>
      <c r="H147" t="s">
        <v>982</v>
      </c>
    </row>
    <row r="148" spans="1:12">
      <c r="A148" t="s">
        <v>1512</v>
      </c>
      <c r="B148" t="s">
        <v>1150</v>
      </c>
      <c r="C148" s="40">
        <v>45448</v>
      </c>
      <c r="D148" s="66" t="s">
        <v>856</v>
      </c>
      <c r="E148" s="222">
        <f>474.58*60</f>
        <v>28474.799999999999</v>
      </c>
      <c r="F148" s="144">
        <v>2.44</v>
      </c>
      <c r="G148" s="143">
        <f>E148*F148</f>
        <v>69478.512000000002</v>
      </c>
    </row>
    <row r="149" spans="1:12">
      <c r="A149" t="s">
        <v>1512</v>
      </c>
      <c r="C149" s="40">
        <v>45448</v>
      </c>
      <c r="D149" s="66" t="s">
        <v>829</v>
      </c>
      <c r="E149" s="144" t="s">
        <v>1139</v>
      </c>
      <c r="F149" s="144" t="s">
        <v>1139</v>
      </c>
      <c r="G149" s="143">
        <v>40</v>
      </c>
      <c r="H149" t="s">
        <v>982</v>
      </c>
    </row>
    <row r="150" spans="1:12">
      <c r="A150" t="s">
        <v>1512</v>
      </c>
      <c r="C150" s="40">
        <v>45448</v>
      </c>
      <c r="D150" s="66" t="s">
        <v>830</v>
      </c>
      <c r="E150" s="141">
        <v>360</v>
      </c>
      <c r="F150" s="144">
        <v>2.44</v>
      </c>
      <c r="G150" s="143">
        <f t="shared" ref="G150:G152" si="7">E150*F150</f>
        <v>878.4</v>
      </c>
      <c r="H150" t="s">
        <v>982</v>
      </c>
    </row>
    <row r="151" spans="1:12">
      <c r="A151" t="s">
        <v>1512</v>
      </c>
      <c r="C151" s="140">
        <v>45456</v>
      </c>
      <c r="D151" s="257" t="s">
        <v>848</v>
      </c>
      <c r="E151" s="141">
        <v>2651.54</v>
      </c>
      <c r="F151" s="144">
        <v>2.44</v>
      </c>
      <c r="G151" s="143">
        <f t="shared" si="7"/>
        <v>6469.7575999999999</v>
      </c>
    </row>
    <row r="152" spans="1:12" ht="15.6">
      <c r="A152" t="s">
        <v>1512</v>
      </c>
      <c r="C152" s="140">
        <v>45456</v>
      </c>
      <c r="D152" s="17" t="s">
        <v>900</v>
      </c>
      <c r="E152" s="198">
        <v>27.72</v>
      </c>
      <c r="F152" s="144">
        <v>2.44</v>
      </c>
      <c r="G152" s="143">
        <f t="shared" si="7"/>
        <v>67.636799999999994</v>
      </c>
      <c r="K152" s="186" t="s">
        <v>837</v>
      </c>
    </row>
    <row r="153" spans="1:12">
      <c r="A153" t="s">
        <v>1512</v>
      </c>
      <c r="C153" s="140">
        <v>45471</v>
      </c>
      <c r="D153" s="17" t="s">
        <v>1227</v>
      </c>
      <c r="E153" s="198">
        <v>23.01</v>
      </c>
      <c r="F153" s="144">
        <v>2.44</v>
      </c>
      <c r="G153" s="197">
        <f t="shared" ref="G153" si="8">E153*F153</f>
        <v>56.144400000000005</v>
      </c>
      <c r="I153" s="184">
        <f>G154/60</f>
        <v>1310.8408466666665</v>
      </c>
      <c r="K153" s="135" t="s">
        <v>573</v>
      </c>
      <c r="L153" s="184">
        <f>G154</f>
        <v>78650.450799999991</v>
      </c>
    </row>
    <row r="154" spans="1:12" ht="16.2">
      <c r="C154" s="140"/>
      <c r="D154" s="120" t="s">
        <v>660</v>
      </c>
      <c r="E154" s="198"/>
      <c r="F154" s="199"/>
      <c r="G154" s="223">
        <f>SUM(G147:G153)</f>
        <v>78650.450799999991</v>
      </c>
      <c r="K154" s="135" t="s">
        <v>574</v>
      </c>
      <c r="L154" s="184">
        <f>F166</f>
        <v>100730</v>
      </c>
    </row>
    <row r="155" spans="1:12" ht="15" thickBot="1">
      <c r="K155" s="185" t="s">
        <v>575</v>
      </c>
      <c r="L155" s="187">
        <f>L154-L153</f>
        <v>22079.549200000009</v>
      </c>
    </row>
    <row r="156" spans="1:12" ht="30" thickBot="1">
      <c r="C156" s="86"/>
      <c r="D156" s="110" t="s">
        <v>831</v>
      </c>
      <c r="E156" s="86"/>
      <c r="F156" s="145"/>
      <c r="K156" s="253" t="s">
        <v>838</v>
      </c>
      <c r="L156" s="1">
        <f>150*2.44</f>
        <v>366</v>
      </c>
    </row>
    <row r="157" spans="1:12" ht="15" thickBot="1">
      <c r="C157" s="147" t="s">
        <v>13</v>
      </c>
      <c r="D157" s="148" t="s">
        <v>256</v>
      </c>
      <c r="E157" s="148" t="s">
        <v>10</v>
      </c>
      <c r="F157" s="149" t="s">
        <v>257</v>
      </c>
      <c r="K157" s="151" t="s">
        <v>835</v>
      </c>
      <c r="L157" s="188">
        <f>L155-L156</f>
        <v>21713.549200000009</v>
      </c>
    </row>
    <row r="158" spans="1:12" ht="15" thickTop="1">
      <c r="C158" s="46"/>
      <c r="D158" s="46"/>
      <c r="E158" s="46"/>
      <c r="F158" s="146"/>
      <c r="K158" t="s">
        <v>576</v>
      </c>
      <c r="L158" s="184">
        <f>L157/2</f>
        <v>10856.774600000004</v>
      </c>
    </row>
    <row r="159" spans="1:12">
      <c r="A159" t="s">
        <v>1512</v>
      </c>
      <c r="C159" s="40">
        <v>45448</v>
      </c>
      <c r="D159" s="66" t="s">
        <v>832</v>
      </c>
      <c r="E159" s="64">
        <f>1680*20</f>
        <v>33600</v>
      </c>
      <c r="F159" s="144">
        <f>F158+E159</f>
        <v>33600</v>
      </c>
      <c r="H159" t="s">
        <v>982</v>
      </c>
      <c r="K159" t="s">
        <v>577</v>
      </c>
      <c r="L159" s="184">
        <f>L157/2</f>
        <v>10856.774600000004</v>
      </c>
    </row>
    <row r="160" spans="1:12">
      <c r="A160" t="s">
        <v>1512</v>
      </c>
      <c r="C160" s="40">
        <v>45449</v>
      </c>
      <c r="D160" s="66" t="s">
        <v>833</v>
      </c>
      <c r="E160" s="64">
        <f>1680*30</f>
        <v>50400</v>
      </c>
      <c r="F160" s="144">
        <f>F159+E160</f>
        <v>84000</v>
      </c>
      <c r="H160" t="s">
        <v>982</v>
      </c>
    </row>
    <row r="161" spans="1:8">
      <c r="A161" t="s">
        <v>1512</v>
      </c>
      <c r="C161" s="40">
        <v>45453</v>
      </c>
      <c r="D161" s="66" t="s">
        <v>883</v>
      </c>
      <c r="E161" s="64">
        <v>3400</v>
      </c>
      <c r="F161" s="144">
        <f t="shared" ref="F161:F166" si="9">F160+E161</f>
        <v>87400</v>
      </c>
      <c r="H161" t="s">
        <v>982</v>
      </c>
    </row>
    <row r="162" spans="1:8">
      <c r="A162" t="s">
        <v>1512</v>
      </c>
      <c r="C162" s="40">
        <v>45455</v>
      </c>
      <c r="D162" s="66" t="s">
        <v>684</v>
      </c>
      <c r="E162" s="64">
        <f>1670*2</f>
        <v>3340</v>
      </c>
      <c r="F162" s="144">
        <f t="shared" si="9"/>
        <v>90740</v>
      </c>
      <c r="H162" t="s">
        <v>982</v>
      </c>
    </row>
    <row r="163" spans="1:8">
      <c r="A163" t="s">
        <v>1512</v>
      </c>
      <c r="C163" s="40">
        <v>45456</v>
      </c>
      <c r="D163" s="66" t="s">
        <v>1090</v>
      </c>
      <c r="E163" s="64">
        <v>9990</v>
      </c>
      <c r="F163" s="144">
        <f t="shared" si="9"/>
        <v>100730</v>
      </c>
      <c r="H163" t="s">
        <v>982</v>
      </c>
    </row>
    <row r="164" spans="1:8">
      <c r="C164" s="40"/>
      <c r="D164" s="17"/>
      <c r="E164" s="64"/>
      <c r="F164" s="144">
        <f t="shared" si="9"/>
        <v>100730</v>
      </c>
    </row>
    <row r="165" spans="1:8" ht="18">
      <c r="C165" s="140"/>
      <c r="D165" s="166"/>
      <c r="E165" s="64"/>
      <c r="F165" s="144">
        <f t="shared" si="9"/>
        <v>100730</v>
      </c>
    </row>
    <row r="166" spans="1:8" ht="16.2">
      <c r="C166" s="140"/>
      <c r="D166" s="142" t="s">
        <v>458</v>
      </c>
      <c r="E166" s="141"/>
      <c r="F166" s="150">
        <f t="shared" si="9"/>
        <v>100730</v>
      </c>
    </row>
    <row r="169" spans="1:8" s="258" customFormat="1"/>
    <row r="173" spans="1:8" ht="17.399999999999999">
      <c r="C173" s="46"/>
      <c r="D173" s="138" t="s">
        <v>881</v>
      </c>
      <c r="E173" s="46"/>
      <c r="F173" s="146"/>
      <c r="G173" s="17"/>
    </row>
    <row r="174" spans="1:8">
      <c r="C174" s="137" t="s">
        <v>13</v>
      </c>
      <c r="D174" s="137" t="s">
        <v>256</v>
      </c>
      <c r="E174" s="137" t="s">
        <v>456</v>
      </c>
      <c r="F174" s="139" t="s">
        <v>8</v>
      </c>
      <c r="G174" s="137" t="s">
        <v>457</v>
      </c>
    </row>
    <row r="175" spans="1:8">
      <c r="C175" s="46"/>
      <c r="D175" s="46"/>
      <c r="E175" s="46"/>
      <c r="F175" s="146"/>
      <c r="G175" s="17"/>
    </row>
    <row r="176" spans="1:8">
      <c r="A176" t="s">
        <v>1512</v>
      </c>
      <c r="C176" s="40">
        <v>45449</v>
      </c>
      <c r="D176" s="66" t="s">
        <v>858</v>
      </c>
      <c r="E176" s="64">
        <f>40*474.58</f>
        <v>18983.2</v>
      </c>
      <c r="F176" s="144">
        <v>2.44</v>
      </c>
      <c r="G176" s="143">
        <f>E176*F176</f>
        <v>46319.008000000002</v>
      </c>
    </row>
    <row r="177" spans="1:12">
      <c r="A177" t="s">
        <v>1512</v>
      </c>
      <c r="C177" s="40">
        <v>45449</v>
      </c>
      <c r="D177" s="66" t="s">
        <v>859</v>
      </c>
      <c r="E177" s="222">
        <f>5*481.81</f>
        <v>2409.0500000000002</v>
      </c>
      <c r="F177" s="144">
        <v>2.44</v>
      </c>
      <c r="G177" s="143">
        <f t="shared" ref="G177:G180" si="10">E177*F177</f>
        <v>5878.0820000000003</v>
      </c>
    </row>
    <row r="178" spans="1:12">
      <c r="A178" t="s">
        <v>1512</v>
      </c>
      <c r="C178" s="40">
        <v>45449</v>
      </c>
      <c r="D178" s="66" t="s">
        <v>1532</v>
      </c>
      <c r="E178" s="222">
        <f>2*474.58</f>
        <v>949.16</v>
      </c>
      <c r="F178" s="144">
        <v>2.44</v>
      </c>
      <c r="G178" s="143">
        <f t="shared" si="10"/>
        <v>2315.9503999999997</v>
      </c>
    </row>
    <row r="179" spans="1:12">
      <c r="A179" t="s">
        <v>1512</v>
      </c>
      <c r="C179" s="40">
        <v>45449</v>
      </c>
      <c r="D179" s="66" t="s">
        <v>860</v>
      </c>
      <c r="E179" s="141">
        <v>40</v>
      </c>
      <c r="F179" s="144">
        <v>2.44</v>
      </c>
      <c r="G179" s="143">
        <f t="shared" si="10"/>
        <v>97.6</v>
      </c>
      <c r="H179" t="s">
        <v>982</v>
      </c>
    </row>
    <row r="180" spans="1:12" ht="15.6">
      <c r="A180" t="s">
        <v>1512</v>
      </c>
      <c r="C180" s="140">
        <v>45453</v>
      </c>
      <c r="D180" s="66" t="s">
        <v>880</v>
      </c>
      <c r="E180" s="141">
        <v>50</v>
      </c>
      <c r="F180" s="144">
        <v>2.44</v>
      </c>
      <c r="G180" s="143">
        <f t="shared" si="10"/>
        <v>122</v>
      </c>
      <c r="H180" t="s">
        <v>982</v>
      </c>
      <c r="K180" s="186" t="s">
        <v>884</v>
      </c>
    </row>
    <row r="181" spans="1:12">
      <c r="A181" t="s">
        <v>1512</v>
      </c>
      <c r="C181" s="140">
        <v>45453</v>
      </c>
      <c r="D181" s="17" t="s">
        <v>887</v>
      </c>
      <c r="E181" s="328" t="s">
        <v>1139</v>
      </c>
      <c r="F181" s="144" t="s">
        <v>1139</v>
      </c>
      <c r="G181" s="143">
        <v>1465</v>
      </c>
      <c r="H181" t="s">
        <v>982</v>
      </c>
      <c r="K181" s="135" t="s">
        <v>573</v>
      </c>
      <c r="L181" s="184">
        <f>G186</f>
        <v>61603.0072</v>
      </c>
    </row>
    <row r="182" spans="1:12">
      <c r="A182" t="s">
        <v>1512</v>
      </c>
      <c r="C182" s="140">
        <v>45453</v>
      </c>
      <c r="D182" s="17" t="s">
        <v>888</v>
      </c>
      <c r="E182" s="328" t="s">
        <v>1139</v>
      </c>
      <c r="F182" s="144" t="s">
        <v>1139</v>
      </c>
      <c r="G182" s="143">
        <v>35</v>
      </c>
      <c r="H182" t="s">
        <v>982</v>
      </c>
      <c r="K182" s="135" t="s">
        <v>574</v>
      </c>
      <c r="L182" s="184">
        <f>F198</f>
        <v>78805</v>
      </c>
    </row>
    <row r="183" spans="1:12">
      <c r="A183" t="s">
        <v>1512</v>
      </c>
      <c r="C183" s="140">
        <v>45456</v>
      </c>
      <c r="D183" s="257" t="s">
        <v>848</v>
      </c>
      <c r="E183" s="198">
        <v>2153.6</v>
      </c>
      <c r="F183" s="144">
        <v>2.44</v>
      </c>
      <c r="G183" s="143">
        <f t="shared" ref="G183:G185" si="11">E183*F183</f>
        <v>5254.7839999999997</v>
      </c>
      <c r="K183" s="185" t="s">
        <v>575</v>
      </c>
      <c r="L183" s="187">
        <f>L182-L181</f>
        <v>17201.9928</v>
      </c>
    </row>
    <row r="184" spans="1:12">
      <c r="A184" t="s">
        <v>1512</v>
      </c>
      <c r="C184" s="140">
        <v>45456</v>
      </c>
      <c r="D184" s="17" t="s">
        <v>900</v>
      </c>
      <c r="E184" s="198">
        <v>24.36</v>
      </c>
      <c r="F184" s="144">
        <v>2.44</v>
      </c>
      <c r="G184" s="143">
        <f t="shared" si="11"/>
        <v>59.438399999999994</v>
      </c>
      <c r="K184" s="253"/>
      <c r="L184" s="1"/>
    </row>
    <row r="185" spans="1:12">
      <c r="A185" t="s">
        <v>1512</v>
      </c>
      <c r="C185" s="140">
        <v>45471</v>
      </c>
      <c r="D185" s="17" t="s">
        <v>1227</v>
      </c>
      <c r="E185" s="198">
        <v>23.01</v>
      </c>
      <c r="F185" s="144">
        <v>2.44</v>
      </c>
      <c r="G185" s="143">
        <f t="shared" si="11"/>
        <v>56.144400000000005</v>
      </c>
      <c r="K185" s="253"/>
      <c r="L185" s="1"/>
    </row>
    <row r="186" spans="1:12" ht="16.8" thickBot="1">
      <c r="C186" s="140"/>
      <c r="D186" s="120" t="s">
        <v>660</v>
      </c>
      <c r="E186" s="198"/>
      <c r="F186" s="199"/>
      <c r="G186" s="223">
        <f>SUM(G176:G185)</f>
        <v>61603.0072</v>
      </c>
      <c r="K186" s="151" t="s">
        <v>835</v>
      </c>
      <c r="L186" s="188">
        <f>L183-L184</f>
        <v>17201.9928</v>
      </c>
    </row>
    <row r="187" spans="1:12" ht="15.6" thickTop="1" thickBot="1">
      <c r="K187" t="s">
        <v>576</v>
      </c>
      <c r="L187" s="184">
        <f>L186/2</f>
        <v>8600.9964</v>
      </c>
    </row>
    <row r="188" spans="1:12" ht="18" thickBot="1">
      <c r="C188" s="86"/>
      <c r="D188" s="110" t="s">
        <v>882</v>
      </c>
      <c r="E188" s="86"/>
      <c r="F188" s="145"/>
      <c r="K188" t="s">
        <v>577</v>
      </c>
      <c r="L188" s="184">
        <f>L186/2</f>
        <v>8600.9964</v>
      </c>
    </row>
    <row r="189" spans="1:12">
      <c r="C189" s="147" t="s">
        <v>13</v>
      </c>
      <c r="D189" s="148" t="s">
        <v>256</v>
      </c>
      <c r="E189" s="148" t="s">
        <v>10</v>
      </c>
      <c r="F189" s="149" t="s">
        <v>257</v>
      </c>
    </row>
    <row r="190" spans="1:12">
      <c r="C190" s="46"/>
      <c r="D190" s="46"/>
      <c r="E190" s="46"/>
      <c r="F190" s="146"/>
    </row>
    <row r="191" spans="1:12">
      <c r="A191" t="s">
        <v>1512</v>
      </c>
      <c r="C191" s="40">
        <v>45453</v>
      </c>
      <c r="D191" s="66" t="s">
        <v>889</v>
      </c>
      <c r="E191" s="64">
        <v>58800</v>
      </c>
      <c r="F191" s="144">
        <f>F190+E191</f>
        <v>58800</v>
      </c>
      <c r="H191" t="s">
        <v>982</v>
      </c>
    </row>
    <row r="192" spans="1:12">
      <c r="A192" t="s">
        <v>1512</v>
      </c>
      <c r="C192" s="40">
        <v>45456</v>
      </c>
      <c r="D192" s="66" t="s">
        <v>1091</v>
      </c>
      <c r="E192" s="64">
        <v>11655</v>
      </c>
      <c r="F192" s="144">
        <f>F191+E192</f>
        <v>70455</v>
      </c>
      <c r="H192" t="s">
        <v>982</v>
      </c>
    </row>
    <row r="193" spans="1:7">
      <c r="A193" t="s">
        <v>1512</v>
      </c>
      <c r="C193" s="40">
        <v>45456</v>
      </c>
      <c r="D193" s="66" t="s">
        <v>1092</v>
      </c>
      <c r="E193" s="64">
        <v>8350</v>
      </c>
      <c r="F193" s="199">
        <f t="shared" ref="F193:F198" si="12">F192+E193</f>
        <v>78805</v>
      </c>
    </row>
    <row r="194" spans="1:7">
      <c r="C194" s="40"/>
      <c r="D194" s="66"/>
      <c r="E194" s="64"/>
      <c r="F194" s="144">
        <f t="shared" si="12"/>
        <v>78805</v>
      </c>
    </row>
    <row r="195" spans="1:7">
      <c r="C195" s="40"/>
      <c r="D195" s="66"/>
      <c r="E195" s="64"/>
      <c r="F195" s="144">
        <f t="shared" si="12"/>
        <v>78805</v>
      </c>
    </row>
    <row r="196" spans="1:7">
      <c r="C196" s="40"/>
      <c r="D196" s="17"/>
      <c r="E196" s="64"/>
      <c r="F196" s="144">
        <f t="shared" si="12"/>
        <v>78805</v>
      </c>
    </row>
    <row r="197" spans="1:7" ht="18">
      <c r="C197" s="140"/>
      <c r="D197" s="166"/>
      <c r="E197" s="64"/>
      <c r="F197" s="144">
        <f t="shared" si="12"/>
        <v>78805</v>
      </c>
    </row>
    <row r="198" spans="1:7" ht="16.2">
      <c r="C198" s="140"/>
      <c r="D198" s="142" t="s">
        <v>458</v>
      </c>
      <c r="E198" s="141"/>
      <c r="F198" s="150">
        <f t="shared" si="12"/>
        <v>78805</v>
      </c>
    </row>
    <row r="202" spans="1:7" s="258" customFormat="1"/>
    <row r="207" spans="1:7" ht="18">
      <c r="D207" s="195" t="s">
        <v>843</v>
      </c>
    </row>
    <row r="208" spans="1:7" ht="18">
      <c r="C208" s="196" t="s">
        <v>13</v>
      </c>
      <c r="D208" s="196" t="s">
        <v>14</v>
      </c>
      <c r="E208" s="196" t="s">
        <v>15</v>
      </c>
      <c r="F208" s="196" t="s">
        <v>16</v>
      </c>
      <c r="G208" s="196" t="s">
        <v>17</v>
      </c>
    </row>
    <row r="209" spans="1:7">
      <c r="C209" s="17"/>
      <c r="D209" s="353" t="s">
        <v>470</v>
      </c>
      <c r="E209" s="17"/>
      <c r="F209" s="17"/>
      <c r="G209" s="109">
        <f>G80</f>
        <v>-58303.157397402581</v>
      </c>
    </row>
    <row r="210" spans="1:7">
      <c r="C210" s="17"/>
      <c r="D210" s="364" t="s">
        <v>1188</v>
      </c>
      <c r="E210" s="17"/>
      <c r="F210" s="17"/>
      <c r="G210" s="109">
        <f>G209+E210-F210</f>
        <v>-58303.157397402581</v>
      </c>
    </row>
    <row r="211" spans="1:7">
      <c r="A211" t="s">
        <v>1512</v>
      </c>
      <c r="C211" s="40">
        <v>45469</v>
      </c>
      <c r="D211" s="66" t="s">
        <v>1228</v>
      </c>
      <c r="E211" s="64"/>
      <c r="F211" s="112">
        <v>41080</v>
      </c>
      <c r="G211" s="109">
        <f t="shared" ref="G211:G227" si="13">G210+E211-F211</f>
        <v>-99383.157397402581</v>
      </c>
    </row>
    <row r="212" spans="1:7">
      <c r="A212" t="s">
        <v>1512</v>
      </c>
      <c r="C212" s="40">
        <v>45469</v>
      </c>
      <c r="D212" s="66" t="s">
        <v>1215</v>
      </c>
      <c r="E212" s="64">
        <v>21000</v>
      </c>
      <c r="F212" s="17"/>
      <c r="G212" s="109">
        <f t="shared" si="13"/>
        <v>-78383.157397402581</v>
      </c>
    </row>
    <row r="213" spans="1:7">
      <c r="A213" t="s">
        <v>1512</v>
      </c>
      <c r="C213" s="40">
        <v>45471</v>
      </c>
      <c r="D213" s="66" t="s">
        <v>1233</v>
      </c>
      <c r="E213" s="64"/>
      <c r="F213" s="17">
        <v>31500</v>
      </c>
      <c r="G213" s="109">
        <f t="shared" si="13"/>
        <v>-109883.15739740258</v>
      </c>
    </row>
    <row r="214" spans="1:7">
      <c r="A214" t="s">
        <v>1512</v>
      </c>
      <c r="C214" s="140">
        <v>45469</v>
      </c>
      <c r="D214" s="17" t="s">
        <v>888</v>
      </c>
      <c r="E214" s="143">
        <v>25</v>
      </c>
      <c r="F214" s="17"/>
      <c r="G214" s="109">
        <f t="shared" si="13"/>
        <v>-109858.15739740258</v>
      </c>
    </row>
    <row r="215" spans="1:7">
      <c r="A215" t="s">
        <v>1512</v>
      </c>
      <c r="C215" s="140">
        <v>45471</v>
      </c>
      <c r="D215" s="17" t="s">
        <v>888</v>
      </c>
      <c r="E215" s="143">
        <v>50</v>
      </c>
      <c r="F215" s="17"/>
      <c r="G215" s="109">
        <f t="shared" si="13"/>
        <v>-109808.15739740258</v>
      </c>
    </row>
    <row r="216" spans="1:7">
      <c r="A216" t="s">
        <v>1512</v>
      </c>
      <c r="C216" s="140">
        <v>45471</v>
      </c>
      <c r="D216" s="66" t="s">
        <v>1234</v>
      </c>
      <c r="E216" s="143">
        <v>100</v>
      </c>
      <c r="F216" s="17"/>
      <c r="G216" s="109">
        <f t="shared" si="13"/>
        <v>-109708.15739740258</v>
      </c>
    </row>
    <row r="217" spans="1:7">
      <c r="A217" t="s">
        <v>1512</v>
      </c>
      <c r="C217" s="140">
        <v>45471</v>
      </c>
      <c r="D217" s="66" t="s">
        <v>1247</v>
      </c>
      <c r="E217" s="143">
        <v>60</v>
      </c>
      <c r="F217" s="17"/>
      <c r="G217" s="109">
        <f t="shared" si="13"/>
        <v>-109648.15739740258</v>
      </c>
    </row>
    <row r="218" spans="1:7">
      <c r="A218" t="s">
        <v>1512</v>
      </c>
      <c r="C218" s="140">
        <v>45471</v>
      </c>
      <c r="D218" s="66" t="s">
        <v>1248</v>
      </c>
      <c r="E218" s="143">
        <v>1350</v>
      </c>
      <c r="F218" s="17"/>
      <c r="G218" s="109">
        <f t="shared" si="13"/>
        <v>-108298.15739740258</v>
      </c>
    </row>
    <row r="219" spans="1:7">
      <c r="A219" t="s">
        <v>1512</v>
      </c>
      <c r="C219" s="140">
        <v>45471</v>
      </c>
      <c r="D219" s="66" t="s">
        <v>1254</v>
      </c>
      <c r="E219" s="17">
        <v>2726.09</v>
      </c>
      <c r="F219" s="17"/>
      <c r="G219" s="109">
        <f t="shared" si="13"/>
        <v>-105572.06739740258</v>
      </c>
    </row>
    <row r="220" spans="1:7">
      <c r="A220" t="s">
        <v>1512</v>
      </c>
      <c r="C220" s="140">
        <v>45471</v>
      </c>
      <c r="D220" s="66" t="s">
        <v>1254</v>
      </c>
      <c r="E220" s="17">
        <v>6895.35</v>
      </c>
      <c r="F220" s="17"/>
      <c r="G220" s="109">
        <f t="shared" si="13"/>
        <v>-98676.717397402579</v>
      </c>
    </row>
    <row r="221" spans="1:7">
      <c r="A221" t="s">
        <v>1512</v>
      </c>
      <c r="C221" s="140">
        <v>45471</v>
      </c>
      <c r="D221" s="66" t="s">
        <v>1254</v>
      </c>
      <c r="E221" s="17">
        <v>2719.57</v>
      </c>
      <c r="F221" s="17"/>
      <c r="G221" s="109">
        <f t="shared" si="13"/>
        <v>-95957.147397402572</v>
      </c>
    </row>
    <row r="222" spans="1:7">
      <c r="A222" t="s">
        <v>1512</v>
      </c>
      <c r="C222" s="140">
        <v>45471</v>
      </c>
      <c r="D222" s="66" t="s">
        <v>1249</v>
      </c>
      <c r="E222" s="189">
        <f>30000/76</f>
        <v>394.73684210526318</v>
      </c>
      <c r="F222" s="17"/>
      <c r="G222" s="109">
        <f t="shared" si="13"/>
        <v>-95562.410555297305</v>
      </c>
    </row>
    <row r="223" spans="1:7">
      <c r="A223" t="s">
        <v>1512</v>
      </c>
      <c r="C223" s="140">
        <v>45471</v>
      </c>
      <c r="D223" s="66" t="s">
        <v>1250</v>
      </c>
      <c r="E223" s="189">
        <f>977774/76</f>
        <v>12865.447368421053</v>
      </c>
      <c r="F223" s="17"/>
      <c r="G223" s="109">
        <f t="shared" si="13"/>
        <v>-82696.963186876252</v>
      </c>
    </row>
    <row r="224" spans="1:7">
      <c r="A224" t="s">
        <v>1512</v>
      </c>
      <c r="C224" s="140">
        <v>45471</v>
      </c>
      <c r="D224" s="66" t="s">
        <v>1251</v>
      </c>
      <c r="E224" s="189">
        <f>164448/76</f>
        <v>2163.7894736842104</v>
      </c>
      <c r="F224" s="17"/>
      <c r="G224" s="109">
        <f t="shared" si="13"/>
        <v>-80533.173713192038</v>
      </c>
    </row>
    <row r="225" spans="1:7">
      <c r="A225" t="s">
        <v>1512</v>
      </c>
      <c r="C225" s="140">
        <v>45473</v>
      </c>
      <c r="D225" s="66" t="s">
        <v>1215</v>
      </c>
      <c r="E225" s="189">
        <v>10000</v>
      </c>
      <c r="F225" s="17"/>
      <c r="G225" s="109">
        <f t="shared" si="13"/>
        <v>-70533.173713192038</v>
      </c>
    </row>
    <row r="226" spans="1:7">
      <c r="A226" t="s">
        <v>1512</v>
      </c>
      <c r="C226" s="140">
        <v>45473</v>
      </c>
      <c r="D226" s="66" t="s">
        <v>1215</v>
      </c>
      <c r="E226" s="189">
        <v>10000</v>
      </c>
      <c r="F226" s="17"/>
      <c r="G226" s="109">
        <f t="shared" si="13"/>
        <v>-60533.173713192038</v>
      </c>
    </row>
    <row r="227" spans="1:7">
      <c r="A227" t="s">
        <v>1512</v>
      </c>
      <c r="C227" s="40">
        <v>45474</v>
      </c>
      <c r="D227" s="66" t="s">
        <v>1390</v>
      </c>
      <c r="E227" s="205"/>
      <c r="F227" s="64">
        <f>1530*48</f>
        <v>73440</v>
      </c>
      <c r="G227" s="109">
        <f t="shared" si="13"/>
        <v>-133973.17371319205</v>
      </c>
    </row>
    <row r="228" spans="1:7">
      <c r="A228" t="s">
        <v>1512</v>
      </c>
      <c r="C228" s="40">
        <v>45474</v>
      </c>
      <c r="D228" s="66" t="s">
        <v>1215</v>
      </c>
      <c r="E228" s="205">
        <v>73200</v>
      </c>
      <c r="F228" s="64"/>
      <c r="G228" s="109">
        <f t="shared" ref="G228:G261" si="14">G227+E228-F228</f>
        <v>-60773.173713192053</v>
      </c>
    </row>
    <row r="229" spans="1:7">
      <c r="A229" t="s">
        <v>1512</v>
      </c>
      <c r="C229" s="40">
        <v>45474</v>
      </c>
      <c r="D229" s="66" t="s">
        <v>1331</v>
      </c>
      <c r="E229" s="205">
        <v>1050</v>
      </c>
      <c r="F229" s="64"/>
      <c r="G229" s="109">
        <f t="shared" si="14"/>
        <v>-59723.173713192053</v>
      </c>
    </row>
    <row r="230" spans="1:7">
      <c r="A230" t="s">
        <v>1512</v>
      </c>
      <c r="C230" s="40">
        <v>45474</v>
      </c>
      <c r="D230" s="66" t="s">
        <v>1332</v>
      </c>
      <c r="E230" s="205">
        <v>60</v>
      </c>
      <c r="F230" s="64"/>
      <c r="G230" s="109">
        <f t="shared" si="14"/>
        <v>-59663.173713192053</v>
      </c>
    </row>
    <row r="231" spans="1:7">
      <c r="C231" s="372">
        <v>45474</v>
      </c>
      <c r="D231" s="373" t="s">
        <v>1333</v>
      </c>
      <c r="E231" s="374">
        <f>L329</f>
        <v>11857.377800000002</v>
      </c>
      <c r="F231" s="64"/>
      <c r="G231" s="109">
        <f t="shared" si="14"/>
        <v>-47805.795913192051</v>
      </c>
    </row>
    <row r="232" spans="1:7" ht="17.55" customHeight="1">
      <c r="A232" t="s">
        <v>1512</v>
      </c>
      <c r="C232" s="40">
        <v>45474</v>
      </c>
      <c r="D232" s="66" t="s">
        <v>1338</v>
      </c>
      <c r="E232" s="205">
        <f>250000/76</f>
        <v>3289.4736842105262</v>
      </c>
      <c r="F232" s="64"/>
      <c r="G232" s="109">
        <f t="shared" si="14"/>
        <v>-44516.322228981524</v>
      </c>
    </row>
    <row r="233" spans="1:7">
      <c r="A233" t="s">
        <v>1512</v>
      </c>
      <c r="C233" s="40">
        <v>45475</v>
      </c>
      <c r="D233" s="66" t="s">
        <v>1387</v>
      </c>
      <c r="E233" s="205">
        <f>40000/76</f>
        <v>526.31578947368416</v>
      </c>
      <c r="F233" s="64"/>
      <c r="G233" s="109">
        <f t="shared" si="14"/>
        <v>-43990.006439507837</v>
      </c>
    </row>
    <row r="234" spans="1:7" ht="16.05" customHeight="1">
      <c r="A234" t="s">
        <v>1512</v>
      </c>
      <c r="C234" s="40">
        <v>45475</v>
      </c>
      <c r="D234" s="66" t="s">
        <v>1397</v>
      </c>
      <c r="E234" s="205">
        <f>60000/76</f>
        <v>789.47368421052636</v>
      </c>
      <c r="F234" s="64"/>
      <c r="G234" s="109">
        <f t="shared" si="14"/>
        <v>-43200.53275529731</v>
      </c>
    </row>
    <row r="235" spans="1:7">
      <c r="A235" t="s">
        <v>1512</v>
      </c>
      <c r="C235" s="40">
        <v>45479</v>
      </c>
      <c r="D235" s="66" t="s">
        <v>1429</v>
      </c>
      <c r="E235" s="205">
        <v>59.38</v>
      </c>
      <c r="F235" s="64"/>
      <c r="G235" s="109">
        <f t="shared" si="14"/>
        <v>-43141.152755297313</v>
      </c>
    </row>
    <row r="236" spans="1:7">
      <c r="A236" t="s">
        <v>1512</v>
      </c>
      <c r="C236" s="40">
        <v>45479</v>
      </c>
      <c r="D236" s="66" t="s">
        <v>1429</v>
      </c>
      <c r="E236" s="205">
        <v>10.62</v>
      </c>
      <c r="F236" s="64"/>
      <c r="G236" s="109">
        <f t="shared" si="14"/>
        <v>-43130.53275529731</v>
      </c>
    </row>
    <row r="237" spans="1:7">
      <c r="A237" t="s">
        <v>1512</v>
      </c>
      <c r="C237" s="40">
        <v>45479</v>
      </c>
      <c r="D237" s="66" t="s">
        <v>1431</v>
      </c>
      <c r="E237" s="205">
        <f>14000/76</f>
        <v>184.21052631578948</v>
      </c>
      <c r="F237" s="64"/>
      <c r="G237" s="109">
        <f t="shared" si="14"/>
        <v>-42946.322228981524</v>
      </c>
    </row>
    <row r="238" spans="1:7">
      <c r="A238" t="s">
        <v>1512</v>
      </c>
      <c r="C238" s="40">
        <v>45479</v>
      </c>
      <c r="D238" s="66" t="s">
        <v>1215</v>
      </c>
      <c r="E238" s="205">
        <v>50000</v>
      </c>
      <c r="F238" s="64"/>
      <c r="G238" s="109">
        <f t="shared" si="14"/>
        <v>7053.6777710184761</v>
      </c>
    </row>
    <row r="239" spans="1:7">
      <c r="A239" t="s">
        <v>1512</v>
      </c>
      <c r="C239" s="40">
        <v>45479</v>
      </c>
      <c r="D239" s="66" t="s">
        <v>1480</v>
      </c>
      <c r="E239" s="205">
        <v>87500</v>
      </c>
      <c r="F239" s="64"/>
      <c r="G239" s="109">
        <f t="shared" si="14"/>
        <v>94553.677771018469</v>
      </c>
    </row>
    <row r="240" spans="1:7">
      <c r="A240" t="s">
        <v>1512</v>
      </c>
      <c r="C240" s="140">
        <v>45482</v>
      </c>
      <c r="D240" s="66" t="s">
        <v>1482</v>
      </c>
      <c r="E240" s="205">
        <v>1860</v>
      </c>
      <c r="F240" s="64"/>
      <c r="G240" s="109">
        <f t="shared" si="14"/>
        <v>96413.677771018469</v>
      </c>
    </row>
    <row r="241" spans="1:7">
      <c r="A241" t="s">
        <v>1512</v>
      </c>
      <c r="C241" s="140">
        <v>45482</v>
      </c>
      <c r="D241" s="17" t="s">
        <v>1446</v>
      </c>
      <c r="E241" s="205">
        <v>1333</v>
      </c>
      <c r="F241" s="64"/>
      <c r="G241" s="109">
        <f t="shared" si="14"/>
        <v>97746.677771018469</v>
      </c>
    </row>
    <row r="242" spans="1:7">
      <c r="A242" t="s">
        <v>1512</v>
      </c>
      <c r="C242" s="40">
        <v>45484</v>
      </c>
      <c r="D242" s="66" t="s">
        <v>1552</v>
      </c>
      <c r="E242" s="205">
        <f>200000/76</f>
        <v>2631.5789473684213</v>
      </c>
      <c r="F242" s="64"/>
      <c r="G242" s="109">
        <f t="shared" si="14"/>
        <v>100378.2567183869</v>
      </c>
    </row>
    <row r="243" spans="1:7">
      <c r="A243" t="s">
        <v>1512</v>
      </c>
      <c r="C243" s="40">
        <v>45484</v>
      </c>
      <c r="D243" s="66" t="s">
        <v>1462</v>
      </c>
      <c r="E243" s="205">
        <v>20000</v>
      </c>
      <c r="F243" s="64"/>
      <c r="G243" s="109">
        <f t="shared" si="14"/>
        <v>120378.2567183869</v>
      </c>
    </row>
    <row r="244" spans="1:7">
      <c r="A244" t="s">
        <v>1512</v>
      </c>
      <c r="C244" s="40">
        <v>45484</v>
      </c>
      <c r="D244" s="66" t="s">
        <v>1551</v>
      </c>
      <c r="E244" s="205">
        <v>1000</v>
      </c>
      <c r="F244" s="64"/>
      <c r="G244" s="109">
        <f t="shared" si="14"/>
        <v>121378.2567183869</v>
      </c>
    </row>
    <row r="245" spans="1:7">
      <c r="A245" t="s">
        <v>1512</v>
      </c>
      <c r="C245" s="153">
        <v>45484</v>
      </c>
      <c r="D245" s="66" t="s">
        <v>1458</v>
      </c>
      <c r="E245" s="205">
        <v>100</v>
      </c>
      <c r="F245" s="64"/>
      <c r="G245" s="109">
        <f t="shared" si="14"/>
        <v>121478.2567183869</v>
      </c>
    </row>
    <row r="246" spans="1:7">
      <c r="A246" t="s">
        <v>1512</v>
      </c>
      <c r="C246" s="153">
        <v>45487</v>
      </c>
      <c r="D246" s="66" t="s">
        <v>1465</v>
      </c>
      <c r="E246" s="46">
        <v>90</v>
      </c>
      <c r="F246" s="46"/>
      <c r="G246" s="109">
        <f t="shared" si="14"/>
        <v>121568.2567183869</v>
      </c>
    </row>
    <row r="247" spans="1:7">
      <c r="A247" t="s">
        <v>1512</v>
      </c>
      <c r="C247" s="153">
        <v>45487</v>
      </c>
      <c r="D247" s="66" t="s">
        <v>1519</v>
      </c>
      <c r="E247" s="46">
        <v>20</v>
      </c>
      <c r="F247" s="64"/>
      <c r="G247" s="109">
        <f t="shared" si="14"/>
        <v>121588.2567183869</v>
      </c>
    </row>
    <row r="248" spans="1:7">
      <c r="A248" t="s">
        <v>1512</v>
      </c>
      <c r="C248" s="153">
        <v>45487</v>
      </c>
      <c r="D248" s="66" t="s">
        <v>1520</v>
      </c>
      <c r="E248" s="46">
        <v>1150</v>
      </c>
      <c r="F248" s="64"/>
      <c r="G248" s="109">
        <f t="shared" si="14"/>
        <v>122738.2567183869</v>
      </c>
    </row>
    <row r="249" spans="1:7">
      <c r="A249" t="s">
        <v>1512</v>
      </c>
      <c r="C249" s="153">
        <v>45491</v>
      </c>
      <c r="D249" s="66" t="s">
        <v>1422</v>
      </c>
      <c r="E249" s="46">
        <v>51000</v>
      </c>
      <c r="F249" s="64"/>
      <c r="G249" s="109">
        <f t="shared" si="14"/>
        <v>173738.2567183869</v>
      </c>
    </row>
    <row r="250" spans="1:7">
      <c r="A250" t="s">
        <v>1512</v>
      </c>
      <c r="C250" s="153">
        <v>45491</v>
      </c>
      <c r="D250" s="66" t="s">
        <v>1520</v>
      </c>
      <c r="E250" s="46">
        <v>950</v>
      </c>
      <c r="F250" s="64"/>
      <c r="G250" s="109">
        <f t="shared" si="14"/>
        <v>174688.2567183869</v>
      </c>
    </row>
    <row r="251" spans="1:7">
      <c r="A251" t="s">
        <v>1512</v>
      </c>
      <c r="C251" s="153">
        <v>45491</v>
      </c>
      <c r="D251" s="66" t="s">
        <v>1519</v>
      </c>
      <c r="E251" s="46">
        <v>20</v>
      </c>
      <c r="F251" s="64"/>
      <c r="G251" s="109">
        <f t="shared" si="14"/>
        <v>174708.2567183869</v>
      </c>
    </row>
    <row r="252" spans="1:7">
      <c r="A252" t="s">
        <v>1512</v>
      </c>
      <c r="C252" s="153">
        <v>45491</v>
      </c>
      <c r="D252" s="66" t="s">
        <v>1541</v>
      </c>
      <c r="E252" s="46">
        <v>20000</v>
      </c>
      <c r="F252" s="64"/>
      <c r="G252" s="109">
        <f t="shared" si="14"/>
        <v>194708.2567183869</v>
      </c>
    </row>
    <row r="253" spans="1:7">
      <c r="C253" s="153"/>
      <c r="D253" s="66"/>
      <c r="E253" s="46"/>
      <c r="F253" s="64"/>
      <c r="G253" s="109">
        <f t="shared" si="14"/>
        <v>194708.2567183869</v>
      </c>
    </row>
    <row r="254" spans="1:7">
      <c r="C254" s="153"/>
      <c r="D254" s="66"/>
      <c r="E254" s="46"/>
      <c r="F254" s="64"/>
      <c r="G254" s="109">
        <f t="shared" si="14"/>
        <v>194708.2567183869</v>
      </c>
    </row>
    <row r="255" spans="1:7">
      <c r="C255" s="153"/>
      <c r="D255" s="66"/>
      <c r="E255" s="46"/>
      <c r="F255" s="64"/>
      <c r="G255" s="109">
        <f t="shared" si="14"/>
        <v>194708.2567183869</v>
      </c>
    </row>
    <row r="256" spans="1:7">
      <c r="C256" s="153"/>
      <c r="D256" s="66"/>
      <c r="E256" s="46"/>
      <c r="F256" s="64"/>
      <c r="G256" s="109">
        <f t="shared" si="14"/>
        <v>194708.2567183869</v>
      </c>
    </row>
    <row r="257" spans="1:7">
      <c r="C257" s="153"/>
      <c r="D257" s="66"/>
      <c r="E257" s="46"/>
      <c r="F257" s="64"/>
      <c r="G257" s="109">
        <f t="shared" si="14"/>
        <v>194708.2567183869</v>
      </c>
    </row>
    <row r="258" spans="1:7">
      <c r="C258" s="153"/>
      <c r="D258" s="66"/>
      <c r="E258" s="46"/>
      <c r="F258" s="64"/>
      <c r="G258" s="109">
        <f t="shared" si="14"/>
        <v>194708.2567183869</v>
      </c>
    </row>
    <row r="259" spans="1:7">
      <c r="C259" s="40"/>
      <c r="D259" s="66"/>
      <c r="E259" s="205"/>
      <c r="F259" s="64"/>
      <c r="G259" s="109">
        <f t="shared" si="14"/>
        <v>194708.2567183869</v>
      </c>
    </row>
    <row r="260" spans="1:7">
      <c r="C260" s="17"/>
      <c r="D260" s="191"/>
      <c r="E260" s="17"/>
      <c r="F260" s="189"/>
      <c r="G260" s="109">
        <f t="shared" si="14"/>
        <v>194708.2567183869</v>
      </c>
    </row>
    <row r="261" spans="1:7">
      <c r="G261" s="200">
        <f t="shared" si="14"/>
        <v>194708.2567183869</v>
      </c>
    </row>
    <row r="262" spans="1:7">
      <c r="G262" s="252"/>
    </row>
    <row r="264" spans="1:7" ht="18">
      <c r="A264" t="s">
        <v>724</v>
      </c>
      <c r="D264" s="195" t="s">
        <v>844</v>
      </c>
    </row>
    <row r="265" spans="1:7" ht="18">
      <c r="C265" s="196" t="s">
        <v>13</v>
      </c>
      <c r="D265" s="196" t="s">
        <v>14</v>
      </c>
      <c r="E265" s="196" t="s">
        <v>15</v>
      </c>
      <c r="F265" s="196" t="s">
        <v>16</v>
      </c>
      <c r="G265" s="196" t="s">
        <v>17</v>
      </c>
    </row>
    <row r="266" spans="1:7">
      <c r="C266" s="17"/>
      <c r="D266" s="353" t="s">
        <v>470</v>
      </c>
      <c r="E266" s="17"/>
      <c r="F266" s="17"/>
      <c r="G266" s="109">
        <f>G106</f>
        <v>62989.653683116892</v>
      </c>
    </row>
    <row r="267" spans="1:7">
      <c r="C267" s="140"/>
      <c r="D267" s="364" t="s">
        <v>1188</v>
      </c>
      <c r="E267" s="64"/>
      <c r="F267" s="17"/>
      <c r="G267" s="109">
        <f>G266+E267-F267</f>
        <v>62989.653683116892</v>
      </c>
    </row>
    <row r="268" spans="1:7">
      <c r="A268" t="s">
        <v>1512</v>
      </c>
      <c r="C268" s="40">
        <v>45468</v>
      </c>
      <c r="D268" s="66" t="s">
        <v>1469</v>
      </c>
      <c r="E268" s="64">
        <f>12.5*474.46*2.44</f>
        <v>14471.029999999999</v>
      </c>
      <c r="F268" s="17"/>
      <c r="G268" s="109">
        <f t="shared" ref="G268:G271" si="15">G267+E268-F268</f>
        <v>77460.683683116891</v>
      </c>
    </row>
    <row r="269" spans="1:7">
      <c r="A269" t="s">
        <v>1512</v>
      </c>
      <c r="C269" s="40">
        <v>45468</v>
      </c>
      <c r="D269" s="66" t="s">
        <v>1468</v>
      </c>
      <c r="E269" s="64">
        <f>4512/94*12.5*2.44</f>
        <v>1464</v>
      </c>
      <c r="F269" s="17"/>
      <c r="G269" s="109">
        <f t="shared" si="15"/>
        <v>78924.683683116891</v>
      </c>
    </row>
    <row r="270" spans="1:7">
      <c r="A270" t="s">
        <v>1512</v>
      </c>
      <c r="C270" s="40">
        <v>45468</v>
      </c>
      <c r="D270" s="66" t="s">
        <v>1198</v>
      </c>
      <c r="E270" s="64">
        <f>74.96*12.5*2.44</f>
        <v>2286.2799999999997</v>
      </c>
      <c r="F270" s="17"/>
      <c r="G270" s="109">
        <f t="shared" si="15"/>
        <v>81210.96368311689</v>
      </c>
    </row>
    <row r="271" spans="1:7">
      <c r="A271" t="s">
        <v>1512</v>
      </c>
      <c r="C271" s="40">
        <v>45468</v>
      </c>
      <c r="D271" s="66" t="s">
        <v>1252</v>
      </c>
      <c r="E271" s="64">
        <v>1830</v>
      </c>
      <c r="F271" s="17"/>
      <c r="G271" s="109">
        <f t="shared" si="15"/>
        <v>83040.96368311689</v>
      </c>
    </row>
    <row r="272" spans="1:7">
      <c r="A272" t="s">
        <v>1512</v>
      </c>
      <c r="C272" s="40">
        <v>45468</v>
      </c>
      <c r="D272" s="66" t="s">
        <v>1253</v>
      </c>
      <c r="E272" s="64">
        <f>3687.51*2.44</f>
        <v>8997.5244000000002</v>
      </c>
      <c r="F272" s="17"/>
      <c r="G272" s="109">
        <f t="shared" ref="G272:G300" si="16">G271+E272-F272</f>
        <v>92038.488083116885</v>
      </c>
    </row>
    <row r="273" spans="1:7">
      <c r="A273" t="s">
        <v>1512</v>
      </c>
      <c r="C273" s="40">
        <v>45471</v>
      </c>
      <c r="D273" s="66" t="s">
        <v>1254</v>
      </c>
      <c r="E273" s="64"/>
      <c r="F273" s="17">
        <v>2726.09</v>
      </c>
      <c r="G273" s="109">
        <f t="shared" si="16"/>
        <v>89312.398083116888</v>
      </c>
    </row>
    <row r="274" spans="1:7">
      <c r="A274" t="s">
        <v>1512</v>
      </c>
      <c r="C274" s="40">
        <v>45471</v>
      </c>
      <c r="D274" s="66" t="s">
        <v>1254</v>
      </c>
      <c r="E274" s="64"/>
      <c r="F274" s="17">
        <v>6895.35</v>
      </c>
      <c r="G274" s="109">
        <f t="shared" si="16"/>
        <v>82417.048083116882</v>
      </c>
    </row>
    <row r="275" spans="1:7">
      <c r="A275" t="s">
        <v>1512</v>
      </c>
      <c r="C275" s="40">
        <v>45471</v>
      </c>
      <c r="D275" s="66" t="s">
        <v>1254</v>
      </c>
      <c r="E275" s="64"/>
      <c r="F275" s="17">
        <v>2719.57</v>
      </c>
      <c r="G275" s="109">
        <f t="shared" si="16"/>
        <v>79697.478083116875</v>
      </c>
    </row>
    <row r="276" spans="1:7">
      <c r="A276" t="s">
        <v>1512</v>
      </c>
      <c r="C276" s="40">
        <v>45471</v>
      </c>
      <c r="D276" s="66" t="s">
        <v>1249</v>
      </c>
      <c r="E276" s="64"/>
      <c r="F276" s="189">
        <f>30000/76</f>
        <v>394.73684210526318</v>
      </c>
      <c r="G276" s="109">
        <f t="shared" si="16"/>
        <v>79302.741241011609</v>
      </c>
    </row>
    <row r="277" spans="1:7">
      <c r="A277" t="s">
        <v>1512</v>
      </c>
      <c r="C277" s="40">
        <v>45471</v>
      </c>
      <c r="D277" s="66" t="s">
        <v>1250</v>
      </c>
      <c r="E277" s="64"/>
      <c r="F277" s="189">
        <f>977774/76</f>
        <v>12865.447368421053</v>
      </c>
      <c r="G277" s="109">
        <f t="shared" si="16"/>
        <v>66437.293872590555</v>
      </c>
    </row>
    <row r="278" spans="1:7">
      <c r="A278" t="s">
        <v>1512</v>
      </c>
      <c r="C278" s="40">
        <v>45471</v>
      </c>
      <c r="D278" s="66" t="s">
        <v>1251</v>
      </c>
      <c r="E278" s="64"/>
      <c r="F278" s="189">
        <f>164448/76</f>
        <v>2163.7894736842104</v>
      </c>
      <c r="G278" s="109">
        <f t="shared" si="16"/>
        <v>64273.504398906342</v>
      </c>
    </row>
    <row r="279" spans="1:7">
      <c r="C279" s="372">
        <v>45474</v>
      </c>
      <c r="D279" s="373" t="s">
        <v>1333</v>
      </c>
      <c r="E279" s="375">
        <f>L330</f>
        <v>11857.377800000002</v>
      </c>
      <c r="F279" s="17"/>
      <c r="G279" s="109">
        <f t="shared" si="16"/>
        <v>76130.882198906344</v>
      </c>
    </row>
    <row r="280" spans="1:7">
      <c r="A280" t="s">
        <v>1512</v>
      </c>
      <c r="C280" s="40">
        <v>45474</v>
      </c>
      <c r="D280" s="66" t="s">
        <v>1339</v>
      </c>
      <c r="E280" s="17"/>
      <c r="F280" s="64">
        <f>250000/76</f>
        <v>3289.4736842105262</v>
      </c>
      <c r="G280" s="109">
        <f t="shared" si="16"/>
        <v>72841.408514695824</v>
      </c>
    </row>
    <row r="281" spans="1:7">
      <c r="C281" s="40">
        <v>45473</v>
      </c>
      <c r="D281" s="66" t="s">
        <v>1472</v>
      </c>
      <c r="E281" s="205">
        <f>165/2*2.44</f>
        <v>201.29999999999998</v>
      </c>
      <c r="F281" s="64"/>
      <c r="G281" s="109">
        <f t="shared" si="16"/>
        <v>73042.708514695827</v>
      </c>
    </row>
    <row r="282" spans="1:7">
      <c r="C282" s="40">
        <v>45473</v>
      </c>
      <c r="D282" s="66" t="s">
        <v>1364</v>
      </c>
      <c r="E282" s="17">
        <f>500*2*2.44</f>
        <v>2440</v>
      </c>
      <c r="F282" s="64"/>
      <c r="G282" s="109">
        <f t="shared" si="16"/>
        <v>75482.708514695827</v>
      </c>
    </row>
    <row r="283" spans="1:7">
      <c r="C283" s="40">
        <v>45473</v>
      </c>
      <c r="D283" s="66" t="s">
        <v>1400</v>
      </c>
      <c r="E283" s="17">
        <f>1960*2.44</f>
        <v>4782.3999999999996</v>
      </c>
      <c r="F283" s="64"/>
      <c r="G283" s="109">
        <f t="shared" si="16"/>
        <v>80265.108514695821</v>
      </c>
    </row>
    <row r="284" spans="1:7">
      <c r="C284" s="40">
        <v>45473</v>
      </c>
      <c r="D284" s="66" t="s">
        <v>1401</v>
      </c>
      <c r="E284" s="17">
        <f>80*2.44</f>
        <v>195.2</v>
      </c>
      <c r="F284" s="64"/>
      <c r="G284" s="109">
        <f t="shared" si="16"/>
        <v>80460.308514695818</v>
      </c>
    </row>
    <row r="285" spans="1:7">
      <c r="A285" t="s">
        <v>1512</v>
      </c>
      <c r="C285" s="40">
        <v>45475</v>
      </c>
      <c r="D285" s="66" t="s">
        <v>1388</v>
      </c>
      <c r="E285" s="17"/>
      <c r="F285" s="64">
        <f>40000/76</f>
        <v>526.31578947368416</v>
      </c>
      <c r="G285" s="109">
        <f t="shared" si="16"/>
        <v>79933.992725222139</v>
      </c>
    </row>
    <row r="286" spans="1:7">
      <c r="A286" t="s">
        <v>1512</v>
      </c>
      <c r="C286" s="40">
        <v>45475</v>
      </c>
      <c r="D286" s="66" t="s">
        <v>1396</v>
      </c>
      <c r="E286" s="17"/>
      <c r="F286" s="64">
        <f>60000/76</f>
        <v>789.47368421052636</v>
      </c>
      <c r="G286" s="109">
        <f t="shared" si="16"/>
        <v>79144.519041011619</v>
      </c>
    </row>
    <row r="287" spans="1:7">
      <c r="C287" s="40">
        <v>45477</v>
      </c>
      <c r="D287" s="66" t="s">
        <v>1476</v>
      </c>
      <c r="E287" s="17">
        <f>89*2.44</f>
        <v>217.16</v>
      </c>
      <c r="F287" s="64"/>
      <c r="G287" s="109">
        <f t="shared" si="16"/>
        <v>79361.679041011623</v>
      </c>
    </row>
    <row r="288" spans="1:7">
      <c r="C288" s="40">
        <v>45477</v>
      </c>
      <c r="D288" s="66" t="s">
        <v>1477</v>
      </c>
      <c r="E288" s="17">
        <f>86*2.44</f>
        <v>209.84</v>
      </c>
      <c r="F288" s="64"/>
      <c r="G288" s="109">
        <f t="shared" si="16"/>
        <v>79571.519041011619</v>
      </c>
    </row>
    <row r="289" spans="1:7">
      <c r="B289" t="s">
        <v>982</v>
      </c>
      <c r="C289" s="40">
        <v>45477</v>
      </c>
      <c r="D289" s="66" t="s">
        <v>1478</v>
      </c>
      <c r="E289" s="17">
        <f>209*2.44</f>
        <v>509.96</v>
      </c>
      <c r="F289" s="64"/>
      <c r="G289" s="109">
        <f t="shared" si="16"/>
        <v>80081.479041011626</v>
      </c>
    </row>
    <row r="290" spans="1:7">
      <c r="B290" t="s">
        <v>982</v>
      </c>
      <c r="C290" s="40">
        <v>45477</v>
      </c>
      <c r="D290" s="66" t="s">
        <v>1479</v>
      </c>
      <c r="E290" s="17">
        <f>76*2.44</f>
        <v>185.44</v>
      </c>
      <c r="F290" s="64"/>
      <c r="G290" s="109">
        <f t="shared" si="16"/>
        <v>80266.919041011628</v>
      </c>
    </row>
    <row r="291" spans="1:7">
      <c r="B291" t="s">
        <v>982</v>
      </c>
      <c r="C291" s="40">
        <v>45477</v>
      </c>
      <c r="D291" s="66" t="s">
        <v>1484</v>
      </c>
      <c r="E291" s="17">
        <f>(290+710)*2.44</f>
        <v>2440</v>
      </c>
      <c r="F291" s="64"/>
      <c r="G291" s="109">
        <f t="shared" si="16"/>
        <v>82706.919041011628</v>
      </c>
    </row>
    <row r="292" spans="1:7">
      <c r="A292" t="s">
        <v>1512</v>
      </c>
      <c r="B292" t="s">
        <v>982</v>
      </c>
      <c r="C292" s="40">
        <v>45478</v>
      </c>
      <c r="D292" s="66" t="s">
        <v>1481</v>
      </c>
      <c r="E292" s="17"/>
      <c r="F292" s="64">
        <v>87500</v>
      </c>
      <c r="G292" s="109">
        <f t="shared" si="16"/>
        <v>-4793.080958988372</v>
      </c>
    </row>
    <row r="293" spans="1:7">
      <c r="A293" t="s">
        <v>1512</v>
      </c>
      <c r="C293" s="40">
        <v>45479</v>
      </c>
      <c r="D293" s="66" t="s">
        <v>1430</v>
      </c>
      <c r="E293" s="64"/>
      <c r="F293" s="205">
        <v>59.38</v>
      </c>
      <c r="G293" s="109">
        <f t="shared" si="16"/>
        <v>-4852.4609589883721</v>
      </c>
    </row>
    <row r="294" spans="1:7">
      <c r="A294" t="s">
        <v>1512</v>
      </c>
      <c r="C294" s="40">
        <v>45479</v>
      </c>
      <c r="D294" s="66" t="s">
        <v>1430</v>
      </c>
      <c r="E294" s="64"/>
      <c r="F294" s="205">
        <v>10.62</v>
      </c>
      <c r="G294" s="109">
        <f t="shared" si="16"/>
        <v>-4863.080958988372</v>
      </c>
    </row>
    <row r="295" spans="1:7">
      <c r="A295" t="s">
        <v>1512</v>
      </c>
      <c r="C295" s="40">
        <v>45479</v>
      </c>
      <c r="D295" s="66" t="s">
        <v>1431</v>
      </c>
      <c r="E295" s="205"/>
      <c r="F295" s="189">
        <f>14000/76</f>
        <v>184.21052631578948</v>
      </c>
      <c r="G295" s="109">
        <f t="shared" si="16"/>
        <v>-5047.2914853041611</v>
      </c>
    </row>
    <row r="296" spans="1:7">
      <c r="A296" t="s">
        <v>1512</v>
      </c>
      <c r="B296" t="s">
        <v>982</v>
      </c>
      <c r="C296" s="40">
        <v>45484</v>
      </c>
      <c r="D296" s="66" t="s">
        <v>1485</v>
      </c>
      <c r="E296" s="205"/>
      <c r="F296" s="189">
        <f>200000/76</f>
        <v>2631.5789473684213</v>
      </c>
      <c r="G296" s="109">
        <f t="shared" si="16"/>
        <v>-7678.870432672582</v>
      </c>
    </row>
    <row r="297" spans="1:7">
      <c r="C297" s="40"/>
      <c r="D297" s="66"/>
      <c r="E297" s="205"/>
      <c r="F297" s="189"/>
      <c r="G297" s="109">
        <f t="shared" si="16"/>
        <v>-7678.870432672582</v>
      </c>
    </row>
    <row r="298" spans="1:7">
      <c r="C298" s="40"/>
      <c r="D298" s="66"/>
      <c r="E298" s="205"/>
      <c r="F298" s="189"/>
      <c r="G298" s="109">
        <f t="shared" si="16"/>
        <v>-7678.870432672582</v>
      </c>
    </row>
    <row r="299" spans="1:7">
      <c r="C299" s="17"/>
      <c r="D299" s="191"/>
      <c r="E299" s="17"/>
      <c r="F299" s="189"/>
      <c r="G299" s="109">
        <f t="shared" si="16"/>
        <v>-7678.870432672582</v>
      </c>
    </row>
    <row r="300" spans="1:7">
      <c r="G300" s="200">
        <f t="shared" si="16"/>
        <v>-7678.870432672582</v>
      </c>
    </row>
    <row r="301" spans="1:7">
      <c r="G301" s="252"/>
    </row>
    <row r="305" spans="1:10" ht="18">
      <c r="C305" s="195" t="s">
        <v>1197</v>
      </c>
    </row>
    <row r="306" spans="1:10" ht="17.399999999999999">
      <c r="C306" s="46"/>
      <c r="D306" s="138" t="s">
        <v>1192</v>
      </c>
      <c r="E306" s="46"/>
      <c r="F306" s="146"/>
      <c r="G306" s="17"/>
    </row>
    <row r="307" spans="1:10">
      <c r="C307" s="137" t="s">
        <v>13</v>
      </c>
      <c r="D307" s="137" t="s">
        <v>256</v>
      </c>
      <c r="E307" s="137" t="s">
        <v>456</v>
      </c>
      <c r="F307" s="139" t="s">
        <v>8</v>
      </c>
      <c r="G307" s="137" t="s">
        <v>457</v>
      </c>
      <c r="J307">
        <f>4512/94</f>
        <v>48</v>
      </c>
    </row>
    <row r="308" spans="1:10">
      <c r="C308" s="46"/>
      <c r="D308" s="46"/>
      <c r="E308" s="46"/>
      <c r="F308" s="146"/>
      <c r="G308" s="17"/>
      <c r="J308">
        <v>522.04</v>
      </c>
    </row>
    <row r="309" spans="1:10">
      <c r="A309" t="s">
        <v>1512</v>
      </c>
      <c r="B309" t="s">
        <v>982</v>
      </c>
      <c r="C309" s="40">
        <v>45468</v>
      </c>
      <c r="D309" s="66" t="s">
        <v>1318</v>
      </c>
      <c r="E309" s="64">
        <f>57.5*474</f>
        <v>27255</v>
      </c>
      <c r="F309" s="144">
        <v>2.44</v>
      </c>
      <c r="G309" s="143">
        <f>E309*F309</f>
        <v>66502.2</v>
      </c>
      <c r="J309">
        <f>J308-J307</f>
        <v>474.03999999999996</v>
      </c>
    </row>
    <row r="310" spans="1:10">
      <c r="A310" t="s">
        <v>1512</v>
      </c>
      <c r="B310" t="s">
        <v>982</v>
      </c>
      <c r="C310" s="40">
        <v>45468</v>
      </c>
      <c r="D310" s="66" t="s">
        <v>1319</v>
      </c>
      <c r="E310" s="222">
        <f>24*474</f>
        <v>11376</v>
      </c>
      <c r="F310" s="144">
        <v>2.44</v>
      </c>
      <c r="G310" s="143">
        <f t="shared" ref="G310:G317" si="17">E310*F310</f>
        <v>27757.439999999999</v>
      </c>
    </row>
    <row r="311" spans="1:10" ht="18.45" customHeight="1">
      <c r="A311" t="s">
        <v>1512</v>
      </c>
      <c r="B311" t="s">
        <v>982</v>
      </c>
      <c r="C311" s="40">
        <v>45468</v>
      </c>
      <c r="D311" s="66" t="s">
        <v>1320</v>
      </c>
      <c r="E311" s="222">
        <f>12.5*474</f>
        <v>5925</v>
      </c>
      <c r="F311" s="144">
        <v>2.44</v>
      </c>
      <c r="G311" s="143">
        <f t="shared" si="17"/>
        <v>14457</v>
      </c>
    </row>
    <row r="312" spans="1:10">
      <c r="A312" t="s">
        <v>1512</v>
      </c>
      <c r="B312" t="s">
        <v>982</v>
      </c>
      <c r="C312" s="40"/>
      <c r="D312" s="66" t="s">
        <v>1317</v>
      </c>
      <c r="E312" s="222">
        <v>4512</v>
      </c>
      <c r="F312" s="144">
        <v>2.44</v>
      </c>
      <c r="G312" s="143">
        <f t="shared" si="17"/>
        <v>11009.28</v>
      </c>
    </row>
    <row r="313" spans="1:10">
      <c r="A313" t="s">
        <v>1512</v>
      </c>
      <c r="B313" t="s">
        <v>982</v>
      </c>
      <c r="C313" s="40"/>
      <c r="D313" s="66" t="s">
        <v>1470</v>
      </c>
      <c r="E313" s="222">
        <v>-4512</v>
      </c>
      <c r="F313" s="144">
        <v>2.44</v>
      </c>
      <c r="G313" s="143">
        <f t="shared" si="17"/>
        <v>-11009.28</v>
      </c>
    </row>
    <row r="314" spans="1:10">
      <c r="A314" t="s">
        <v>1512</v>
      </c>
      <c r="B314" t="s">
        <v>982</v>
      </c>
      <c r="C314" s="40">
        <v>45468</v>
      </c>
      <c r="D314" s="256" t="s">
        <v>1194</v>
      </c>
      <c r="E314" s="361">
        <f>94*74.96</f>
        <v>7046.24</v>
      </c>
      <c r="F314" s="362">
        <v>2.44</v>
      </c>
      <c r="G314" s="363">
        <f>E314*F314</f>
        <v>17192.8256</v>
      </c>
    </row>
    <row r="315" spans="1:10">
      <c r="A315" t="s">
        <v>1512</v>
      </c>
      <c r="B315" t="s">
        <v>982</v>
      </c>
      <c r="C315" s="17"/>
      <c r="D315" s="371" t="s">
        <v>1471</v>
      </c>
      <c r="E315">
        <v>-7064.24</v>
      </c>
      <c r="F315" s="199">
        <v>2.44</v>
      </c>
      <c r="G315" s="197">
        <f>E315*F315</f>
        <v>-17236.745599999998</v>
      </c>
    </row>
    <row r="316" spans="1:10" ht="28.8">
      <c r="A316" t="s">
        <v>1512</v>
      </c>
      <c r="B316" t="s">
        <v>982</v>
      </c>
      <c r="C316" s="40">
        <v>45468</v>
      </c>
      <c r="D316" s="66" t="s">
        <v>1193</v>
      </c>
      <c r="E316" s="141">
        <v>750</v>
      </c>
      <c r="F316" s="144">
        <v>2.44</v>
      </c>
      <c r="G316" s="143">
        <f t="shared" si="17"/>
        <v>1830</v>
      </c>
    </row>
    <row r="317" spans="1:10">
      <c r="A317" t="s">
        <v>1512</v>
      </c>
      <c r="B317" t="s">
        <v>982</v>
      </c>
      <c r="C317" s="40">
        <v>45468</v>
      </c>
      <c r="D317" s="66" t="s">
        <v>1195</v>
      </c>
      <c r="E317" s="141">
        <v>3687.51</v>
      </c>
      <c r="F317" s="144">
        <v>2.44</v>
      </c>
      <c r="G317" s="143">
        <f t="shared" si="17"/>
        <v>8997.5244000000002</v>
      </c>
    </row>
    <row r="318" spans="1:10">
      <c r="A318" t="s">
        <v>1512</v>
      </c>
      <c r="C318" s="140">
        <v>45469</v>
      </c>
      <c r="D318" s="17" t="s">
        <v>888</v>
      </c>
      <c r="E318" s="328"/>
      <c r="F318" s="144" t="s">
        <v>1139</v>
      </c>
      <c r="G318" s="143">
        <v>25</v>
      </c>
    </row>
    <row r="319" spans="1:10">
      <c r="A319" t="s">
        <v>1512</v>
      </c>
      <c r="C319" s="140">
        <v>45471</v>
      </c>
      <c r="D319" s="17" t="s">
        <v>888</v>
      </c>
      <c r="E319" s="328"/>
      <c r="F319" s="144" t="s">
        <v>1139</v>
      </c>
      <c r="G319" s="143">
        <v>50</v>
      </c>
    </row>
    <row r="320" spans="1:10">
      <c r="A320" t="s">
        <v>1512</v>
      </c>
      <c r="C320" s="140">
        <v>45471</v>
      </c>
      <c r="D320" s="66" t="s">
        <v>1234</v>
      </c>
      <c r="E320" s="198"/>
      <c r="F320" s="144" t="s">
        <v>1139</v>
      </c>
      <c r="G320" s="143">
        <v>100</v>
      </c>
    </row>
    <row r="321" spans="1:12" ht="15.6">
      <c r="A321" t="s">
        <v>1512</v>
      </c>
      <c r="C321" s="140">
        <v>45472</v>
      </c>
      <c r="D321" s="66" t="s">
        <v>1247</v>
      </c>
      <c r="E321" s="198"/>
      <c r="F321" s="144"/>
      <c r="G321" s="143">
        <v>60</v>
      </c>
      <c r="K321" s="186" t="s">
        <v>1229</v>
      </c>
    </row>
    <row r="322" spans="1:12">
      <c r="A322" t="s">
        <v>1512</v>
      </c>
      <c r="C322" s="140">
        <v>45472</v>
      </c>
      <c r="D322" s="66" t="s">
        <v>1248</v>
      </c>
      <c r="E322" s="198"/>
      <c r="F322" s="144"/>
      <c r="G322" s="143">
        <v>1350</v>
      </c>
      <c r="K322" s="135" t="s">
        <v>573</v>
      </c>
      <c r="L322" s="184">
        <f>G326</f>
        <v>121085.2444</v>
      </c>
    </row>
    <row r="323" spans="1:12">
      <c r="C323" s="17"/>
      <c r="D323" s="17"/>
      <c r="E323" s="17"/>
      <c r="F323" s="17"/>
      <c r="G323" s="17"/>
      <c r="K323" s="135" t="s">
        <v>574</v>
      </c>
      <c r="L323" s="184">
        <f>F336</f>
        <v>146020</v>
      </c>
    </row>
    <row r="324" spans="1:12">
      <c r="C324" s="17"/>
      <c r="D324" s="17"/>
      <c r="E324" s="17"/>
      <c r="F324" s="17"/>
      <c r="G324" s="17"/>
      <c r="K324" s="135"/>
      <c r="L324" s="184"/>
    </row>
    <row r="325" spans="1:12">
      <c r="C325" s="140"/>
      <c r="D325" s="17"/>
      <c r="E325" s="198"/>
      <c r="F325" s="144" t="s">
        <v>1139</v>
      </c>
      <c r="G325" s="143"/>
      <c r="K325" s="185" t="s">
        <v>575</v>
      </c>
      <c r="L325" s="187">
        <f>L323-L322</f>
        <v>24934.755600000004</v>
      </c>
    </row>
    <row r="326" spans="1:12" ht="30.6">
      <c r="C326" s="140"/>
      <c r="D326" s="120" t="s">
        <v>660</v>
      </c>
      <c r="E326" s="198"/>
      <c r="F326" s="199"/>
      <c r="G326" s="223">
        <f>SUM(G309:G325)</f>
        <v>121085.2444</v>
      </c>
      <c r="I326" s="184">
        <f>G326/94</f>
        <v>1288.1408978723405</v>
      </c>
      <c r="K326" s="253" t="s">
        <v>1336</v>
      </c>
      <c r="L326" s="1">
        <f>500*2.44</f>
        <v>1220</v>
      </c>
    </row>
    <row r="327" spans="1:12" ht="15" thickBot="1">
      <c r="K327" s="253"/>
      <c r="L327" s="1"/>
    </row>
    <row r="328" spans="1:12" ht="18" thickBot="1">
      <c r="C328" s="86"/>
      <c r="D328" s="110" t="s">
        <v>1196</v>
      </c>
      <c r="E328" s="86"/>
      <c r="F328" s="145"/>
      <c r="K328" s="151" t="s">
        <v>835</v>
      </c>
      <c r="L328" s="188">
        <f>L325-L326</f>
        <v>23714.755600000004</v>
      </c>
    </row>
    <row r="329" spans="1:12">
      <c r="C329" s="147" t="s">
        <v>13</v>
      </c>
      <c r="D329" s="148" t="s">
        <v>256</v>
      </c>
      <c r="E329" s="148" t="s">
        <v>10</v>
      </c>
      <c r="F329" s="149" t="s">
        <v>257</v>
      </c>
      <c r="K329" t="s">
        <v>576</v>
      </c>
      <c r="L329" s="184">
        <f>L328/2</f>
        <v>11857.377800000002</v>
      </c>
    </row>
    <row r="330" spans="1:12">
      <c r="C330" s="46"/>
      <c r="D330" s="46"/>
      <c r="E330" s="46"/>
      <c r="F330" s="146"/>
      <c r="K330" t="s">
        <v>577</v>
      </c>
      <c r="L330" s="184">
        <f>L328/2</f>
        <v>11857.377800000002</v>
      </c>
    </row>
    <row r="331" spans="1:12">
      <c r="A331" t="s">
        <v>1512</v>
      </c>
      <c r="B331" t="s">
        <v>982</v>
      </c>
      <c r="C331" s="40">
        <v>45469</v>
      </c>
      <c r="D331" s="66" t="s">
        <v>1228</v>
      </c>
      <c r="E331" s="64">
        <f>26*1580</f>
        <v>41080</v>
      </c>
      <c r="F331" s="144">
        <f>F330+E331</f>
        <v>41080</v>
      </c>
    </row>
    <row r="332" spans="1:12">
      <c r="A332" t="s">
        <v>1512</v>
      </c>
      <c r="B332" t="s">
        <v>982</v>
      </c>
      <c r="C332" s="40">
        <v>45471</v>
      </c>
      <c r="D332" s="66" t="s">
        <v>1233</v>
      </c>
      <c r="E332" s="64">
        <v>31500</v>
      </c>
      <c r="F332" s="144">
        <f>F331+E332</f>
        <v>72580</v>
      </c>
    </row>
    <row r="333" spans="1:12">
      <c r="A333" t="s">
        <v>1512</v>
      </c>
      <c r="B333" t="s">
        <v>982</v>
      </c>
      <c r="C333" s="40">
        <v>45474</v>
      </c>
      <c r="D333" s="66" t="s">
        <v>1390</v>
      </c>
      <c r="E333" s="64">
        <f>1530*48</f>
        <v>73440</v>
      </c>
      <c r="F333" s="199">
        <f t="shared" ref="F333:F336" si="18">F332+E333</f>
        <v>146020</v>
      </c>
    </row>
    <row r="334" spans="1:12">
      <c r="C334" s="40"/>
      <c r="D334" s="66"/>
      <c r="E334" s="64"/>
      <c r="F334" s="144">
        <f t="shared" si="18"/>
        <v>146020</v>
      </c>
    </row>
    <row r="335" spans="1:12" ht="18">
      <c r="C335" s="140"/>
      <c r="D335" s="166"/>
      <c r="E335" s="64"/>
      <c r="F335" s="144">
        <f t="shared" si="18"/>
        <v>146020</v>
      </c>
    </row>
    <row r="336" spans="1:12" ht="16.2">
      <c r="C336" s="140"/>
      <c r="D336" s="142" t="s">
        <v>458</v>
      </c>
      <c r="E336" s="141"/>
      <c r="F336" s="150">
        <f t="shared" si="18"/>
        <v>146020</v>
      </c>
    </row>
    <row r="338" spans="1:7" s="376" customFormat="1"/>
    <row r="341" spans="1:7" ht="18">
      <c r="C341" s="195" t="s">
        <v>1350</v>
      </c>
    </row>
    <row r="342" spans="1:7" ht="17.399999999999999">
      <c r="C342" s="46"/>
      <c r="D342" s="138" t="s">
        <v>1351</v>
      </c>
      <c r="E342" s="46"/>
      <c r="F342" s="146"/>
      <c r="G342" s="17"/>
    </row>
    <row r="343" spans="1:7">
      <c r="C343" s="137" t="s">
        <v>13</v>
      </c>
      <c r="D343" s="137" t="s">
        <v>256</v>
      </c>
      <c r="E343" s="137" t="s">
        <v>456</v>
      </c>
      <c r="F343" s="139" t="s">
        <v>8</v>
      </c>
      <c r="G343" s="137" t="s">
        <v>457</v>
      </c>
    </row>
    <row r="344" spans="1:7">
      <c r="C344" s="46"/>
      <c r="D344" s="46"/>
      <c r="E344" s="46"/>
      <c r="F344" s="146"/>
      <c r="G344" s="17"/>
    </row>
    <row r="345" spans="1:7">
      <c r="A345" t="s">
        <v>1512</v>
      </c>
      <c r="C345" s="140">
        <v>45474</v>
      </c>
      <c r="D345" s="66" t="s">
        <v>1331</v>
      </c>
      <c r="E345" s="198"/>
      <c r="F345" s="144"/>
      <c r="G345" s="143">
        <v>60</v>
      </c>
    </row>
    <row r="346" spans="1:7">
      <c r="A346" t="s">
        <v>1512</v>
      </c>
      <c r="C346" s="140">
        <v>45474</v>
      </c>
      <c r="D346" s="66" t="s">
        <v>1332</v>
      </c>
      <c r="E346" s="198"/>
      <c r="F346" s="144"/>
      <c r="G346" s="143">
        <v>1050</v>
      </c>
    </row>
    <row r="347" spans="1:7">
      <c r="A347" t="s">
        <v>1512</v>
      </c>
      <c r="C347" s="40">
        <v>45473</v>
      </c>
      <c r="D347" s="66" t="s">
        <v>1352</v>
      </c>
      <c r="E347" s="222">
        <v>165</v>
      </c>
      <c r="F347" s="144">
        <v>2.44</v>
      </c>
      <c r="G347" s="143">
        <f t="shared" ref="G347:G349" si="19">E347*F347</f>
        <v>402.59999999999997</v>
      </c>
    </row>
    <row r="348" spans="1:7">
      <c r="A348" t="s">
        <v>1512</v>
      </c>
      <c r="C348" s="40">
        <v>45473</v>
      </c>
      <c r="D348" s="66" t="s">
        <v>1353</v>
      </c>
      <c r="E348" s="222">
        <f>4*500</f>
        <v>2000</v>
      </c>
      <c r="F348" s="144">
        <v>2.44</v>
      </c>
      <c r="G348" s="143">
        <f t="shared" si="19"/>
        <v>4880</v>
      </c>
    </row>
    <row r="349" spans="1:7">
      <c r="A349" t="s">
        <v>1512</v>
      </c>
      <c r="C349" s="40">
        <v>45473</v>
      </c>
      <c r="D349" s="66" t="s">
        <v>1354</v>
      </c>
      <c r="E349" s="222">
        <f>3*500</f>
        <v>1500</v>
      </c>
      <c r="F349" s="144">
        <v>2.44</v>
      </c>
      <c r="G349" s="143">
        <f t="shared" si="19"/>
        <v>3660</v>
      </c>
    </row>
    <row r="350" spans="1:7">
      <c r="A350" t="s">
        <v>1512</v>
      </c>
      <c r="C350" s="40">
        <v>45473</v>
      </c>
      <c r="D350" s="66" t="s">
        <v>1355</v>
      </c>
      <c r="E350" s="222">
        <f>2*500</f>
        <v>1000</v>
      </c>
      <c r="F350" s="199">
        <v>2.44</v>
      </c>
      <c r="G350" s="197">
        <f>E350*F350</f>
        <v>2440</v>
      </c>
    </row>
    <row r="351" spans="1:7">
      <c r="A351" t="s">
        <v>1512</v>
      </c>
      <c r="C351" s="40">
        <v>45473</v>
      </c>
      <c r="D351" s="66" t="s">
        <v>1356</v>
      </c>
      <c r="E351">
        <f>3*522</f>
        <v>1566</v>
      </c>
      <c r="F351" s="199">
        <v>2.44</v>
      </c>
      <c r="G351" s="197">
        <f>E351*F351</f>
        <v>3821.04</v>
      </c>
    </row>
    <row r="352" spans="1:7">
      <c r="A352" t="s">
        <v>1512</v>
      </c>
      <c r="C352" s="40">
        <v>45473</v>
      </c>
      <c r="D352" s="66" t="s">
        <v>1357</v>
      </c>
      <c r="E352" s="141">
        <v>522</v>
      </c>
      <c r="F352" s="144">
        <v>2.44</v>
      </c>
      <c r="G352" s="143">
        <f t="shared" ref="G352:G356" si="20">E352*F352</f>
        <v>1273.68</v>
      </c>
    </row>
    <row r="353" spans="1:9">
      <c r="A353" t="s">
        <v>1512</v>
      </c>
      <c r="C353" s="40">
        <v>45473</v>
      </c>
      <c r="D353" s="66" t="s">
        <v>1359</v>
      </c>
      <c r="E353" s="141">
        <f>46*522</f>
        <v>24012</v>
      </c>
      <c r="F353" s="144">
        <v>2.44</v>
      </c>
      <c r="G353" s="143">
        <f t="shared" si="20"/>
        <v>58589.279999999999</v>
      </c>
    </row>
    <row r="354" spans="1:9">
      <c r="A354" t="s">
        <v>1512</v>
      </c>
      <c r="C354" s="40">
        <v>45473</v>
      </c>
      <c r="D354" s="17" t="s">
        <v>1358</v>
      </c>
      <c r="E354" s="328">
        <f>46*75</f>
        <v>3450</v>
      </c>
      <c r="F354" s="144">
        <v>2.44</v>
      </c>
      <c r="G354" s="143">
        <f t="shared" si="20"/>
        <v>8418</v>
      </c>
    </row>
    <row r="355" spans="1:9">
      <c r="A355" t="s">
        <v>1512</v>
      </c>
      <c r="C355" s="40">
        <v>45473</v>
      </c>
      <c r="D355" s="17" t="s">
        <v>1360</v>
      </c>
      <c r="E355" s="328">
        <f>-46*75</f>
        <v>-3450</v>
      </c>
      <c r="F355" s="144">
        <v>2.44</v>
      </c>
      <c r="G355" s="143">
        <f t="shared" si="20"/>
        <v>-8418</v>
      </c>
    </row>
    <row r="356" spans="1:9">
      <c r="A356" t="s">
        <v>1512</v>
      </c>
      <c r="C356" s="140">
        <v>45471</v>
      </c>
      <c r="D356" s="66" t="s">
        <v>1362</v>
      </c>
      <c r="E356" s="198">
        <v>2723.08</v>
      </c>
      <c r="F356" s="144">
        <v>2.44</v>
      </c>
      <c r="G356" s="143">
        <f t="shared" si="20"/>
        <v>6644.3152</v>
      </c>
    </row>
    <row r="357" spans="1:9">
      <c r="A357" t="s">
        <v>724</v>
      </c>
      <c r="C357" s="140"/>
      <c r="D357" s="66" t="s">
        <v>1473</v>
      </c>
      <c r="E357" s="198"/>
      <c r="F357" s="144"/>
      <c r="G357" s="143"/>
    </row>
    <row r="358" spans="1:9">
      <c r="C358" s="140"/>
      <c r="D358" s="66"/>
      <c r="E358" s="198"/>
      <c r="F358" s="144"/>
      <c r="G358" s="143"/>
    </row>
    <row r="359" spans="1:9">
      <c r="C359" s="140"/>
      <c r="D359" s="66"/>
      <c r="E359" s="198"/>
      <c r="F359" s="144"/>
      <c r="G359" s="143"/>
    </row>
    <row r="360" spans="1:9">
      <c r="C360" s="140"/>
      <c r="D360" s="66"/>
      <c r="E360" s="198"/>
      <c r="F360" s="144"/>
      <c r="G360" s="143"/>
    </row>
    <row r="361" spans="1:9">
      <c r="C361" s="140"/>
      <c r="D361" s="17"/>
      <c r="E361" s="198"/>
      <c r="F361" s="144" t="s">
        <v>1139</v>
      </c>
      <c r="G361" s="143"/>
    </row>
    <row r="362" spans="1:9" ht="16.2">
      <c r="C362" s="140"/>
      <c r="D362" s="120" t="s">
        <v>660</v>
      </c>
      <c r="E362" s="198"/>
      <c r="F362" s="199"/>
      <c r="G362" s="223">
        <f>SUM(G345:G361)</f>
        <v>82820.915200000003</v>
      </c>
      <c r="I362" s="184">
        <f>G362/59</f>
        <v>1403.7443254237289</v>
      </c>
    </row>
    <row r="363" spans="1:9" ht="15" thickBot="1"/>
    <row r="364" spans="1:9" ht="18" thickBot="1">
      <c r="C364" s="86"/>
      <c r="D364" s="110" t="s">
        <v>1363</v>
      </c>
      <c r="E364" s="86"/>
      <c r="F364" s="145"/>
    </row>
    <row r="365" spans="1:9">
      <c r="C365" s="147" t="s">
        <v>13</v>
      </c>
      <c r="D365" s="148" t="s">
        <v>256</v>
      </c>
      <c r="E365" s="148" t="s">
        <v>10</v>
      </c>
      <c r="F365" s="149" t="s">
        <v>257</v>
      </c>
    </row>
    <row r="366" spans="1:9">
      <c r="C366" s="46"/>
      <c r="D366" s="46"/>
      <c r="E366" s="46"/>
      <c r="F366" s="146"/>
      <c r="I366" s="184">
        <f>G362-F372</f>
        <v>-4674.0847999999969</v>
      </c>
    </row>
    <row r="367" spans="1:9">
      <c r="A367" t="s">
        <v>1512</v>
      </c>
      <c r="B367" t="s">
        <v>982</v>
      </c>
      <c r="C367" s="40">
        <v>45474</v>
      </c>
      <c r="D367" s="66" t="s">
        <v>1391</v>
      </c>
      <c r="E367" s="64">
        <f>1530*24</f>
        <v>36720</v>
      </c>
      <c r="F367" s="144">
        <f>F366+E367</f>
        <v>36720</v>
      </c>
    </row>
    <row r="368" spans="1:9">
      <c r="A368" t="s">
        <v>1512</v>
      </c>
      <c r="C368" s="40">
        <v>45478</v>
      </c>
      <c r="D368" s="66" t="s">
        <v>1546</v>
      </c>
      <c r="E368" s="64">
        <f>31*1500</f>
        <v>46500</v>
      </c>
      <c r="F368" s="144">
        <f>F367+E368</f>
        <v>83220</v>
      </c>
    </row>
    <row r="369" spans="1:7">
      <c r="A369" t="s">
        <v>1512</v>
      </c>
      <c r="C369" s="40">
        <v>45482</v>
      </c>
      <c r="D369" s="66" t="s">
        <v>1548</v>
      </c>
      <c r="E369" s="64">
        <f>3*1425</f>
        <v>4275</v>
      </c>
      <c r="F369" s="199">
        <f t="shared" ref="F369:F372" si="21">F368+E369</f>
        <v>87495</v>
      </c>
    </row>
    <row r="370" spans="1:7">
      <c r="C370" s="40"/>
      <c r="D370" s="66"/>
      <c r="E370" s="64"/>
      <c r="F370" s="144">
        <f t="shared" si="21"/>
        <v>87495</v>
      </c>
    </row>
    <row r="371" spans="1:7" ht="18">
      <c r="C371" s="140"/>
      <c r="D371" s="166" t="s">
        <v>1547</v>
      </c>
      <c r="E371" s="64"/>
      <c r="F371" s="144">
        <f t="shared" si="21"/>
        <v>87495</v>
      </c>
    </row>
    <row r="372" spans="1:7" ht="16.2">
      <c r="C372" s="140"/>
      <c r="D372" s="142" t="s">
        <v>458</v>
      </c>
      <c r="E372" s="141"/>
      <c r="F372" s="150">
        <f t="shared" si="21"/>
        <v>87495</v>
      </c>
    </row>
    <row r="379" spans="1:7" ht="18">
      <c r="C379" s="195" t="s">
        <v>1389</v>
      </c>
    </row>
    <row r="380" spans="1:7" ht="17.399999999999999">
      <c r="A380" t="s">
        <v>724</v>
      </c>
      <c r="C380" s="46"/>
      <c r="D380" s="138" t="s">
        <v>1486</v>
      </c>
      <c r="E380" s="46"/>
      <c r="F380" s="146"/>
      <c r="G380" s="17"/>
    </row>
    <row r="381" spans="1:7">
      <c r="C381" s="137" t="s">
        <v>13</v>
      </c>
      <c r="D381" s="137" t="s">
        <v>256</v>
      </c>
      <c r="E381" s="137" t="s">
        <v>456</v>
      </c>
      <c r="F381" s="139" t="s">
        <v>8</v>
      </c>
      <c r="G381" s="137" t="s">
        <v>457</v>
      </c>
    </row>
    <row r="382" spans="1:7">
      <c r="C382" s="46"/>
      <c r="D382" s="46"/>
      <c r="E382" s="46"/>
      <c r="F382" s="146"/>
      <c r="G382" s="17"/>
    </row>
    <row r="383" spans="1:7">
      <c r="A383" t="s">
        <v>1512</v>
      </c>
      <c r="C383" s="140">
        <v>45502</v>
      </c>
      <c r="D383" s="66" t="s">
        <v>1398</v>
      </c>
      <c r="E383" s="198">
        <f>28*350</f>
        <v>9800</v>
      </c>
      <c r="F383" s="144">
        <v>2.44</v>
      </c>
      <c r="G383" s="143">
        <f t="shared" ref="G383:G386" si="22">E383*F383</f>
        <v>23912</v>
      </c>
    </row>
    <row r="384" spans="1:7">
      <c r="A384" t="s">
        <v>1512</v>
      </c>
      <c r="C384" s="140">
        <v>45502</v>
      </c>
      <c r="D384" s="66" t="s">
        <v>1553</v>
      </c>
      <c r="E384" s="198">
        <f>3*359</f>
        <v>1077</v>
      </c>
      <c r="F384" s="144">
        <v>2.44</v>
      </c>
      <c r="G384" s="143">
        <f t="shared" si="22"/>
        <v>2627.88</v>
      </c>
    </row>
    <row r="385" spans="1:9">
      <c r="A385" t="s">
        <v>1512</v>
      </c>
      <c r="C385" s="140">
        <v>45502</v>
      </c>
      <c r="D385" s="66" t="s">
        <v>1399</v>
      </c>
      <c r="E385" s="198">
        <f>80</f>
        <v>80</v>
      </c>
      <c r="F385" s="144">
        <v>2.44</v>
      </c>
      <c r="G385" s="143">
        <f t="shared" si="22"/>
        <v>195.2</v>
      </c>
    </row>
    <row r="386" spans="1:9">
      <c r="A386" t="s">
        <v>1512</v>
      </c>
      <c r="C386" s="40">
        <v>45488</v>
      </c>
      <c r="D386" s="66" t="s">
        <v>1554</v>
      </c>
      <c r="E386" s="198">
        <v>2082</v>
      </c>
      <c r="F386" s="144">
        <v>2.44</v>
      </c>
      <c r="G386" s="143">
        <f t="shared" si="22"/>
        <v>5080.08</v>
      </c>
    </row>
    <row r="387" spans="1:9">
      <c r="A387" t="s">
        <v>1512</v>
      </c>
      <c r="C387" s="40">
        <v>45488</v>
      </c>
      <c r="D387" s="66" t="s">
        <v>1487</v>
      </c>
      <c r="E387" s="222"/>
      <c r="F387" s="144"/>
      <c r="G387" s="143">
        <f>831.21*11</f>
        <v>9143.3100000000013</v>
      </c>
    </row>
    <row r="388" spans="1:9">
      <c r="C388" s="140"/>
      <c r="D388" s="17"/>
      <c r="E388" s="198"/>
      <c r="F388" s="144" t="s">
        <v>1139</v>
      </c>
      <c r="G388" s="143"/>
    </row>
    <row r="389" spans="1:9" ht="16.2">
      <c r="C389" s="140"/>
      <c r="D389" s="120" t="s">
        <v>660</v>
      </c>
      <c r="E389" s="198"/>
      <c r="F389" s="199"/>
      <c r="G389" s="223">
        <f>SUM(G383:G388)</f>
        <v>40958.47</v>
      </c>
      <c r="I389" s="184">
        <f>G389/42</f>
        <v>975.20166666666671</v>
      </c>
    </row>
    <row r="390" spans="1:9" ht="15" thickBot="1"/>
    <row r="391" spans="1:9" ht="18" thickBot="1">
      <c r="C391" s="86"/>
      <c r="D391" s="110" t="s">
        <v>1533</v>
      </c>
      <c r="E391" s="86"/>
      <c r="F391" s="145"/>
    </row>
    <row r="392" spans="1:9">
      <c r="C392" s="147" t="s">
        <v>13</v>
      </c>
      <c r="D392" s="148" t="s">
        <v>256</v>
      </c>
      <c r="E392" s="148" t="s">
        <v>10</v>
      </c>
      <c r="F392" s="149" t="s">
        <v>257</v>
      </c>
    </row>
    <row r="393" spans="1:9">
      <c r="C393" s="46"/>
      <c r="D393" s="46"/>
      <c r="E393" s="46"/>
      <c r="F393" s="146"/>
    </row>
    <row r="394" spans="1:9">
      <c r="A394" t="s">
        <v>1512</v>
      </c>
      <c r="C394" s="40">
        <v>45491</v>
      </c>
      <c r="D394" s="66" t="s">
        <v>1542</v>
      </c>
      <c r="E394" s="64">
        <f>42*1220</f>
        <v>51240</v>
      </c>
      <c r="F394" s="144">
        <f>F393+E394</f>
        <v>51240</v>
      </c>
      <c r="H394" s="184">
        <f>G389-F399</f>
        <v>-10281.529999999999</v>
      </c>
    </row>
    <row r="395" spans="1:9">
      <c r="C395" s="40"/>
      <c r="D395" s="66"/>
      <c r="E395" s="64"/>
      <c r="F395" s="144">
        <f>F394+E395</f>
        <v>51240</v>
      </c>
    </row>
    <row r="396" spans="1:9">
      <c r="C396" s="40"/>
      <c r="D396" s="66"/>
      <c r="E396" s="64"/>
      <c r="F396" s="199">
        <f t="shared" ref="F396:F399" si="23">F395+E396</f>
        <v>51240</v>
      </c>
    </row>
    <row r="397" spans="1:9">
      <c r="C397" s="40"/>
      <c r="D397" s="66"/>
      <c r="E397" s="64"/>
      <c r="F397" s="144">
        <f t="shared" si="23"/>
        <v>51240</v>
      </c>
    </row>
    <row r="398" spans="1:9" ht="18">
      <c r="C398" s="140"/>
      <c r="D398" s="166"/>
      <c r="E398" s="64"/>
      <c r="F398" s="144">
        <f t="shared" si="23"/>
        <v>51240</v>
      </c>
    </row>
    <row r="399" spans="1:9" ht="16.2">
      <c r="C399" s="140"/>
      <c r="D399" s="142" t="s">
        <v>458</v>
      </c>
      <c r="E399" s="141"/>
      <c r="F399" s="150">
        <f t="shared" si="23"/>
        <v>51240</v>
      </c>
    </row>
    <row r="404" spans="2:7" ht="18">
      <c r="C404" s="195" t="s">
        <v>1412</v>
      </c>
    </row>
    <row r="405" spans="2:7" ht="17.399999999999999">
      <c r="C405" s="46"/>
      <c r="D405" s="138" t="s">
        <v>1413</v>
      </c>
      <c r="E405" s="46"/>
      <c r="F405" s="146"/>
      <c r="G405" s="17"/>
    </row>
    <row r="406" spans="2:7">
      <c r="C406" s="137" t="s">
        <v>13</v>
      </c>
      <c r="D406" s="137" t="s">
        <v>256</v>
      </c>
      <c r="E406" s="137" t="s">
        <v>456</v>
      </c>
      <c r="F406" s="139" t="s">
        <v>8</v>
      </c>
      <c r="G406" s="137" t="s">
        <v>457</v>
      </c>
    </row>
    <row r="407" spans="2:7">
      <c r="C407" s="46"/>
      <c r="D407" s="46"/>
      <c r="E407" s="46"/>
      <c r="F407" s="146"/>
      <c r="G407" s="17"/>
    </row>
    <row r="408" spans="2:7">
      <c r="B408" t="s">
        <v>982</v>
      </c>
      <c r="C408" s="140">
        <v>45477</v>
      </c>
      <c r="D408" s="66" t="s">
        <v>1425</v>
      </c>
      <c r="E408" s="198">
        <v>89</v>
      </c>
      <c r="F408" s="144">
        <v>2.44</v>
      </c>
      <c r="G408" s="143">
        <f t="shared" ref="G408:G412" si="24">E408*F408</f>
        <v>217.16</v>
      </c>
    </row>
    <row r="409" spans="2:7">
      <c r="C409" s="140">
        <v>45477</v>
      </c>
      <c r="D409" s="66" t="s">
        <v>1426</v>
      </c>
      <c r="E409" s="198">
        <v>773</v>
      </c>
      <c r="F409" s="144">
        <v>2.44</v>
      </c>
      <c r="G409" s="143">
        <f t="shared" si="24"/>
        <v>1886.12</v>
      </c>
    </row>
    <row r="410" spans="2:7">
      <c r="B410" t="s">
        <v>982</v>
      </c>
      <c r="C410" s="140">
        <v>45477</v>
      </c>
      <c r="D410" s="66" t="s">
        <v>1427</v>
      </c>
      <c r="E410" s="198">
        <v>86</v>
      </c>
      <c r="F410" s="144">
        <v>2.44</v>
      </c>
      <c r="G410" s="143">
        <f t="shared" si="24"/>
        <v>209.84</v>
      </c>
    </row>
    <row r="411" spans="2:7">
      <c r="B411" t="s">
        <v>982</v>
      </c>
      <c r="C411" s="140">
        <v>45477</v>
      </c>
      <c r="D411" s="66" t="s">
        <v>1474</v>
      </c>
      <c r="E411" s="222">
        <v>209</v>
      </c>
      <c r="F411" s="144">
        <v>2.44</v>
      </c>
      <c r="G411" s="143">
        <f t="shared" si="24"/>
        <v>509.96</v>
      </c>
    </row>
    <row r="412" spans="2:7">
      <c r="B412" t="s">
        <v>982</v>
      </c>
      <c r="C412" s="140">
        <v>45477</v>
      </c>
      <c r="D412" s="66" t="s">
        <v>1475</v>
      </c>
      <c r="E412" s="222">
        <v>76</v>
      </c>
      <c r="F412" s="144">
        <v>2.44</v>
      </c>
      <c r="G412" s="143">
        <f t="shared" si="24"/>
        <v>185.44</v>
      </c>
    </row>
    <row r="413" spans="2:7">
      <c r="C413" s="140">
        <v>45477</v>
      </c>
      <c r="D413" s="66" t="s">
        <v>1428</v>
      </c>
      <c r="E413" s="393">
        <v>5100</v>
      </c>
      <c r="F413" s="199">
        <v>2.44</v>
      </c>
      <c r="G413" s="197">
        <f>E413*F413</f>
        <v>12444</v>
      </c>
    </row>
    <row r="414" spans="2:7" ht="28.8">
      <c r="B414" t="s">
        <v>982</v>
      </c>
      <c r="C414" s="140">
        <v>45477</v>
      </c>
      <c r="D414" s="66" t="s">
        <v>1483</v>
      </c>
      <c r="E414">
        <f>359*92</f>
        <v>33028</v>
      </c>
      <c r="F414" s="144">
        <v>2.44</v>
      </c>
      <c r="G414" s="197">
        <f>E414*F414</f>
        <v>80588.319999999992</v>
      </c>
    </row>
    <row r="415" spans="2:7">
      <c r="B415" t="s">
        <v>982</v>
      </c>
      <c r="C415" s="40">
        <v>45481</v>
      </c>
      <c r="D415" s="66" t="s">
        <v>1442</v>
      </c>
      <c r="E415" s="198"/>
      <c r="F415" s="144"/>
      <c r="G415" s="143">
        <v>1860</v>
      </c>
    </row>
    <row r="416" spans="2:7">
      <c r="B416" t="s">
        <v>982</v>
      </c>
      <c r="C416" s="140">
        <v>45482</v>
      </c>
      <c r="D416" s="66" t="s">
        <v>1506</v>
      </c>
      <c r="E416" s="198"/>
      <c r="F416" s="144"/>
      <c r="G416" s="143">
        <v>50</v>
      </c>
    </row>
    <row r="417" spans="1:8">
      <c r="B417" t="s">
        <v>982</v>
      </c>
      <c r="C417" s="140">
        <v>45482</v>
      </c>
      <c r="D417" s="17" t="s">
        <v>1446</v>
      </c>
      <c r="E417" s="198"/>
      <c r="F417" s="144"/>
      <c r="G417" s="143">
        <v>1333</v>
      </c>
    </row>
    <row r="418" spans="1:8">
      <c r="B418" t="s">
        <v>982</v>
      </c>
      <c r="C418" s="140">
        <v>45483</v>
      </c>
      <c r="D418" s="17" t="s">
        <v>1467</v>
      </c>
      <c r="E418" s="198"/>
      <c r="F418" s="144"/>
      <c r="G418" s="143">
        <v>1000</v>
      </c>
    </row>
    <row r="419" spans="1:8">
      <c r="B419" t="s">
        <v>982</v>
      </c>
      <c r="C419" s="140">
        <v>45484</v>
      </c>
      <c r="D419" s="66" t="s">
        <v>1456</v>
      </c>
      <c r="E419" s="198"/>
      <c r="F419" s="144"/>
      <c r="G419" s="143">
        <v>100</v>
      </c>
    </row>
    <row r="420" spans="1:8">
      <c r="B420" t="s">
        <v>982</v>
      </c>
      <c r="C420" s="40">
        <v>45487</v>
      </c>
      <c r="D420" s="66" t="s">
        <v>1506</v>
      </c>
      <c r="E420" s="198"/>
      <c r="F420" s="144"/>
      <c r="G420" s="143">
        <v>20</v>
      </c>
    </row>
    <row r="421" spans="1:8">
      <c r="B421" t="s">
        <v>982</v>
      </c>
      <c r="C421" s="40">
        <v>45487</v>
      </c>
      <c r="D421" s="66" t="s">
        <v>1516</v>
      </c>
      <c r="E421" s="198"/>
      <c r="F421" s="144"/>
      <c r="G421" s="197">
        <v>1150</v>
      </c>
    </row>
    <row r="422" spans="1:8">
      <c r="B422" t="s">
        <v>982</v>
      </c>
      <c r="C422" s="40">
        <v>45487</v>
      </c>
      <c r="D422" s="17" t="s">
        <v>1466</v>
      </c>
      <c r="E422" s="198"/>
      <c r="F422" s="144" t="s">
        <v>1139</v>
      </c>
      <c r="G422" s="143">
        <v>90</v>
      </c>
    </row>
    <row r="423" spans="1:8" ht="16.2">
      <c r="C423" s="140"/>
      <c r="D423" s="120" t="s">
        <v>660</v>
      </c>
      <c r="E423" s="198"/>
      <c r="F423" s="199"/>
      <c r="G423" s="223">
        <f>SUM(G408:G422)</f>
        <v>101643.84</v>
      </c>
    </row>
    <row r="424" spans="1:8" ht="15" thickBot="1"/>
    <row r="425" spans="1:8" ht="18" thickBot="1">
      <c r="C425" s="86"/>
      <c r="D425" s="110" t="s">
        <v>1424</v>
      </c>
      <c r="E425" s="86"/>
      <c r="F425" s="145"/>
    </row>
    <row r="426" spans="1:8">
      <c r="C426" s="147" t="s">
        <v>13</v>
      </c>
      <c r="D426" s="148" t="s">
        <v>256</v>
      </c>
      <c r="E426" s="148" t="s">
        <v>10</v>
      </c>
      <c r="F426" s="149" t="s">
        <v>257</v>
      </c>
    </row>
    <row r="427" spans="1:8">
      <c r="C427" s="46"/>
      <c r="D427" s="46"/>
      <c r="E427" s="46"/>
      <c r="F427" s="146"/>
    </row>
    <row r="428" spans="1:8">
      <c r="C428" s="40"/>
      <c r="D428" s="66"/>
      <c r="E428" s="64"/>
      <c r="F428" s="144">
        <f>F427+E428</f>
        <v>0</v>
      </c>
    </row>
    <row r="429" spans="1:8">
      <c r="A429" t="s">
        <v>1512</v>
      </c>
      <c r="C429" s="40">
        <v>45482</v>
      </c>
      <c r="D429" s="66" t="s">
        <v>1549</v>
      </c>
      <c r="E429" s="64">
        <f>1425*20</f>
        <v>28500</v>
      </c>
      <c r="F429" s="144">
        <f>F428+E429</f>
        <v>28500</v>
      </c>
      <c r="H429" s="184">
        <f>G423-F437</f>
        <v>-27286.160000000003</v>
      </c>
    </row>
    <row r="430" spans="1:8">
      <c r="A430" t="s">
        <v>1512</v>
      </c>
      <c r="C430" s="40">
        <v>45482</v>
      </c>
      <c r="D430" s="66" t="s">
        <v>1445</v>
      </c>
      <c r="E430" s="64">
        <f>5*1470</f>
        <v>7350</v>
      </c>
      <c r="F430" s="199">
        <f t="shared" ref="F430:F437" si="25">F429+E430</f>
        <v>35850</v>
      </c>
    </row>
    <row r="431" spans="1:8">
      <c r="A431" t="s">
        <v>1512</v>
      </c>
      <c r="C431" s="40">
        <v>45484</v>
      </c>
      <c r="D431" s="66" t="s">
        <v>1453</v>
      </c>
      <c r="E431" s="64">
        <f>10*1425</f>
        <v>14250</v>
      </c>
      <c r="F431" s="199">
        <f t="shared" si="25"/>
        <v>50100</v>
      </c>
    </row>
    <row r="432" spans="1:8">
      <c r="A432" t="s">
        <v>1512</v>
      </c>
      <c r="C432" s="40">
        <v>45484</v>
      </c>
      <c r="D432" s="66" t="s">
        <v>1454</v>
      </c>
      <c r="E432" s="64">
        <f>1370*20</f>
        <v>27400</v>
      </c>
      <c r="F432" s="199">
        <f t="shared" si="25"/>
        <v>77500</v>
      </c>
    </row>
    <row r="433" spans="1:7">
      <c r="A433" t="s">
        <v>1512</v>
      </c>
      <c r="C433" s="40">
        <v>45484</v>
      </c>
      <c r="D433" s="66" t="s">
        <v>1455</v>
      </c>
      <c r="E433" s="64">
        <f>37*1390</f>
        <v>51430</v>
      </c>
      <c r="F433" s="199">
        <f t="shared" si="25"/>
        <v>128930</v>
      </c>
    </row>
    <row r="434" spans="1:7">
      <c r="C434" s="40"/>
      <c r="D434" s="66"/>
      <c r="E434" s="64"/>
      <c r="F434" s="199">
        <f t="shared" si="25"/>
        <v>128930</v>
      </c>
    </row>
    <row r="435" spans="1:7">
      <c r="C435" s="40"/>
      <c r="D435" s="66"/>
      <c r="E435" s="64"/>
      <c r="F435" s="199">
        <f t="shared" si="25"/>
        <v>128930</v>
      </c>
    </row>
    <row r="436" spans="1:7" ht="18">
      <c r="C436" s="140"/>
      <c r="D436" s="166"/>
      <c r="E436" s="64"/>
      <c r="F436" s="144">
        <f t="shared" si="25"/>
        <v>128930</v>
      </c>
    </row>
    <row r="437" spans="1:7" ht="16.2">
      <c r="C437" s="140"/>
      <c r="D437" s="142" t="s">
        <v>458</v>
      </c>
      <c r="E437" s="141"/>
      <c r="F437" s="150">
        <f t="shared" si="25"/>
        <v>128930</v>
      </c>
    </row>
    <row r="443" spans="1:7" ht="18">
      <c r="C443" s="195" t="s">
        <v>1488</v>
      </c>
    </row>
    <row r="444" spans="1:7" ht="17.399999999999999">
      <c r="C444" s="46"/>
      <c r="D444" s="138" t="s">
        <v>1489</v>
      </c>
      <c r="E444" s="46"/>
      <c r="F444" s="146"/>
      <c r="G444" s="17"/>
    </row>
    <row r="445" spans="1:7">
      <c r="C445" s="137" t="s">
        <v>13</v>
      </c>
      <c r="D445" s="137" t="s">
        <v>256</v>
      </c>
      <c r="E445" s="137" t="s">
        <v>456</v>
      </c>
      <c r="F445" s="139" t="s">
        <v>8</v>
      </c>
      <c r="G445" s="137" t="s">
        <v>457</v>
      </c>
    </row>
    <row r="446" spans="1:7">
      <c r="C446" s="46"/>
      <c r="D446" s="46"/>
      <c r="E446" s="46"/>
      <c r="F446" s="146"/>
      <c r="G446" s="17"/>
    </row>
    <row r="447" spans="1:7">
      <c r="A447" t="s">
        <v>1512</v>
      </c>
      <c r="C447" s="140">
        <v>45488</v>
      </c>
      <c r="D447" s="66" t="s">
        <v>1491</v>
      </c>
      <c r="E447" s="396">
        <f>2511</f>
        <v>2511</v>
      </c>
      <c r="F447" s="144">
        <v>2.44</v>
      </c>
      <c r="G447" s="143">
        <f t="shared" ref="G447:G450" si="26">E447*F447</f>
        <v>6126.84</v>
      </c>
    </row>
    <row r="448" spans="1:7">
      <c r="A448" t="s">
        <v>1512</v>
      </c>
      <c r="C448" s="140">
        <v>45488</v>
      </c>
      <c r="D448" s="66" t="s">
        <v>1492</v>
      </c>
      <c r="E448" s="396">
        <f>16873</f>
        <v>16873</v>
      </c>
      <c r="F448" s="144">
        <v>2.44</v>
      </c>
      <c r="G448" s="143">
        <f t="shared" si="26"/>
        <v>41170.120000000003</v>
      </c>
    </row>
    <row r="449" spans="1:9">
      <c r="A449" t="s">
        <v>1512</v>
      </c>
      <c r="C449" s="140">
        <v>45488</v>
      </c>
      <c r="D449" s="66" t="s">
        <v>1493</v>
      </c>
      <c r="E449" s="396">
        <v>590</v>
      </c>
      <c r="F449" s="144">
        <v>2.44</v>
      </c>
      <c r="G449" s="143">
        <f t="shared" si="26"/>
        <v>1439.6</v>
      </c>
    </row>
    <row r="450" spans="1:9">
      <c r="A450" t="s">
        <v>1512</v>
      </c>
      <c r="C450" s="140">
        <v>45488</v>
      </c>
      <c r="D450" s="66" t="s">
        <v>1494</v>
      </c>
      <c r="E450" s="397">
        <v>90</v>
      </c>
      <c r="F450" s="144">
        <v>2.44</v>
      </c>
      <c r="G450" s="143">
        <f t="shared" si="26"/>
        <v>219.6</v>
      </c>
    </row>
    <row r="451" spans="1:9">
      <c r="A451" t="s">
        <v>1512</v>
      </c>
      <c r="C451" s="140">
        <v>45491</v>
      </c>
      <c r="D451" s="66" t="s">
        <v>1516</v>
      </c>
      <c r="E451" s="222"/>
      <c r="F451" s="144"/>
      <c r="G451" s="143">
        <v>950</v>
      </c>
    </row>
    <row r="452" spans="1:9">
      <c r="C452" s="140"/>
      <c r="D452" s="66"/>
      <c r="E452" s="393"/>
      <c r="F452" s="199"/>
      <c r="G452" s="197">
        <f>E452*F452</f>
        <v>0</v>
      </c>
    </row>
    <row r="453" spans="1:9">
      <c r="C453" s="140"/>
      <c r="D453" s="66"/>
      <c r="F453" s="144"/>
      <c r="G453" s="197">
        <f>E453*F453</f>
        <v>0</v>
      </c>
    </row>
    <row r="454" spans="1:9">
      <c r="C454" s="40"/>
      <c r="D454" s="66"/>
      <c r="E454" s="198"/>
      <c r="F454" s="144"/>
      <c r="G454" s="143"/>
    </row>
    <row r="455" spans="1:9">
      <c r="C455" s="140"/>
      <c r="D455" s="17"/>
      <c r="E455" s="198"/>
      <c r="F455" s="144"/>
      <c r="G455" s="143"/>
    </row>
    <row r="456" spans="1:9">
      <c r="C456" s="140"/>
      <c r="D456" s="17"/>
      <c r="E456" s="198"/>
      <c r="F456" s="144"/>
      <c r="G456" s="143"/>
    </row>
    <row r="457" spans="1:9">
      <c r="C457" s="140"/>
      <c r="D457" s="66"/>
      <c r="E457" s="198"/>
      <c r="F457" s="144"/>
      <c r="G457" s="143"/>
    </row>
    <row r="458" spans="1:9">
      <c r="C458" s="40"/>
      <c r="D458" s="17"/>
      <c r="E458" s="198"/>
      <c r="F458" s="144" t="s">
        <v>1139</v>
      </c>
      <c r="G458" s="143"/>
    </row>
    <row r="459" spans="1:9" ht="16.2">
      <c r="C459" s="140"/>
      <c r="D459" s="120" t="s">
        <v>660</v>
      </c>
      <c r="E459" s="198"/>
      <c r="F459" s="199"/>
      <c r="G459" s="223">
        <f>SUM(G447:G458)</f>
        <v>49906.16</v>
      </c>
      <c r="I459" s="184">
        <f>G459/54</f>
        <v>924.18814814814823</v>
      </c>
    </row>
    <row r="460" spans="1:9" ht="15" thickBot="1"/>
    <row r="461" spans="1:9" ht="18" thickBot="1">
      <c r="C461" s="86"/>
      <c r="D461" s="110" t="s">
        <v>1490</v>
      </c>
      <c r="E461" s="86"/>
      <c r="F461" s="145"/>
    </row>
    <row r="462" spans="1:9">
      <c r="C462" s="147" t="s">
        <v>13</v>
      </c>
      <c r="D462" s="148" t="s">
        <v>256</v>
      </c>
      <c r="E462" s="148" t="s">
        <v>10</v>
      </c>
      <c r="F462" s="149" t="s">
        <v>257</v>
      </c>
    </row>
    <row r="463" spans="1:9">
      <c r="C463" s="46"/>
      <c r="D463" s="46"/>
      <c r="E463" s="46"/>
      <c r="F463" s="146"/>
    </row>
    <row r="464" spans="1:9">
      <c r="A464" t="s">
        <v>1512</v>
      </c>
      <c r="C464" s="40">
        <v>45491</v>
      </c>
      <c r="D464" s="66" t="s">
        <v>1543</v>
      </c>
      <c r="E464" s="64">
        <f>1*1220</f>
        <v>1220</v>
      </c>
      <c r="F464" s="144">
        <f>F463+E464</f>
        <v>1220</v>
      </c>
      <c r="I464" s="184">
        <f>G459-F473</f>
        <v>-15573.839999999997</v>
      </c>
    </row>
    <row r="465" spans="1:6">
      <c r="A465" t="s">
        <v>1512</v>
      </c>
      <c r="C465" s="40">
        <v>45491</v>
      </c>
      <c r="D465" s="66" t="s">
        <v>1544</v>
      </c>
      <c r="E465" s="64">
        <f>30*1240</f>
        <v>37200</v>
      </c>
      <c r="F465" s="144">
        <f>F464+E465</f>
        <v>38420</v>
      </c>
    </row>
    <row r="466" spans="1:6">
      <c r="A466" t="s">
        <v>1512</v>
      </c>
      <c r="C466" s="40">
        <v>45491</v>
      </c>
      <c r="D466" s="66" t="s">
        <v>1545</v>
      </c>
      <c r="E466" s="64">
        <f>22*1230</f>
        <v>27060</v>
      </c>
      <c r="F466" s="199">
        <f t="shared" ref="F466:F473" si="27">F465+E466</f>
        <v>65480</v>
      </c>
    </row>
    <row r="467" spans="1:6">
      <c r="C467" s="40"/>
      <c r="D467" s="66"/>
      <c r="E467" s="64"/>
      <c r="F467" s="199">
        <f t="shared" si="27"/>
        <v>65480</v>
      </c>
    </row>
    <row r="468" spans="1:6">
      <c r="C468" s="40"/>
      <c r="D468" s="66"/>
      <c r="E468" s="64"/>
      <c r="F468" s="199">
        <f t="shared" si="27"/>
        <v>65480</v>
      </c>
    </row>
    <row r="469" spans="1:6">
      <c r="C469" s="40"/>
      <c r="D469" s="66"/>
      <c r="E469" s="64"/>
      <c r="F469" s="199">
        <f t="shared" si="27"/>
        <v>65480</v>
      </c>
    </row>
    <row r="470" spans="1:6">
      <c r="C470" s="40"/>
      <c r="D470" s="66"/>
      <c r="E470" s="64"/>
      <c r="F470" s="199">
        <f t="shared" si="27"/>
        <v>65480</v>
      </c>
    </row>
    <row r="471" spans="1:6">
      <c r="C471" s="40"/>
      <c r="D471" s="66"/>
      <c r="E471" s="64"/>
      <c r="F471" s="199">
        <f t="shared" si="27"/>
        <v>65480</v>
      </c>
    </row>
    <row r="472" spans="1:6" ht="18">
      <c r="C472" s="140"/>
      <c r="D472" s="166"/>
      <c r="E472" s="64"/>
      <c r="F472" s="144">
        <f t="shared" si="27"/>
        <v>65480</v>
      </c>
    </row>
    <row r="473" spans="1:6" ht="16.2">
      <c r="C473" s="140"/>
      <c r="D473" s="142" t="s">
        <v>458</v>
      </c>
      <c r="E473" s="141"/>
      <c r="F473" s="150">
        <f t="shared" si="27"/>
        <v>65480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G154"/>
  <sheetViews>
    <sheetView topLeftCell="A79" workbookViewId="0">
      <selection activeCell="E93" sqref="E93:E94"/>
    </sheetView>
  </sheetViews>
  <sheetFormatPr defaultRowHeight="14.4"/>
  <cols>
    <col min="3" max="3" width="10.44140625" bestFit="1" customWidth="1"/>
    <col min="4" max="4" width="53.5546875" bestFit="1" customWidth="1"/>
    <col min="5" max="5" width="10.21875" customWidth="1"/>
    <col min="6" max="6" width="11.21875" customWidth="1"/>
    <col min="7" max="7" width="8.44140625" bestFit="1" customWidth="1"/>
  </cols>
  <sheetData>
    <row r="2" spans="3:7" ht="15" thickBot="1"/>
    <row r="3" spans="3:7" ht="20.399999999999999" thickBot="1">
      <c r="C3" s="86"/>
      <c r="D3" s="107" t="s">
        <v>469</v>
      </c>
      <c r="E3" s="108"/>
      <c r="F3" s="108"/>
      <c r="G3" s="86"/>
    </row>
    <row r="4" spans="3:7">
      <c r="C4" s="623" t="s">
        <v>236</v>
      </c>
      <c r="D4" s="623" t="s">
        <v>237</v>
      </c>
      <c r="E4" s="623" t="s">
        <v>250</v>
      </c>
      <c r="F4" s="623" t="s">
        <v>251</v>
      </c>
      <c r="G4" s="623" t="s">
        <v>238</v>
      </c>
    </row>
    <row r="5" spans="3:7" ht="15" thickBot="1">
      <c r="C5" s="624"/>
      <c r="D5" s="624"/>
      <c r="E5" s="624"/>
      <c r="F5" s="624"/>
      <c r="G5" s="624"/>
    </row>
    <row r="6" spans="3:7">
      <c r="C6" s="445"/>
      <c r="D6" s="446" t="s">
        <v>1727</v>
      </c>
      <c r="E6" s="447"/>
      <c r="F6" s="447"/>
      <c r="G6" s="325">
        <v>0</v>
      </c>
    </row>
    <row r="7" spans="3:7">
      <c r="C7" s="444">
        <v>45506</v>
      </c>
      <c r="D7" s="191" t="s">
        <v>1742</v>
      </c>
      <c r="E7" s="191"/>
      <c r="F7" s="191">
        <v>100000</v>
      </c>
      <c r="G7" s="141">
        <f>G6+E7-F7</f>
        <v>-100000</v>
      </c>
    </row>
    <row r="8" spans="3:7">
      <c r="C8" s="444">
        <v>45507</v>
      </c>
      <c r="D8" s="191" t="s">
        <v>1743</v>
      </c>
      <c r="E8" s="191"/>
      <c r="F8" s="191">
        <v>2447</v>
      </c>
      <c r="G8" s="141">
        <f t="shared" ref="G8:G14" si="0">G7+E8-F8</f>
        <v>-102447</v>
      </c>
    </row>
    <row r="9" spans="3:7">
      <c r="C9" s="444">
        <v>45509</v>
      </c>
      <c r="D9" s="191" t="s">
        <v>1744</v>
      </c>
      <c r="E9" s="191"/>
      <c r="F9" s="191">
        <v>4582</v>
      </c>
      <c r="G9" s="141">
        <f t="shared" si="0"/>
        <v>-107029</v>
      </c>
    </row>
    <row r="10" spans="3:7">
      <c r="C10" s="444">
        <v>45509</v>
      </c>
      <c r="D10" s="191" t="s">
        <v>1745</v>
      </c>
      <c r="E10" s="191"/>
      <c r="F10" s="191">
        <v>1700</v>
      </c>
      <c r="G10" s="141">
        <f t="shared" si="0"/>
        <v>-108729</v>
      </c>
    </row>
    <row r="11" spans="3:7">
      <c r="C11" s="444">
        <v>45509</v>
      </c>
      <c r="D11" s="191" t="s">
        <v>1746</v>
      </c>
      <c r="E11" s="191"/>
      <c r="F11" s="191">
        <v>877</v>
      </c>
      <c r="G11" s="141">
        <f t="shared" si="0"/>
        <v>-109606</v>
      </c>
    </row>
    <row r="12" spans="3:7">
      <c r="C12" s="444">
        <v>45509</v>
      </c>
      <c r="D12" s="191" t="s">
        <v>1747</v>
      </c>
      <c r="E12" s="191"/>
      <c r="F12" s="191">
        <v>20000</v>
      </c>
      <c r="G12" s="141">
        <f t="shared" si="0"/>
        <v>-129606</v>
      </c>
    </row>
    <row r="13" spans="3:7">
      <c r="C13" s="193">
        <v>45509</v>
      </c>
      <c r="D13" s="192" t="s">
        <v>1728</v>
      </c>
      <c r="E13" s="448"/>
      <c r="F13" s="448">
        <v>1000</v>
      </c>
      <c r="G13" s="141">
        <f t="shared" si="0"/>
        <v>-130606</v>
      </c>
    </row>
    <row r="14" spans="3:7">
      <c r="C14" s="444">
        <v>45510</v>
      </c>
      <c r="D14" s="191" t="s">
        <v>1748</v>
      </c>
      <c r="E14" s="191"/>
      <c r="F14" s="191">
        <v>1600</v>
      </c>
      <c r="G14" s="141">
        <f t="shared" si="0"/>
        <v>-132206</v>
      </c>
    </row>
    <row r="15" spans="3:7">
      <c r="C15" s="444">
        <v>45510</v>
      </c>
      <c r="D15" s="191" t="s">
        <v>1749</v>
      </c>
      <c r="E15" s="191"/>
      <c r="F15" s="191">
        <v>16000</v>
      </c>
      <c r="G15" s="152">
        <f t="shared" ref="G15:G34" si="1">G14+E15-F15</f>
        <v>-148206</v>
      </c>
    </row>
    <row r="16" spans="3:7">
      <c r="C16" s="444">
        <v>45510</v>
      </c>
      <c r="D16" s="191" t="s">
        <v>1750</v>
      </c>
      <c r="E16" s="191"/>
      <c r="F16" s="191">
        <v>10000</v>
      </c>
      <c r="G16" s="152">
        <f t="shared" si="1"/>
        <v>-158206</v>
      </c>
    </row>
    <row r="17" spans="3:7">
      <c r="C17" s="40">
        <v>45517</v>
      </c>
      <c r="D17" s="191" t="s">
        <v>1870</v>
      </c>
      <c r="E17" s="191"/>
      <c r="F17" s="191">
        <v>75.78</v>
      </c>
      <c r="G17" s="152">
        <f t="shared" si="1"/>
        <v>-158281.78</v>
      </c>
    </row>
    <row r="18" spans="3:7">
      <c r="C18" s="40">
        <v>45517</v>
      </c>
      <c r="D18" s="191" t="s">
        <v>1871</v>
      </c>
      <c r="E18" s="191"/>
      <c r="F18" s="191">
        <v>601.46</v>
      </c>
      <c r="G18" s="152">
        <f t="shared" si="1"/>
        <v>-158883.24</v>
      </c>
    </row>
    <row r="19" spans="3:7">
      <c r="C19" s="40">
        <v>45519</v>
      </c>
      <c r="D19" s="191" t="s">
        <v>1872</v>
      </c>
      <c r="E19" s="191"/>
      <c r="F19" s="191">
        <v>6000</v>
      </c>
      <c r="G19" s="152">
        <f t="shared" si="1"/>
        <v>-164883.24</v>
      </c>
    </row>
    <row r="20" spans="3:7">
      <c r="C20" s="40">
        <v>45519</v>
      </c>
      <c r="D20" s="191" t="s">
        <v>1872</v>
      </c>
      <c r="E20" s="191"/>
      <c r="F20" s="191">
        <v>6000</v>
      </c>
      <c r="G20" s="152">
        <f t="shared" si="1"/>
        <v>-170883.24</v>
      </c>
    </row>
    <row r="21" spans="3:7">
      <c r="C21" s="40">
        <v>45519</v>
      </c>
      <c r="D21" s="17" t="s">
        <v>1873</v>
      </c>
      <c r="E21" s="17"/>
      <c r="F21" s="17">
        <v>25060</v>
      </c>
      <c r="G21" s="152">
        <f t="shared" si="1"/>
        <v>-195943.24</v>
      </c>
    </row>
    <row r="22" spans="3:7">
      <c r="C22" s="40">
        <v>45519</v>
      </c>
      <c r="D22" s="17" t="s">
        <v>1874</v>
      </c>
      <c r="E22" s="17"/>
      <c r="F22" s="17">
        <v>12356</v>
      </c>
      <c r="G22" s="152">
        <f t="shared" si="1"/>
        <v>-208299.24</v>
      </c>
    </row>
    <row r="23" spans="3:7">
      <c r="C23" s="40">
        <v>45519</v>
      </c>
      <c r="D23" s="17" t="s">
        <v>1875</v>
      </c>
      <c r="E23" s="17"/>
      <c r="F23" s="17">
        <v>50000</v>
      </c>
      <c r="G23" s="152">
        <f t="shared" si="1"/>
        <v>-258299.24</v>
      </c>
    </row>
    <row r="24" spans="3:7">
      <c r="C24" s="444">
        <v>45523</v>
      </c>
      <c r="D24" s="191" t="s">
        <v>1951</v>
      </c>
      <c r="E24" s="191"/>
      <c r="F24" s="191">
        <v>100000</v>
      </c>
      <c r="G24" s="152">
        <f t="shared" si="1"/>
        <v>-358299.24</v>
      </c>
    </row>
    <row r="25" spans="3:7">
      <c r="C25" s="40">
        <v>45527</v>
      </c>
      <c r="D25" s="17" t="s">
        <v>1833</v>
      </c>
      <c r="E25" s="191"/>
      <c r="F25" s="191">
        <v>25000</v>
      </c>
      <c r="G25" s="152">
        <f t="shared" si="1"/>
        <v>-383299.24</v>
      </c>
    </row>
    <row r="26" spans="3:7">
      <c r="C26" s="40">
        <v>45530</v>
      </c>
      <c r="D26" s="17" t="s">
        <v>1952</v>
      </c>
      <c r="E26" s="191"/>
      <c r="F26" s="17">
        <v>10000</v>
      </c>
      <c r="G26" s="152">
        <f t="shared" si="1"/>
        <v>-393299.24</v>
      </c>
    </row>
    <row r="27" spans="3:7">
      <c r="C27" s="40">
        <v>45530</v>
      </c>
      <c r="D27" s="17" t="s">
        <v>1952</v>
      </c>
      <c r="E27" s="191"/>
      <c r="F27" s="17">
        <v>20000</v>
      </c>
      <c r="G27" s="152">
        <f t="shared" si="1"/>
        <v>-413299.24</v>
      </c>
    </row>
    <row r="28" spans="3:7">
      <c r="C28" s="40">
        <v>45530</v>
      </c>
      <c r="D28" s="17" t="s">
        <v>1952</v>
      </c>
      <c r="E28" s="191"/>
      <c r="F28" s="17">
        <v>1661</v>
      </c>
      <c r="G28" s="152">
        <f t="shared" si="1"/>
        <v>-414960.24</v>
      </c>
    </row>
    <row r="29" spans="3:7">
      <c r="C29" s="40"/>
      <c r="D29" s="17"/>
      <c r="E29" s="191"/>
      <c r="F29" s="191"/>
      <c r="G29" s="152">
        <f t="shared" si="1"/>
        <v>-414960.24</v>
      </c>
    </row>
    <row r="30" spans="3:7">
      <c r="C30" s="40"/>
      <c r="D30" s="17"/>
      <c r="E30" s="191"/>
      <c r="F30" s="191"/>
      <c r="G30" s="152">
        <f t="shared" si="1"/>
        <v>-414960.24</v>
      </c>
    </row>
    <row r="31" spans="3:7">
      <c r="C31" s="40"/>
      <c r="D31" s="17"/>
      <c r="E31" s="191"/>
      <c r="F31" s="191"/>
      <c r="G31" s="152">
        <f t="shared" si="1"/>
        <v>-414960.24</v>
      </c>
    </row>
    <row r="32" spans="3:7">
      <c r="C32" s="65"/>
      <c r="D32" s="46"/>
      <c r="E32" s="25"/>
      <c r="F32" s="232"/>
      <c r="G32" s="152">
        <f t="shared" si="1"/>
        <v>-414960.24</v>
      </c>
    </row>
    <row r="33" spans="3:7">
      <c r="C33" s="65"/>
      <c r="D33" s="46"/>
      <c r="E33" s="25"/>
      <c r="F33" s="232"/>
      <c r="G33" s="152">
        <f t="shared" si="1"/>
        <v>-414960.24</v>
      </c>
    </row>
    <row r="34" spans="3:7">
      <c r="C34" s="65"/>
      <c r="D34" s="452" t="s">
        <v>1752</v>
      </c>
      <c r="E34" s="452"/>
      <c r="F34" s="453"/>
      <c r="G34" s="453">
        <f t="shared" si="1"/>
        <v>-414960.24</v>
      </c>
    </row>
    <row r="37" spans="3:7" ht="15" thickBot="1"/>
    <row r="38" spans="3:7" ht="19.8">
      <c r="C38" s="154"/>
      <c r="D38" s="449" t="s">
        <v>1751</v>
      </c>
      <c r="E38" s="450"/>
      <c r="F38" s="450"/>
      <c r="G38" s="154"/>
    </row>
    <row r="39" spans="3:7">
      <c r="C39" s="622" t="s">
        <v>236</v>
      </c>
      <c r="D39" s="622" t="s">
        <v>237</v>
      </c>
      <c r="E39" s="622" t="s">
        <v>250</v>
      </c>
      <c r="F39" s="622" t="s">
        <v>251</v>
      </c>
      <c r="G39" s="622" t="s">
        <v>238</v>
      </c>
    </row>
    <row r="40" spans="3:7">
      <c r="C40" s="622"/>
      <c r="D40" s="622"/>
      <c r="E40" s="622"/>
      <c r="F40" s="622"/>
      <c r="G40" s="622"/>
    </row>
    <row r="41" spans="3:7">
      <c r="C41" s="66"/>
      <c r="D41" s="451" t="s">
        <v>1727</v>
      </c>
      <c r="E41" s="353"/>
      <c r="F41" s="353"/>
      <c r="G41" s="141">
        <v>0</v>
      </c>
    </row>
    <row r="42" spans="3:7">
      <c r="C42" s="65">
        <v>45502</v>
      </c>
      <c r="D42" s="66" t="s">
        <v>1695</v>
      </c>
      <c r="E42" s="353"/>
      <c r="F42" s="232">
        <v>0</v>
      </c>
      <c r="G42" s="152">
        <f>G41+E42-F42</f>
        <v>0</v>
      </c>
    </row>
    <row r="43" spans="3:7">
      <c r="C43" s="65">
        <v>45502</v>
      </c>
      <c r="D43" s="66" t="s">
        <v>1696</v>
      </c>
      <c r="E43" s="353"/>
      <c r="F43" s="232">
        <v>210</v>
      </c>
      <c r="G43" s="152">
        <f>G42+E43-F43</f>
        <v>-210</v>
      </c>
    </row>
    <row r="44" spans="3:7">
      <c r="C44" s="65">
        <v>45502</v>
      </c>
      <c r="D44" s="66" t="s">
        <v>1718</v>
      </c>
      <c r="E44" s="353"/>
      <c r="F44" s="353">
        <v>20</v>
      </c>
      <c r="G44" s="152">
        <f t="shared" ref="G44:G88" si="2">G43+E44-F44</f>
        <v>-230</v>
      </c>
    </row>
    <row r="45" spans="3:7">
      <c r="C45" s="65">
        <v>45502</v>
      </c>
      <c r="D45" s="66" t="s">
        <v>1718</v>
      </c>
      <c r="E45" s="353"/>
      <c r="F45" s="353">
        <v>16</v>
      </c>
      <c r="G45" s="152">
        <f t="shared" si="2"/>
        <v>-246</v>
      </c>
    </row>
    <row r="46" spans="3:7">
      <c r="C46" s="65">
        <v>45502</v>
      </c>
      <c r="D46" s="66" t="s">
        <v>1718</v>
      </c>
      <c r="E46" s="353"/>
      <c r="F46" s="353">
        <v>87</v>
      </c>
      <c r="G46" s="152">
        <f t="shared" si="2"/>
        <v>-333</v>
      </c>
    </row>
    <row r="47" spans="3:7">
      <c r="C47" s="425">
        <v>45510</v>
      </c>
      <c r="D47" s="66" t="s">
        <v>1737</v>
      </c>
      <c r="E47" s="353"/>
      <c r="F47" s="232">
        <v>0</v>
      </c>
      <c r="G47" s="152">
        <f t="shared" si="2"/>
        <v>-333</v>
      </c>
    </row>
    <row r="48" spans="3:7">
      <c r="C48" s="40">
        <v>45498</v>
      </c>
      <c r="D48" s="17" t="s">
        <v>1876</v>
      </c>
      <c r="E48" s="17"/>
      <c r="F48" s="18">
        <v>41</v>
      </c>
      <c r="G48" s="152">
        <f t="shared" si="2"/>
        <v>-374</v>
      </c>
    </row>
    <row r="49" spans="3:7">
      <c r="C49" s="40">
        <v>45500</v>
      </c>
      <c r="D49" s="17" t="s">
        <v>1876</v>
      </c>
      <c r="E49" s="17"/>
      <c r="F49" s="18">
        <v>33.5</v>
      </c>
      <c r="G49" s="152">
        <f t="shared" si="2"/>
        <v>-407.5</v>
      </c>
    </row>
    <row r="50" spans="3:7">
      <c r="C50" s="40">
        <v>45501</v>
      </c>
      <c r="D50" s="17" t="s">
        <v>1876</v>
      </c>
      <c r="E50" s="17"/>
      <c r="F50" s="18">
        <v>15.5</v>
      </c>
      <c r="G50" s="152">
        <f t="shared" si="2"/>
        <v>-423</v>
      </c>
    </row>
    <row r="51" spans="3:7">
      <c r="C51" s="40">
        <v>45501</v>
      </c>
      <c r="D51" s="17" t="s">
        <v>1876</v>
      </c>
      <c r="E51" s="17"/>
      <c r="F51" s="18">
        <v>1.5</v>
      </c>
      <c r="G51" s="152">
        <f t="shared" si="2"/>
        <v>-424.5</v>
      </c>
    </row>
    <row r="52" spans="3:7">
      <c r="C52" s="40">
        <v>45504</v>
      </c>
      <c r="D52" s="17" t="s">
        <v>1876</v>
      </c>
      <c r="E52" s="17"/>
      <c r="F52" s="18">
        <v>13.6</v>
      </c>
      <c r="G52" s="152">
        <f t="shared" si="2"/>
        <v>-438.1</v>
      </c>
    </row>
    <row r="53" spans="3:7">
      <c r="C53" s="40">
        <v>45504</v>
      </c>
      <c r="D53" s="17" t="s">
        <v>1876</v>
      </c>
      <c r="E53" s="17"/>
      <c r="F53" s="18">
        <v>19.5</v>
      </c>
      <c r="G53" s="152">
        <f t="shared" si="2"/>
        <v>-457.6</v>
      </c>
    </row>
    <row r="54" spans="3:7">
      <c r="C54" s="40">
        <v>45504</v>
      </c>
      <c r="D54" s="17" t="s">
        <v>1876</v>
      </c>
      <c r="E54" s="17"/>
      <c r="F54" s="18">
        <v>315</v>
      </c>
      <c r="G54" s="152">
        <f t="shared" si="2"/>
        <v>-772.6</v>
      </c>
    </row>
    <row r="55" spans="3:7">
      <c r="C55" s="40">
        <v>45504</v>
      </c>
      <c r="D55" s="17" t="s">
        <v>1876</v>
      </c>
      <c r="E55" s="17"/>
      <c r="F55" s="18">
        <v>8</v>
      </c>
      <c r="G55" s="152">
        <f t="shared" si="2"/>
        <v>-780.6</v>
      </c>
    </row>
    <row r="56" spans="3:7">
      <c r="C56" s="40">
        <v>45504</v>
      </c>
      <c r="D56" s="17" t="s">
        <v>1876</v>
      </c>
      <c r="E56" s="17"/>
      <c r="F56" s="18">
        <v>18.5</v>
      </c>
      <c r="G56" s="152">
        <f t="shared" si="2"/>
        <v>-799.1</v>
      </c>
    </row>
    <row r="57" spans="3:7">
      <c r="C57" s="40">
        <v>45505</v>
      </c>
      <c r="D57" s="17" t="s">
        <v>1876</v>
      </c>
      <c r="E57" s="17"/>
      <c r="F57" s="18">
        <v>10</v>
      </c>
      <c r="G57" s="152">
        <f t="shared" si="2"/>
        <v>-809.1</v>
      </c>
    </row>
    <row r="58" spans="3:7">
      <c r="C58" s="40">
        <v>45506</v>
      </c>
      <c r="D58" s="17" t="s">
        <v>1877</v>
      </c>
      <c r="E58" s="17"/>
      <c r="F58" s="18">
        <v>1.2</v>
      </c>
      <c r="G58" s="152">
        <f t="shared" si="2"/>
        <v>-810.30000000000007</v>
      </c>
    </row>
    <row r="59" spans="3:7">
      <c r="C59" s="40">
        <v>45506</v>
      </c>
      <c r="D59" s="17" t="s">
        <v>1878</v>
      </c>
      <c r="E59" s="17"/>
      <c r="F59" s="18">
        <v>108</v>
      </c>
      <c r="G59" s="152">
        <f t="shared" si="2"/>
        <v>-918.30000000000007</v>
      </c>
    </row>
    <row r="60" spans="3:7">
      <c r="C60" s="40">
        <v>45506</v>
      </c>
      <c r="D60" s="17" t="s">
        <v>1877</v>
      </c>
      <c r="E60" s="17"/>
      <c r="F60" s="18">
        <v>1.2</v>
      </c>
      <c r="G60" s="152">
        <f t="shared" si="2"/>
        <v>-919.50000000000011</v>
      </c>
    </row>
    <row r="61" spans="3:7">
      <c r="C61" s="40">
        <v>45506</v>
      </c>
      <c r="D61" s="17" t="s">
        <v>1878</v>
      </c>
      <c r="E61" s="17"/>
      <c r="F61" s="18">
        <v>108</v>
      </c>
      <c r="G61" s="152">
        <f t="shared" si="2"/>
        <v>-1027.5</v>
      </c>
    </row>
    <row r="62" spans="3:7">
      <c r="C62" s="40">
        <v>45506</v>
      </c>
      <c r="D62" s="17" t="s">
        <v>1879</v>
      </c>
      <c r="E62" s="17"/>
      <c r="F62" s="18">
        <v>1</v>
      </c>
      <c r="G62" s="152">
        <f t="shared" si="2"/>
        <v>-1028.5</v>
      </c>
    </row>
    <row r="63" spans="3:7">
      <c r="C63" s="40">
        <v>45506</v>
      </c>
      <c r="D63" s="17" t="s">
        <v>1877</v>
      </c>
      <c r="E63" s="17"/>
      <c r="F63" s="18">
        <v>1.2</v>
      </c>
      <c r="G63" s="152">
        <f t="shared" si="2"/>
        <v>-1029.7</v>
      </c>
    </row>
    <row r="64" spans="3:7">
      <c r="C64" s="40">
        <v>45506</v>
      </c>
      <c r="D64" s="17" t="s">
        <v>1878</v>
      </c>
      <c r="E64" s="17"/>
      <c r="F64" s="18">
        <v>108</v>
      </c>
      <c r="G64" s="152">
        <f t="shared" si="2"/>
        <v>-1137.7</v>
      </c>
    </row>
    <row r="65" spans="3:7">
      <c r="C65" s="40">
        <v>45510</v>
      </c>
      <c r="D65" s="17" t="s">
        <v>1880</v>
      </c>
      <c r="E65" s="17"/>
      <c r="F65" s="18">
        <v>35</v>
      </c>
      <c r="G65" s="152">
        <f t="shared" si="2"/>
        <v>-1172.7</v>
      </c>
    </row>
    <row r="66" spans="3:7">
      <c r="C66" s="40">
        <v>45510</v>
      </c>
      <c r="D66" s="17" t="s">
        <v>1880</v>
      </c>
      <c r="E66" s="17"/>
      <c r="F66" s="18">
        <v>65</v>
      </c>
      <c r="G66" s="152">
        <f t="shared" si="2"/>
        <v>-1237.7</v>
      </c>
    </row>
    <row r="67" spans="3:7">
      <c r="C67" s="40">
        <v>45510</v>
      </c>
      <c r="D67" s="17" t="s">
        <v>1881</v>
      </c>
      <c r="E67" s="17"/>
      <c r="F67" s="18">
        <v>1170</v>
      </c>
      <c r="G67" s="152">
        <f t="shared" si="2"/>
        <v>-2407.6999999999998</v>
      </c>
    </row>
    <row r="68" spans="3:7">
      <c r="C68" s="40">
        <v>45512</v>
      </c>
      <c r="D68" s="17" t="s">
        <v>1882</v>
      </c>
      <c r="E68" s="17"/>
      <c r="F68" s="18">
        <v>39</v>
      </c>
      <c r="G68" s="152">
        <f t="shared" si="2"/>
        <v>-2446.6999999999998</v>
      </c>
    </row>
    <row r="69" spans="3:7">
      <c r="C69" s="40">
        <v>45512</v>
      </c>
      <c r="D69" s="17" t="s">
        <v>1883</v>
      </c>
      <c r="E69" s="17"/>
      <c r="F69" s="18">
        <v>18</v>
      </c>
      <c r="G69" s="152">
        <f t="shared" si="2"/>
        <v>-2464.6999999999998</v>
      </c>
    </row>
    <row r="70" spans="3:7">
      <c r="C70" s="40">
        <v>45512</v>
      </c>
      <c r="D70" s="17" t="s">
        <v>1884</v>
      </c>
      <c r="E70" s="17"/>
      <c r="F70" s="18">
        <v>11.75</v>
      </c>
      <c r="G70" s="152">
        <f t="shared" si="2"/>
        <v>-2476.4499999999998</v>
      </c>
    </row>
    <row r="71" spans="3:7">
      <c r="C71" s="40">
        <v>45512</v>
      </c>
      <c r="D71" s="17" t="s">
        <v>1885</v>
      </c>
      <c r="E71" s="17"/>
      <c r="F71" s="18">
        <v>8</v>
      </c>
      <c r="G71" s="152">
        <f t="shared" si="2"/>
        <v>-2484.4499999999998</v>
      </c>
    </row>
    <row r="72" spans="3:7">
      <c r="C72" s="40">
        <v>45512</v>
      </c>
      <c r="D72" s="17" t="s">
        <v>1886</v>
      </c>
      <c r="E72" s="17"/>
      <c r="F72" s="18">
        <v>40.200000000000003</v>
      </c>
      <c r="G72" s="152">
        <f t="shared" si="2"/>
        <v>-2524.6499999999996</v>
      </c>
    </row>
    <row r="73" spans="3:7">
      <c r="C73" s="40">
        <v>45514</v>
      </c>
      <c r="D73" s="17" t="s">
        <v>1887</v>
      </c>
      <c r="E73" s="17"/>
      <c r="F73" s="18">
        <v>96</v>
      </c>
      <c r="G73" s="152">
        <f t="shared" si="2"/>
        <v>-2620.6499999999996</v>
      </c>
    </row>
    <row r="74" spans="3:7">
      <c r="C74" s="40">
        <v>45514</v>
      </c>
      <c r="D74" s="17" t="s">
        <v>1888</v>
      </c>
      <c r="E74" s="17"/>
      <c r="F74" s="18">
        <v>10.99</v>
      </c>
      <c r="G74" s="152">
        <f t="shared" si="2"/>
        <v>-2631.6399999999994</v>
      </c>
    </row>
    <row r="75" spans="3:7">
      <c r="C75" s="40">
        <v>45514</v>
      </c>
      <c r="D75" s="17" t="s">
        <v>1889</v>
      </c>
      <c r="E75" s="17"/>
      <c r="F75" s="18">
        <v>43.8</v>
      </c>
      <c r="G75" s="152">
        <f t="shared" si="2"/>
        <v>-2675.4399999999996</v>
      </c>
    </row>
    <row r="76" spans="3:7">
      <c r="C76" s="40">
        <v>45514</v>
      </c>
      <c r="D76" s="17" t="s">
        <v>1890</v>
      </c>
      <c r="E76" s="17"/>
      <c r="F76" s="18">
        <v>118.01</v>
      </c>
      <c r="G76" s="152">
        <f t="shared" si="2"/>
        <v>-2793.45</v>
      </c>
    </row>
    <row r="77" spans="3:7">
      <c r="C77" s="40">
        <v>45514</v>
      </c>
      <c r="D77" s="17" t="s">
        <v>1891</v>
      </c>
      <c r="E77" s="17"/>
      <c r="F77" s="18">
        <v>34.799999999999997</v>
      </c>
      <c r="G77" s="152">
        <f t="shared" si="2"/>
        <v>-2828.25</v>
      </c>
    </row>
    <row r="78" spans="3:7">
      <c r="C78" s="40">
        <v>45514</v>
      </c>
      <c r="D78" s="17" t="s">
        <v>1892</v>
      </c>
      <c r="E78" s="17"/>
      <c r="F78" s="18">
        <v>24</v>
      </c>
      <c r="G78" s="152">
        <f t="shared" si="2"/>
        <v>-2852.25</v>
      </c>
    </row>
    <row r="79" spans="3:7">
      <c r="C79" s="40">
        <v>45517</v>
      </c>
      <c r="D79" s="17" t="s">
        <v>1880</v>
      </c>
      <c r="E79" s="17"/>
      <c r="F79" s="18">
        <v>100</v>
      </c>
      <c r="G79" s="152">
        <f t="shared" si="2"/>
        <v>-2952.25</v>
      </c>
    </row>
    <row r="80" spans="3:7">
      <c r="C80" s="40">
        <v>45520</v>
      </c>
      <c r="D80" s="17" t="s">
        <v>2064</v>
      </c>
      <c r="E80" s="17"/>
      <c r="F80" s="18">
        <v>52.58</v>
      </c>
      <c r="G80" s="152">
        <f t="shared" si="2"/>
        <v>-3004.83</v>
      </c>
    </row>
    <row r="81" spans="3:7">
      <c r="C81" s="40">
        <v>45520</v>
      </c>
      <c r="D81" s="17" t="s">
        <v>2065</v>
      </c>
      <c r="E81" s="17"/>
      <c r="F81" s="18">
        <v>64.52</v>
      </c>
      <c r="G81" s="152">
        <f t="shared" si="2"/>
        <v>-3069.35</v>
      </c>
    </row>
    <row r="82" spans="3:7">
      <c r="C82" s="40">
        <v>45520</v>
      </c>
      <c r="D82" s="17" t="s">
        <v>2066</v>
      </c>
      <c r="E82" s="17"/>
      <c r="F82" s="18">
        <v>34.299999999999997</v>
      </c>
      <c r="G82" s="152">
        <f t="shared" si="2"/>
        <v>-3103.65</v>
      </c>
    </row>
    <row r="83" spans="3:7">
      <c r="C83" s="40">
        <v>45531</v>
      </c>
      <c r="D83" s="17" t="s">
        <v>1954</v>
      </c>
      <c r="E83" s="17"/>
      <c r="F83" s="18">
        <f>400*2.7</f>
        <v>1080</v>
      </c>
      <c r="G83" s="152">
        <f t="shared" si="2"/>
        <v>-4183.6499999999996</v>
      </c>
    </row>
    <row r="84" spans="3:7">
      <c r="C84" s="40"/>
      <c r="D84" s="17"/>
      <c r="E84" s="17"/>
      <c r="F84" s="18"/>
      <c r="G84" s="152">
        <f t="shared" si="2"/>
        <v>-4183.6499999999996</v>
      </c>
    </row>
    <row r="85" spans="3:7">
      <c r="C85" s="40"/>
      <c r="D85" s="17"/>
      <c r="E85" s="17"/>
      <c r="F85" s="18"/>
      <c r="G85" s="152">
        <f t="shared" si="2"/>
        <v>-4183.6499999999996</v>
      </c>
    </row>
    <row r="86" spans="3:7">
      <c r="C86" s="40"/>
      <c r="D86" s="17"/>
      <c r="E86" s="17"/>
      <c r="F86" s="18"/>
      <c r="G86" s="152">
        <f t="shared" si="2"/>
        <v>-4183.6499999999996</v>
      </c>
    </row>
    <row r="87" spans="3:7">
      <c r="C87" s="40"/>
      <c r="D87" s="17"/>
      <c r="E87" s="17"/>
      <c r="F87" s="18"/>
      <c r="G87" s="152">
        <f t="shared" si="2"/>
        <v>-4183.6499999999996</v>
      </c>
    </row>
    <row r="88" spans="3:7">
      <c r="C88" s="17"/>
      <c r="D88" s="452" t="s">
        <v>1752</v>
      </c>
      <c r="E88" s="17"/>
      <c r="F88" s="17"/>
      <c r="G88" s="454">
        <f t="shared" si="2"/>
        <v>-4183.6499999999996</v>
      </c>
    </row>
    <row r="89" spans="3:7">
      <c r="G89" s="467"/>
    </row>
    <row r="90" spans="3:7">
      <c r="G90" s="467"/>
    </row>
    <row r="91" spans="3:7" ht="15" thickBot="1">
      <c r="G91" s="467"/>
    </row>
    <row r="92" spans="3:7" ht="20.399999999999999" thickBot="1">
      <c r="C92" s="86"/>
      <c r="D92" s="107" t="s">
        <v>469</v>
      </c>
      <c r="E92" s="108"/>
      <c r="F92" s="108"/>
      <c r="G92" s="86"/>
    </row>
    <row r="93" spans="3:7">
      <c r="C93" s="623" t="s">
        <v>236</v>
      </c>
      <c r="D93" s="623" t="s">
        <v>237</v>
      </c>
      <c r="E93" s="623" t="s">
        <v>250</v>
      </c>
      <c r="F93" s="623" t="s">
        <v>251</v>
      </c>
      <c r="G93" s="623" t="s">
        <v>238</v>
      </c>
    </row>
    <row r="94" spans="3:7" ht="15" thickBot="1">
      <c r="C94" s="624"/>
      <c r="D94" s="624"/>
      <c r="E94" s="624"/>
      <c r="F94" s="624"/>
      <c r="G94" s="624"/>
    </row>
    <row r="95" spans="3:7">
      <c r="C95" s="445"/>
      <c r="D95" s="446" t="s">
        <v>2087</v>
      </c>
      <c r="E95" s="447"/>
      <c r="F95" s="447"/>
      <c r="G95" s="325">
        <v>0</v>
      </c>
    </row>
    <row r="96" spans="3:7">
      <c r="C96" s="444"/>
      <c r="D96" s="191"/>
      <c r="E96" s="191"/>
      <c r="F96" s="191"/>
      <c r="G96" s="141">
        <f>G95+E96-F96</f>
        <v>0</v>
      </c>
    </row>
    <row r="97" spans="3:7">
      <c r="C97" s="444"/>
      <c r="D97" s="191"/>
      <c r="E97" s="191"/>
      <c r="F97" s="191"/>
      <c r="G97" s="141">
        <f t="shared" ref="G97:G105" si="3">G96+E97-F97</f>
        <v>0</v>
      </c>
    </row>
    <row r="98" spans="3:7">
      <c r="C98" s="444"/>
      <c r="D98" s="191"/>
      <c r="E98" s="191"/>
      <c r="F98" s="191"/>
      <c r="G98" s="141">
        <f t="shared" si="3"/>
        <v>0</v>
      </c>
    </row>
    <row r="99" spans="3:7">
      <c r="C99" s="444"/>
      <c r="D99" s="191"/>
      <c r="E99" s="191"/>
      <c r="F99" s="191"/>
      <c r="G99" s="141">
        <f t="shared" si="3"/>
        <v>0</v>
      </c>
    </row>
    <row r="100" spans="3:7">
      <c r="C100" s="40"/>
      <c r="D100" s="17"/>
      <c r="E100" s="191"/>
      <c r="F100" s="191"/>
      <c r="G100" s="141">
        <f t="shared" si="3"/>
        <v>0</v>
      </c>
    </row>
    <row r="101" spans="3:7">
      <c r="C101" s="40"/>
      <c r="D101" s="17"/>
      <c r="E101" s="191"/>
      <c r="F101" s="191"/>
      <c r="G101" s="141">
        <f t="shared" si="3"/>
        <v>0</v>
      </c>
    </row>
    <row r="102" spans="3:7">
      <c r="C102" s="40"/>
      <c r="D102" s="17"/>
      <c r="E102" s="191"/>
      <c r="F102" s="191"/>
      <c r="G102" s="152">
        <f t="shared" si="3"/>
        <v>0</v>
      </c>
    </row>
    <row r="103" spans="3:7">
      <c r="C103" s="65"/>
      <c r="D103" s="46"/>
      <c r="E103" s="25"/>
      <c r="F103" s="232"/>
      <c r="G103" s="152">
        <f t="shared" si="3"/>
        <v>0</v>
      </c>
    </row>
    <row r="104" spans="3:7">
      <c r="C104" s="65"/>
      <c r="D104" s="46"/>
      <c r="E104" s="25"/>
      <c r="F104" s="232"/>
      <c r="G104" s="152">
        <f t="shared" si="3"/>
        <v>0</v>
      </c>
    </row>
    <row r="105" spans="3:7">
      <c r="C105" s="65"/>
      <c r="D105" s="452" t="s">
        <v>1752</v>
      </c>
      <c r="E105" s="452"/>
      <c r="F105" s="453"/>
      <c r="G105" s="453">
        <f t="shared" si="3"/>
        <v>0</v>
      </c>
    </row>
    <row r="107" spans="3:7" ht="15" thickBot="1"/>
    <row r="108" spans="3:7" ht="20.399999999999999" thickBot="1">
      <c r="C108" s="86"/>
      <c r="D108" s="449" t="s">
        <v>1751</v>
      </c>
      <c r="E108" s="108"/>
      <c r="F108" s="108"/>
      <c r="G108" s="86"/>
    </row>
    <row r="109" spans="3:7">
      <c r="C109" s="623" t="s">
        <v>236</v>
      </c>
      <c r="D109" s="623" t="s">
        <v>237</v>
      </c>
      <c r="E109" s="623" t="s">
        <v>250</v>
      </c>
      <c r="F109" s="623" t="s">
        <v>251</v>
      </c>
      <c r="G109" s="623" t="s">
        <v>238</v>
      </c>
    </row>
    <row r="110" spans="3:7" ht="15" thickBot="1">
      <c r="C110" s="624"/>
      <c r="D110" s="624"/>
      <c r="E110" s="624"/>
      <c r="F110" s="624"/>
      <c r="G110" s="624"/>
    </row>
    <row r="111" spans="3:7">
      <c r="C111" s="445"/>
      <c r="D111" s="446" t="s">
        <v>2087</v>
      </c>
      <c r="E111" s="447"/>
      <c r="F111" s="447"/>
      <c r="G111" s="325">
        <v>0</v>
      </c>
    </row>
    <row r="112" spans="3:7">
      <c r="C112" s="444"/>
      <c r="D112" s="191"/>
      <c r="E112" s="191"/>
      <c r="F112" s="191"/>
      <c r="G112" s="141">
        <f>G111+E112-F112</f>
        <v>0</v>
      </c>
    </row>
    <row r="113" spans="3:7">
      <c r="C113" s="444">
        <v>45558</v>
      </c>
      <c r="D113" s="191" t="s">
        <v>2088</v>
      </c>
      <c r="E113" s="191"/>
      <c r="F113" s="191">
        <v>550</v>
      </c>
      <c r="G113" s="141">
        <f t="shared" ref="G113:G154" si="4">G112+E113-F113</f>
        <v>-550</v>
      </c>
    </row>
    <row r="114" spans="3:7">
      <c r="C114" s="444"/>
      <c r="D114" s="191"/>
      <c r="E114" s="191"/>
      <c r="F114" s="191"/>
      <c r="G114" s="141">
        <f t="shared" si="4"/>
        <v>-550</v>
      </c>
    </row>
    <row r="115" spans="3:7">
      <c r="C115" s="40">
        <v>45537</v>
      </c>
      <c r="D115" s="17" t="s">
        <v>2121</v>
      </c>
      <c r="E115" s="191"/>
      <c r="F115" s="17">
        <v>20</v>
      </c>
      <c r="G115" s="141">
        <f t="shared" si="4"/>
        <v>-570</v>
      </c>
    </row>
    <row r="116" spans="3:7">
      <c r="C116" s="40">
        <v>45538</v>
      </c>
      <c r="D116" s="17" t="s">
        <v>2122</v>
      </c>
      <c r="E116" s="191"/>
      <c r="F116" s="17">
        <v>26.25</v>
      </c>
      <c r="G116" s="141">
        <f t="shared" si="4"/>
        <v>-596.25</v>
      </c>
    </row>
    <row r="117" spans="3:7">
      <c r="C117" s="40">
        <v>45540</v>
      </c>
      <c r="D117" s="17" t="s">
        <v>1880</v>
      </c>
      <c r="E117" s="191"/>
      <c r="F117" s="17">
        <v>20</v>
      </c>
      <c r="G117" s="141">
        <f t="shared" si="4"/>
        <v>-616.25</v>
      </c>
    </row>
    <row r="118" spans="3:7">
      <c r="C118" s="40">
        <v>45540</v>
      </c>
      <c r="D118" s="17" t="s">
        <v>2123</v>
      </c>
      <c r="E118" s="191"/>
      <c r="F118" s="17">
        <v>345.05</v>
      </c>
      <c r="G118" s="152">
        <f t="shared" si="4"/>
        <v>-961.3</v>
      </c>
    </row>
    <row r="119" spans="3:7">
      <c r="C119" s="40">
        <v>45543</v>
      </c>
      <c r="D119" s="17" t="s">
        <v>2124</v>
      </c>
      <c r="E119" s="25"/>
      <c r="F119" s="17">
        <v>18</v>
      </c>
      <c r="G119" s="152">
        <f t="shared" si="4"/>
        <v>-979.3</v>
      </c>
    </row>
    <row r="120" spans="3:7">
      <c r="C120" s="40">
        <v>45545</v>
      </c>
      <c r="D120" s="17" t="s">
        <v>2125</v>
      </c>
      <c r="E120" s="25"/>
      <c r="F120" s="17">
        <v>16</v>
      </c>
      <c r="G120" s="152">
        <f t="shared" si="4"/>
        <v>-995.3</v>
      </c>
    </row>
    <row r="121" spans="3:7">
      <c r="C121" s="40">
        <v>45545</v>
      </c>
      <c r="D121" s="17" t="s">
        <v>2126</v>
      </c>
      <c r="E121" s="25"/>
      <c r="F121" s="17">
        <v>34</v>
      </c>
      <c r="G121" s="152">
        <f t="shared" si="4"/>
        <v>-1029.3</v>
      </c>
    </row>
    <row r="122" spans="3:7">
      <c r="C122" s="40">
        <v>45545</v>
      </c>
      <c r="D122" s="17" t="s">
        <v>2127</v>
      </c>
      <c r="E122" s="25"/>
      <c r="F122" s="17">
        <v>61.98</v>
      </c>
      <c r="G122" s="152">
        <f t="shared" si="4"/>
        <v>-1091.28</v>
      </c>
    </row>
    <row r="123" spans="3:7">
      <c r="C123" s="40">
        <v>45545</v>
      </c>
      <c r="D123" s="17" t="s">
        <v>2125</v>
      </c>
      <c r="E123" s="25"/>
      <c r="F123" s="17">
        <v>144</v>
      </c>
      <c r="G123" s="152">
        <f t="shared" si="4"/>
        <v>-1235.28</v>
      </c>
    </row>
    <row r="124" spans="3:7">
      <c r="C124" s="40">
        <v>45545</v>
      </c>
      <c r="D124" s="17" t="s">
        <v>2128</v>
      </c>
      <c r="E124" s="25"/>
      <c r="F124" s="17">
        <v>93.2</v>
      </c>
      <c r="G124" s="152">
        <f t="shared" si="4"/>
        <v>-1328.48</v>
      </c>
    </row>
    <row r="125" spans="3:7">
      <c r="C125" s="40">
        <v>45545</v>
      </c>
      <c r="D125" s="17" t="s">
        <v>2129</v>
      </c>
      <c r="E125" s="25"/>
      <c r="F125" s="17">
        <v>95</v>
      </c>
      <c r="G125" s="152">
        <f t="shared" si="4"/>
        <v>-1423.48</v>
      </c>
    </row>
    <row r="126" spans="3:7">
      <c r="C126" s="40">
        <v>45547</v>
      </c>
      <c r="D126" s="17" t="s">
        <v>2126</v>
      </c>
      <c r="E126" s="25"/>
      <c r="F126" s="17">
        <v>40.5</v>
      </c>
      <c r="G126" s="152">
        <f t="shared" si="4"/>
        <v>-1463.98</v>
      </c>
    </row>
    <row r="127" spans="3:7">
      <c r="C127" s="40">
        <v>45547</v>
      </c>
      <c r="D127" s="17" t="s">
        <v>2130</v>
      </c>
      <c r="E127" s="25"/>
      <c r="F127" s="17">
        <v>13.23</v>
      </c>
      <c r="G127" s="152">
        <f t="shared" si="4"/>
        <v>-1477.21</v>
      </c>
    </row>
    <row r="128" spans="3:7">
      <c r="C128" s="40">
        <v>45549</v>
      </c>
      <c r="D128" s="17" t="s">
        <v>1880</v>
      </c>
      <c r="E128" s="25"/>
      <c r="F128" s="17">
        <v>20</v>
      </c>
      <c r="G128" s="152">
        <f t="shared" si="4"/>
        <v>-1497.21</v>
      </c>
    </row>
    <row r="129" spans="3:7">
      <c r="C129" s="40">
        <v>45557</v>
      </c>
      <c r="D129" s="17" t="s">
        <v>2131</v>
      </c>
      <c r="E129" s="25"/>
      <c r="F129" s="17">
        <v>10.9</v>
      </c>
      <c r="G129" s="152">
        <f t="shared" si="4"/>
        <v>-1508.1100000000001</v>
      </c>
    </row>
    <row r="130" spans="3:7">
      <c r="C130" s="40">
        <v>45560</v>
      </c>
      <c r="D130" s="17" t="s">
        <v>2132</v>
      </c>
      <c r="E130" s="25"/>
      <c r="F130" s="17">
        <v>3.37</v>
      </c>
      <c r="G130" s="152">
        <f t="shared" si="4"/>
        <v>-1511.48</v>
      </c>
    </row>
    <row r="131" spans="3:7">
      <c r="C131" s="40">
        <v>45566</v>
      </c>
      <c r="D131" s="17" t="s">
        <v>2133</v>
      </c>
      <c r="E131" s="25"/>
      <c r="F131" s="17">
        <v>26.19</v>
      </c>
      <c r="G131" s="152">
        <f t="shared" si="4"/>
        <v>-1537.67</v>
      </c>
    </row>
    <row r="132" spans="3:7">
      <c r="C132" s="40"/>
      <c r="D132" s="17"/>
      <c r="E132" s="25"/>
      <c r="F132" s="17"/>
      <c r="G132" s="152">
        <f t="shared" si="4"/>
        <v>-1537.67</v>
      </c>
    </row>
    <row r="133" spans="3:7">
      <c r="C133" s="40"/>
      <c r="D133" s="17"/>
      <c r="E133" s="25"/>
      <c r="F133" s="17"/>
      <c r="G133" s="152">
        <f t="shared" si="4"/>
        <v>-1537.67</v>
      </c>
    </row>
    <row r="134" spans="3:7">
      <c r="C134" s="40"/>
      <c r="D134" s="17"/>
      <c r="E134" s="25"/>
      <c r="F134" s="17"/>
      <c r="G134" s="152">
        <f t="shared" si="4"/>
        <v>-1537.67</v>
      </c>
    </row>
    <row r="135" spans="3:7">
      <c r="C135" s="40"/>
      <c r="D135" s="17"/>
      <c r="E135" s="25"/>
      <c r="F135" s="17"/>
      <c r="G135" s="152">
        <f t="shared" si="4"/>
        <v>-1537.67</v>
      </c>
    </row>
    <row r="136" spans="3:7">
      <c r="C136" s="40"/>
      <c r="D136" s="17"/>
      <c r="E136" s="25"/>
      <c r="F136" s="17"/>
      <c r="G136" s="152">
        <f t="shared" si="4"/>
        <v>-1537.67</v>
      </c>
    </row>
    <row r="137" spans="3:7">
      <c r="C137" s="40"/>
      <c r="D137" s="17"/>
      <c r="E137" s="25"/>
      <c r="F137" s="17"/>
      <c r="G137" s="152">
        <f t="shared" si="4"/>
        <v>-1537.67</v>
      </c>
    </row>
    <row r="138" spans="3:7">
      <c r="C138" s="40"/>
      <c r="D138" s="17"/>
      <c r="E138" s="25"/>
      <c r="F138" s="17"/>
      <c r="G138" s="152">
        <f t="shared" si="4"/>
        <v>-1537.67</v>
      </c>
    </row>
    <row r="139" spans="3:7">
      <c r="C139" s="40"/>
      <c r="D139" s="17"/>
      <c r="E139" s="25"/>
      <c r="F139" s="17"/>
      <c r="G139" s="152">
        <f t="shared" si="4"/>
        <v>-1537.67</v>
      </c>
    </row>
    <row r="140" spans="3:7">
      <c r="C140" s="40"/>
      <c r="D140" s="17"/>
      <c r="E140" s="25"/>
      <c r="F140" s="17"/>
      <c r="G140" s="152">
        <f t="shared" si="4"/>
        <v>-1537.67</v>
      </c>
    </row>
    <row r="141" spans="3:7">
      <c r="C141" s="40"/>
      <c r="D141" s="17"/>
      <c r="E141" s="25"/>
      <c r="F141" s="17"/>
      <c r="G141" s="152">
        <f t="shared" si="4"/>
        <v>-1537.67</v>
      </c>
    </row>
    <row r="142" spans="3:7">
      <c r="C142" s="40"/>
      <c r="D142" s="17"/>
      <c r="E142" s="25"/>
      <c r="F142" s="17"/>
      <c r="G142" s="152">
        <f t="shared" si="4"/>
        <v>-1537.67</v>
      </c>
    </row>
    <row r="143" spans="3:7">
      <c r="C143" s="40"/>
      <c r="D143" s="17"/>
      <c r="E143" s="25"/>
      <c r="F143" s="17"/>
      <c r="G143" s="152">
        <f t="shared" si="4"/>
        <v>-1537.67</v>
      </c>
    </row>
    <row r="144" spans="3:7">
      <c r="C144" s="40"/>
      <c r="D144" s="17"/>
      <c r="E144" s="25"/>
      <c r="F144" s="17"/>
      <c r="G144" s="152">
        <f t="shared" si="4"/>
        <v>-1537.67</v>
      </c>
    </row>
    <row r="145" spans="3:7">
      <c r="C145" s="40"/>
      <c r="D145" s="17"/>
      <c r="E145" s="25"/>
      <c r="F145" s="17"/>
      <c r="G145" s="152">
        <f t="shared" si="4"/>
        <v>-1537.67</v>
      </c>
    </row>
    <row r="146" spans="3:7">
      <c r="C146" s="40"/>
      <c r="D146" s="17"/>
      <c r="E146" s="25"/>
      <c r="F146" s="17"/>
      <c r="G146" s="152">
        <f t="shared" si="4"/>
        <v>-1537.67</v>
      </c>
    </row>
    <row r="147" spans="3:7">
      <c r="C147" s="40"/>
      <c r="D147" s="17"/>
      <c r="E147" s="25"/>
      <c r="F147" s="17"/>
      <c r="G147" s="152">
        <f t="shared" si="4"/>
        <v>-1537.67</v>
      </c>
    </row>
    <row r="148" spans="3:7">
      <c r="C148" s="40"/>
      <c r="D148" s="17"/>
      <c r="E148" s="25"/>
      <c r="F148" s="17"/>
      <c r="G148" s="152">
        <f t="shared" si="4"/>
        <v>-1537.67</v>
      </c>
    </row>
    <row r="149" spans="3:7">
      <c r="C149" s="40"/>
      <c r="D149" s="17"/>
      <c r="E149" s="25"/>
      <c r="F149" s="17"/>
      <c r="G149" s="152">
        <f t="shared" si="4"/>
        <v>-1537.67</v>
      </c>
    </row>
    <row r="150" spans="3:7">
      <c r="C150" s="40"/>
      <c r="D150" s="17"/>
      <c r="E150" s="25"/>
      <c r="F150" s="17"/>
      <c r="G150" s="152">
        <f t="shared" si="4"/>
        <v>-1537.67</v>
      </c>
    </row>
    <row r="151" spans="3:7">
      <c r="C151" s="40"/>
      <c r="D151" s="17"/>
      <c r="E151" s="25"/>
      <c r="F151" s="17"/>
      <c r="G151" s="152">
        <f t="shared" si="4"/>
        <v>-1537.67</v>
      </c>
    </row>
    <row r="152" spans="3:7">
      <c r="C152" s="40"/>
      <c r="D152" s="17"/>
      <c r="E152" s="25"/>
      <c r="F152" s="17"/>
      <c r="G152" s="152">
        <f t="shared" si="4"/>
        <v>-1537.67</v>
      </c>
    </row>
    <row r="153" spans="3:7">
      <c r="C153" s="65"/>
      <c r="D153" s="46"/>
      <c r="E153" s="25"/>
      <c r="F153" s="232"/>
      <c r="G153" s="152">
        <f t="shared" si="4"/>
        <v>-1537.67</v>
      </c>
    </row>
    <row r="154" spans="3:7">
      <c r="C154" s="65"/>
      <c r="D154" s="452" t="s">
        <v>1752</v>
      </c>
      <c r="E154" s="452"/>
      <c r="F154" s="453"/>
      <c r="G154" s="453">
        <f t="shared" si="4"/>
        <v>-1537.67</v>
      </c>
    </row>
  </sheetData>
  <mergeCells count="20">
    <mergeCell ref="C109:C110"/>
    <mergeCell ref="D109:D110"/>
    <mergeCell ref="E109:E110"/>
    <mergeCell ref="F109:F110"/>
    <mergeCell ref="G109:G110"/>
    <mergeCell ref="C93:C94"/>
    <mergeCell ref="D93:D94"/>
    <mergeCell ref="E93:E94"/>
    <mergeCell ref="F93:F94"/>
    <mergeCell ref="G93:G94"/>
    <mergeCell ref="C4:C5"/>
    <mergeCell ref="D4:D5"/>
    <mergeCell ref="E4:E5"/>
    <mergeCell ref="F4:F5"/>
    <mergeCell ref="G4:G5"/>
    <mergeCell ref="C39:C40"/>
    <mergeCell ref="D39:D40"/>
    <mergeCell ref="E39:E40"/>
    <mergeCell ref="F39:F40"/>
    <mergeCell ref="G39:G4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24" workbookViewId="0">
      <selection activeCell="D121" sqref="D1:G1048576"/>
    </sheetView>
  </sheetViews>
  <sheetFormatPr defaultRowHeight="14.4"/>
  <sheetData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4:G22"/>
  <sheetViews>
    <sheetView workbookViewId="0">
      <selection activeCell="C3" sqref="C3:H25"/>
    </sheetView>
  </sheetViews>
  <sheetFormatPr defaultRowHeight="14.4"/>
  <cols>
    <col min="4" max="4" width="31.21875" bestFit="1" customWidth="1"/>
    <col min="5" max="5" width="18.5546875" style="131" bestFit="1" customWidth="1"/>
    <col min="6" max="6" width="10.44140625" style="131" customWidth="1"/>
    <col min="7" max="7" width="20" style="131" customWidth="1"/>
  </cols>
  <sheetData>
    <row r="4" spans="4:7">
      <c r="D4" s="546" t="s">
        <v>911</v>
      </c>
      <c r="E4" s="547" t="s">
        <v>1925</v>
      </c>
      <c r="F4" s="389"/>
    </row>
    <row r="5" spans="4:7">
      <c r="D5" s="17" t="s">
        <v>2598</v>
      </c>
      <c r="E5" s="545">
        <v>359974601808093</v>
      </c>
      <c r="G5" s="131">
        <v>359974601822136</v>
      </c>
    </row>
    <row r="6" spans="4:7">
      <c r="D6" s="477" t="s">
        <v>2599</v>
      </c>
      <c r="E6" s="548">
        <v>356380561350311</v>
      </c>
    </row>
    <row r="7" spans="4:7">
      <c r="D7" s="17" t="s">
        <v>2600</v>
      </c>
      <c r="E7" s="545">
        <v>355171954666715</v>
      </c>
      <c r="G7" s="131">
        <v>355171954837670</v>
      </c>
    </row>
    <row r="8" spans="4:7">
      <c r="D8" s="477" t="s">
        <v>2598</v>
      </c>
      <c r="E8" s="548">
        <v>350523895462817</v>
      </c>
      <c r="G8" s="131">
        <v>350523895270590</v>
      </c>
    </row>
    <row r="9" spans="4:7">
      <c r="D9" s="17" t="s">
        <v>2598</v>
      </c>
      <c r="E9" s="545">
        <v>351655955619750</v>
      </c>
      <c r="G9" s="131">
        <v>351655955665670</v>
      </c>
    </row>
    <row r="10" spans="4:7">
      <c r="D10" s="477" t="s">
        <v>2601</v>
      </c>
      <c r="E10" s="548">
        <v>352502303969835</v>
      </c>
      <c r="G10" s="131">
        <v>352502304215782</v>
      </c>
    </row>
    <row r="11" spans="4:7">
      <c r="D11" s="17" t="s">
        <v>2602</v>
      </c>
      <c r="E11" s="545">
        <v>351617737060950</v>
      </c>
    </row>
    <row r="12" spans="4:7">
      <c r="D12" s="477" t="s">
        <v>2603</v>
      </c>
      <c r="E12" s="548">
        <v>351250615743586</v>
      </c>
      <c r="G12" s="131">
        <v>359688605743581</v>
      </c>
    </row>
    <row r="13" spans="4:7">
      <c r="D13" s="17" t="s">
        <v>2604</v>
      </c>
      <c r="E13" s="545">
        <v>358413699819150</v>
      </c>
    </row>
    <row r="14" spans="4:7">
      <c r="D14" s="477" t="s">
        <v>2604</v>
      </c>
      <c r="E14" s="548">
        <v>359298855052764</v>
      </c>
      <c r="G14" s="131">
        <v>359298855126972</v>
      </c>
    </row>
    <row r="15" spans="4:7">
      <c r="D15" s="17" t="s">
        <v>2604</v>
      </c>
      <c r="E15" s="545">
        <v>358413695701980</v>
      </c>
    </row>
    <row r="16" spans="4:7">
      <c r="D16" s="477" t="s">
        <v>2605</v>
      </c>
      <c r="E16" s="548">
        <v>353446782484354</v>
      </c>
      <c r="G16" s="131">
        <v>353446784675439</v>
      </c>
    </row>
    <row r="17" spans="4:7">
      <c r="D17" s="17" t="s">
        <v>2605</v>
      </c>
      <c r="E17" s="545">
        <v>353446786560563</v>
      </c>
      <c r="G17" s="131">
        <v>353446781513476</v>
      </c>
    </row>
    <row r="18" spans="4:7">
      <c r="D18" s="477" t="s">
        <v>2603</v>
      </c>
      <c r="E18" s="548">
        <v>351250615737612</v>
      </c>
      <c r="G18" s="131">
        <v>359688605737617</v>
      </c>
    </row>
    <row r="19" spans="4:7">
      <c r="D19" s="17" t="s">
        <v>2605</v>
      </c>
      <c r="E19" s="545">
        <v>353446781287865</v>
      </c>
      <c r="G19" s="131">
        <v>353446786176923</v>
      </c>
    </row>
    <row r="20" spans="4:7">
      <c r="D20" s="477" t="s">
        <v>2606</v>
      </c>
      <c r="E20" s="548">
        <v>354985550609675</v>
      </c>
      <c r="G20" s="131">
        <v>354985550506525</v>
      </c>
    </row>
    <row r="21" spans="4:7">
      <c r="D21" s="17" t="s">
        <v>2602</v>
      </c>
      <c r="E21" s="545">
        <v>351617736910312</v>
      </c>
    </row>
    <row r="22" spans="4:7">
      <c r="D22" s="477" t="s">
        <v>2603</v>
      </c>
      <c r="E22" s="548">
        <v>351250615600778</v>
      </c>
      <c r="G22" s="131">
        <v>359688605600773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Balance Sheet</vt:lpstr>
      <vt:lpstr>Customer Ledger</vt:lpstr>
      <vt:lpstr>final closing</vt:lpstr>
      <vt:lpstr>Vendor Ledger</vt:lpstr>
      <vt:lpstr>IMEI Record</vt:lpstr>
      <vt:lpstr>Sell.Invoice</vt:lpstr>
      <vt:lpstr>Pur.Invoice</vt:lpstr>
      <vt:lpstr>AR Bank Accounts</vt:lpstr>
      <vt:lpstr>Mudassir Purchasing</vt:lpstr>
      <vt:lpstr>Stock</vt:lpstr>
      <vt:lpstr>Australia 2</vt:lpstr>
      <vt:lpstr>AR Expense </vt:lpstr>
      <vt:lpstr>Book 1</vt:lpstr>
      <vt:lpstr>Book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cp:lastPrinted>2025-06-21T16:57:08Z</cp:lastPrinted>
  <dcterms:created xsi:type="dcterms:W3CDTF">2024-04-26T12:01:04Z</dcterms:created>
  <dcterms:modified xsi:type="dcterms:W3CDTF">2025-06-28T17:46:26Z</dcterms:modified>
</cp:coreProperties>
</file>