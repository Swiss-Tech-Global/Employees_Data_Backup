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esktop\Starlink\GST\"/>
    </mc:Choice>
  </mc:AlternateContent>
  <xr:revisionPtr revIDLastSave="0" documentId="13_ncr:1_{F4626907-69C3-4ABE-8AA4-72A65E3D5C4B}" xr6:coauthVersionLast="47" xr6:coauthVersionMax="47" xr10:uidLastSave="{00000000-0000-0000-0000-000000000000}"/>
  <bookViews>
    <workbookView xWindow="-110" yWindow="-110" windowWidth="19420" windowHeight="10300" xr2:uid="{54BBDAB7-6A68-49FE-9870-74A243A5F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</calcChain>
</file>

<file path=xl/sharedStrings.xml><?xml version="1.0" encoding="utf-8"?>
<sst xmlns="http://schemas.openxmlformats.org/spreadsheetml/2006/main" count="18" uniqueCount="17">
  <si>
    <t>Newzeland</t>
  </si>
  <si>
    <t>Date</t>
  </si>
  <si>
    <t>Product Name</t>
  </si>
  <si>
    <t>Qty</t>
  </si>
  <si>
    <t xml:space="preserve">Per/Unit  </t>
  </si>
  <si>
    <t xml:space="preserve">Total </t>
  </si>
  <si>
    <t>GST</t>
  </si>
  <si>
    <t>Starlink Mini 500 Units  $630  WB</t>
  </si>
  <si>
    <t>JBL Charge 5  150Units $148  WB</t>
  </si>
  <si>
    <t>JBL Charge 5  50Units  $145   WB</t>
  </si>
  <si>
    <t>Google Chrome Cast  250Units  $149  WB</t>
  </si>
  <si>
    <t>Starlink V4  200Units $549  WB</t>
  </si>
  <si>
    <t>JBL Charge.5 6Units $145  WB</t>
  </si>
  <si>
    <t>PS5  15Units  $695  ARB</t>
  </si>
  <si>
    <r>
      <t>Google streamer (</t>
    </r>
    <r>
      <rPr>
        <b/>
        <sz val="11"/>
        <color theme="5" tint="-0.249977111117893"/>
        <rFont val="Calibri"/>
        <charset val="1"/>
        <scheme val="minor"/>
      </rPr>
      <t>In System Google Chrome Cast</t>
    </r>
    <r>
      <rPr>
        <sz val="11"/>
        <color theme="1"/>
        <rFont val="Calibri"/>
        <family val="2"/>
        <scheme val="minor"/>
      </rPr>
      <t xml:space="preserve">) </t>
    </r>
    <r>
      <rPr>
        <b/>
        <sz val="11"/>
        <color theme="1"/>
        <rFont val="Calibri"/>
        <charset val="1"/>
        <scheme val="minor"/>
      </rPr>
      <t>($37,500 Paid)</t>
    </r>
  </si>
  <si>
    <r>
      <t xml:space="preserve">Starlink v4 19Units  @580  WB  </t>
    </r>
    <r>
      <rPr>
        <b/>
        <sz val="11"/>
        <color rgb="FFFF0000"/>
        <rFont val="Times New Roman"/>
        <family val="1"/>
      </rPr>
      <t>refund pending</t>
    </r>
  </si>
  <si>
    <t xml:space="preserve">Starlink V4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</si>
</sst>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C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charset val="1"/>
      <scheme val="minor"/>
    </font>
    <font>
      <b/>
      <sz val="11"/>
      <color theme="5" tint="-0.249977111117893"/>
      <name val="Calibri"/>
      <charset val="1"/>
      <scheme val="minor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164" fontId="0" fillId="0" borderId="0" xfId="0" applyNumberFormat="1"/>
    <xf numFmtId="0" fontId="8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BCE6-44EF-42F8-A0A0-E5B8F3018865}">
  <dimension ref="A1:F19"/>
  <sheetViews>
    <sheetView tabSelected="1" workbookViewId="0">
      <selection activeCell="I6" sqref="I6"/>
    </sheetView>
  </sheetViews>
  <sheetFormatPr defaultRowHeight="14.5" x14ac:dyDescent="0.35"/>
  <cols>
    <col min="1" max="1" width="14.81640625" customWidth="1"/>
    <col min="2" max="2" width="48" customWidth="1"/>
    <col min="6" max="6" width="17.36328125" customWidth="1"/>
  </cols>
  <sheetData>
    <row r="1" spans="1:6" ht="21" x14ac:dyDescent="0.5">
      <c r="A1" s="1" t="s">
        <v>0</v>
      </c>
      <c r="B1" s="1"/>
      <c r="C1" s="1"/>
      <c r="D1" s="1"/>
      <c r="E1" s="1"/>
      <c r="F1" s="1"/>
    </row>
    <row r="2" spans="1:6" ht="18.5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x14ac:dyDescent="0.35">
      <c r="A3" s="4">
        <v>45672</v>
      </c>
      <c r="B3" s="14" t="s">
        <v>15</v>
      </c>
      <c r="C3" s="6">
        <v>19</v>
      </c>
      <c r="D3" s="7">
        <v>580</v>
      </c>
      <c r="E3" s="8">
        <f>D3*C3</f>
        <v>11020</v>
      </c>
      <c r="F3" s="9">
        <f>E3*13.04/100</f>
        <v>1437.0079999999998</v>
      </c>
    </row>
    <row r="4" spans="1:6" x14ac:dyDescent="0.35">
      <c r="A4" s="8"/>
      <c r="B4" s="8"/>
      <c r="C4" s="8"/>
      <c r="D4" s="8"/>
      <c r="E4" s="8">
        <f t="shared" ref="E4:E17" si="0">D4*C4</f>
        <v>0</v>
      </c>
      <c r="F4" s="9">
        <f t="shared" ref="F4:F17" si="1">E4*13.04/100</f>
        <v>0</v>
      </c>
    </row>
    <row r="5" spans="1:6" x14ac:dyDescent="0.35">
      <c r="A5" s="4">
        <v>45695</v>
      </c>
      <c r="B5" s="5" t="s">
        <v>7</v>
      </c>
      <c r="C5" s="6">
        <v>500</v>
      </c>
      <c r="D5" s="7">
        <v>630</v>
      </c>
      <c r="E5" s="8">
        <f t="shared" si="0"/>
        <v>315000</v>
      </c>
      <c r="F5" s="9">
        <f t="shared" si="1"/>
        <v>41075.999999999993</v>
      </c>
    </row>
    <row r="6" spans="1:6" x14ac:dyDescent="0.35">
      <c r="A6" s="4">
        <v>45695</v>
      </c>
      <c r="B6" s="5" t="s">
        <v>8</v>
      </c>
      <c r="C6" s="6">
        <v>150</v>
      </c>
      <c r="D6" s="7">
        <v>148</v>
      </c>
      <c r="E6" s="8">
        <f t="shared" si="0"/>
        <v>22200</v>
      </c>
      <c r="F6" s="9">
        <f t="shared" si="1"/>
        <v>2894.88</v>
      </c>
    </row>
    <row r="7" spans="1:6" x14ac:dyDescent="0.35">
      <c r="A7" s="4">
        <v>45695</v>
      </c>
      <c r="B7" s="5" t="s">
        <v>9</v>
      </c>
      <c r="C7" s="6">
        <v>50</v>
      </c>
      <c r="D7" s="7">
        <v>145</v>
      </c>
      <c r="E7" s="8">
        <f t="shared" si="0"/>
        <v>7250</v>
      </c>
      <c r="F7" s="9">
        <f t="shared" si="1"/>
        <v>945.4</v>
      </c>
    </row>
    <row r="8" spans="1:6" x14ac:dyDescent="0.35">
      <c r="A8" s="4">
        <v>45695</v>
      </c>
      <c r="B8" s="5" t="s">
        <v>10</v>
      </c>
      <c r="C8" s="6">
        <v>250</v>
      </c>
      <c r="D8" s="7">
        <v>149</v>
      </c>
      <c r="E8" s="8">
        <f t="shared" si="0"/>
        <v>37250</v>
      </c>
      <c r="F8" s="9">
        <f t="shared" si="1"/>
        <v>4857.3999999999996</v>
      </c>
    </row>
    <row r="9" spans="1:6" x14ac:dyDescent="0.35">
      <c r="A9" s="10"/>
      <c r="B9" s="10"/>
      <c r="C9" s="10"/>
      <c r="D9" s="10"/>
      <c r="E9" s="8">
        <f t="shared" si="0"/>
        <v>0</v>
      </c>
      <c r="F9" s="9">
        <f t="shared" si="1"/>
        <v>0</v>
      </c>
    </row>
    <row r="10" spans="1:6" x14ac:dyDescent="0.35">
      <c r="A10" s="4">
        <v>45705</v>
      </c>
      <c r="B10" s="5" t="s">
        <v>10</v>
      </c>
      <c r="C10" s="6">
        <v>250</v>
      </c>
      <c r="D10" s="7">
        <v>149</v>
      </c>
      <c r="E10" s="8">
        <f t="shared" si="0"/>
        <v>37250</v>
      </c>
      <c r="F10" s="9">
        <f t="shared" si="1"/>
        <v>4857.3999999999996</v>
      </c>
    </row>
    <row r="11" spans="1:6" x14ac:dyDescent="0.35">
      <c r="A11" s="10"/>
      <c r="B11" s="10"/>
      <c r="C11" s="10"/>
      <c r="D11" s="10"/>
      <c r="E11" s="8">
        <f t="shared" si="0"/>
        <v>0</v>
      </c>
      <c r="F11" s="9">
        <f t="shared" si="1"/>
        <v>0</v>
      </c>
    </row>
    <row r="12" spans="1:6" x14ac:dyDescent="0.35">
      <c r="A12" s="4">
        <v>45706</v>
      </c>
      <c r="B12" s="5" t="s">
        <v>11</v>
      </c>
      <c r="C12" s="6">
        <v>200</v>
      </c>
      <c r="D12" s="7">
        <v>549</v>
      </c>
      <c r="E12" s="8">
        <f t="shared" si="0"/>
        <v>109800</v>
      </c>
      <c r="F12" s="9">
        <f t="shared" si="1"/>
        <v>14317.92</v>
      </c>
    </row>
    <row r="13" spans="1:6" x14ac:dyDescent="0.35">
      <c r="A13" s="4">
        <v>45706</v>
      </c>
      <c r="B13" s="5" t="s">
        <v>12</v>
      </c>
      <c r="C13" s="6">
        <v>6</v>
      </c>
      <c r="D13" s="7">
        <v>145</v>
      </c>
      <c r="E13" s="8">
        <f t="shared" si="0"/>
        <v>870</v>
      </c>
      <c r="F13" s="9">
        <f t="shared" si="1"/>
        <v>113.44799999999999</v>
      </c>
    </row>
    <row r="14" spans="1:6" x14ac:dyDescent="0.35">
      <c r="A14" s="4">
        <v>45706</v>
      </c>
      <c r="B14" s="5" t="s">
        <v>13</v>
      </c>
      <c r="C14" s="6">
        <v>15</v>
      </c>
      <c r="D14" s="7">
        <v>695</v>
      </c>
      <c r="E14" s="8">
        <f t="shared" si="0"/>
        <v>10425</v>
      </c>
      <c r="F14" s="9">
        <f t="shared" si="1"/>
        <v>1359.42</v>
      </c>
    </row>
    <row r="15" spans="1:6" x14ac:dyDescent="0.35">
      <c r="A15" s="10"/>
      <c r="B15" s="10"/>
      <c r="C15" s="10"/>
      <c r="D15" s="10"/>
      <c r="E15" s="8">
        <f t="shared" si="0"/>
        <v>0</v>
      </c>
      <c r="F15" s="9">
        <f t="shared" si="1"/>
        <v>0</v>
      </c>
    </row>
    <row r="16" spans="1:6" x14ac:dyDescent="0.35">
      <c r="A16" s="11">
        <v>45727</v>
      </c>
      <c r="B16" s="12" t="s">
        <v>16</v>
      </c>
      <c r="C16" s="10">
        <v>153</v>
      </c>
      <c r="D16" s="10">
        <v>520</v>
      </c>
      <c r="E16" s="8">
        <f t="shared" si="0"/>
        <v>79560</v>
      </c>
      <c r="F16" s="9">
        <f t="shared" si="1"/>
        <v>10374.624</v>
      </c>
    </row>
    <row r="17" spans="1:6" x14ac:dyDescent="0.35">
      <c r="A17" s="11">
        <v>45727</v>
      </c>
      <c r="B17" s="12" t="s">
        <v>14</v>
      </c>
      <c r="C17" s="10">
        <v>250</v>
      </c>
      <c r="D17" s="10">
        <v>149</v>
      </c>
      <c r="E17" s="8">
        <f t="shared" si="0"/>
        <v>37250</v>
      </c>
      <c r="F17" s="9">
        <f t="shared" si="1"/>
        <v>4857.3999999999996</v>
      </c>
    </row>
    <row r="19" spans="1:6" x14ac:dyDescent="0.35">
      <c r="F19" s="13">
        <f>SUM(F3:F18)</f>
        <v>87090.9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dcterms:created xsi:type="dcterms:W3CDTF">2025-05-07T09:49:40Z</dcterms:created>
  <dcterms:modified xsi:type="dcterms:W3CDTF">2025-05-07T09:58:33Z</dcterms:modified>
</cp:coreProperties>
</file>