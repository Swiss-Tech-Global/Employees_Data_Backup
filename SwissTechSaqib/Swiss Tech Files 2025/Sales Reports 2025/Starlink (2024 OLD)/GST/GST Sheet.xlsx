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2380" windowHeight="6550" firstSheet="3" activeTab="6"/>
  </bookViews>
  <sheets>
    <sheet name="Starlink V4" sheetId="1" r:id="rId1"/>
    <sheet name="Starlink Mini" sheetId="2" r:id="rId2"/>
    <sheet name="IPHONE" sheetId="3" r:id="rId3"/>
    <sheet name="DJI-Other" sheetId="4" r:id="rId4"/>
    <sheet name="Total GST" sheetId="8" r:id="rId5"/>
    <sheet name="Australia Oct-Dec" sheetId="9" r:id="rId6"/>
    <sheet name="NewZealand Oct-Dec" sheetId="10" r:id="rId7"/>
    <sheet name="Sheet1" sheetId="11" r:id="rId8"/>
  </sheets>
  <calcPr calcId="124519"/>
</workbook>
</file>

<file path=xl/calcChain.xml><?xml version="1.0" encoding="utf-8"?>
<calcChain xmlns="http://schemas.openxmlformats.org/spreadsheetml/2006/main">
  <c r="G154" i="9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F154"/>
  <c r="G67"/>
  <c r="G49" l="1"/>
  <c r="E48"/>
  <c r="G45"/>
  <c r="G43"/>
  <c r="G42"/>
  <c r="G41"/>
  <c r="G38"/>
  <c r="G37"/>
  <c r="G36"/>
  <c r="G35"/>
  <c r="G34"/>
  <c r="I154" l="1"/>
  <c r="I153"/>
  <c r="I127"/>
  <c r="G127"/>
  <c r="I157"/>
  <c r="I156"/>
  <c r="G157"/>
  <c r="G156"/>
  <c r="I161"/>
  <c r="I160"/>
  <c r="I159"/>
  <c r="G161"/>
  <c r="G160"/>
  <c r="G159"/>
  <c r="I152" l="1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G129"/>
  <c r="I129" s="1"/>
  <c r="G107" l="1"/>
  <c r="I122"/>
  <c r="G122"/>
  <c r="G112"/>
  <c r="I112" s="1"/>
  <c r="I120"/>
  <c r="G120"/>
  <c r="G119"/>
  <c r="I119" s="1"/>
  <c r="G117"/>
  <c r="I117" s="1"/>
  <c r="G116"/>
  <c r="I116" s="1"/>
  <c r="G115"/>
  <c r="I115" s="1"/>
  <c r="G114"/>
  <c r="I114" s="1"/>
  <c r="I125"/>
  <c r="G125"/>
  <c r="G124"/>
  <c r="I124" s="1"/>
  <c r="G37" i="10"/>
  <c r="F37" s="1"/>
  <c r="G36"/>
  <c r="F36" s="1"/>
  <c r="G35"/>
  <c r="F35" s="1"/>
  <c r="G34"/>
  <c r="F34" s="1"/>
  <c r="G33"/>
  <c r="F33" s="1"/>
  <c r="G31"/>
  <c r="F31" s="1"/>
  <c r="G30"/>
  <c r="F30" s="1"/>
  <c r="G29"/>
  <c r="I29" s="1"/>
  <c r="G28"/>
  <c r="F28" s="1"/>
  <c r="G27"/>
  <c r="I27" s="1"/>
  <c r="G26"/>
  <c r="F26" s="1"/>
  <c r="G24"/>
  <c r="F24" s="1"/>
  <c r="G23"/>
  <c r="F23" s="1"/>
  <c r="G21"/>
  <c r="I21" s="1"/>
  <c r="F21"/>
  <c r="G20"/>
  <c r="F20" s="1"/>
  <c r="G19"/>
  <c r="F19" s="1"/>
  <c r="G18"/>
  <c r="F18" s="1"/>
  <c r="G17"/>
  <c r="F17" s="1"/>
  <c r="I19" l="1"/>
  <c r="I26"/>
  <c r="I17"/>
  <c r="I37"/>
  <c r="I18"/>
  <c r="F27"/>
  <c r="I24"/>
  <c r="I36"/>
  <c r="I23"/>
  <c r="I31"/>
  <c r="I35"/>
  <c r="I30"/>
  <c r="I34"/>
  <c r="I20"/>
  <c r="F29"/>
  <c r="I33"/>
  <c r="I28"/>
  <c r="G79" i="9" l="1"/>
  <c r="G75"/>
  <c r="G74"/>
  <c r="G64" i="10"/>
  <c r="I64" s="1"/>
  <c r="G63"/>
  <c r="F63" s="1"/>
  <c r="G61"/>
  <c r="I61" s="1"/>
  <c r="G60"/>
  <c r="I60" s="1"/>
  <c r="G59"/>
  <c r="F59" s="1"/>
  <c r="G58"/>
  <c r="F58" s="1"/>
  <c r="G57"/>
  <c r="I57" s="1"/>
  <c r="G55"/>
  <c r="I55" s="1"/>
  <c r="G54"/>
  <c r="F54" s="1"/>
  <c r="G53"/>
  <c r="F53" s="1"/>
  <c r="G52"/>
  <c r="I52" s="1"/>
  <c r="G50"/>
  <c r="I50" s="1"/>
  <c r="G49"/>
  <c r="I49" s="1"/>
  <c r="G48"/>
  <c r="I48" s="1"/>
  <c r="G47"/>
  <c r="F47" s="1"/>
  <c r="F45"/>
  <c r="G44"/>
  <c r="I44" s="1"/>
  <c r="G43"/>
  <c r="F43" s="1"/>
  <c r="G42"/>
  <c r="I42" s="1"/>
  <c r="G110" i="9"/>
  <c r="F110" s="1"/>
  <c r="G109"/>
  <c r="F109" s="1"/>
  <c r="F107"/>
  <c r="G105"/>
  <c r="F105" s="1"/>
  <c r="G104"/>
  <c r="I104" s="1"/>
  <c r="G103"/>
  <c r="I103" s="1"/>
  <c r="G102"/>
  <c r="F102" s="1"/>
  <c r="F103" l="1"/>
  <c r="I59" i="10"/>
  <c r="I58"/>
  <c r="F57"/>
  <c r="F64"/>
  <c r="F61"/>
  <c r="I63"/>
  <c r="I54"/>
  <c r="F52"/>
  <c r="F60"/>
  <c r="F42"/>
  <c r="F48"/>
  <c r="I102" i="9"/>
  <c r="I53" i="10"/>
  <c r="F55"/>
  <c r="F50"/>
  <c r="F49"/>
  <c r="I47"/>
  <c r="I45"/>
  <c r="I43"/>
  <c r="F44"/>
  <c r="I110" i="9"/>
  <c r="I109"/>
  <c r="I105"/>
  <c r="I107"/>
  <c r="F104"/>
  <c r="G100" l="1"/>
  <c r="I100" s="1"/>
  <c r="G99"/>
  <c r="F99" s="1"/>
  <c r="G97"/>
  <c r="F97" s="1"/>
  <c r="G40" i="10"/>
  <c r="I40" s="1"/>
  <c r="G39"/>
  <c r="I39" s="1"/>
  <c r="G15"/>
  <c r="F15" s="1"/>
  <c r="G14"/>
  <c r="I14" s="1"/>
  <c r="G13"/>
  <c r="F13" s="1"/>
  <c r="G12"/>
  <c r="F12" s="1"/>
  <c r="G11"/>
  <c r="I11" s="1"/>
  <c r="G10"/>
  <c r="I10" s="1"/>
  <c r="G9"/>
  <c r="I9" s="1"/>
  <c r="G8"/>
  <c r="I8" s="1"/>
  <c r="G7"/>
  <c r="I7" s="1"/>
  <c r="G6"/>
  <c r="F6" s="1"/>
  <c r="I97" i="9" l="1"/>
  <c r="I99"/>
  <c r="F100"/>
  <c r="I12" i="10"/>
  <c r="F40"/>
  <c r="F9"/>
  <c r="I15"/>
  <c r="I13"/>
  <c r="I6"/>
  <c r="F7"/>
  <c r="F10"/>
  <c r="F14"/>
  <c r="F11"/>
  <c r="F8"/>
  <c r="F39"/>
  <c r="G95" i="9" l="1"/>
  <c r="F95" s="1"/>
  <c r="G94"/>
  <c r="I94" s="1"/>
  <c r="G93"/>
  <c r="I93" s="1"/>
  <c r="G91"/>
  <c r="F91" s="1"/>
  <c r="G90"/>
  <c r="I90" s="1"/>
  <c r="G89"/>
  <c r="F89" s="1"/>
  <c r="G88"/>
  <c r="I88" s="1"/>
  <c r="G87"/>
  <c r="I87" s="1"/>
  <c r="G85"/>
  <c r="I85" s="1"/>
  <c r="G84"/>
  <c r="F84" s="1"/>
  <c r="G83"/>
  <c r="I83" s="1"/>
  <c r="G82"/>
  <c r="F82" s="1"/>
  <c r="G80"/>
  <c r="F80" s="1"/>
  <c r="F79"/>
  <c r="F78"/>
  <c r="I77"/>
  <c r="G76"/>
  <c r="F76" s="1"/>
  <c r="I75"/>
  <c r="I74"/>
  <c r="G73"/>
  <c r="F73" s="1"/>
  <c r="G71"/>
  <c r="F71" s="1"/>
  <c r="G70"/>
  <c r="I70" s="1"/>
  <c r="G69"/>
  <c r="F69" s="1"/>
  <c r="I79"/>
  <c r="I78"/>
  <c r="F83"/>
  <c r="I67"/>
  <c r="G66"/>
  <c r="I66" s="1"/>
  <c r="G65"/>
  <c r="I65" s="1"/>
  <c r="G64"/>
  <c r="I64" s="1"/>
  <c r="G63"/>
  <c r="I63" s="1"/>
  <c r="G62"/>
  <c r="F62" s="1"/>
  <c r="I71" l="1"/>
  <c r="I95"/>
  <c r="I89"/>
  <c r="I80"/>
  <c r="F87"/>
  <c r="F85"/>
  <c r="I76"/>
  <c r="F93"/>
  <c r="F88"/>
  <c r="F75"/>
  <c r="F94"/>
  <c r="I69"/>
  <c r="I84"/>
  <c r="I73"/>
  <c r="I91"/>
  <c r="F90"/>
  <c r="I82"/>
  <c r="F77"/>
  <c r="F74"/>
  <c r="F70"/>
  <c r="I62"/>
  <c r="F66"/>
  <c r="F65"/>
  <c r="F64"/>
  <c r="F63"/>
  <c r="I70" i="10" l="1"/>
  <c r="G21" i="9"/>
  <c r="I21" s="1"/>
  <c r="F29"/>
  <c r="I60"/>
  <c r="F60"/>
  <c r="I59"/>
  <c r="F59"/>
  <c r="I57"/>
  <c r="F57"/>
  <c r="I56"/>
  <c r="F56"/>
  <c r="F54"/>
  <c r="F52"/>
  <c r="F51"/>
  <c r="F48"/>
  <c r="F40"/>
  <c r="F39"/>
  <c r="I54"/>
  <c r="D6" i="8"/>
  <c r="D5"/>
  <c r="D4"/>
  <c r="D3"/>
  <c r="D20"/>
  <c r="D21"/>
  <c r="D22"/>
  <c r="D23"/>
  <c r="D24"/>
  <c r="D25"/>
  <c r="D26"/>
  <c r="D27"/>
  <c r="I52" i="9"/>
  <c r="I49"/>
  <c r="I48"/>
  <c r="G47"/>
  <c r="I47" s="1"/>
  <c r="I34"/>
  <c r="G32"/>
  <c r="I32" s="1"/>
  <c r="G31"/>
  <c r="I31" s="1"/>
  <c r="I29"/>
  <c r="I27"/>
  <c r="I26"/>
  <c r="F26"/>
  <c r="G25"/>
  <c r="I25" s="1"/>
  <c r="G24"/>
  <c r="I24" s="1"/>
  <c r="I23"/>
  <c r="F23"/>
  <c r="I20"/>
  <c r="F20"/>
  <c r="I19"/>
  <c r="F19"/>
  <c r="I18"/>
  <c r="F18"/>
  <c r="I17"/>
  <c r="F17"/>
  <c r="I16"/>
  <c r="F16"/>
  <c r="I15"/>
  <c r="F15"/>
  <c r="I14"/>
  <c r="F14"/>
  <c r="G13"/>
  <c r="I13" s="1"/>
  <c r="I11"/>
  <c r="F11"/>
  <c r="I10"/>
  <c r="F10"/>
  <c r="I9"/>
  <c r="F9"/>
  <c r="I8"/>
  <c r="F8"/>
  <c r="I7"/>
  <c r="F7"/>
  <c r="I6"/>
  <c r="F6"/>
  <c r="G5"/>
  <c r="I5" s="1"/>
  <c r="D8" i="8" l="1"/>
  <c r="D29"/>
  <c r="F29" s="1"/>
  <c r="I44" i="2" l="1"/>
  <c r="I43"/>
  <c r="I42"/>
  <c r="F44"/>
  <c r="I57" i="1"/>
  <c r="F3"/>
  <c r="E20" i="4"/>
  <c r="I18"/>
  <c r="I17"/>
  <c r="F17"/>
  <c r="G16"/>
  <c r="I16" s="1"/>
  <c r="I15"/>
  <c r="G15"/>
  <c r="I14"/>
  <c r="F14"/>
  <c r="I20" l="1"/>
  <c r="G4" i="3"/>
  <c r="H35" i="2"/>
  <c r="D35"/>
  <c r="I69" i="1"/>
  <c r="E69"/>
  <c r="E33" i="2"/>
  <c r="H33"/>
  <c r="F67" i="1"/>
  <c r="I67"/>
  <c r="H32" i="2"/>
  <c r="H31"/>
  <c r="H30"/>
  <c r="E32"/>
  <c r="E31"/>
  <c r="E30"/>
  <c r="E29"/>
  <c r="H29"/>
  <c r="I66" i="1"/>
  <c r="F66"/>
  <c r="F65"/>
  <c r="I65"/>
  <c r="H28" i="2"/>
  <c r="E28"/>
  <c r="H27"/>
  <c r="E27"/>
  <c r="I64" i="1"/>
  <c r="F64"/>
  <c r="H26" i="2"/>
  <c r="E26"/>
  <c r="I63" i="1"/>
  <c r="F63"/>
  <c r="I62"/>
  <c r="F62"/>
  <c r="H25" i="2"/>
  <c r="F25"/>
  <c r="I61" i="1"/>
  <c r="G61"/>
  <c r="H20" i="2"/>
  <c r="H18"/>
  <c r="H16"/>
  <c r="H14"/>
  <c r="H12"/>
  <c r="H10"/>
  <c r="H8"/>
  <c r="H6"/>
  <c r="H4"/>
  <c r="I55" i="1"/>
  <c r="I53"/>
  <c r="I51"/>
  <c r="I49"/>
  <c r="I47"/>
  <c r="I45"/>
  <c r="I43"/>
  <c r="I41"/>
  <c r="I39"/>
  <c r="I37"/>
  <c r="I35"/>
  <c r="I33"/>
  <c r="I31"/>
  <c r="I29"/>
  <c r="I27"/>
  <c r="I25"/>
  <c r="I23"/>
  <c r="I21"/>
  <c r="I17"/>
  <c r="I13"/>
  <c r="I11"/>
  <c r="I9"/>
  <c r="I7"/>
  <c r="H4" i="4"/>
  <c r="G3" i="3"/>
  <c r="E57" i="1"/>
  <c r="F55"/>
  <c r="F53"/>
  <c r="F51"/>
  <c r="F49"/>
  <c r="F47"/>
  <c r="F45"/>
  <c r="F43"/>
  <c r="F41"/>
  <c r="F39"/>
  <c r="F37"/>
  <c r="F35"/>
  <c r="F33"/>
  <c r="F31"/>
  <c r="F29"/>
  <c r="F27"/>
  <c r="G25"/>
  <c r="F25"/>
  <c r="F23"/>
  <c r="F21"/>
  <c r="F19"/>
  <c r="F17"/>
  <c r="F15"/>
  <c r="G13"/>
  <c r="F13" s="1"/>
  <c r="F11"/>
  <c r="F9"/>
  <c r="G7"/>
  <c r="F7" s="1"/>
  <c r="F5"/>
  <c r="E20" i="2"/>
  <c r="E18"/>
  <c r="E16"/>
  <c r="E14"/>
  <c r="E12"/>
  <c r="E10"/>
  <c r="E8"/>
  <c r="E6"/>
  <c r="E4"/>
  <c r="G5" i="3" l="1"/>
  <c r="D5"/>
  <c r="H6" i="4"/>
  <c r="E6"/>
  <c r="H22" i="2"/>
  <c r="D22"/>
  <c r="I41" i="9"/>
  <c r="I40"/>
  <c r="I43"/>
  <c r="I45"/>
  <c r="I42"/>
  <c r="I39"/>
  <c r="I51"/>
  <c r="I35" l="1"/>
  <c r="I36"/>
  <c r="I37"/>
  <c r="I38"/>
  <c r="I164"/>
  <c r="I44"/>
  <c r="F44"/>
</calcChain>
</file>

<file path=xl/sharedStrings.xml><?xml version="1.0" encoding="utf-8"?>
<sst xmlns="http://schemas.openxmlformats.org/spreadsheetml/2006/main" count="368" uniqueCount="233">
  <si>
    <t>Date</t>
  </si>
  <si>
    <t>Details</t>
  </si>
  <si>
    <t>Units</t>
  </si>
  <si>
    <t>Amount</t>
  </si>
  <si>
    <t>GST</t>
  </si>
  <si>
    <t>59 Units Purchased  V4</t>
  </si>
  <si>
    <t>42 Units Purchased  V4</t>
  </si>
  <si>
    <t>92 Units Purchased  V4</t>
  </si>
  <si>
    <t>54 Units Purchased  V4</t>
  </si>
  <si>
    <t>56 Units Purchased  V4</t>
  </si>
  <si>
    <t>250 Units Purchased  V4</t>
  </si>
  <si>
    <t>113 Units Purchased  V4</t>
  </si>
  <si>
    <t>76 Units Purchased  V4</t>
  </si>
  <si>
    <t>37 Units Purchased  V4</t>
  </si>
  <si>
    <t>61 Units Purchased  V4</t>
  </si>
  <si>
    <t>400 Units Purchased  V4</t>
  </si>
  <si>
    <t>5 Units  Purchased</t>
  </si>
  <si>
    <t>Returned</t>
  </si>
  <si>
    <t>42 Units  Purchased</t>
  </si>
  <si>
    <t>4 Units  Purchased</t>
  </si>
  <si>
    <t>64 Units  Purchased</t>
  </si>
  <si>
    <t>7 Units  Purchased</t>
  </si>
  <si>
    <t>30 Units  Purchased</t>
  </si>
  <si>
    <t>22 Units  Purchased</t>
  </si>
  <si>
    <t>1 Units  Purchased</t>
  </si>
  <si>
    <t>10 Units  Purchased</t>
  </si>
  <si>
    <t>IPHONE 16 ProMax  Purchased</t>
  </si>
  <si>
    <t>DJI Mavic 3Pro 2Unit WB Card  $2550</t>
  </si>
  <si>
    <t>Total</t>
  </si>
  <si>
    <t>Per.Unit</t>
  </si>
  <si>
    <t>1 unit Returned</t>
  </si>
  <si>
    <t>TOTAL</t>
  </si>
  <si>
    <t>40 Units Purchased  V4</t>
  </si>
  <si>
    <t>34 Units Purchased  V4</t>
  </si>
  <si>
    <t>14 Units Purchased  V4</t>
  </si>
  <si>
    <t>62 Units Purchased  V4</t>
  </si>
  <si>
    <t>5 Units Purchased  V4</t>
  </si>
  <si>
    <t>15 Units Purchased  V4</t>
  </si>
  <si>
    <t>19 Units Purchased  V4</t>
  </si>
  <si>
    <t>12 Units Purchased  V4</t>
  </si>
  <si>
    <t>6 Units Purchased  V4</t>
  </si>
  <si>
    <t>100 Units Purchased  V4</t>
  </si>
  <si>
    <t>3 Units Purchased  V4</t>
  </si>
  <si>
    <t>Starlink V4  2Units   $299  GC Card</t>
  </si>
  <si>
    <t xml:space="preserve">Printer </t>
  </si>
  <si>
    <t>8 Units Purchased  V4</t>
  </si>
  <si>
    <t>2 Units  Purchased</t>
  </si>
  <si>
    <t>18 Units Purchased  V4</t>
  </si>
  <si>
    <t>12 Units  Purchased</t>
  </si>
  <si>
    <t>11 Units  Purchased</t>
  </si>
  <si>
    <t>2 Units Purchased  V4</t>
  </si>
  <si>
    <t>15Units PS 5</t>
  </si>
  <si>
    <t>24 Units Purchased  V4</t>
  </si>
  <si>
    <t>1 unit  Starlink Camera</t>
  </si>
  <si>
    <t xml:space="preserve">18 Units JBL Charge.5 </t>
  </si>
  <si>
    <t xml:space="preserve">16 Units JBL Essential Flip2  </t>
  </si>
  <si>
    <t>50 Units  Purchased</t>
  </si>
  <si>
    <t>55 Units Purchased  V4</t>
  </si>
  <si>
    <t>Starlink V4</t>
  </si>
  <si>
    <t>Starlink Mini</t>
  </si>
  <si>
    <t>IPHONE 16ProMax</t>
  </si>
  <si>
    <t>DJI</t>
  </si>
  <si>
    <t>JBL</t>
  </si>
  <si>
    <t>PS 5</t>
  </si>
  <si>
    <t>Starlink Camera</t>
  </si>
  <si>
    <t>Printer</t>
  </si>
  <si>
    <t xml:space="preserve">Total </t>
  </si>
  <si>
    <t>12 v4</t>
  </si>
  <si>
    <t>15 mini</t>
  </si>
  <si>
    <t>Cash</t>
  </si>
  <si>
    <t>Sell</t>
  </si>
  <si>
    <t>Purchase 20 Units Mini  $745</t>
  </si>
  <si>
    <t xml:space="preserve">Purchase 8 Units Mini  $745 </t>
  </si>
  <si>
    <t>Charge.5  45Units  $142</t>
  </si>
  <si>
    <t>Flip Essential 2  14Units  $68</t>
  </si>
  <si>
    <t>PS5  10 Units  $669</t>
  </si>
  <si>
    <t>IP 16ProMax 256GB  1.Unit  $2147</t>
  </si>
  <si>
    <t>Starlink Mini  30 Units  $745</t>
  </si>
  <si>
    <t>Charge.5  100 Units  $145</t>
  </si>
  <si>
    <t>Flip Essential 2  100 Units  $68</t>
  </si>
  <si>
    <t>PS5  2 Units  $675</t>
  </si>
  <si>
    <t>Charge.5  100 Units  $133.3</t>
  </si>
  <si>
    <t>Charge.5  34 Units  $133.3</t>
  </si>
  <si>
    <t>Starlink Mini  10 Units  $768</t>
  </si>
  <si>
    <t>Instax Camera  7units  $95</t>
  </si>
  <si>
    <t>Starlink Mini 100 Units  $750</t>
  </si>
  <si>
    <t>DJI MavicPro  10Units  $2500</t>
  </si>
  <si>
    <t>PS5  2 Units  $669</t>
  </si>
  <si>
    <t>Instax Wide 400   8units  $189</t>
  </si>
  <si>
    <t>Instax Mini 99  10Units  $230</t>
  </si>
  <si>
    <t>July - Sep</t>
  </si>
  <si>
    <t>1unit Returned</t>
  </si>
  <si>
    <t>Received WB A/C</t>
  </si>
  <si>
    <t>TOTAL GST</t>
  </si>
  <si>
    <t>Starlink V4  20Units  $500</t>
  </si>
  <si>
    <t>Starlink V4  39Units  $549</t>
  </si>
  <si>
    <t>Starlink V4  10Units  $549</t>
  </si>
  <si>
    <t>Starlink Mini  120Units  $548</t>
  </si>
  <si>
    <t>Starlink Mini  6Units  $579</t>
  </si>
  <si>
    <t xml:space="preserve">12 Units  Purchased Mini </t>
  </si>
  <si>
    <t xml:space="preserve">2 Units  Purchased Mini </t>
  </si>
  <si>
    <t xml:space="preserve">10 Units  Purchased Mini </t>
  </si>
  <si>
    <t xml:space="preserve">11 Units  Purchased Mini </t>
  </si>
  <si>
    <t xml:space="preserve">1 Units  Purchased Mini </t>
  </si>
  <si>
    <t xml:space="preserve">7 Units  Purchased Mini </t>
  </si>
  <si>
    <t xml:space="preserve">50 Units  Purchased Mini </t>
  </si>
  <si>
    <t>ok</t>
  </si>
  <si>
    <t xml:space="preserve">JBL Charge 5  50Units  $133.30 </t>
  </si>
  <si>
    <t>Starlink Mini 10 Units  $598</t>
  </si>
  <si>
    <t>Starlink V4  7Units  $500</t>
  </si>
  <si>
    <t>Starlink Mini 4 Units  $579</t>
  </si>
  <si>
    <t>JBL Xtreme 4   4Units  $269</t>
  </si>
  <si>
    <t>Starlink Mini  12Units  $598</t>
  </si>
  <si>
    <t>JBL Charge 5   30Units  $131</t>
  </si>
  <si>
    <t>JBL Charge 5   10Units  $131</t>
  </si>
  <si>
    <t>Starlink Mini 13Units   $598  WB</t>
  </si>
  <si>
    <t>Starlink Mini 4Units   $598 WB</t>
  </si>
  <si>
    <t>JBL Charge 5  200 Units  $120 WB</t>
  </si>
  <si>
    <t>Xtreme 4   50Units  $260   WB</t>
  </si>
  <si>
    <t>JBL Charge 5  30 Units  $126 WB</t>
  </si>
  <si>
    <t xml:space="preserve">Starlink mini  10 Units  $598  WB </t>
  </si>
  <si>
    <t xml:space="preserve">Starlink V4  9 Units  $549  WB </t>
  </si>
  <si>
    <t xml:space="preserve">Starlink V4  14 Units  $549  WB </t>
  </si>
  <si>
    <t xml:space="preserve">Starlink mini  4 Units  $598  WB </t>
  </si>
  <si>
    <t xml:space="preserve">Starlink V4   6 Units  $549  WB </t>
  </si>
  <si>
    <t xml:space="preserve">Starlink mini  1 Units  $599  WB </t>
  </si>
  <si>
    <t>JBL Extreme 3   2units  $180  WB</t>
  </si>
  <si>
    <t>Starlink Mini 5 units  $599</t>
  </si>
  <si>
    <t>Starlink V4 3 units  $500</t>
  </si>
  <si>
    <t>Starlink V4 2 units  $549</t>
  </si>
  <si>
    <t>Starlink Mini  3Units  $649</t>
  </si>
  <si>
    <t>Charge.5   2Units  $145</t>
  </si>
  <si>
    <t>PS5  2Units  $692</t>
  </si>
  <si>
    <t>PS5  10Units  $692</t>
  </si>
  <si>
    <t>Starlink Mini  1Unit  $649</t>
  </si>
  <si>
    <t>Starlink Mini  10Unit  $649</t>
  </si>
  <si>
    <t>Starlink V4  5Units   $529</t>
  </si>
  <si>
    <t>Starlink Mini  5Unit  $644</t>
  </si>
  <si>
    <t>Starlink V4  6Units   $598</t>
  </si>
  <si>
    <t>Starlink V4  10units  $598  WB Card</t>
  </si>
  <si>
    <t>Starlink Mini 1unit   $649  WB Card</t>
  </si>
  <si>
    <t>Starlink Mini 4unit   $649  WB Card</t>
  </si>
  <si>
    <t>JBL Charge.5  25Units  $128  WB Card</t>
  </si>
  <si>
    <t>Starlink Mini 2unit   $649  WB Card</t>
  </si>
  <si>
    <t>Starlink V4  50units  $598  WB Card</t>
  </si>
  <si>
    <t>Starlink Mini 46Units  $644  WB Card</t>
  </si>
  <si>
    <t>Starlink V4  10Units  $530  WB Card</t>
  </si>
  <si>
    <t>Starlink Mini 5Units  $649  WB Card</t>
  </si>
  <si>
    <t>Starlink Mini 4Units  $649  WB Card</t>
  </si>
  <si>
    <t>Starlink V4  2Units  $529  WB Card</t>
  </si>
  <si>
    <t>Starlink Mini 3Units  $649  WB Card</t>
  </si>
  <si>
    <t>Starlink Mini 1Unit  $649  WB Card</t>
  </si>
  <si>
    <t>Starlink Mini 2Unit  $649  WB Card</t>
  </si>
  <si>
    <t>Starlink Mini 10Unit  $649  WB Card</t>
  </si>
  <si>
    <t>Starlink V4  23Units  $530  WB Card</t>
  </si>
  <si>
    <t>Starlink Mini 20Unit  $649  WB Card</t>
  </si>
  <si>
    <t>Starlink V4  22Units  $530  WB Card</t>
  </si>
  <si>
    <t>Starlink Mini 100Unit  $649  WB Card</t>
  </si>
  <si>
    <t>Starlink V4  6Units  $549  WB Card</t>
  </si>
  <si>
    <t>Starlink V4   13Units  $549  WB Card</t>
  </si>
  <si>
    <t>Starlink V4   2Units  $520  ARB Card</t>
  </si>
  <si>
    <t>Starlink V4   4Units  $513  WB Card</t>
  </si>
  <si>
    <t>Starlink V4   4Units  $486  WB Card</t>
  </si>
  <si>
    <t>Starlink V4   4Units  $513  ARB Card</t>
  </si>
  <si>
    <t>Starlink V4   6Units  $513  WB Card</t>
  </si>
  <si>
    <t>JBL Charge5  47Units  $133.30 WB</t>
  </si>
  <si>
    <t>Starlink V4   5Units  $549  WB Card</t>
  </si>
  <si>
    <t>JBL Essential.2  25units  $69.20  WB Card</t>
  </si>
  <si>
    <t>Starlink Mini  8Units  $649  WB Card</t>
  </si>
  <si>
    <t>PS5  1unit  $695  WB Card</t>
  </si>
  <si>
    <t>Starlink V4  1Unit  $599  WB Card</t>
  </si>
  <si>
    <t>PS5  50unit  $695  WB Card</t>
  </si>
  <si>
    <t>Starlink V4  2Unit  $550  WB Card</t>
  </si>
  <si>
    <t>Starlink Mini  10Units  $649  WB Card</t>
  </si>
  <si>
    <t>Starlink Mini  36Units  $620  WB Card</t>
  </si>
  <si>
    <t>Starlink Mini  35Units  $620  WB Card</t>
  </si>
  <si>
    <t>Starlink Mini  32Units  $620  WB Card</t>
  </si>
  <si>
    <t>Starlink Mini  33Units  $620  WB Card</t>
  </si>
  <si>
    <t>Starlink Mini  08Units  $620  WB Card</t>
  </si>
  <si>
    <t>Starlink Mini  200Units  $649  WB Card</t>
  </si>
  <si>
    <t>Starlink Mini  100Units  $649  WB Card</t>
  </si>
  <si>
    <t>PS5  35Units  $695  WB Card</t>
  </si>
  <si>
    <t>Starlink Mini  45Units  $620  WB Card</t>
  </si>
  <si>
    <t>Starlink V4   14Units  $530  WB Card</t>
  </si>
  <si>
    <t>8 Units Returned</t>
  </si>
  <si>
    <t>Starlink Mini 14Units   $619 WB</t>
  </si>
  <si>
    <t>Starlink Mini 4Units   $618 WB</t>
  </si>
  <si>
    <r>
      <t xml:space="preserve">Mavic Pro3   </t>
    </r>
    <r>
      <rPr>
        <strike/>
        <sz val="11"/>
        <color theme="1"/>
        <rFont val="Times New Roman"/>
        <family val="1"/>
      </rPr>
      <t>4units</t>
    </r>
    <r>
      <rPr>
        <sz val="11"/>
        <color theme="1"/>
        <rFont val="Times New Roman"/>
        <family val="1"/>
      </rPr>
      <t xml:space="preserve"> $2500 2units</t>
    </r>
  </si>
  <si>
    <t>2 unit Returned</t>
  </si>
  <si>
    <t xml:space="preserve">Returned </t>
  </si>
  <si>
    <t>Starlink V4  4Units  $490  ARB Card</t>
  </si>
  <si>
    <t>JBL Charge 5  60Units  $132  WB Card</t>
  </si>
  <si>
    <t>PS5  1Unit JBHifi  $580  WB Card</t>
  </si>
  <si>
    <t>Starlink V4  1Units  $470  WB Card</t>
  </si>
  <si>
    <t>Starlink V4  4Units  $485  WB Card</t>
  </si>
  <si>
    <t>Starlink V4  15Units  $569  WB Card</t>
  </si>
  <si>
    <t>Starlink V4  38Units  $569  WB Card</t>
  </si>
  <si>
    <t>Starlink Mini  11Units  $619  WB Card</t>
  </si>
  <si>
    <t>Starlink V4  51Units  $569  WB Card</t>
  </si>
  <si>
    <t>Starlink V4  17Units  $569  WB Card</t>
  </si>
  <si>
    <t>MSG 19/12/2024</t>
  </si>
  <si>
    <t>Call 19/12/2024</t>
  </si>
  <si>
    <t>8 Units Refund  39 Collect  21/12/2024</t>
  </si>
  <si>
    <t>8 Returned</t>
  </si>
  <si>
    <t>Starlink V4  2Units  $549  ARB Card</t>
  </si>
  <si>
    <t>Mac Book Pro 2Units $2968-10%  WB Card</t>
  </si>
  <si>
    <t>Starlink Mini 1 Unit  $599-10%  WB Card</t>
  </si>
  <si>
    <t>JBL Charge 5  40units $140-10%  WB Card</t>
  </si>
  <si>
    <t>Apple I.Mac  1Unit  $1798-10%  WB Card</t>
  </si>
  <si>
    <t>Starlink V4 1 Unit  $549-10%  WB Card</t>
  </si>
  <si>
    <t>Starlink Mini 5 Unit  $599-10%  WB Card</t>
  </si>
  <si>
    <t>Apple MacBook Pro M4  3Unit  $2968-10%  WB Card</t>
  </si>
  <si>
    <t>JBL Charge 5  75units $128  WB Card</t>
  </si>
  <si>
    <t>JBL Essential 2  40Units  $68.50  WB Card</t>
  </si>
  <si>
    <t>Breville Coffee Machine 2Units  $132-10%  WB Card</t>
  </si>
  <si>
    <t>Delongi Coffee Machine 2Units  $128-10%  WB Card</t>
  </si>
  <si>
    <t>Dyson Airstraight 1Unit  $697-10%  WB Card</t>
  </si>
  <si>
    <t>Dyson Airstraight 1Unit  $598-10%  WB Card</t>
  </si>
  <si>
    <t>JBL Charge5  60Units  $140-10%  WB Card</t>
  </si>
  <si>
    <t>MacBook M3 1Unit  $2158 WB Card</t>
  </si>
  <si>
    <t>Apple I.Mac  1Unit  $1798  WB Card</t>
  </si>
  <si>
    <t>Starlink High.Performance kit 22Units $1790-10%  WB Card</t>
  </si>
  <si>
    <t>MacBook 2Units  $2948-10% WB Card</t>
  </si>
  <si>
    <t>Apple I.Mac  2Units  $1768-10%  WB Card</t>
  </si>
  <si>
    <t>Starlink Mini 2 Units  $550-10%  WB Card</t>
  </si>
  <si>
    <t>Google Streamer 4k  5Units  $127  WB Card</t>
  </si>
  <si>
    <t>Starlink V4  52Units  $478.40  WB Card</t>
  </si>
  <si>
    <t>Starlink V4  16Units  $569  WB Card</t>
  </si>
  <si>
    <t>Starlink Mini 1Units  $599  WB Card</t>
  </si>
  <si>
    <t>JBL Charge5  43Units $132  WB Card</t>
  </si>
  <si>
    <t>MacBook M3 1Unit  $2158+$40 WB Card</t>
  </si>
  <si>
    <t>MacBook M4 1Unit  $2968+$40-10% WB Card</t>
  </si>
  <si>
    <t>Charge.5  100 Units  $140-10%  $126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</si>
</sst>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[$$-409]* #,##0.00_ ;_-[$$-409]* \-#,##0.00\ ;_-[$$-409]* &quot;-&quot;??_ ;_-@_ "/>
  </numFmts>
  <fonts count="2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u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trike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</cellStyleXfs>
  <cellXfs count="110">
    <xf numFmtId="0" fontId="0" fillId="0" borderId="0" xfId="0"/>
    <xf numFmtId="0" fontId="0" fillId="0" borderId="1" xfId="0" applyBorder="1"/>
    <xf numFmtId="0" fontId="3" fillId="0" borderId="1" xfId="4" applyFont="1" applyBorder="1" applyAlignment="1">
      <alignment horizontal="left" vertical="top"/>
    </xf>
    <xf numFmtId="14" fontId="8" fillId="0" borderId="1" xfId="4" applyNumberFormat="1" applyFont="1" applyBorder="1" applyAlignment="1">
      <alignment horizontal="center" vertical="center"/>
    </xf>
    <xf numFmtId="0" fontId="3" fillId="0" borderId="1" xfId="4" applyBorder="1" applyAlignment="1">
      <alignment horizontal="left" vertical="top"/>
    </xf>
    <xf numFmtId="0" fontId="3" fillId="0" borderId="1" xfId="4" applyFill="1" applyBorder="1" applyAlignment="1">
      <alignment horizontal="center" vertical="top"/>
    </xf>
    <xf numFmtId="0" fontId="3" fillId="0" borderId="1" xfId="5" applyFont="1" applyBorder="1" applyAlignment="1">
      <alignment horizontal="left" vertical="top"/>
    </xf>
    <xf numFmtId="14" fontId="8" fillId="0" borderId="1" xfId="5" applyNumberFormat="1" applyFont="1" applyBorder="1" applyAlignment="1">
      <alignment horizontal="center" vertical="center"/>
    </xf>
    <xf numFmtId="0" fontId="3" fillId="0" borderId="1" xfId="5" applyBorder="1" applyAlignment="1">
      <alignment horizontal="left" vertical="top"/>
    </xf>
    <xf numFmtId="0" fontId="3" fillId="0" borderId="1" xfId="5" applyFill="1" applyBorder="1" applyAlignment="1">
      <alignment horizontal="center" vertical="top"/>
    </xf>
    <xf numFmtId="0" fontId="6" fillId="0" borderId="1" xfId="6" applyFont="1" applyBorder="1" applyAlignment="1">
      <alignment wrapText="1"/>
    </xf>
    <xf numFmtId="14" fontId="8" fillId="0" borderId="1" xfId="6" applyNumberFormat="1" applyFont="1" applyBorder="1" applyAlignment="1">
      <alignment horizontal="center" vertical="center"/>
    </xf>
    <xf numFmtId="0" fontId="3" fillId="0" borderId="1" xfId="6" applyBorder="1" applyAlignment="1">
      <alignment horizontal="left" vertical="top"/>
    </xf>
    <xf numFmtId="0" fontId="3" fillId="0" borderId="1" xfId="6" applyFill="1" applyBorder="1" applyAlignment="1">
      <alignment horizontal="center" vertical="top"/>
    </xf>
    <xf numFmtId="0" fontId="10" fillId="0" borderId="0" xfId="0" applyFont="1" applyAlignment="1">
      <alignment horizontal="center"/>
    </xf>
    <xf numFmtId="164" fontId="4" fillId="0" borderId="1" xfId="2" applyNumberFormat="1" applyFont="1" applyBorder="1" applyAlignment="1">
      <alignment horizontal="right" wrapText="1"/>
    </xf>
    <xf numFmtId="164" fontId="3" fillId="0" borderId="1" xfId="2" applyNumberFormat="1" applyFont="1" applyFill="1" applyBorder="1"/>
    <xf numFmtId="164" fontId="3" fillId="0" borderId="1" xfId="2" applyNumberFormat="1" applyFont="1" applyFill="1" applyBorder="1" applyAlignment="1">
      <alignment horizontal="right"/>
    </xf>
    <xf numFmtId="164" fontId="0" fillId="0" borderId="1" xfId="0" applyNumberFormat="1" applyBorder="1"/>
    <xf numFmtId="164" fontId="10" fillId="0" borderId="0" xfId="0" applyNumberFormat="1" applyFont="1" applyAlignment="1">
      <alignment horizontal="center"/>
    </xf>
    <xf numFmtId="164" fontId="3" fillId="0" borderId="1" xfId="4" applyNumberFormat="1" applyBorder="1" applyAlignment="1">
      <alignment horizontal="center" vertical="top"/>
    </xf>
    <xf numFmtId="164" fontId="3" fillId="0" borderId="1" xfId="4" applyNumberFormat="1" applyFont="1" applyBorder="1" applyAlignment="1">
      <alignment horizontal="center" vertical="center"/>
    </xf>
    <xf numFmtId="164" fontId="9" fillId="0" borderId="1" xfId="4" applyNumberFormat="1" applyFont="1" applyBorder="1" applyAlignment="1">
      <alignment horizontal="center" vertical="top"/>
    </xf>
    <xf numFmtId="164" fontId="3" fillId="0" borderId="1" xfId="5" applyNumberFormat="1" applyBorder="1" applyAlignment="1">
      <alignment horizontal="center" vertical="top"/>
    </xf>
    <xf numFmtId="164" fontId="9" fillId="0" borderId="1" xfId="5" applyNumberFormat="1" applyFont="1" applyBorder="1" applyAlignment="1">
      <alignment horizontal="center" vertical="top"/>
    </xf>
    <xf numFmtId="164" fontId="3" fillId="0" borderId="1" xfId="6" applyNumberFormat="1" applyBorder="1" applyAlignment="1">
      <alignment horizontal="left" vertical="top"/>
    </xf>
    <xf numFmtId="164" fontId="9" fillId="0" borderId="1" xfId="6" applyNumberFormat="1" applyFont="1" applyBorder="1" applyAlignment="1">
      <alignment horizontal="center" vertical="top"/>
    </xf>
    <xf numFmtId="0" fontId="5" fillId="0" borderId="1" xfId="4" applyFont="1" applyBorder="1" applyAlignment="1">
      <alignment horizontal="center" vertical="top"/>
    </xf>
    <xf numFmtId="0" fontId="5" fillId="0" borderId="1" xfId="4" applyFont="1" applyFill="1" applyBorder="1" applyAlignment="1">
      <alignment horizontal="center" vertical="top"/>
    </xf>
    <xf numFmtId="0" fontId="7" fillId="0" borderId="1" xfId="4" applyFont="1" applyBorder="1" applyAlignment="1">
      <alignment horizontal="left" vertical="top"/>
    </xf>
    <xf numFmtId="1" fontId="6" fillId="0" borderId="1" xfId="1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14" fontId="8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1" fontId="6" fillId="0" borderId="1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9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top"/>
    </xf>
    <xf numFmtId="0" fontId="10" fillId="0" borderId="0" xfId="0" applyFont="1"/>
    <xf numFmtId="164" fontId="10" fillId="0" borderId="0" xfId="0" applyNumberFormat="1" applyFont="1"/>
    <xf numFmtId="0" fontId="1" fillId="0" borderId="0" xfId="0" applyFont="1" applyAlignment="1">
      <alignment horizontal="left" vertical="top"/>
    </xf>
    <xf numFmtId="14" fontId="3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top"/>
    </xf>
    <xf numFmtId="1" fontId="6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left" vertical="top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4" applyFont="1" applyBorder="1" applyAlignment="1">
      <alignment horizontal="left" vertical="top"/>
    </xf>
    <xf numFmtId="0" fontId="4" fillId="0" borderId="1" xfId="0" applyFont="1" applyBorder="1" applyAlignment="1">
      <alignment wrapText="1"/>
    </xf>
    <xf numFmtId="164" fontId="12" fillId="0" borderId="1" xfId="0" applyNumberFormat="1" applyFont="1" applyBorder="1"/>
    <xf numFmtId="3" fontId="0" fillId="0" borderId="1" xfId="0" applyNumberFormat="1" applyBorder="1"/>
    <xf numFmtId="0" fontId="2" fillId="0" borderId="1" xfId="0" applyFont="1" applyBorder="1" applyAlignment="1">
      <alignment horizontal="right" vertical="top"/>
    </xf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13" fillId="0" borderId="0" xfId="0" applyNumberFormat="1" applyFont="1"/>
    <xf numFmtId="0" fontId="0" fillId="0" borderId="1" xfId="0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14" fillId="0" borderId="1" xfId="0" applyFont="1" applyBorder="1"/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4" xfId="0" applyNumberFormat="1" applyBorder="1"/>
    <xf numFmtId="164" fontId="0" fillId="0" borderId="5" xfId="0" applyNumberFormat="1" applyBorder="1"/>
    <xf numFmtId="0" fontId="10" fillId="0" borderId="2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1" xfId="0" applyFont="1" applyFill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2" fontId="17" fillId="0" borderId="1" xfId="5" applyNumberFormat="1" applyFont="1" applyBorder="1" applyAlignment="1">
      <alignment horizontal="center" vertical="top"/>
    </xf>
    <xf numFmtId="14" fontId="8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164" fontId="18" fillId="0" borderId="0" xfId="0" applyNumberFormat="1" applyFont="1"/>
    <xf numFmtId="0" fontId="19" fillId="0" borderId="0" xfId="0" applyFont="1" applyAlignment="1">
      <alignment horizontal="center"/>
    </xf>
    <xf numFmtId="14" fontId="0" fillId="0" borderId="0" xfId="0" applyNumberFormat="1" applyBorder="1"/>
    <xf numFmtId="0" fontId="6" fillId="0" borderId="0" xfId="0" applyFont="1" applyBorder="1" applyAlignment="1">
      <alignment wrapText="1"/>
    </xf>
    <xf numFmtId="0" fontId="15" fillId="0" borderId="0" xfId="0" applyFont="1" applyBorder="1" applyAlignment="1">
      <alignment horizontal="center"/>
    </xf>
    <xf numFmtId="0" fontId="0" fillId="0" borderId="0" xfId="0" applyBorder="1"/>
    <xf numFmtId="164" fontId="12" fillId="0" borderId="0" xfId="0" applyNumberFormat="1" applyFont="1" applyBorder="1"/>
    <xf numFmtId="0" fontId="2" fillId="0" borderId="0" xfId="0" applyFont="1" applyAlignment="1">
      <alignment horizontal="left" vertical="top"/>
    </xf>
    <xf numFmtId="2" fontId="2" fillId="0" borderId="1" xfId="0" applyNumberFormat="1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/>
    </xf>
  </cellXfs>
  <cellStyles count="7">
    <cellStyle name="Comma 2" xfId="2"/>
    <cellStyle name="Normal" xfId="0" builtinId="0"/>
    <cellStyle name="Normal 2" xfId="1"/>
    <cellStyle name="Normal 3" xfId="3"/>
    <cellStyle name="Normal 4" xfId="4"/>
    <cellStyle name="Normal 5" xfId="5"/>
    <cellStyle name="Normal 6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K69"/>
  <sheetViews>
    <sheetView topLeftCell="A52" workbookViewId="0">
      <selection activeCell="D72" sqref="D72"/>
    </sheetView>
  </sheetViews>
  <sheetFormatPr defaultRowHeight="14.5"/>
  <cols>
    <col min="3" max="3" width="10.453125" bestFit="1" customWidth="1"/>
    <col min="4" max="4" width="35.6328125" customWidth="1"/>
    <col min="5" max="5" width="8.81640625" bestFit="1" customWidth="1"/>
    <col min="7" max="7" width="11" bestFit="1" customWidth="1"/>
    <col min="9" max="9" width="11" bestFit="1" customWidth="1"/>
    <col min="10" max="10" width="13.81640625" bestFit="1" customWidth="1"/>
  </cols>
  <sheetData>
    <row r="2" spans="3:11">
      <c r="C2" s="31" t="s">
        <v>0</v>
      </c>
      <c r="D2" s="31" t="s">
        <v>1</v>
      </c>
      <c r="E2" s="32" t="s">
        <v>2</v>
      </c>
      <c r="F2" s="32" t="s">
        <v>29</v>
      </c>
      <c r="G2" s="31" t="s">
        <v>3</v>
      </c>
      <c r="H2" s="33"/>
      <c r="I2" s="31" t="s">
        <v>4</v>
      </c>
      <c r="J2" s="34"/>
    </row>
    <row r="3" spans="3:11">
      <c r="C3" s="35">
        <v>45473</v>
      </c>
      <c r="D3" s="36" t="s">
        <v>5</v>
      </c>
      <c r="E3" s="37">
        <v>59</v>
      </c>
      <c r="F3" s="38">
        <f>G3/E3</f>
        <v>518.64406779661022</v>
      </c>
      <c r="G3" s="15">
        <v>30600</v>
      </c>
      <c r="H3" s="47"/>
      <c r="I3" s="48">
        <v>3210</v>
      </c>
      <c r="J3" s="55" t="s">
        <v>30</v>
      </c>
      <c r="K3">
        <v>54.4</v>
      </c>
    </row>
    <row r="4" spans="3:11">
      <c r="C4" s="35"/>
      <c r="D4" s="36"/>
      <c r="E4" s="37"/>
      <c r="F4" s="37"/>
      <c r="G4" s="49"/>
      <c r="H4" s="47"/>
      <c r="I4" s="48"/>
      <c r="J4" s="34"/>
    </row>
    <row r="5" spans="3:11">
      <c r="C5" s="35">
        <v>45473</v>
      </c>
      <c r="D5" s="36" t="s">
        <v>6</v>
      </c>
      <c r="E5" s="37">
        <v>42</v>
      </c>
      <c r="F5" s="38">
        <f>G5/E5</f>
        <v>348.19642857142856</v>
      </c>
      <c r="G5" s="16">
        <v>14624.25</v>
      </c>
      <c r="H5" s="47"/>
      <c r="I5" s="48">
        <v>1370</v>
      </c>
      <c r="J5" s="34"/>
    </row>
    <row r="6" spans="3:11">
      <c r="C6" s="33"/>
      <c r="D6" s="33"/>
      <c r="E6" s="39"/>
      <c r="F6" s="39"/>
      <c r="G6" s="47"/>
      <c r="H6" s="47"/>
      <c r="I6" s="48"/>
      <c r="J6" s="34"/>
    </row>
    <row r="7" spans="3:11">
      <c r="C7" s="40">
        <v>45477</v>
      </c>
      <c r="D7" s="36" t="s">
        <v>7</v>
      </c>
      <c r="E7" s="37">
        <v>92</v>
      </c>
      <c r="F7" s="38">
        <f>G7/E7</f>
        <v>359</v>
      </c>
      <c r="G7" s="50">
        <f>359*92</f>
        <v>33028</v>
      </c>
      <c r="H7" s="47"/>
      <c r="I7" s="48">
        <f>G7/11</f>
        <v>3002.5454545454545</v>
      </c>
      <c r="J7" s="34"/>
    </row>
    <row r="8" spans="3:11">
      <c r="C8" s="33"/>
      <c r="D8" s="33"/>
      <c r="E8" s="39"/>
      <c r="F8" s="39"/>
      <c r="G8" s="47"/>
      <c r="H8" s="47"/>
      <c r="I8" s="48"/>
      <c r="J8" s="34"/>
    </row>
    <row r="9" spans="3:11">
      <c r="C9" s="40">
        <v>45488</v>
      </c>
      <c r="D9" s="36" t="s">
        <v>8</v>
      </c>
      <c r="E9" s="37">
        <v>54</v>
      </c>
      <c r="F9" s="38">
        <f>G9/E9</f>
        <v>358.96296296296299</v>
      </c>
      <c r="G9" s="17">
        <v>19384</v>
      </c>
      <c r="H9" s="47"/>
      <c r="I9" s="48">
        <f>G9/11</f>
        <v>1762.1818181818182</v>
      </c>
      <c r="J9" s="34"/>
    </row>
    <row r="10" spans="3:11">
      <c r="C10" s="40"/>
      <c r="D10" s="36"/>
      <c r="E10" s="37"/>
      <c r="F10" s="37"/>
      <c r="G10" s="17"/>
      <c r="H10" s="47"/>
      <c r="I10" s="48"/>
      <c r="J10" s="34"/>
    </row>
    <row r="11" spans="3:11">
      <c r="C11" s="41">
        <v>45491</v>
      </c>
      <c r="D11" s="36" t="s">
        <v>9</v>
      </c>
      <c r="E11" s="42">
        <v>56</v>
      </c>
      <c r="F11" s="38">
        <f>G11/E11</f>
        <v>357</v>
      </c>
      <c r="G11" s="51">
        <v>19992</v>
      </c>
      <c r="H11" s="47"/>
      <c r="I11" s="48">
        <f>G11/11</f>
        <v>1817.4545454545455</v>
      </c>
      <c r="J11" s="34"/>
    </row>
    <row r="12" spans="3:11">
      <c r="C12" s="33"/>
      <c r="D12" s="33"/>
      <c r="E12" s="39"/>
      <c r="F12" s="39"/>
      <c r="G12" s="47"/>
      <c r="H12" s="47"/>
      <c r="I12" s="48"/>
      <c r="J12" s="34"/>
    </row>
    <row r="13" spans="3:11">
      <c r="C13" s="35">
        <v>45491</v>
      </c>
      <c r="D13" s="36" t="s">
        <v>10</v>
      </c>
      <c r="E13" s="43">
        <v>250</v>
      </c>
      <c r="F13" s="38">
        <f>G13/E13</f>
        <v>357</v>
      </c>
      <c r="G13" s="51">
        <f>357*250</f>
        <v>89250</v>
      </c>
      <c r="H13" s="47"/>
      <c r="I13" s="48">
        <f>G13/11</f>
        <v>8113.636363636364</v>
      </c>
      <c r="J13" s="34"/>
    </row>
    <row r="14" spans="3:11">
      <c r="C14" s="33"/>
      <c r="D14" s="33"/>
      <c r="E14" s="39"/>
      <c r="F14" s="39"/>
      <c r="G14" s="47"/>
      <c r="H14" s="47"/>
      <c r="I14" s="48"/>
      <c r="J14" s="34"/>
    </row>
    <row r="15" spans="3:11">
      <c r="C15" s="56">
        <v>45495</v>
      </c>
      <c r="D15" s="57" t="s">
        <v>11</v>
      </c>
      <c r="E15" s="58">
        <v>113</v>
      </c>
      <c r="F15" s="59">
        <f>G15/E15</f>
        <v>357</v>
      </c>
      <c r="G15" s="60">
        <v>40341</v>
      </c>
      <c r="H15" s="61"/>
      <c r="I15" s="48">
        <v>0</v>
      </c>
      <c r="J15" s="55" t="s">
        <v>17</v>
      </c>
      <c r="K15">
        <v>597</v>
      </c>
    </row>
    <row r="16" spans="3:11">
      <c r="C16" s="33"/>
      <c r="D16" s="33"/>
      <c r="E16" s="39"/>
      <c r="F16" s="39"/>
      <c r="G16" s="47"/>
      <c r="H16" s="47"/>
      <c r="I16" s="48"/>
      <c r="J16" s="34"/>
    </row>
    <row r="17" spans="3:10" ht="15.5">
      <c r="C17" s="44">
        <v>45497</v>
      </c>
      <c r="D17" s="36" t="s">
        <v>12</v>
      </c>
      <c r="E17" s="45">
        <v>76</v>
      </c>
      <c r="F17" s="38">
        <f>G17/E17</f>
        <v>357</v>
      </c>
      <c r="G17" s="51">
        <v>27132</v>
      </c>
      <c r="H17" s="47"/>
      <c r="I17" s="48">
        <f>G17/11</f>
        <v>2466.5454545454545</v>
      </c>
      <c r="J17" s="34"/>
    </row>
    <row r="18" spans="3:10">
      <c r="C18" s="33"/>
      <c r="D18" s="33"/>
      <c r="E18" s="39"/>
      <c r="F18" s="39"/>
      <c r="G18" s="47"/>
      <c r="H18" s="47"/>
      <c r="I18" s="48"/>
      <c r="J18" s="34"/>
    </row>
    <row r="19" spans="3:10">
      <c r="C19" s="56">
        <v>45501</v>
      </c>
      <c r="D19" s="57" t="s">
        <v>13</v>
      </c>
      <c r="E19" s="58">
        <v>37</v>
      </c>
      <c r="F19" s="59">
        <f>G19/E19</f>
        <v>359</v>
      </c>
      <c r="G19" s="60">
        <v>13283</v>
      </c>
      <c r="H19" s="61"/>
      <c r="I19" s="48">
        <v>0</v>
      </c>
      <c r="J19" s="55" t="s">
        <v>17</v>
      </c>
    </row>
    <row r="20" spans="3:10">
      <c r="C20" s="33"/>
      <c r="D20" s="33"/>
      <c r="E20" s="39"/>
      <c r="F20" s="39"/>
      <c r="G20" s="47"/>
      <c r="H20" s="47"/>
      <c r="I20" s="48"/>
      <c r="J20" s="34"/>
    </row>
    <row r="21" spans="3:10">
      <c r="C21" s="44">
        <v>45502</v>
      </c>
      <c r="D21" s="36" t="s">
        <v>14</v>
      </c>
      <c r="E21" s="43">
        <v>61</v>
      </c>
      <c r="F21" s="38">
        <f>G21/E21</f>
        <v>358.90163934426232</v>
      </c>
      <c r="G21" s="51">
        <v>21893</v>
      </c>
      <c r="H21" s="47"/>
      <c r="I21" s="48">
        <f>G21/11</f>
        <v>1990.2727272727273</v>
      </c>
      <c r="J21" s="34"/>
    </row>
    <row r="22" spans="3:10">
      <c r="C22" s="33"/>
      <c r="D22" s="33"/>
      <c r="E22" s="39"/>
      <c r="F22" s="39"/>
      <c r="G22" s="47"/>
      <c r="H22" s="47"/>
      <c r="I22" s="48"/>
      <c r="J22" s="34"/>
    </row>
    <row r="23" spans="3:10">
      <c r="C23" s="41">
        <v>45517</v>
      </c>
      <c r="D23" s="36" t="s">
        <v>15</v>
      </c>
      <c r="E23" s="37">
        <v>400</v>
      </c>
      <c r="F23" s="38">
        <f>G23/E23</f>
        <v>357</v>
      </c>
      <c r="G23" s="51">
        <v>142800</v>
      </c>
      <c r="H23" s="47"/>
      <c r="I23" s="48">
        <f>G23/11</f>
        <v>12981.818181818182</v>
      </c>
      <c r="J23" s="34"/>
    </row>
    <row r="24" spans="3:10">
      <c r="C24" s="1"/>
      <c r="D24" s="1"/>
      <c r="E24" s="1"/>
      <c r="F24" s="1"/>
      <c r="G24" s="18"/>
      <c r="H24" s="18"/>
      <c r="I24" s="18"/>
    </row>
    <row r="25" spans="3:10">
      <c r="C25" s="41">
        <v>45540</v>
      </c>
      <c r="D25" s="36" t="s">
        <v>32</v>
      </c>
      <c r="E25" s="39">
        <v>40</v>
      </c>
      <c r="F25" s="38">
        <f>G25/E25</f>
        <v>358</v>
      </c>
      <c r="G25" s="51">
        <f>358*40</f>
        <v>14320</v>
      </c>
      <c r="H25" s="47"/>
      <c r="I25" s="48">
        <f>G25/11</f>
        <v>1301.8181818181818</v>
      </c>
    </row>
    <row r="26" spans="3:10">
      <c r="C26" s="33"/>
      <c r="D26" s="33"/>
      <c r="E26" s="39"/>
      <c r="F26" s="39"/>
      <c r="G26" s="52"/>
      <c r="H26" s="47"/>
      <c r="I26" s="48"/>
    </row>
    <row r="27" spans="3:10">
      <c r="C27" s="41">
        <v>45549</v>
      </c>
      <c r="D27" s="36" t="s">
        <v>33</v>
      </c>
      <c r="E27" s="39">
        <v>34</v>
      </c>
      <c r="F27" s="38">
        <f>G27/E27</f>
        <v>279.47058823529414</v>
      </c>
      <c r="G27" s="52">
        <v>9502</v>
      </c>
      <c r="H27" s="47"/>
      <c r="I27" s="48">
        <f>G27/11</f>
        <v>863.81818181818187</v>
      </c>
    </row>
    <row r="28" spans="3:10">
      <c r="C28" s="33"/>
      <c r="D28" s="33"/>
      <c r="E28" s="39"/>
      <c r="F28" s="39"/>
      <c r="G28" s="52"/>
      <c r="H28" s="47"/>
      <c r="I28" s="48"/>
    </row>
    <row r="29" spans="3:10">
      <c r="C29" s="41">
        <v>45550</v>
      </c>
      <c r="D29" s="36" t="s">
        <v>13</v>
      </c>
      <c r="E29" s="39">
        <v>37</v>
      </c>
      <c r="F29" s="38">
        <f>G29/E29</f>
        <v>298.18918918918916</v>
      </c>
      <c r="G29" s="52">
        <v>11033</v>
      </c>
      <c r="H29" s="47"/>
      <c r="I29" s="48">
        <f>G29/11</f>
        <v>1003</v>
      </c>
    </row>
    <row r="30" spans="3:10">
      <c r="C30" s="33"/>
      <c r="D30" s="33"/>
      <c r="E30" s="39"/>
      <c r="F30" s="39"/>
      <c r="G30" s="52"/>
      <c r="H30" s="47"/>
      <c r="I30" s="48"/>
    </row>
    <row r="31" spans="3:10">
      <c r="C31" s="41">
        <v>45551</v>
      </c>
      <c r="D31" s="36" t="s">
        <v>33</v>
      </c>
      <c r="E31" s="39">
        <v>34</v>
      </c>
      <c r="F31" s="38">
        <f>G31/E31</f>
        <v>280.35294117647061</v>
      </c>
      <c r="G31" s="52">
        <v>9532</v>
      </c>
      <c r="H31" s="47"/>
      <c r="I31" s="48">
        <f>G31/11</f>
        <v>866.5454545454545</v>
      </c>
    </row>
    <row r="32" spans="3:10">
      <c r="C32" s="33"/>
      <c r="D32" s="33"/>
      <c r="E32" s="39"/>
      <c r="F32" s="39"/>
      <c r="G32" s="52"/>
      <c r="H32" s="47"/>
      <c r="I32" s="48"/>
    </row>
    <row r="33" spans="3:9">
      <c r="C33" s="41">
        <v>45552</v>
      </c>
      <c r="D33" s="36" t="s">
        <v>34</v>
      </c>
      <c r="E33" s="39">
        <v>14</v>
      </c>
      <c r="F33" s="38">
        <f>G33/E33</f>
        <v>299.28571428571428</v>
      </c>
      <c r="G33" s="52">
        <v>4190</v>
      </c>
      <c r="H33" s="47"/>
      <c r="I33" s="48">
        <f>G33/11</f>
        <v>380.90909090909093</v>
      </c>
    </row>
    <row r="34" spans="3:9">
      <c r="C34" s="33"/>
      <c r="D34" s="33"/>
      <c r="E34" s="39"/>
      <c r="F34" s="39"/>
      <c r="G34" s="52"/>
      <c r="H34" s="47"/>
      <c r="I34" s="48"/>
    </row>
    <row r="35" spans="3:9">
      <c r="C35" s="41">
        <v>45553</v>
      </c>
      <c r="D35" s="36" t="s">
        <v>35</v>
      </c>
      <c r="E35" s="39">
        <v>62</v>
      </c>
      <c r="F35" s="38">
        <f>G35/E35</f>
        <v>297.98387096774195</v>
      </c>
      <c r="G35" s="52">
        <v>18475</v>
      </c>
      <c r="H35" s="47"/>
      <c r="I35" s="48">
        <f>G35/11</f>
        <v>1679.5454545454545</v>
      </c>
    </row>
    <row r="36" spans="3:9">
      <c r="C36" s="33"/>
      <c r="D36" s="33"/>
      <c r="E36" s="39"/>
      <c r="F36" s="39"/>
      <c r="G36" s="52"/>
      <c r="H36" s="47"/>
      <c r="I36" s="48"/>
    </row>
    <row r="37" spans="3:9">
      <c r="C37" s="41">
        <v>45554</v>
      </c>
      <c r="D37" s="36" t="s">
        <v>36</v>
      </c>
      <c r="E37" s="39">
        <v>5</v>
      </c>
      <c r="F37" s="38">
        <f>G37/E37</f>
        <v>298.2</v>
      </c>
      <c r="G37" s="52">
        <v>1491</v>
      </c>
      <c r="H37" s="47"/>
      <c r="I37" s="48">
        <f>G37/11</f>
        <v>135.54545454545453</v>
      </c>
    </row>
    <row r="38" spans="3:9">
      <c r="C38" s="33"/>
      <c r="D38" s="33"/>
      <c r="E38" s="39"/>
      <c r="F38" s="39"/>
      <c r="G38" s="52"/>
      <c r="H38" s="47"/>
      <c r="I38" s="48"/>
    </row>
    <row r="39" spans="3:9">
      <c r="C39" s="41">
        <v>45558</v>
      </c>
      <c r="D39" s="36" t="s">
        <v>37</v>
      </c>
      <c r="E39" s="39">
        <v>15</v>
      </c>
      <c r="F39" s="38">
        <f>G39/E39</f>
        <v>297.53333333333336</v>
      </c>
      <c r="G39" s="52">
        <v>4463</v>
      </c>
      <c r="H39" s="47"/>
      <c r="I39" s="48">
        <f>G39/11</f>
        <v>405.72727272727275</v>
      </c>
    </row>
    <row r="40" spans="3:9">
      <c r="C40" s="33"/>
      <c r="D40" s="33"/>
      <c r="E40" s="39"/>
      <c r="F40" s="39"/>
      <c r="G40" s="52"/>
      <c r="H40" s="47"/>
      <c r="I40" s="48"/>
    </row>
    <row r="41" spans="3:9">
      <c r="C41" s="41">
        <v>45559</v>
      </c>
      <c r="D41" s="36" t="s">
        <v>38</v>
      </c>
      <c r="E41" s="39">
        <v>19</v>
      </c>
      <c r="F41" s="38">
        <f>G41/E41</f>
        <v>298.21052631578948</v>
      </c>
      <c r="G41" s="52">
        <v>5666</v>
      </c>
      <c r="H41" s="47"/>
      <c r="I41" s="48">
        <f>G41/11</f>
        <v>515.09090909090912</v>
      </c>
    </row>
    <row r="42" spans="3:9">
      <c r="C42" s="33"/>
      <c r="D42" s="33"/>
      <c r="E42" s="39"/>
      <c r="F42" s="39"/>
      <c r="G42" s="52"/>
      <c r="H42" s="47"/>
      <c r="I42" s="48"/>
    </row>
    <row r="43" spans="3:9">
      <c r="C43" s="41">
        <v>45560</v>
      </c>
      <c r="D43" s="36" t="s">
        <v>39</v>
      </c>
      <c r="E43" s="39">
        <v>12</v>
      </c>
      <c r="F43" s="38">
        <f>G43/E43</f>
        <v>302.58333333333331</v>
      </c>
      <c r="G43" s="52">
        <v>3631</v>
      </c>
      <c r="H43" s="47"/>
      <c r="I43" s="48">
        <f>G43/11</f>
        <v>330.09090909090907</v>
      </c>
    </row>
    <row r="44" spans="3:9">
      <c r="C44" s="33"/>
      <c r="D44" s="33"/>
      <c r="E44" s="39"/>
      <c r="F44" s="39"/>
      <c r="G44" s="47"/>
      <c r="H44" s="47"/>
      <c r="I44" s="48"/>
    </row>
    <row r="45" spans="3:9">
      <c r="C45" s="41">
        <v>45561</v>
      </c>
      <c r="D45" s="36" t="s">
        <v>40</v>
      </c>
      <c r="E45" s="39">
        <v>6</v>
      </c>
      <c r="F45" s="38">
        <f>G45/E45</f>
        <v>300.5</v>
      </c>
      <c r="G45" s="52">
        <v>1803</v>
      </c>
      <c r="H45" s="47"/>
      <c r="I45" s="48">
        <f>G45/11</f>
        <v>163.90909090909091</v>
      </c>
    </row>
    <row r="46" spans="3:9">
      <c r="C46" s="33"/>
      <c r="D46" s="33"/>
      <c r="E46" s="39"/>
      <c r="F46" s="39"/>
      <c r="G46" s="52"/>
      <c r="H46" s="47"/>
      <c r="I46" s="48"/>
    </row>
    <row r="47" spans="3:9">
      <c r="C47" s="41">
        <v>45562</v>
      </c>
      <c r="D47" s="36" t="s">
        <v>34</v>
      </c>
      <c r="E47" s="39">
        <v>14</v>
      </c>
      <c r="F47" s="38">
        <f>G47/E47</f>
        <v>297.85714285714283</v>
      </c>
      <c r="G47" s="52">
        <v>4170</v>
      </c>
      <c r="H47" s="47"/>
      <c r="I47" s="48">
        <f>G47/11</f>
        <v>379.09090909090907</v>
      </c>
    </row>
    <row r="48" spans="3:9">
      <c r="C48" s="33"/>
      <c r="D48" s="33"/>
      <c r="E48" s="39"/>
      <c r="F48" s="39"/>
      <c r="G48" s="52"/>
      <c r="H48" s="47"/>
      <c r="I48" s="48"/>
    </row>
    <row r="49" spans="3:9">
      <c r="C49" s="41">
        <v>45562</v>
      </c>
      <c r="D49" s="36" t="s">
        <v>41</v>
      </c>
      <c r="E49" s="39">
        <v>100</v>
      </c>
      <c r="F49" s="38">
        <f>G49/E49</f>
        <v>298</v>
      </c>
      <c r="G49" s="52">
        <v>29800</v>
      </c>
      <c r="H49" s="47"/>
      <c r="I49" s="48">
        <f>G49/11</f>
        <v>2709.090909090909</v>
      </c>
    </row>
    <row r="50" spans="3:9">
      <c r="C50" s="33"/>
      <c r="D50" s="33"/>
      <c r="E50" s="39"/>
      <c r="F50" s="39"/>
      <c r="G50" s="52"/>
      <c r="H50" s="47"/>
      <c r="I50" s="48"/>
    </row>
    <row r="51" spans="3:9">
      <c r="C51" s="41">
        <v>45563</v>
      </c>
      <c r="D51" s="36" t="s">
        <v>34</v>
      </c>
      <c r="E51" s="39">
        <v>14</v>
      </c>
      <c r="F51" s="38">
        <f>G51/E51</f>
        <v>297.14285714285717</v>
      </c>
      <c r="G51" s="52">
        <v>4160</v>
      </c>
      <c r="H51" s="47"/>
      <c r="I51" s="48">
        <f>G51/11</f>
        <v>378.18181818181819</v>
      </c>
    </row>
    <row r="52" spans="3:9">
      <c r="C52" s="41"/>
      <c r="D52" s="46"/>
      <c r="E52" s="39"/>
      <c r="F52" s="39"/>
      <c r="G52" s="52"/>
      <c r="H52" s="47"/>
      <c r="I52" s="48"/>
    </row>
    <row r="53" spans="3:9">
      <c r="C53" s="41">
        <v>45564</v>
      </c>
      <c r="D53" s="36" t="s">
        <v>42</v>
      </c>
      <c r="E53" s="39">
        <v>3</v>
      </c>
      <c r="F53" s="38">
        <f>G53/E53</f>
        <v>297.66666666666669</v>
      </c>
      <c r="G53" s="52">
        <v>893</v>
      </c>
      <c r="H53" s="47"/>
      <c r="I53" s="48">
        <f>G53/11</f>
        <v>81.181818181818187</v>
      </c>
    </row>
    <row r="54" spans="3:9">
      <c r="C54" s="41"/>
      <c r="D54" s="46"/>
      <c r="E54" s="39"/>
      <c r="F54" s="39"/>
      <c r="G54" s="52"/>
      <c r="H54" s="47"/>
      <c r="I54" s="48"/>
    </row>
    <row r="55" spans="3:9">
      <c r="C55" s="41">
        <v>45565</v>
      </c>
      <c r="D55" s="36" t="s">
        <v>37</v>
      </c>
      <c r="E55" s="39">
        <v>15</v>
      </c>
      <c r="F55" s="38">
        <f>G55/E55</f>
        <v>298.66666666666669</v>
      </c>
      <c r="G55" s="52">
        <v>4480</v>
      </c>
      <c r="H55" s="47"/>
      <c r="I55" s="48">
        <f>G55/11</f>
        <v>407.27272727272725</v>
      </c>
    </row>
    <row r="57" spans="3:9">
      <c r="D57" s="14" t="s">
        <v>31</v>
      </c>
      <c r="E57" s="14">
        <f>SUM(E3:E56)</f>
        <v>1664</v>
      </c>
      <c r="F57" s="53"/>
      <c r="G57" s="53"/>
      <c r="H57" s="53"/>
      <c r="I57" s="54">
        <f>SUM(I3:I56)</f>
        <v>48315.272727272742</v>
      </c>
    </row>
    <row r="60" spans="3:9">
      <c r="C60" s="31" t="s">
        <v>0</v>
      </c>
      <c r="D60" s="31" t="s">
        <v>1</v>
      </c>
      <c r="E60" s="32" t="s">
        <v>2</v>
      </c>
      <c r="F60" s="32" t="s">
        <v>29</v>
      </c>
      <c r="G60" s="31" t="s">
        <v>3</v>
      </c>
      <c r="H60" s="33"/>
      <c r="I60" s="31" t="s">
        <v>4</v>
      </c>
    </row>
    <row r="61" spans="3:9">
      <c r="C61" s="41">
        <v>45566</v>
      </c>
      <c r="D61" s="36" t="s">
        <v>43</v>
      </c>
      <c r="E61" s="63">
        <v>2</v>
      </c>
      <c r="F61" s="63">
        <v>299</v>
      </c>
      <c r="G61" s="63">
        <f>E61*F61</f>
        <v>598</v>
      </c>
      <c r="H61" s="1"/>
      <c r="I61" s="66">
        <f t="shared" ref="I61:I67" si="0">G61/11</f>
        <v>54.363636363636367</v>
      </c>
    </row>
    <row r="62" spans="3:9">
      <c r="C62" s="41">
        <v>45567</v>
      </c>
      <c r="D62" s="36" t="s">
        <v>34</v>
      </c>
      <c r="E62" s="63">
        <v>14</v>
      </c>
      <c r="F62" s="69">
        <f t="shared" ref="F62:F67" si="1">G62/E62</f>
        <v>298.14285714285717</v>
      </c>
      <c r="G62" s="63">
        <v>4174</v>
      </c>
      <c r="H62" s="1"/>
      <c r="I62" s="66">
        <f t="shared" si="0"/>
        <v>379.45454545454544</v>
      </c>
    </row>
    <row r="63" spans="3:9">
      <c r="C63" s="41">
        <v>45568</v>
      </c>
      <c r="D63" s="36" t="s">
        <v>45</v>
      </c>
      <c r="E63" s="63">
        <v>8</v>
      </c>
      <c r="F63" s="63">
        <f t="shared" si="1"/>
        <v>298</v>
      </c>
      <c r="G63" s="70">
        <v>2384</v>
      </c>
      <c r="H63" s="1"/>
      <c r="I63" s="66">
        <f t="shared" si="0"/>
        <v>216.72727272727272</v>
      </c>
    </row>
    <row r="64" spans="3:9">
      <c r="C64" s="41">
        <v>45570</v>
      </c>
      <c r="D64" s="36" t="s">
        <v>47</v>
      </c>
      <c r="E64" s="63">
        <v>18</v>
      </c>
      <c r="F64" s="69">
        <f t="shared" si="1"/>
        <v>298.88888888888891</v>
      </c>
      <c r="G64" s="63">
        <v>5380</v>
      </c>
      <c r="H64" s="1"/>
      <c r="I64" s="66">
        <f t="shared" si="0"/>
        <v>489.09090909090907</v>
      </c>
    </row>
    <row r="65" spans="3:9">
      <c r="C65" s="41">
        <v>45573</v>
      </c>
      <c r="D65" s="36" t="s">
        <v>50</v>
      </c>
      <c r="E65" s="63">
        <v>2</v>
      </c>
      <c r="F65" s="69">
        <f t="shared" si="1"/>
        <v>299</v>
      </c>
      <c r="G65" s="63">
        <v>598</v>
      </c>
      <c r="H65" s="1"/>
      <c r="I65" s="66">
        <f t="shared" si="0"/>
        <v>54.363636363636367</v>
      </c>
    </row>
    <row r="66" spans="3:9">
      <c r="C66" s="41">
        <v>45575</v>
      </c>
      <c r="D66" s="36" t="s">
        <v>52</v>
      </c>
      <c r="E66" s="63">
        <v>24</v>
      </c>
      <c r="F66" s="69">
        <f t="shared" si="1"/>
        <v>299.16291666666666</v>
      </c>
      <c r="G66" s="71">
        <v>7179.91</v>
      </c>
      <c r="H66" s="1"/>
      <c r="I66" s="66">
        <f t="shared" si="0"/>
        <v>652.71909090909094</v>
      </c>
    </row>
    <row r="67" spans="3:9">
      <c r="C67" s="62">
        <v>45580</v>
      </c>
      <c r="D67" s="36" t="s">
        <v>57</v>
      </c>
      <c r="E67" s="63">
        <v>55</v>
      </c>
      <c r="F67" s="69">
        <f t="shared" si="1"/>
        <v>318</v>
      </c>
      <c r="G67" s="63">
        <v>17490</v>
      </c>
      <c r="H67" s="1"/>
      <c r="I67" s="66">
        <f t="shared" si="0"/>
        <v>1590</v>
      </c>
    </row>
    <row r="69" spans="3:9" ht="16">
      <c r="D69" s="14" t="s">
        <v>31</v>
      </c>
      <c r="E69" s="14">
        <f>SUM(E61:E68)</f>
        <v>123</v>
      </c>
      <c r="I69" s="72">
        <f>SUM(I61:I68)</f>
        <v>3436.7190909090905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I44"/>
  <sheetViews>
    <sheetView topLeftCell="A16" workbookViewId="0">
      <selection activeCell="C36" sqref="C36"/>
    </sheetView>
  </sheetViews>
  <sheetFormatPr defaultRowHeight="14.5"/>
  <cols>
    <col min="2" max="2" width="10.453125" bestFit="1" customWidth="1"/>
    <col min="3" max="3" width="33.7265625" bestFit="1" customWidth="1"/>
    <col min="6" max="6" width="10.36328125" customWidth="1"/>
    <col min="8" max="8" width="11" bestFit="1" customWidth="1"/>
  </cols>
  <sheetData>
    <row r="3" spans="2:8" ht="15.5">
      <c r="B3" s="27" t="s">
        <v>0</v>
      </c>
      <c r="C3" s="27" t="s">
        <v>1</v>
      </c>
      <c r="D3" s="28" t="s">
        <v>2</v>
      </c>
      <c r="E3" s="28"/>
      <c r="F3" s="27" t="s">
        <v>3</v>
      </c>
      <c r="G3" s="29"/>
      <c r="H3" s="27" t="s">
        <v>4</v>
      </c>
    </row>
    <row r="4" spans="2:8">
      <c r="B4" s="3">
        <v>45547</v>
      </c>
      <c r="C4" s="2" t="s">
        <v>18</v>
      </c>
      <c r="D4" s="5">
        <v>42</v>
      </c>
      <c r="E4" s="30">
        <f>F4/D4</f>
        <v>770.83333333333337</v>
      </c>
      <c r="F4" s="20">
        <v>32375</v>
      </c>
      <c r="G4" s="4"/>
      <c r="H4" s="22">
        <f>F4/11</f>
        <v>2943.181818181818</v>
      </c>
    </row>
    <row r="5" spans="2:8">
      <c r="B5" s="4"/>
      <c r="C5" s="4"/>
      <c r="D5" s="5"/>
      <c r="E5" s="5"/>
      <c r="F5" s="20"/>
      <c r="G5" s="4"/>
      <c r="H5" s="22"/>
    </row>
    <row r="6" spans="2:8">
      <c r="B6" s="3">
        <v>45548</v>
      </c>
      <c r="C6" s="2" t="s">
        <v>25</v>
      </c>
      <c r="D6" s="5">
        <v>10</v>
      </c>
      <c r="E6" s="30">
        <f>F6/D6</f>
        <v>799</v>
      </c>
      <c r="F6" s="21">
        <v>7990</v>
      </c>
      <c r="G6" s="4"/>
      <c r="H6" s="22">
        <f>F6/11</f>
        <v>726.36363636363637</v>
      </c>
    </row>
    <row r="7" spans="2:8">
      <c r="B7" s="4"/>
      <c r="C7" s="4"/>
      <c r="D7" s="5"/>
      <c r="E7" s="5"/>
      <c r="F7" s="20"/>
      <c r="G7" s="4"/>
      <c r="H7" s="22"/>
    </row>
    <row r="8" spans="2:8">
      <c r="B8" s="3">
        <v>45551</v>
      </c>
      <c r="C8" s="2" t="s">
        <v>19</v>
      </c>
      <c r="D8" s="5">
        <v>4</v>
      </c>
      <c r="E8" s="30">
        <f>F8/D8</f>
        <v>781.5</v>
      </c>
      <c r="F8" s="20">
        <v>3126</v>
      </c>
      <c r="G8" s="4"/>
      <c r="H8" s="22">
        <f>F8/11</f>
        <v>284.18181818181819</v>
      </c>
    </row>
    <row r="9" spans="2:8">
      <c r="B9" s="4"/>
      <c r="C9" s="4"/>
      <c r="D9" s="5"/>
      <c r="E9" s="5"/>
      <c r="F9" s="20"/>
      <c r="G9" s="4"/>
      <c r="H9" s="22"/>
    </row>
    <row r="10" spans="2:8">
      <c r="B10" s="3">
        <v>45553</v>
      </c>
      <c r="C10" s="2" t="s">
        <v>20</v>
      </c>
      <c r="D10" s="5">
        <v>64</v>
      </c>
      <c r="E10" s="30">
        <f>F10/D10</f>
        <v>784.53125</v>
      </c>
      <c r="F10" s="20">
        <v>50210</v>
      </c>
      <c r="G10" s="4"/>
      <c r="H10" s="22">
        <f>F10/11</f>
        <v>4564.545454545455</v>
      </c>
    </row>
    <row r="11" spans="2:8">
      <c r="B11" s="4"/>
      <c r="C11" s="4"/>
      <c r="D11" s="5"/>
      <c r="E11" s="5"/>
      <c r="F11" s="20"/>
      <c r="G11" s="4"/>
      <c r="H11" s="22"/>
    </row>
    <row r="12" spans="2:8">
      <c r="B12" s="3">
        <v>45554</v>
      </c>
      <c r="C12" s="2" t="s">
        <v>21</v>
      </c>
      <c r="D12" s="5">
        <v>7</v>
      </c>
      <c r="E12" s="30">
        <f>F12/D12</f>
        <v>790</v>
      </c>
      <c r="F12" s="20">
        <v>5530</v>
      </c>
      <c r="G12" s="4"/>
      <c r="H12" s="22">
        <f>F12/11</f>
        <v>502.72727272727275</v>
      </c>
    </row>
    <row r="13" spans="2:8">
      <c r="B13" s="4"/>
      <c r="C13" s="4"/>
      <c r="D13" s="5"/>
      <c r="E13" s="5"/>
      <c r="F13" s="20"/>
      <c r="G13" s="4"/>
      <c r="H13" s="22"/>
    </row>
    <row r="14" spans="2:8">
      <c r="B14" s="3">
        <v>45556</v>
      </c>
      <c r="C14" s="2" t="s">
        <v>22</v>
      </c>
      <c r="D14" s="5">
        <v>30</v>
      </c>
      <c r="E14" s="30">
        <f>F14/D14</f>
        <v>799</v>
      </c>
      <c r="F14" s="20">
        <v>23970</v>
      </c>
      <c r="G14" s="4"/>
      <c r="H14" s="22">
        <f>F14/11</f>
        <v>2179.090909090909</v>
      </c>
    </row>
    <row r="15" spans="2:8">
      <c r="B15" s="4"/>
      <c r="C15" s="4"/>
      <c r="D15" s="5"/>
      <c r="E15" s="5"/>
      <c r="F15" s="20"/>
      <c r="G15" s="4"/>
      <c r="H15" s="22"/>
    </row>
    <row r="16" spans="2:8">
      <c r="B16" s="3">
        <v>45558</v>
      </c>
      <c r="C16" s="2" t="s">
        <v>16</v>
      </c>
      <c r="D16" s="5">
        <v>5</v>
      </c>
      <c r="E16" s="30">
        <f>F16/D16</f>
        <v>756.2</v>
      </c>
      <c r="F16" s="20">
        <v>3781</v>
      </c>
      <c r="G16" s="4"/>
      <c r="H16" s="22">
        <f>F16/11</f>
        <v>343.72727272727275</v>
      </c>
    </row>
    <row r="17" spans="2:8">
      <c r="B17" s="3"/>
      <c r="C17" s="2"/>
      <c r="D17" s="5"/>
      <c r="E17" s="5"/>
      <c r="F17" s="20"/>
      <c r="G17" s="4"/>
      <c r="H17" s="22"/>
    </row>
    <row r="18" spans="2:8">
      <c r="B18" s="3">
        <v>45559</v>
      </c>
      <c r="C18" s="2" t="s">
        <v>23</v>
      </c>
      <c r="D18" s="5">
        <v>22</v>
      </c>
      <c r="E18" s="30">
        <f>F18/D18</f>
        <v>757.81818181818187</v>
      </c>
      <c r="F18" s="20">
        <v>16672</v>
      </c>
      <c r="G18" s="4"/>
      <c r="H18" s="22">
        <f>F18/11</f>
        <v>1515.6363636363637</v>
      </c>
    </row>
    <row r="19" spans="2:8">
      <c r="B19" s="3"/>
      <c r="C19" s="2"/>
      <c r="D19" s="5"/>
      <c r="E19" s="5"/>
      <c r="F19" s="20"/>
      <c r="G19" s="4"/>
      <c r="H19" s="22"/>
    </row>
    <row r="20" spans="2:8">
      <c r="B20" s="3">
        <v>45560</v>
      </c>
      <c r="C20" s="2" t="s">
        <v>24</v>
      </c>
      <c r="D20" s="5">
        <v>1</v>
      </c>
      <c r="E20" s="30">
        <f>F20/D20</f>
        <v>796</v>
      </c>
      <c r="F20" s="20">
        <v>796</v>
      </c>
      <c r="G20" s="4"/>
      <c r="H20" s="22">
        <f>F20/11</f>
        <v>72.36363636363636</v>
      </c>
    </row>
    <row r="22" spans="2:8">
      <c r="C22" s="14" t="s">
        <v>28</v>
      </c>
      <c r="D22" s="14">
        <f>SUM(D4:D21)</f>
        <v>185</v>
      </c>
      <c r="E22" s="14"/>
      <c r="F22" s="14"/>
      <c r="G22" s="14"/>
      <c r="H22" s="19">
        <f>SUM(H4:H21)</f>
        <v>13131.81818181818</v>
      </c>
    </row>
    <row r="24" spans="2:8" ht="15.5">
      <c r="B24" s="27" t="s">
        <v>0</v>
      </c>
      <c r="C24" s="27" t="s">
        <v>1</v>
      </c>
      <c r="D24" s="28" t="s">
        <v>2</v>
      </c>
      <c r="E24" s="28"/>
      <c r="F24" s="27" t="s">
        <v>3</v>
      </c>
      <c r="G24" s="29"/>
      <c r="H24" s="27" t="s">
        <v>4</v>
      </c>
    </row>
    <row r="25" spans="2:8">
      <c r="B25" s="41">
        <v>45566</v>
      </c>
      <c r="C25" s="64" t="s">
        <v>48</v>
      </c>
      <c r="D25" s="63">
        <v>12</v>
      </c>
      <c r="E25" s="63">
        <v>750</v>
      </c>
      <c r="F25" s="1">
        <f>D25*E25</f>
        <v>9000</v>
      </c>
      <c r="G25" s="1"/>
      <c r="H25" s="66">
        <f>F25/11</f>
        <v>818.18181818181813</v>
      </c>
    </row>
    <row r="26" spans="2:8">
      <c r="B26" s="41">
        <v>45568</v>
      </c>
      <c r="C26" s="64" t="s">
        <v>46</v>
      </c>
      <c r="D26" s="63">
        <v>2</v>
      </c>
      <c r="E26" s="63">
        <f t="shared" ref="E26:E33" si="0">F26/D26</f>
        <v>780</v>
      </c>
      <c r="F26" s="1">
        <v>1560</v>
      </c>
      <c r="G26" s="1"/>
      <c r="H26" s="66">
        <f>F26/11</f>
        <v>141.81818181818181</v>
      </c>
    </row>
    <row r="27" spans="2:8">
      <c r="B27" s="41">
        <v>45569</v>
      </c>
      <c r="C27" s="64" t="s">
        <v>25</v>
      </c>
      <c r="D27" s="63">
        <v>10</v>
      </c>
      <c r="E27" s="63">
        <f t="shared" si="0"/>
        <v>768</v>
      </c>
      <c r="F27" s="1">
        <v>7680</v>
      </c>
      <c r="G27" s="1"/>
      <c r="H27" s="66">
        <f>F27/11</f>
        <v>698.18181818181813</v>
      </c>
    </row>
    <row r="28" spans="2:8">
      <c r="B28" s="41">
        <v>45572</v>
      </c>
      <c r="C28" s="64" t="s">
        <v>49</v>
      </c>
      <c r="D28" s="63">
        <v>11</v>
      </c>
      <c r="E28" s="69">
        <f t="shared" si="0"/>
        <v>746.81818181818187</v>
      </c>
      <c r="F28" s="67">
        <v>8215</v>
      </c>
      <c r="G28" s="1"/>
      <c r="H28" s="66">
        <f>F28/11</f>
        <v>746.81818181818187</v>
      </c>
    </row>
    <row r="29" spans="2:8">
      <c r="B29" s="41">
        <v>45575</v>
      </c>
      <c r="C29" s="64" t="s">
        <v>24</v>
      </c>
      <c r="D29" s="63">
        <v>1</v>
      </c>
      <c r="E29" s="69">
        <f t="shared" si="0"/>
        <v>759</v>
      </c>
      <c r="F29" s="1">
        <v>759</v>
      </c>
      <c r="G29" s="1"/>
      <c r="H29" s="66">
        <f>F29/11</f>
        <v>69</v>
      </c>
    </row>
    <row r="30" spans="2:8">
      <c r="B30" s="41">
        <v>45576</v>
      </c>
      <c r="C30" s="64" t="s">
        <v>21</v>
      </c>
      <c r="D30" s="63">
        <v>7</v>
      </c>
      <c r="E30" s="63">
        <f t="shared" si="0"/>
        <v>755</v>
      </c>
      <c r="F30" s="68">
        <v>5285</v>
      </c>
      <c r="G30" s="1"/>
      <c r="H30" s="66">
        <f t="shared" ref="H30:H33" si="1">F30/11</f>
        <v>480.45454545454544</v>
      </c>
    </row>
    <row r="31" spans="2:8">
      <c r="B31" s="41">
        <v>45577</v>
      </c>
      <c r="C31" s="64" t="s">
        <v>56</v>
      </c>
      <c r="D31" s="63">
        <v>50</v>
      </c>
      <c r="E31" s="63">
        <f t="shared" si="0"/>
        <v>750</v>
      </c>
      <c r="F31" s="68">
        <v>37500</v>
      </c>
      <c r="G31" s="1"/>
      <c r="H31" s="66">
        <f t="shared" si="1"/>
        <v>3409.090909090909</v>
      </c>
    </row>
    <row r="32" spans="2:8">
      <c r="B32" s="41">
        <v>45579</v>
      </c>
      <c r="C32" s="64" t="s">
        <v>25</v>
      </c>
      <c r="D32" s="63">
        <v>10</v>
      </c>
      <c r="E32" s="63">
        <f t="shared" si="0"/>
        <v>768</v>
      </c>
      <c r="F32" s="68">
        <v>7680</v>
      </c>
      <c r="G32" s="1"/>
      <c r="H32" s="66">
        <f t="shared" si="1"/>
        <v>698.18181818181813</v>
      </c>
    </row>
    <row r="33" spans="2:9">
      <c r="B33" s="41">
        <v>45580</v>
      </c>
      <c r="C33" s="64" t="s">
        <v>25</v>
      </c>
      <c r="D33" s="63">
        <v>10</v>
      </c>
      <c r="E33" s="63">
        <f t="shared" si="0"/>
        <v>799</v>
      </c>
      <c r="F33" s="68">
        <v>7990</v>
      </c>
      <c r="G33" s="1"/>
      <c r="H33" s="66">
        <f t="shared" si="1"/>
        <v>726.36363636363637</v>
      </c>
    </row>
    <row r="35" spans="2:9">
      <c r="C35" s="14" t="s">
        <v>28</v>
      </c>
      <c r="D35" s="14">
        <f>SUM(D25:D34)</f>
        <v>113</v>
      </c>
      <c r="E35" s="14"/>
      <c r="F35" s="14"/>
      <c r="G35" s="14"/>
      <c r="H35" s="19">
        <f>SUM(H25:H34)</f>
        <v>7788.0909090909081</v>
      </c>
    </row>
    <row r="41" spans="2:9">
      <c r="F41" t="s">
        <v>69</v>
      </c>
      <c r="I41" t="s">
        <v>70</v>
      </c>
    </row>
    <row r="42" spans="2:9">
      <c r="F42">
        <v>20345</v>
      </c>
      <c r="H42" t="s">
        <v>67</v>
      </c>
      <c r="I42">
        <f>12*1190</f>
        <v>14280</v>
      </c>
    </row>
    <row r="43" spans="2:9">
      <c r="F43">
        <v>15297</v>
      </c>
      <c r="H43" t="s">
        <v>68</v>
      </c>
      <c r="I43">
        <f>15*1650</f>
        <v>24750</v>
      </c>
    </row>
    <row r="44" spans="2:9">
      <c r="F44" s="53">
        <f>SUM(F42:F43)</f>
        <v>35642</v>
      </c>
      <c r="I44" s="53">
        <f>SUM(I42:I43)</f>
        <v>39030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G5"/>
  <sheetViews>
    <sheetView workbookViewId="0">
      <selection activeCell="E4" sqref="E4"/>
    </sheetView>
  </sheetViews>
  <sheetFormatPr defaultRowHeight="14.5"/>
  <cols>
    <col min="2" max="2" width="10.453125" bestFit="1" customWidth="1"/>
    <col min="3" max="3" width="29.453125" customWidth="1"/>
    <col min="4" max="4" width="9.90625" customWidth="1"/>
    <col min="5" max="5" width="10.08984375" bestFit="1" customWidth="1"/>
    <col min="7" max="7" width="11" bestFit="1" customWidth="1"/>
  </cols>
  <sheetData>
    <row r="2" spans="2:7" ht="15.5">
      <c r="B2" s="27" t="s">
        <v>0</v>
      </c>
      <c r="C2" s="27" t="s">
        <v>1</v>
      </c>
      <c r="D2" s="28" t="s">
        <v>2</v>
      </c>
      <c r="E2" s="27" t="s">
        <v>3</v>
      </c>
      <c r="F2" s="29"/>
      <c r="G2" s="27" t="s">
        <v>4</v>
      </c>
    </row>
    <row r="3" spans="2:7">
      <c r="B3" s="7">
        <v>45549</v>
      </c>
      <c r="C3" s="6" t="s">
        <v>26</v>
      </c>
      <c r="D3" s="9">
        <v>33</v>
      </c>
      <c r="E3" s="23">
        <v>74639</v>
      </c>
      <c r="F3" s="8"/>
      <c r="G3" s="24">
        <f>E3/11</f>
        <v>6785.363636363636</v>
      </c>
    </row>
    <row r="4" spans="2:7">
      <c r="B4" s="62">
        <v>45575</v>
      </c>
      <c r="C4" s="6" t="s">
        <v>26</v>
      </c>
      <c r="D4" s="63">
        <v>20</v>
      </c>
      <c r="E4" s="23">
        <v>44380</v>
      </c>
      <c r="F4" s="1"/>
      <c r="G4" s="24">
        <f>E4/11</f>
        <v>4034.5454545454545</v>
      </c>
    </row>
    <row r="5" spans="2:7">
      <c r="B5" s="1"/>
      <c r="C5" s="77" t="s">
        <v>28</v>
      </c>
      <c r="D5" s="77">
        <f>SUM(D3:D4)</f>
        <v>53</v>
      </c>
      <c r="E5" s="77"/>
      <c r="F5" s="77"/>
      <c r="G5" s="78">
        <f>SUM(G3:G4)</f>
        <v>10819.90909090909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3:I20"/>
  <sheetViews>
    <sheetView workbookViewId="0">
      <selection activeCell="C15" sqref="C15"/>
    </sheetView>
  </sheetViews>
  <sheetFormatPr defaultRowHeight="14.5"/>
  <cols>
    <col min="3" max="3" width="10.453125" bestFit="1" customWidth="1"/>
    <col min="4" max="4" width="35.26953125" customWidth="1"/>
    <col min="6" max="6" width="9.1796875" bestFit="1" customWidth="1"/>
    <col min="9" max="9" width="10" bestFit="1" customWidth="1"/>
  </cols>
  <sheetData>
    <row r="3" spans="3:9" ht="15.5">
      <c r="C3" s="27" t="s">
        <v>0</v>
      </c>
      <c r="D3" s="27" t="s">
        <v>1</v>
      </c>
      <c r="E3" s="28" t="s">
        <v>2</v>
      </c>
      <c r="F3" s="27" t="s">
        <v>3</v>
      </c>
      <c r="G3" s="29"/>
      <c r="H3" s="27" t="s">
        <v>4</v>
      </c>
    </row>
    <row r="4" spans="3:9">
      <c r="C4" s="11">
        <v>45565</v>
      </c>
      <c r="D4" s="10" t="s">
        <v>27</v>
      </c>
      <c r="E4" s="13">
        <v>2</v>
      </c>
      <c r="F4" s="25">
        <v>5100</v>
      </c>
      <c r="G4" s="12"/>
      <c r="H4" s="26">
        <f>F4/11</f>
        <v>463.63636363636363</v>
      </c>
    </row>
    <row r="6" spans="3:9">
      <c r="D6" s="14" t="s">
        <v>28</v>
      </c>
      <c r="E6" s="14">
        <f>SUM(E4:E5)</f>
        <v>2</v>
      </c>
      <c r="F6" s="14"/>
      <c r="G6" s="14"/>
      <c r="H6" s="19">
        <f>SUM(H4:H5)</f>
        <v>463.63636363636363</v>
      </c>
    </row>
    <row r="13" spans="3:9" ht="15.5">
      <c r="C13" s="27" t="s">
        <v>0</v>
      </c>
      <c r="D13" s="27" t="s">
        <v>1</v>
      </c>
      <c r="E13" s="28" t="s">
        <v>2</v>
      </c>
      <c r="F13" s="28"/>
      <c r="G13" s="27" t="s">
        <v>3</v>
      </c>
      <c r="H13" s="29"/>
      <c r="I13" s="27" t="s">
        <v>4</v>
      </c>
    </row>
    <row r="14" spans="3:9">
      <c r="C14" s="62">
        <v>45573</v>
      </c>
      <c r="D14" s="74" t="s">
        <v>51</v>
      </c>
      <c r="E14" s="63">
        <v>15</v>
      </c>
      <c r="F14" s="69">
        <f>G14/E14</f>
        <v>668</v>
      </c>
      <c r="G14" s="1">
        <v>10020</v>
      </c>
      <c r="H14" s="1"/>
      <c r="I14" s="66">
        <f>G14/11</f>
        <v>910.90909090909088</v>
      </c>
    </row>
    <row r="15" spans="3:9">
      <c r="C15" s="62">
        <v>45573</v>
      </c>
      <c r="D15" s="65" t="s">
        <v>54</v>
      </c>
      <c r="E15" s="63">
        <v>18</v>
      </c>
      <c r="F15" s="69">
        <v>312</v>
      </c>
      <c r="G15" s="1">
        <f>E15*F15</f>
        <v>5616</v>
      </c>
      <c r="H15" s="1"/>
      <c r="I15" s="66">
        <f>G15/11</f>
        <v>510.54545454545456</v>
      </c>
    </row>
    <row r="16" spans="3:9">
      <c r="C16" s="62">
        <v>45573</v>
      </c>
      <c r="D16" s="65" t="s">
        <v>55</v>
      </c>
      <c r="E16" s="63">
        <v>16</v>
      </c>
      <c r="F16" s="63">
        <v>76</v>
      </c>
      <c r="G16" s="1">
        <f>E16*F16</f>
        <v>1216</v>
      </c>
      <c r="H16" s="1"/>
      <c r="I16" s="66">
        <f>G16/11</f>
        <v>110.54545454545455</v>
      </c>
    </row>
    <row r="17" spans="3:9">
      <c r="C17" s="41">
        <v>45575</v>
      </c>
      <c r="D17" s="75" t="s">
        <v>53</v>
      </c>
      <c r="E17" s="73">
        <v>1</v>
      </c>
      <c r="F17" s="63">
        <f>G17/E17</f>
        <v>99</v>
      </c>
      <c r="G17" s="1">
        <v>99</v>
      </c>
      <c r="H17" s="1"/>
      <c r="I17" s="66">
        <f>G17/11</f>
        <v>9</v>
      </c>
    </row>
    <row r="18" spans="3:9" ht="15.5">
      <c r="C18" s="62">
        <v>45567</v>
      </c>
      <c r="D18" s="76" t="s">
        <v>44</v>
      </c>
      <c r="E18" s="63">
        <v>1</v>
      </c>
      <c r="F18" s="63">
        <v>290</v>
      </c>
      <c r="G18" s="1">
        <v>290</v>
      </c>
      <c r="H18" s="1"/>
      <c r="I18" s="66">
        <f>G18/11</f>
        <v>26.363636363636363</v>
      </c>
    </row>
    <row r="20" spans="3:9">
      <c r="D20" s="14" t="s">
        <v>28</v>
      </c>
      <c r="E20" s="14">
        <f>SUM(E14:E19)</f>
        <v>51</v>
      </c>
      <c r="F20" s="14"/>
      <c r="G20" s="14"/>
      <c r="H20" s="14"/>
      <c r="I20" s="19">
        <f>SUM(I14:I19)</f>
        <v>1567.3636363636363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29"/>
  <sheetViews>
    <sheetView topLeftCell="A24" workbookViewId="0">
      <selection activeCell="A28" sqref="A28"/>
    </sheetView>
  </sheetViews>
  <sheetFormatPr defaultRowHeight="14.5"/>
  <cols>
    <col min="2" max="2" width="10.453125" bestFit="1" customWidth="1"/>
    <col min="3" max="3" width="21.26953125" customWidth="1"/>
    <col min="4" max="4" width="14.1796875" customWidth="1"/>
  </cols>
  <sheetData>
    <row r="2" spans="2:4" ht="15" thickBot="1">
      <c r="C2" t="s">
        <v>90</v>
      </c>
    </row>
    <row r="3" spans="2:4">
      <c r="C3" s="80" t="s">
        <v>58</v>
      </c>
      <c r="D3" s="83">
        <f>'Starlink V4'!I57</f>
        <v>48315.272727272742</v>
      </c>
    </row>
    <row r="4" spans="2:4">
      <c r="C4" s="81" t="s">
        <v>59</v>
      </c>
      <c r="D4" s="84">
        <f>'Starlink Mini'!H22</f>
        <v>13131.81818181818</v>
      </c>
    </row>
    <row r="5" spans="2:4">
      <c r="C5" s="81" t="s">
        <v>60</v>
      </c>
      <c r="D5" s="84">
        <f>IPHONE!G3</f>
        <v>6785.363636363636</v>
      </c>
    </row>
    <row r="6" spans="2:4">
      <c r="C6" s="81" t="s">
        <v>61</v>
      </c>
      <c r="D6" s="84">
        <f>'DJI-Other'!H6</f>
        <v>463.63636363636363</v>
      </c>
    </row>
    <row r="7" spans="2:4" ht="15" thickBot="1">
      <c r="C7" s="82" t="s">
        <v>91</v>
      </c>
      <c r="D7" s="82">
        <v>-54</v>
      </c>
    </row>
    <row r="8" spans="2:4" ht="15" thickBot="1">
      <c r="C8" s="85" t="s">
        <v>66</v>
      </c>
      <c r="D8" s="79">
        <f>SUM(D3:D7)</f>
        <v>68642.090909090926</v>
      </c>
    </row>
    <row r="10" spans="2:4" ht="15" thickBot="1">
      <c r="B10" s="87">
        <v>45602</v>
      </c>
      <c r="C10" t="s">
        <v>92</v>
      </c>
      <c r="D10" s="79">
        <v>-68642.09</v>
      </c>
    </row>
    <row r="19" spans="3:6" ht="15" thickBot="1"/>
    <row r="20" spans="3:6">
      <c r="C20" s="80" t="s">
        <v>58</v>
      </c>
      <c r="D20" s="83">
        <f>'Starlink V4'!I57+'Starlink V4'!I69</f>
        <v>51751.991818181836</v>
      </c>
    </row>
    <row r="21" spans="3:6">
      <c r="C21" s="81" t="s">
        <v>59</v>
      </c>
      <c r="D21" s="84">
        <f>'Starlink Mini'!H22+'Starlink Mini'!H35</f>
        <v>20919.909090909088</v>
      </c>
    </row>
    <row r="22" spans="3:6">
      <c r="C22" s="81" t="s">
        <v>60</v>
      </c>
      <c r="D22" s="84">
        <f>IPHONE!G5</f>
        <v>10819.90909090909</v>
      </c>
    </row>
    <row r="23" spans="3:6">
      <c r="C23" s="81" t="s">
        <v>61</v>
      </c>
      <c r="D23" s="84">
        <f>'DJI-Other'!H6</f>
        <v>463.63636363636363</v>
      </c>
    </row>
    <row r="24" spans="3:6">
      <c r="C24" s="81" t="s">
        <v>62</v>
      </c>
      <c r="D24" s="84">
        <f>'DJI-Other'!I15+'DJI-Other'!I16</f>
        <v>621.09090909090912</v>
      </c>
    </row>
    <row r="25" spans="3:6">
      <c r="C25" s="81" t="s">
        <v>63</v>
      </c>
      <c r="D25" s="84">
        <f>'DJI-Other'!I14</f>
        <v>910.90909090909088</v>
      </c>
    </row>
    <row r="26" spans="3:6">
      <c r="C26" s="81" t="s">
        <v>64</v>
      </c>
      <c r="D26" s="84">
        <f>'DJI-Other'!I17</f>
        <v>9</v>
      </c>
    </row>
    <row r="27" spans="3:6">
      <c r="C27" s="81" t="s">
        <v>65</v>
      </c>
      <c r="D27" s="84">
        <f>'DJI-Other'!I18</f>
        <v>26.363636363636363</v>
      </c>
    </row>
    <row r="28" spans="3:6" ht="15" thickBot="1">
      <c r="C28" s="82"/>
      <c r="D28" s="82"/>
    </row>
    <row r="29" spans="3:6" ht="15" thickBot="1">
      <c r="C29" s="85" t="s">
        <v>66</v>
      </c>
      <c r="D29" s="79">
        <f>SUM(D20:D28)</f>
        <v>85522.810000000012</v>
      </c>
      <c r="E29">
        <v>2.5</v>
      </c>
      <c r="F29">
        <f>D29*E29</f>
        <v>213807.02500000002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4:J164"/>
  <sheetViews>
    <sheetView topLeftCell="B151" workbookViewId="0">
      <selection activeCell="I166" sqref="I166"/>
    </sheetView>
  </sheetViews>
  <sheetFormatPr defaultRowHeight="14.5"/>
  <cols>
    <col min="1" max="1" width="19.6328125" customWidth="1"/>
    <col min="3" max="3" width="10.453125" bestFit="1" customWidth="1"/>
    <col min="4" max="4" width="50.54296875" bestFit="1" customWidth="1"/>
    <col min="5" max="6" width="8.7265625" style="93"/>
    <col min="7" max="7" width="10.08984375" style="93" bestFit="1" customWidth="1"/>
    <col min="9" max="9" width="11" bestFit="1" customWidth="1"/>
  </cols>
  <sheetData>
    <row r="4" spans="2:9">
      <c r="C4" s="31" t="s">
        <v>0</v>
      </c>
      <c r="D4" s="31" t="s">
        <v>1</v>
      </c>
      <c r="E4" s="94" t="s">
        <v>2</v>
      </c>
      <c r="F4" s="94" t="s">
        <v>29</v>
      </c>
      <c r="G4" s="95" t="s">
        <v>3</v>
      </c>
      <c r="H4" s="33"/>
      <c r="I4" s="31" t="s">
        <v>4</v>
      </c>
    </row>
    <row r="5" spans="2:9">
      <c r="B5" t="s">
        <v>106</v>
      </c>
      <c r="C5" s="41">
        <v>45566</v>
      </c>
      <c r="D5" s="36" t="s">
        <v>43</v>
      </c>
      <c r="E5" s="88">
        <v>2</v>
      </c>
      <c r="F5" s="88">
        <v>299</v>
      </c>
      <c r="G5" s="88">
        <f>E5*F5</f>
        <v>598</v>
      </c>
      <c r="H5" s="1"/>
      <c r="I5" s="66">
        <f t="shared" ref="I5:I11" si="0">G5/11</f>
        <v>54.363636363636367</v>
      </c>
    </row>
    <row r="6" spans="2:9">
      <c r="B6" t="s">
        <v>106</v>
      </c>
      <c r="C6" s="41">
        <v>45567</v>
      </c>
      <c r="D6" s="36" t="s">
        <v>34</v>
      </c>
      <c r="E6" s="88">
        <v>14</v>
      </c>
      <c r="F6" s="89">
        <f t="shared" ref="F6:F11" si="1">G6/E6</f>
        <v>298.14285714285717</v>
      </c>
      <c r="G6" s="88">
        <v>4174</v>
      </c>
      <c r="H6" s="1"/>
      <c r="I6" s="66">
        <f t="shared" si="0"/>
        <v>379.45454545454544</v>
      </c>
    </row>
    <row r="7" spans="2:9">
      <c r="B7" t="s">
        <v>106</v>
      </c>
      <c r="C7" s="41">
        <v>45568</v>
      </c>
      <c r="D7" s="36" t="s">
        <v>45</v>
      </c>
      <c r="E7" s="88">
        <v>8</v>
      </c>
      <c r="F7" s="88">
        <f t="shared" si="1"/>
        <v>298</v>
      </c>
      <c r="G7" s="90">
        <v>2384</v>
      </c>
      <c r="H7" s="1"/>
      <c r="I7" s="66">
        <f t="shared" si="0"/>
        <v>216.72727272727272</v>
      </c>
    </row>
    <row r="8" spans="2:9">
      <c r="B8" t="s">
        <v>106</v>
      </c>
      <c r="C8" s="41">
        <v>45570</v>
      </c>
      <c r="D8" s="36" t="s">
        <v>47</v>
      </c>
      <c r="E8" s="88">
        <v>18</v>
      </c>
      <c r="F8" s="89">
        <f t="shared" si="1"/>
        <v>298.88888888888891</v>
      </c>
      <c r="G8" s="88">
        <v>5380</v>
      </c>
      <c r="H8" s="1"/>
      <c r="I8" s="66">
        <f t="shared" si="0"/>
        <v>489.09090909090907</v>
      </c>
    </row>
    <row r="9" spans="2:9">
      <c r="B9" t="s">
        <v>106</v>
      </c>
      <c r="C9" s="41">
        <v>45573</v>
      </c>
      <c r="D9" s="36" t="s">
        <v>50</v>
      </c>
      <c r="E9" s="88">
        <v>2</v>
      </c>
      <c r="F9" s="89">
        <f t="shared" si="1"/>
        <v>299</v>
      </c>
      <c r="G9" s="88">
        <v>598</v>
      </c>
      <c r="H9" s="1"/>
      <c r="I9" s="66">
        <f t="shared" si="0"/>
        <v>54.363636363636367</v>
      </c>
    </row>
    <row r="10" spans="2:9">
      <c r="B10" t="s">
        <v>106</v>
      </c>
      <c r="C10" s="41">
        <v>45575</v>
      </c>
      <c r="D10" s="36" t="s">
        <v>52</v>
      </c>
      <c r="E10" s="88">
        <v>24</v>
      </c>
      <c r="F10" s="89">
        <f t="shared" si="1"/>
        <v>299.16291666666666</v>
      </c>
      <c r="G10" s="91">
        <v>7179.91</v>
      </c>
      <c r="H10" s="1"/>
      <c r="I10" s="66">
        <f t="shared" si="0"/>
        <v>652.71909090909094</v>
      </c>
    </row>
    <row r="11" spans="2:9">
      <c r="B11" t="s">
        <v>106</v>
      </c>
      <c r="C11" s="86">
        <v>45580</v>
      </c>
      <c r="D11" s="36" t="s">
        <v>57</v>
      </c>
      <c r="E11" s="88">
        <v>55</v>
      </c>
      <c r="F11" s="89">
        <f t="shared" si="1"/>
        <v>318</v>
      </c>
      <c r="G11" s="88">
        <v>17490</v>
      </c>
      <c r="H11" s="1"/>
      <c r="I11" s="66">
        <f t="shared" si="0"/>
        <v>1590</v>
      </c>
    </row>
    <row r="12" spans="2:9">
      <c r="C12" s="1"/>
      <c r="D12" s="1"/>
      <c r="E12" s="88"/>
      <c r="F12" s="88"/>
      <c r="G12" s="88"/>
      <c r="H12" s="1"/>
      <c r="I12" s="1"/>
    </row>
    <row r="13" spans="2:9">
      <c r="B13" t="s">
        <v>106</v>
      </c>
      <c r="C13" s="41">
        <v>45566</v>
      </c>
      <c r="D13" s="64" t="s">
        <v>99</v>
      </c>
      <c r="E13" s="88">
        <v>12</v>
      </c>
      <c r="F13" s="88">
        <v>750</v>
      </c>
      <c r="G13" s="88">
        <f>E13*F13</f>
        <v>9000</v>
      </c>
      <c r="H13" s="1"/>
      <c r="I13" s="66">
        <f>G13/11</f>
        <v>818.18181818181813</v>
      </c>
    </row>
    <row r="14" spans="2:9">
      <c r="B14" t="s">
        <v>106</v>
      </c>
      <c r="C14" s="41">
        <v>45568</v>
      </c>
      <c r="D14" s="64" t="s">
        <v>100</v>
      </c>
      <c r="E14" s="88">
        <v>2</v>
      </c>
      <c r="F14" s="88">
        <f t="shared" ref="F14:F20" si="2">G14/E14</f>
        <v>780</v>
      </c>
      <c r="G14" s="88">
        <v>1560</v>
      </c>
      <c r="H14" s="1"/>
      <c r="I14" s="66">
        <f>G14/11</f>
        <v>141.81818181818181</v>
      </c>
    </row>
    <row r="15" spans="2:9">
      <c r="B15" t="s">
        <v>106</v>
      </c>
      <c r="C15" s="41">
        <v>45569</v>
      </c>
      <c r="D15" s="64" t="s">
        <v>101</v>
      </c>
      <c r="E15" s="88">
        <v>10</v>
      </c>
      <c r="F15" s="88">
        <f t="shared" si="2"/>
        <v>768</v>
      </c>
      <c r="G15" s="88">
        <v>7680</v>
      </c>
      <c r="H15" s="1"/>
      <c r="I15" s="66">
        <f>G15/11</f>
        <v>698.18181818181813</v>
      </c>
    </row>
    <row r="16" spans="2:9">
      <c r="B16" t="s">
        <v>106</v>
      </c>
      <c r="C16" s="41">
        <v>45572</v>
      </c>
      <c r="D16" s="64" t="s">
        <v>102</v>
      </c>
      <c r="E16" s="88">
        <v>11</v>
      </c>
      <c r="F16" s="89">
        <f t="shared" si="2"/>
        <v>746.81818181818187</v>
      </c>
      <c r="G16" s="90">
        <v>8215</v>
      </c>
      <c r="H16" s="1"/>
      <c r="I16" s="66">
        <f>G16/11</f>
        <v>746.81818181818187</v>
      </c>
    </row>
    <row r="17" spans="2:9">
      <c r="B17" t="s">
        <v>106</v>
      </c>
      <c r="C17" s="41">
        <v>45575</v>
      </c>
      <c r="D17" s="64" t="s">
        <v>103</v>
      </c>
      <c r="E17" s="88">
        <v>1</v>
      </c>
      <c r="F17" s="89">
        <f t="shared" si="2"/>
        <v>759</v>
      </c>
      <c r="G17" s="88">
        <v>759</v>
      </c>
      <c r="H17" s="1"/>
      <c r="I17" s="66">
        <f>G17/11</f>
        <v>69</v>
      </c>
    </row>
    <row r="18" spans="2:9">
      <c r="B18" t="s">
        <v>106</v>
      </c>
      <c r="C18" s="41">
        <v>45576</v>
      </c>
      <c r="D18" s="64" t="s">
        <v>104</v>
      </c>
      <c r="E18" s="88">
        <v>7</v>
      </c>
      <c r="F18" s="88">
        <f t="shared" si="2"/>
        <v>755</v>
      </c>
      <c r="G18" s="96">
        <v>5285</v>
      </c>
      <c r="H18" s="1"/>
      <c r="I18" s="66">
        <f t="shared" ref="I18:I21" si="3">G18/11</f>
        <v>480.45454545454544</v>
      </c>
    </row>
    <row r="19" spans="2:9">
      <c r="B19" t="s">
        <v>106</v>
      </c>
      <c r="C19" s="41">
        <v>45577</v>
      </c>
      <c r="D19" s="64" t="s">
        <v>105</v>
      </c>
      <c r="E19" s="88">
        <v>50</v>
      </c>
      <c r="F19" s="88">
        <f t="shared" si="2"/>
        <v>750</v>
      </c>
      <c r="G19" s="96">
        <v>37500</v>
      </c>
      <c r="H19" s="1"/>
      <c r="I19" s="66">
        <f t="shared" si="3"/>
        <v>3409.090909090909</v>
      </c>
    </row>
    <row r="20" spans="2:9">
      <c r="B20" t="s">
        <v>106</v>
      </c>
      <c r="C20" s="41">
        <v>45579</v>
      </c>
      <c r="D20" s="64" t="s">
        <v>101</v>
      </c>
      <c r="E20" s="88">
        <v>10</v>
      </c>
      <c r="F20" s="88">
        <f t="shared" si="2"/>
        <v>768</v>
      </c>
      <c r="G20" s="96">
        <v>7680</v>
      </c>
      <c r="H20" s="1"/>
      <c r="I20" s="66">
        <f t="shared" si="3"/>
        <v>698.18181818181813</v>
      </c>
    </row>
    <row r="21" spans="2:9">
      <c r="B21" t="s">
        <v>106</v>
      </c>
      <c r="C21" s="41">
        <v>45580</v>
      </c>
      <c r="D21" s="64" t="s">
        <v>101</v>
      </c>
      <c r="E21" s="88">
        <v>10</v>
      </c>
      <c r="F21" s="88">
        <v>799</v>
      </c>
      <c r="G21" s="96">
        <f>E21*F21</f>
        <v>7990</v>
      </c>
      <c r="H21" s="1"/>
      <c r="I21" s="66">
        <f t="shared" si="3"/>
        <v>726.36363636363637</v>
      </c>
    </row>
    <row r="22" spans="2:9">
      <c r="C22" s="1"/>
      <c r="D22" s="1"/>
      <c r="E22" s="88"/>
      <c r="F22" s="88"/>
      <c r="G22" s="88"/>
      <c r="H22" s="1"/>
      <c r="I22" s="1"/>
    </row>
    <row r="23" spans="2:9">
      <c r="B23" t="s">
        <v>106</v>
      </c>
      <c r="C23" s="62">
        <v>45573</v>
      </c>
      <c r="D23" s="74" t="s">
        <v>51</v>
      </c>
      <c r="E23" s="88">
        <v>15</v>
      </c>
      <c r="F23" s="89">
        <f>G23/E23</f>
        <v>668</v>
      </c>
      <c r="G23" s="88">
        <v>10020</v>
      </c>
      <c r="H23" s="1"/>
      <c r="I23" s="66">
        <f>G23/11</f>
        <v>910.90909090909088</v>
      </c>
    </row>
    <row r="24" spans="2:9">
      <c r="B24" t="s">
        <v>106</v>
      </c>
      <c r="C24" s="62">
        <v>45573</v>
      </c>
      <c r="D24" s="65" t="s">
        <v>54</v>
      </c>
      <c r="E24" s="88">
        <v>18</v>
      </c>
      <c r="F24" s="89">
        <v>312</v>
      </c>
      <c r="G24" s="88">
        <f>E24*F24</f>
        <v>5616</v>
      </c>
      <c r="H24" s="1"/>
      <c r="I24" s="66">
        <f>G24/11</f>
        <v>510.54545454545456</v>
      </c>
    </row>
    <row r="25" spans="2:9">
      <c r="B25" t="s">
        <v>106</v>
      </c>
      <c r="C25" s="62">
        <v>45573</v>
      </c>
      <c r="D25" s="65" t="s">
        <v>55</v>
      </c>
      <c r="E25" s="88">
        <v>16</v>
      </c>
      <c r="F25" s="88">
        <v>76</v>
      </c>
      <c r="G25" s="88">
        <f>E25*F25</f>
        <v>1216</v>
      </c>
      <c r="H25" s="1"/>
      <c r="I25" s="66">
        <f>G25/11</f>
        <v>110.54545454545455</v>
      </c>
    </row>
    <row r="26" spans="2:9">
      <c r="B26" t="s">
        <v>106</v>
      </c>
      <c r="C26" s="41">
        <v>45575</v>
      </c>
      <c r="D26" s="75" t="s">
        <v>53</v>
      </c>
      <c r="E26" s="92">
        <v>1</v>
      </c>
      <c r="F26" s="88">
        <f>G26/E26</f>
        <v>99</v>
      </c>
      <c r="G26" s="88">
        <v>99</v>
      </c>
      <c r="H26" s="1"/>
      <c r="I26" s="66">
        <f>G26/11</f>
        <v>9</v>
      </c>
    </row>
    <row r="27" spans="2:9" ht="15.5">
      <c r="B27" t="s">
        <v>106</v>
      </c>
      <c r="C27" s="62">
        <v>45567</v>
      </c>
      <c r="D27" s="76" t="s">
        <v>44</v>
      </c>
      <c r="E27" s="88">
        <v>1</v>
      </c>
      <c r="F27" s="88">
        <v>290</v>
      </c>
      <c r="G27" s="88">
        <v>290</v>
      </c>
      <c r="H27" s="1"/>
      <c r="I27" s="66">
        <f>G27/11</f>
        <v>26.363636363636363</v>
      </c>
    </row>
    <row r="28" spans="2:9">
      <c r="C28" s="1"/>
      <c r="D28" s="1"/>
      <c r="E28" s="88"/>
      <c r="F28" s="88"/>
      <c r="G28" s="88"/>
      <c r="H28" s="1"/>
      <c r="I28" s="1"/>
    </row>
    <row r="29" spans="2:9">
      <c r="B29" t="s">
        <v>106</v>
      </c>
      <c r="C29" s="62">
        <v>45575</v>
      </c>
      <c r="D29" s="6" t="s">
        <v>26</v>
      </c>
      <c r="E29" s="88">
        <v>20</v>
      </c>
      <c r="F29" s="88">
        <f>G29/E29</f>
        <v>2219</v>
      </c>
      <c r="G29" s="97">
        <v>44380</v>
      </c>
      <c r="H29" s="1"/>
      <c r="I29" s="66">
        <f>G29/11</f>
        <v>4034.5454545454545</v>
      </c>
    </row>
    <row r="30" spans="2:9">
      <c r="C30" s="1"/>
      <c r="D30" s="1"/>
      <c r="E30" s="88"/>
      <c r="F30" s="88"/>
      <c r="G30" s="88"/>
      <c r="H30" s="1"/>
      <c r="I30" s="1"/>
    </row>
    <row r="31" spans="2:9">
      <c r="B31" t="s">
        <v>106</v>
      </c>
      <c r="C31" s="62">
        <v>45584</v>
      </c>
      <c r="D31" s="36" t="s">
        <v>71</v>
      </c>
      <c r="E31" s="92">
        <v>20</v>
      </c>
      <c r="F31" s="88">
        <v>745</v>
      </c>
      <c r="G31" s="88">
        <f>E31*F31</f>
        <v>14900</v>
      </c>
      <c r="H31" s="1"/>
      <c r="I31" s="66">
        <f>G31/11</f>
        <v>1354.5454545454545</v>
      </c>
    </row>
    <row r="32" spans="2:9">
      <c r="B32" t="s">
        <v>106</v>
      </c>
      <c r="C32" s="41">
        <v>45588</v>
      </c>
      <c r="D32" s="36" t="s">
        <v>72</v>
      </c>
      <c r="E32" s="88">
        <v>8</v>
      </c>
      <c r="F32" s="88">
        <v>745</v>
      </c>
      <c r="G32" s="88">
        <f>E32*F32</f>
        <v>5960</v>
      </c>
      <c r="H32" s="1"/>
      <c r="I32" s="66">
        <f>G32/11</f>
        <v>541.81818181818187</v>
      </c>
    </row>
    <row r="33" spans="2:10">
      <c r="C33" s="1"/>
      <c r="D33" s="1"/>
      <c r="E33" s="88"/>
      <c r="F33" s="88"/>
      <c r="G33" s="88"/>
      <c r="H33" s="1"/>
      <c r="I33" s="1"/>
    </row>
    <row r="34" spans="2:10">
      <c r="B34" t="s">
        <v>106</v>
      </c>
      <c r="C34" s="98">
        <v>45591</v>
      </c>
      <c r="D34" s="99" t="s">
        <v>73</v>
      </c>
      <c r="E34" s="88">
        <v>45</v>
      </c>
      <c r="F34" s="88">
        <v>142</v>
      </c>
      <c r="G34" s="88">
        <f>E34*F34</f>
        <v>6390</v>
      </c>
      <c r="H34" s="1"/>
      <c r="I34" s="66">
        <f t="shared" ref="I34:I54" si="4">G34/11</f>
        <v>580.90909090909088</v>
      </c>
    </row>
    <row r="35" spans="2:10">
      <c r="B35" t="s">
        <v>106</v>
      </c>
      <c r="C35" s="98">
        <v>45591</v>
      </c>
      <c r="D35" s="36" t="s">
        <v>74</v>
      </c>
      <c r="E35" s="88">
        <v>14</v>
      </c>
      <c r="F35" s="88">
        <v>68</v>
      </c>
      <c r="G35" s="88">
        <f>E35*F35</f>
        <v>952</v>
      </c>
      <c r="H35" s="1"/>
      <c r="I35" s="66">
        <f t="shared" si="4"/>
        <v>86.545454545454547</v>
      </c>
    </row>
    <row r="36" spans="2:10">
      <c r="B36" t="s">
        <v>106</v>
      </c>
      <c r="C36" s="98">
        <v>45591</v>
      </c>
      <c r="D36" s="36" t="s">
        <v>75</v>
      </c>
      <c r="E36" s="88">
        <v>10</v>
      </c>
      <c r="F36" s="88">
        <v>669</v>
      </c>
      <c r="G36" s="88">
        <f t="shared" ref="G36:G38" si="5">E36*F36</f>
        <v>6690</v>
      </c>
      <c r="H36" s="1"/>
      <c r="I36" s="66">
        <f t="shared" si="4"/>
        <v>608.18181818181813</v>
      </c>
    </row>
    <row r="37" spans="2:10">
      <c r="B37" t="s">
        <v>106</v>
      </c>
      <c r="C37" s="98">
        <v>45591</v>
      </c>
      <c r="D37" s="36" t="s">
        <v>76</v>
      </c>
      <c r="E37" s="88">
        <v>1</v>
      </c>
      <c r="F37" s="88">
        <v>2147</v>
      </c>
      <c r="G37" s="88">
        <f t="shared" si="5"/>
        <v>2147</v>
      </c>
      <c r="H37" s="1"/>
      <c r="I37" s="66">
        <f t="shared" si="4"/>
        <v>195.18181818181819</v>
      </c>
    </row>
    <row r="38" spans="2:10">
      <c r="B38" t="s">
        <v>106</v>
      </c>
      <c r="C38" s="98">
        <v>45591</v>
      </c>
      <c r="D38" s="36" t="s">
        <v>77</v>
      </c>
      <c r="E38" s="88">
        <v>30</v>
      </c>
      <c r="F38" s="88">
        <v>745</v>
      </c>
      <c r="G38" s="88">
        <f t="shared" si="5"/>
        <v>22350</v>
      </c>
      <c r="H38" s="1"/>
      <c r="I38" s="66">
        <f t="shared" si="4"/>
        <v>2031.8181818181818</v>
      </c>
    </row>
    <row r="39" spans="2:10">
      <c r="B39" t="s">
        <v>106</v>
      </c>
      <c r="C39" s="98">
        <v>45591</v>
      </c>
      <c r="D39" s="36" t="s">
        <v>78</v>
      </c>
      <c r="E39" s="88">
        <v>100</v>
      </c>
      <c r="F39" s="88">
        <f t="shared" ref="F39:F44" si="6">G39/E39</f>
        <v>0</v>
      </c>
      <c r="G39" s="88">
        <v>0</v>
      </c>
      <c r="H39" s="1"/>
      <c r="I39" s="66">
        <f t="shared" si="4"/>
        <v>0</v>
      </c>
      <c r="J39" t="s">
        <v>17</v>
      </c>
    </row>
    <row r="40" spans="2:10">
      <c r="B40" t="s">
        <v>106</v>
      </c>
      <c r="C40" s="98">
        <v>45591</v>
      </c>
      <c r="D40" s="36" t="s">
        <v>79</v>
      </c>
      <c r="E40" s="88">
        <v>100</v>
      </c>
      <c r="F40" s="88">
        <f t="shared" si="6"/>
        <v>0</v>
      </c>
      <c r="G40" s="88">
        <v>0</v>
      </c>
      <c r="H40" s="1"/>
      <c r="I40" s="66">
        <f t="shared" si="4"/>
        <v>0</v>
      </c>
      <c r="J40" t="s">
        <v>17</v>
      </c>
    </row>
    <row r="41" spans="2:10">
      <c r="B41" t="s">
        <v>106</v>
      </c>
      <c r="C41" s="98">
        <v>45591</v>
      </c>
      <c r="D41" s="36" t="s">
        <v>80</v>
      </c>
      <c r="E41" s="88">
        <v>2</v>
      </c>
      <c r="F41" s="88">
        <v>675</v>
      </c>
      <c r="G41" s="88">
        <f>E41*F41</f>
        <v>1350</v>
      </c>
      <c r="H41" s="1"/>
      <c r="I41" s="66">
        <f t="shared" si="4"/>
        <v>122.72727272727273</v>
      </c>
    </row>
    <row r="42" spans="2:10">
      <c r="B42" t="s">
        <v>106</v>
      </c>
      <c r="C42" s="98">
        <v>45591</v>
      </c>
      <c r="D42" s="36" t="s">
        <v>81</v>
      </c>
      <c r="E42" s="88">
        <v>100</v>
      </c>
      <c r="F42" s="88">
        <v>133.30000000000001</v>
      </c>
      <c r="G42" s="88">
        <f t="shared" ref="G42:G45" si="7">E42*F42</f>
        <v>13330.000000000002</v>
      </c>
      <c r="H42" s="1"/>
      <c r="I42" s="66">
        <f t="shared" si="4"/>
        <v>1211.818181818182</v>
      </c>
    </row>
    <row r="43" spans="2:10">
      <c r="B43" t="s">
        <v>106</v>
      </c>
      <c r="C43" s="98">
        <v>45591</v>
      </c>
      <c r="D43" s="36" t="s">
        <v>82</v>
      </c>
      <c r="E43" s="88">
        <v>34</v>
      </c>
      <c r="F43" s="88">
        <v>133.30000000000001</v>
      </c>
      <c r="G43" s="88">
        <f t="shared" si="7"/>
        <v>4532.2000000000007</v>
      </c>
      <c r="H43" s="1"/>
      <c r="I43" s="66">
        <f t="shared" si="4"/>
        <v>412.01818181818186</v>
      </c>
    </row>
    <row r="44" spans="2:10">
      <c r="B44" t="s">
        <v>106</v>
      </c>
      <c r="C44" s="98">
        <v>45591</v>
      </c>
      <c r="D44" s="36" t="s">
        <v>83</v>
      </c>
      <c r="E44" s="88">
        <v>10</v>
      </c>
      <c r="F44" s="88">
        <f t="shared" si="6"/>
        <v>0</v>
      </c>
      <c r="G44" s="88">
        <v>0</v>
      </c>
      <c r="H44" s="1"/>
      <c r="I44" s="66">
        <f t="shared" si="4"/>
        <v>0</v>
      </c>
      <c r="J44" t="s">
        <v>17</v>
      </c>
    </row>
    <row r="45" spans="2:10">
      <c r="B45" t="s">
        <v>106</v>
      </c>
      <c r="C45" s="98">
        <v>45591</v>
      </c>
      <c r="D45" s="36" t="s">
        <v>84</v>
      </c>
      <c r="E45" s="88">
        <v>7</v>
      </c>
      <c r="F45" s="88">
        <v>95</v>
      </c>
      <c r="G45" s="88">
        <f t="shared" si="7"/>
        <v>665</v>
      </c>
      <c r="H45" s="1"/>
      <c r="I45" s="66">
        <f t="shared" si="4"/>
        <v>60.454545454545453</v>
      </c>
    </row>
    <row r="46" spans="2:10">
      <c r="C46" s="1"/>
      <c r="D46" s="1"/>
      <c r="E46" s="88"/>
      <c r="F46" s="88"/>
      <c r="G46" s="88"/>
      <c r="H46" s="1"/>
      <c r="I46" s="1"/>
    </row>
    <row r="47" spans="2:10">
      <c r="C47" s="98">
        <v>45593</v>
      </c>
      <c r="D47" s="99" t="s">
        <v>85</v>
      </c>
      <c r="E47" s="88">
        <v>100</v>
      </c>
      <c r="F47" s="88">
        <v>0</v>
      </c>
      <c r="G47" s="88">
        <f>E47*F47</f>
        <v>0</v>
      </c>
      <c r="H47" s="1"/>
      <c r="I47" s="66">
        <f t="shared" si="4"/>
        <v>0</v>
      </c>
      <c r="J47" t="s">
        <v>17</v>
      </c>
    </row>
    <row r="48" spans="2:10">
      <c r="C48" s="98">
        <v>45593</v>
      </c>
      <c r="D48" s="36" t="s">
        <v>86</v>
      </c>
      <c r="E48" s="88">
        <f>10-8</f>
        <v>2</v>
      </c>
      <c r="F48" s="88">
        <f>G48/E48</f>
        <v>2500</v>
      </c>
      <c r="G48" s="88">
        <v>5000</v>
      </c>
      <c r="H48" s="1"/>
      <c r="I48" s="66">
        <f t="shared" si="4"/>
        <v>454.54545454545456</v>
      </c>
      <c r="J48" t="s">
        <v>184</v>
      </c>
    </row>
    <row r="49" spans="3:9">
      <c r="C49" s="98">
        <v>45593</v>
      </c>
      <c r="D49" s="36" t="s">
        <v>87</v>
      </c>
      <c r="E49" s="88">
        <v>2</v>
      </c>
      <c r="F49" s="88">
        <v>669</v>
      </c>
      <c r="G49" s="88">
        <f>E49*F49</f>
        <v>1338</v>
      </c>
      <c r="H49" s="1"/>
      <c r="I49" s="66">
        <f t="shared" si="4"/>
        <v>121.63636363636364</v>
      </c>
    </row>
    <row r="50" spans="3:9">
      <c r="C50" s="1"/>
      <c r="D50" s="1"/>
      <c r="E50" s="88"/>
      <c r="F50" s="88"/>
      <c r="G50" s="88"/>
      <c r="H50" s="1"/>
      <c r="I50" s="1"/>
    </row>
    <row r="51" spans="3:9">
      <c r="C51" s="41">
        <v>45601</v>
      </c>
      <c r="D51" s="36" t="s">
        <v>88</v>
      </c>
      <c r="E51" s="88">
        <v>8</v>
      </c>
      <c r="F51" s="88">
        <f>G51/E51</f>
        <v>189</v>
      </c>
      <c r="G51" s="88">
        <v>1512</v>
      </c>
      <c r="H51" s="1"/>
      <c r="I51" s="66">
        <f t="shared" si="4"/>
        <v>137.45454545454547</v>
      </c>
    </row>
    <row r="52" spans="3:9">
      <c r="C52" s="41">
        <v>45601</v>
      </c>
      <c r="D52" s="36" t="s">
        <v>89</v>
      </c>
      <c r="E52" s="88">
        <v>10</v>
      </c>
      <c r="F52" s="88">
        <f>G52/E52</f>
        <v>230</v>
      </c>
      <c r="G52" s="88">
        <v>2300</v>
      </c>
      <c r="H52" s="1"/>
      <c r="I52" s="66">
        <f t="shared" si="4"/>
        <v>209.09090909090909</v>
      </c>
    </row>
    <row r="53" spans="3:9">
      <c r="C53" s="1"/>
      <c r="D53" s="1"/>
      <c r="E53" s="88"/>
      <c r="F53" s="88"/>
      <c r="G53" s="88"/>
      <c r="H53" s="1"/>
      <c r="I53" s="1"/>
    </row>
    <row r="54" spans="3:9">
      <c r="C54" s="62">
        <v>45605</v>
      </c>
      <c r="D54" s="36" t="s">
        <v>94</v>
      </c>
      <c r="E54" s="88">
        <v>20</v>
      </c>
      <c r="F54" s="88">
        <f>G54/E54</f>
        <v>500</v>
      </c>
      <c r="G54" s="88">
        <v>10000</v>
      </c>
      <c r="H54" s="1"/>
      <c r="I54" s="66">
        <f t="shared" si="4"/>
        <v>909.09090909090912</v>
      </c>
    </row>
    <row r="55" spans="3:9">
      <c r="C55" s="102"/>
      <c r="D55" s="103"/>
      <c r="E55" s="104"/>
      <c r="F55" s="104"/>
      <c r="G55" s="104"/>
      <c r="H55" s="105"/>
      <c r="I55" s="106"/>
    </row>
    <row r="56" spans="3:9">
      <c r="C56" s="62">
        <v>45608</v>
      </c>
      <c r="D56" s="36" t="s">
        <v>95</v>
      </c>
      <c r="E56" s="88">
        <v>39</v>
      </c>
      <c r="F56" s="88">
        <f>G56/E56</f>
        <v>549</v>
      </c>
      <c r="G56" s="88">
        <v>21411</v>
      </c>
      <c r="H56" s="1"/>
      <c r="I56" s="66">
        <f t="shared" ref="I56:I57" si="8">G56/11</f>
        <v>1946.4545454545455</v>
      </c>
    </row>
    <row r="57" spans="3:9">
      <c r="C57" s="62">
        <v>45609</v>
      </c>
      <c r="D57" s="36" t="s">
        <v>96</v>
      </c>
      <c r="E57" s="88">
        <v>10</v>
      </c>
      <c r="F57" s="88">
        <f>G57/E57</f>
        <v>549</v>
      </c>
      <c r="G57" s="88">
        <v>5490</v>
      </c>
      <c r="H57" s="1"/>
      <c r="I57" s="66">
        <f t="shared" si="8"/>
        <v>499.09090909090907</v>
      </c>
    </row>
    <row r="58" spans="3:9">
      <c r="C58" s="102"/>
      <c r="D58" s="103"/>
      <c r="E58" s="104"/>
      <c r="F58" s="104"/>
      <c r="G58" s="104"/>
      <c r="H58" s="105"/>
      <c r="I58" s="106"/>
    </row>
    <row r="59" spans="3:9">
      <c r="C59" s="62">
        <v>45610</v>
      </c>
      <c r="D59" s="36" t="s">
        <v>97</v>
      </c>
      <c r="E59" s="88">
        <v>120</v>
      </c>
      <c r="F59" s="88">
        <f>G59/E59</f>
        <v>548</v>
      </c>
      <c r="G59" s="88">
        <v>65760</v>
      </c>
      <c r="H59" s="1"/>
      <c r="I59" s="66">
        <f>G59/11</f>
        <v>5978.181818181818</v>
      </c>
    </row>
    <row r="60" spans="3:9">
      <c r="C60" s="62">
        <v>45610</v>
      </c>
      <c r="D60" s="36" t="s">
        <v>98</v>
      </c>
      <c r="E60" s="88">
        <v>6</v>
      </c>
      <c r="F60" s="88">
        <f>G60/E60</f>
        <v>579</v>
      </c>
      <c r="G60" s="88">
        <v>3474</v>
      </c>
      <c r="H60" s="1"/>
      <c r="I60" s="66">
        <f>G60/11</f>
        <v>315.81818181818181</v>
      </c>
    </row>
    <row r="61" spans="3:9">
      <c r="C61" s="62"/>
      <c r="D61" s="36"/>
      <c r="E61" s="88"/>
      <c r="F61" s="88"/>
      <c r="G61" s="88"/>
      <c r="H61" s="1"/>
      <c r="I61" s="66"/>
    </row>
    <row r="62" spans="3:9">
      <c r="C62" s="41">
        <v>45611</v>
      </c>
      <c r="D62" s="36" t="s">
        <v>107</v>
      </c>
      <c r="E62" s="88">
        <v>50</v>
      </c>
      <c r="F62" s="88">
        <f t="shared" ref="F62:F66" si="9">G62/E62</f>
        <v>133.30000000000001</v>
      </c>
      <c r="G62" s="88">
        <f>50*133.3</f>
        <v>6665.0000000000009</v>
      </c>
      <c r="H62" s="1"/>
      <c r="I62" s="66">
        <f t="shared" ref="I62:I67" si="10">G62/11</f>
        <v>605.90909090909099</v>
      </c>
    </row>
    <row r="63" spans="3:9">
      <c r="C63" s="41">
        <v>45611</v>
      </c>
      <c r="D63" s="36" t="s">
        <v>108</v>
      </c>
      <c r="E63" s="88">
        <v>10</v>
      </c>
      <c r="F63" s="88">
        <f t="shared" si="9"/>
        <v>598</v>
      </c>
      <c r="G63" s="88">
        <f>598*10</f>
        <v>5980</v>
      </c>
      <c r="H63" s="1"/>
      <c r="I63" s="66">
        <f t="shared" si="10"/>
        <v>543.63636363636363</v>
      </c>
    </row>
    <row r="64" spans="3:9">
      <c r="C64" s="41">
        <v>45611</v>
      </c>
      <c r="D64" s="36" t="s">
        <v>109</v>
      </c>
      <c r="E64" s="88">
        <v>7</v>
      </c>
      <c r="F64" s="88">
        <f t="shared" si="9"/>
        <v>500</v>
      </c>
      <c r="G64" s="88">
        <f>7*500</f>
        <v>3500</v>
      </c>
      <c r="H64" s="1"/>
      <c r="I64" s="66">
        <f t="shared" si="10"/>
        <v>318.18181818181819</v>
      </c>
    </row>
    <row r="65" spans="3:10">
      <c r="C65" s="41">
        <v>45611</v>
      </c>
      <c r="D65" s="36" t="s">
        <v>110</v>
      </c>
      <c r="E65" s="88">
        <v>4</v>
      </c>
      <c r="F65" s="88">
        <f t="shared" si="9"/>
        <v>579</v>
      </c>
      <c r="G65" s="88">
        <f>4*579</f>
        <v>2316</v>
      </c>
      <c r="H65" s="1"/>
      <c r="I65" s="66">
        <f t="shared" si="10"/>
        <v>210.54545454545453</v>
      </c>
    </row>
    <row r="66" spans="3:10">
      <c r="C66" s="41">
        <v>45611</v>
      </c>
      <c r="D66" s="36" t="s">
        <v>111</v>
      </c>
      <c r="E66" s="88">
        <v>4</v>
      </c>
      <c r="F66" s="88">
        <f t="shared" si="9"/>
        <v>269</v>
      </c>
      <c r="G66" s="88">
        <f>4*269</f>
        <v>1076</v>
      </c>
      <c r="H66" s="1"/>
      <c r="I66" s="66">
        <f t="shared" si="10"/>
        <v>97.818181818181813</v>
      </c>
    </row>
    <row r="67" spans="3:10">
      <c r="C67" s="41">
        <v>45611</v>
      </c>
      <c r="D67" s="36" t="s">
        <v>232</v>
      </c>
      <c r="E67" s="88">
        <v>100</v>
      </c>
      <c r="F67" s="88">
        <v>140</v>
      </c>
      <c r="G67" s="88">
        <f>E67*F67</f>
        <v>14000</v>
      </c>
      <c r="H67" s="1"/>
      <c r="I67" s="66">
        <f t="shared" si="10"/>
        <v>1272.7272727272727</v>
      </c>
    </row>
    <row r="68" spans="3:10">
      <c r="C68" s="41"/>
      <c r="D68" s="36"/>
      <c r="E68" s="88"/>
      <c r="F68" s="88"/>
      <c r="G68" s="88"/>
      <c r="H68" s="1"/>
      <c r="I68" s="66"/>
    </row>
    <row r="69" spans="3:10">
      <c r="C69" s="41">
        <v>45612</v>
      </c>
      <c r="D69" s="99" t="s">
        <v>112</v>
      </c>
      <c r="E69" s="88">
        <v>12</v>
      </c>
      <c r="F69" s="88">
        <f>G69/E69</f>
        <v>598</v>
      </c>
      <c r="G69" s="88">
        <f>12*598</f>
        <v>7176</v>
      </c>
      <c r="H69" s="1"/>
      <c r="I69" s="66">
        <f>G69/11</f>
        <v>652.36363636363637</v>
      </c>
    </row>
    <row r="70" spans="3:10">
      <c r="C70" s="41">
        <v>45612</v>
      </c>
      <c r="D70" s="36" t="s">
        <v>113</v>
      </c>
      <c r="E70" s="88">
        <v>30</v>
      </c>
      <c r="F70" s="88">
        <f>G70/E70</f>
        <v>131</v>
      </c>
      <c r="G70" s="88">
        <f>30*131</f>
        <v>3930</v>
      </c>
      <c r="H70" s="1"/>
      <c r="I70" s="66">
        <f>G70/11</f>
        <v>357.27272727272725</v>
      </c>
    </row>
    <row r="71" spans="3:10">
      <c r="C71" s="41">
        <v>45612</v>
      </c>
      <c r="D71" s="36" t="s">
        <v>114</v>
      </c>
      <c r="E71" s="88">
        <v>10</v>
      </c>
      <c r="F71" s="88">
        <f>G71/E71</f>
        <v>131</v>
      </c>
      <c r="G71" s="88">
        <f>10*131</f>
        <v>1310</v>
      </c>
      <c r="H71" s="1"/>
      <c r="I71" s="66">
        <f>G71/11</f>
        <v>119.09090909090909</v>
      </c>
    </row>
    <row r="72" spans="3:10">
      <c r="C72" s="41"/>
      <c r="D72" s="36"/>
      <c r="E72" s="88"/>
      <c r="F72" s="88"/>
      <c r="G72" s="88"/>
      <c r="H72" s="1"/>
      <c r="I72" s="66"/>
    </row>
    <row r="73" spans="3:10">
      <c r="C73" s="41">
        <v>45613</v>
      </c>
      <c r="D73" s="99" t="s">
        <v>115</v>
      </c>
      <c r="E73" s="88">
        <v>13</v>
      </c>
      <c r="F73" s="88">
        <f t="shared" ref="F73:F80" si="11">G73/E73</f>
        <v>598</v>
      </c>
      <c r="G73" s="88">
        <f>13*598</f>
        <v>7774</v>
      </c>
      <c r="H73" s="1"/>
      <c r="I73" s="66">
        <f t="shared" ref="I73:I80" si="12">G73/11</f>
        <v>706.72727272727275</v>
      </c>
    </row>
    <row r="74" spans="3:10">
      <c r="C74" s="41">
        <v>45613</v>
      </c>
      <c r="D74" s="99" t="s">
        <v>185</v>
      </c>
      <c r="E74" s="88">
        <v>14</v>
      </c>
      <c r="F74" s="88">
        <f t="shared" si="11"/>
        <v>619</v>
      </c>
      <c r="G74" s="88">
        <f>14*619</f>
        <v>8666</v>
      </c>
      <c r="H74" s="1"/>
      <c r="I74" s="66">
        <f t="shared" si="12"/>
        <v>787.81818181818187</v>
      </c>
    </row>
    <row r="75" spans="3:10">
      <c r="C75" s="41">
        <v>45613</v>
      </c>
      <c r="D75" s="99" t="s">
        <v>186</v>
      </c>
      <c r="E75" s="88">
        <v>4</v>
      </c>
      <c r="F75" s="88">
        <f t="shared" si="11"/>
        <v>618</v>
      </c>
      <c r="G75" s="88">
        <f>4*618</f>
        <v>2472</v>
      </c>
      <c r="H75" s="1"/>
      <c r="I75" s="66">
        <f t="shared" si="12"/>
        <v>224.72727272727272</v>
      </c>
    </row>
    <row r="76" spans="3:10">
      <c r="C76" s="41">
        <v>45613</v>
      </c>
      <c r="D76" s="99" t="s">
        <v>116</v>
      </c>
      <c r="E76" s="88">
        <v>4</v>
      </c>
      <c r="F76" s="88">
        <f t="shared" si="11"/>
        <v>598</v>
      </c>
      <c r="G76" s="88">
        <f>4*598</f>
        <v>2392</v>
      </c>
      <c r="H76" s="1"/>
      <c r="I76" s="66">
        <f t="shared" si="12"/>
        <v>217.45454545454547</v>
      </c>
    </row>
    <row r="77" spans="3:10">
      <c r="C77" s="41">
        <v>45613</v>
      </c>
      <c r="D77" s="99" t="s">
        <v>117</v>
      </c>
      <c r="E77" s="88">
        <v>200</v>
      </c>
      <c r="F77" s="88">
        <f t="shared" si="11"/>
        <v>0</v>
      </c>
      <c r="G77" s="88">
        <v>0</v>
      </c>
      <c r="H77" s="1"/>
      <c r="I77" s="66">
        <f t="shared" si="12"/>
        <v>0</v>
      </c>
      <c r="J77" t="s">
        <v>189</v>
      </c>
    </row>
    <row r="78" spans="3:10">
      <c r="C78" s="41">
        <v>45613</v>
      </c>
      <c r="D78" s="36" t="s">
        <v>118</v>
      </c>
      <c r="E78" s="88">
        <v>50</v>
      </c>
      <c r="F78" s="88">
        <f t="shared" si="11"/>
        <v>0</v>
      </c>
      <c r="G78" s="88">
        <v>0</v>
      </c>
      <c r="H78" s="1"/>
      <c r="I78" s="66">
        <f t="shared" si="12"/>
        <v>0</v>
      </c>
      <c r="J78" t="s">
        <v>189</v>
      </c>
    </row>
    <row r="79" spans="3:10">
      <c r="C79" s="41">
        <v>45613</v>
      </c>
      <c r="D79" s="99" t="s">
        <v>187</v>
      </c>
      <c r="E79" s="88">
        <v>2</v>
      </c>
      <c r="F79" s="88">
        <f t="shared" si="11"/>
        <v>2500</v>
      </c>
      <c r="G79" s="88">
        <f>2*2500</f>
        <v>5000</v>
      </c>
      <c r="H79" s="1"/>
      <c r="I79" s="66">
        <f t="shared" si="12"/>
        <v>454.54545454545456</v>
      </c>
      <c r="J79" t="s">
        <v>188</v>
      </c>
    </row>
    <row r="80" spans="3:10">
      <c r="C80" s="41">
        <v>45613</v>
      </c>
      <c r="D80" s="99" t="s">
        <v>119</v>
      </c>
      <c r="E80" s="88">
        <v>30</v>
      </c>
      <c r="F80" s="88">
        <f t="shared" si="11"/>
        <v>126</v>
      </c>
      <c r="G80" s="88">
        <f>30*126</f>
        <v>3780</v>
      </c>
      <c r="H80" s="1"/>
      <c r="I80" s="66">
        <f t="shared" si="12"/>
        <v>343.63636363636363</v>
      </c>
    </row>
    <row r="81" spans="3:9">
      <c r="C81" s="41"/>
      <c r="D81" s="36"/>
      <c r="E81" s="88"/>
      <c r="F81" s="88"/>
      <c r="G81" s="88"/>
      <c r="H81" s="1"/>
      <c r="I81" s="66"/>
    </row>
    <row r="82" spans="3:9">
      <c r="C82" s="41">
        <v>45615</v>
      </c>
      <c r="D82" s="99" t="s">
        <v>120</v>
      </c>
      <c r="E82" s="88">
        <v>10</v>
      </c>
      <c r="F82" s="88">
        <f>G82/E82</f>
        <v>598</v>
      </c>
      <c r="G82" s="88">
        <f>10*598</f>
        <v>5980</v>
      </c>
      <c r="H82" s="1"/>
      <c r="I82" s="66">
        <f>G82/11</f>
        <v>543.63636363636363</v>
      </c>
    </row>
    <row r="83" spans="3:9">
      <c r="C83" s="41">
        <v>45615</v>
      </c>
      <c r="D83" s="99" t="s">
        <v>121</v>
      </c>
      <c r="E83" s="88">
        <v>9</v>
      </c>
      <c r="F83" s="88">
        <f>G83/E83</f>
        <v>549</v>
      </c>
      <c r="G83" s="88">
        <f>9*549</f>
        <v>4941</v>
      </c>
      <c r="H83" s="1"/>
      <c r="I83" s="66">
        <f>G83/11</f>
        <v>449.18181818181819</v>
      </c>
    </row>
    <row r="84" spans="3:9">
      <c r="C84" s="41">
        <v>45616</v>
      </c>
      <c r="D84" s="99" t="s">
        <v>120</v>
      </c>
      <c r="E84" s="88">
        <v>10</v>
      </c>
      <c r="F84" s="88">
        <f>G84/E84</f>
        <v>598</v>
      </c>
      <c r="G84" s="88">
        <f>10*598</f>
        <v>5980</v>
      </c>
      <c r="H84" s="1"/>
      <c r="I84" s="66">
        <f>G84/11</f>
        <v>543.63636363636363</v>
      </c>
    </row>
    <row r="85" spans="3:9">
      <c r="C85" s="41">
        <v>45616</v>
      </c>
      <c r="D85" s="99" t="s">
        <v>122</v>
      </c>
      <c r="E85" s="88">
        <v>14</v>
      </c>
      <c r="F85" s="88">
        <f>G85/E85</f>
        <v>549</v>
      </c>
      <c r="G85" s="88">
        <f>14*549</f>
        <v>7686</v>
      </c>
      <c r="H85" s="1"/>
      <c r="I85" s="66">
        <f>G85/11</f>
        <v>698.72727272727275</v>
      </c>
    </row>
    <row r="86" spans="3:9">
      <c r="C86" s="41"/>
      <c r="D86" s="99"/>
      <c r="E86" s="88"/>
      <c r="F86" s="88"/>
      <c r="G86" s="88"/>
      <c r="H86" s="1"/>
      <c r="I86" s="66"/>
    </row>
    <row r="87" spans="3:9">
      <c r="C87" s="41">
        <v>45617</v>
      </c>
      <c r="D87" s="99" t="s">
        <v>123</v>
      </c>
      <c r="E87" s="88">
        <v>4</v>
      </c>
      <c r="F87" s="88">
        <f>G87/E87</f>
        <v>598</v>
      </c>
      <c r="G87" s="88">
        <f>598*4</f>
        <v>2392</v>
      </c>
      <c r="H87" s="1"/>
      <c r="I87" s="66">
        <f>G87/11</f>
        <v>217.45454545454547</v>
      </c>
    </row>
    <row r="88" spans="3:9">
      <c r="C88" s="41">
        <v>45617</v>
      </c>
      <c r="D88" s="99" t="s">
        <v>124</v>
      </c>
      <c r="E88" s="88">
        <v>6</v>
      </c>
      <c r="F88" s="88">
        <f>G88/E88</f>
        <v>549</v>
      </c>
      <c r="G88" s="88">
        <f>549*6</f>
        <v>3294</v>
      </c>
      <c r="H88" s="1"/>
      <c r="I88" s="66">
        <f>G88/11</f>
        <v>299.45454545454544</v>
      </c>
    </row>
    <row r="89" spans="3:9">
      <c r="C89" s="41">
        <v>45617</v>
      </c>
      <c r="D89" s="99" t="s">
        <v>125</v>
      </c>
      <c r="E89" s="88">
        <v>1</v>
      </c>
      <c r="F89" s="88">
        <f>G89/E89</f>
        <v>599</v>
      </c>
      <c r="G89" s="88">
        <f>599*1</f>
        <v>599</v>
      </c>
      <c r="H89" s="1"/>
      <c r="I89" s="66">
        <f>G89/11</f>
        <v>54.454545454545453</v>
      </c>
    </row>
    <row r="90" spans="3:9">
      <c r="C90" s="41">
        <v>45617</v>
      </c>
      <c r="D90" s="99" t="s">
        <v>125</v>
      </c>
      <c r="E90" s="88">
        <v>1</v>
      </c>
      <c r="F90" s="88">
        <f>G90/E90</f>
        <v>599</v>
      </c>
      <c r="G90" s="88">
        <f>599*1</f>
        <v>599</v>
      </c>
      <c r="H90" s="1"/>
      <c r="I90" s="66">
        <f>G90/11</f>
        <v>54.454545454545453</v>
      </c>
    </row>
    <row r="91" spans="3:9">
      <c r="C91" s="41">
        <v>45617</v>
      </c>
      <c r="D91" s="99" t="s">
        <v>126</v>
      </c>
      <c r="E91" s="88">
        <v>2</v>
      </c>
      <c r="F91" s="88">
        <f>G91/E91</f>
        <v>180</v>
      </c>
      <c r="G91" s="88">
        <f>180*2</f>
        <v>360</v>
      </c>
      <c r="H91" s="1"/>
      <c r="I91" s="66">
        <f>G91/11</f>
        <v>32.727272727272727</v>
      </c>
    </row>
    <row r="92" spans="3:9">
      <c r="C92" s="41"/>
      <c r="D92" s="36"/>
      <c r="E92" s="88"/>
      <c r="F92" s="88"/>
      <c r="G92" s="88"/>
      <c r="H92" s="1"/>
      <c r="I92" s="66"/>
    </row>
    <row r="93" spans="3:9">
      <c r="C93" s="41">
        <v>45618</v>
      </c>
      <c r="D93" s="99" t="s">
        <v>127</v>
      </c>
      <c r="E93" s="88">
        <v>5</v>
      </c>
      <c r="F93" s="88">
        <f>G93/E93</f>
        <v>599</v>
      </c>
      <c r="G93" s="88">
        <f>599*5</f>
        <v>2995</v>
      </c>
      <c r="H93" s="1"/>
      <c r="I93" s="66">
        <f>G93/11</f>
        <v>272.27272727272725</v>
      </c>
    </row>
    <row r="94" spans="3:9">
      <c r="C94" s="41">
        <v>45618</v>
      </c>
      <c r="D94" s="99" t="s">
        <v>128</v>
      </c>
      <c r="E94" s="88">
        <v>3</v>
      </c>
      <c r="F94" s="88">
        <f>G94/E94</f>
        <v>500</v>
      </c>
      <c r="G94" s="88">
        <f>3*500</f>
        <v>1500</v>
      </c>
      <c r="H94" s="1"/>
      <c r="I94" s="66">
        <f>G94/11</f>
        <v>136.36363636363637</v>
      </c>
    </row>
    <row r="95" spans="3:9">
      <c r="C95" s="41">
        <v>45619</v>
      </c>
      <c r="D95" s="99" t="s">
        <v>129</v>
      </c>
      <c r="E95" s="88">
        <v>2</v>
      </c>
      <c r="F95" s="88">
        <f>G95/E95</f>
        <v>549</v>
      </c>
      <c r="G95" s="88">
        <f>549*2</f>
        <v>1098</v>
      </c>
      <c r="H95" s="1"/>
      <c r="I95" s="66">
        <f>G95/11</f>
        <v>99.818181818181813</v>
      </c>
    </row>
    <row r="96" spans="3:9">
      <c r="C96" s="41"/>
      <c r="D96" s="36"/>
      <c r="E96" s="88"/>
      <c r="F96" s="88"/>
      <c r="G96" s="88"/>
      <c r="H96" s="1"/>
      <c r="I96" s="66"/>
    </row>
    <row r="97" spans="1:10">
      <c r="C97" s="41">
        <v>45626</v>
      </c>
      <c r="D97" s="99" t="s">
        <v>158</v>
      </c>
      <c r="E97" s="88">
        <v>6</v>
      </c>
      <c r="F97" s="88">
        <f>G97/E97</f>
        <v>549</v>
      </c>
      <c r="G97" s="88">
        <f>6*549</f>
        <v>3294</v>
      </c>
      <c r="H97" s="1"/>
      <c r="I97" s="66">
        <f t="shared" ref="I97" si="13">G97/11</f>
        <v>299.45454545454544</v>
      </c>
    </row>
    <row r="98" spans="1:10">
      <c r="C98" s="41"/>
      <c r="D98" s="99"/>
      <c r="E98" s="88"/>
      <c r="F98" s="88"/>
      <c r="G98" s="88"/>
      <c r="H98" s="1"/>
      <c r="I98" s="66"/>
    </row>
    <row r="99" spans="1:10">
      <c r="C99" s="41">
        <v>45627</v>
      </c>
      <c r="D99" s="99" t="s">
        <v>159</v>
      </c>
      <c r="E99" s="88">
        <v>13</v>
      </c>
      <c r="F99" s="88">
        <f t="shared" ref="F99:F100" si="14">G99/E99</f>
        <v>549</v>
      </c>
      <c r="G99" s="88">
        <f>549*13</f>
        <v>7137</v>
      </c>
      <c r="H99" s="1"/>
      <c r="I99" s="66">
        <f t="shared" ref="I99:I100" si="15">G99/11</f>
        <v>648.81818181818187</v>
      </c>
    </row>
    <row r="100" spans="1:10">
      <c r="C100" s="41">
        <v>45627</v>
      </c>
      <c r="D100" s="99" t="s">
        <v>160</v>
      </c>
      <c r="E100" s="88">
        <v>2</v>
      </c>
      <c r="F100" s="88">
        <f t="shared" si="14"/>
        <v>520</v>
      </c>
      <c r="G100" s="88">
        <f>520*2</f>
        <v>1040</v>
      </c>
      <c r="H100" s="1"/>
      <c r="I100" s="66">
        <f t="shared" si="15"/>
        <v>94.545454545454547</v>
      </c>
    </row>
    <row r="101" spans="1:10">
      <c r="C101" s="41"/>
      <c r="D101" s="99"/>
      <c r="E101" s="88"/>
      <c r="F101" s="88"/>
      <c r="G101" s="88"/>
      <c r="H101" s="1"/>
      <c r="I101" s="66"/>
    </row>
    <row r="102" spans="1:10">
      <c r="C102" s="41">
        <v>45631</v>
      </c>
      <c r="D102" s="99" t="s">
        <v>161</v>
      </c>
      <c r="E102" s="88">
        <v>4</v>
      </c>
      <c r="F102" s="88">
        <f t="shared" ref="F102:F105" si="16">G102/E102</f>
        <v>513</v>
      </c>
      <c r="G102" s="88">
        <f>513*4</f>
        <v>2052</v>
      </c>
      <c r="H102" s="1"/>
      <c r="I102" s="66">
        <f t="shared" ref="I102:I105" si="17">G102/11</f>
        <v>186.54545454545453</v>
      </c>
    </row>
    <row r="103" spans="1:10">
      <c r="C103" s="41">
        <v>45631</v>
      </c>
      <c r="D103" s="99" t="s">
        <v>162</v>
      </c>
      <c r="E103" s="88">
        <v>4</v>
      </c>
      <c r="F103" s="88">
        <f t="shared" si="16"/>
        <v>486</v>
      </c>
      <c r="G103" s="88">
        <f>486*4</f>
        <v>1944</v>
      </c>
      <c r="H103" s="1"/>
      <c r="I103" s="66">
        <f t="shared" si="17"/>
        <v>176.72727272727272</v>
      </c>
    </row>
    <row r="104" spans="1:10">
      <c r="C104" s="41">
        <v>45631</v>
      </c>
      <c r="D104" s="99" t="s">
        <v>163</v>
      </c>
      <c r="E104" s="88">
        <v>4</v>
      </c>
      <c r="F104" s="88">
        <f t="shared" si="16"/>
        <v>513</v>
      </c>
      <c r="G104" s="88">
        <f>513*4</f>
        <v>2052</v>
      </c>
      <c r="H104" s="1"/>
      <c r="I104" s="66">
        <f t="shared" si="17"/>
        <v>186.54545454545453</v>
      </c>
    </row>
    <row r="105" spans="1:10">
      <c r="C105" s="41">
        <v>45631</v>
      </c>
      <c r="D105" s="99" t="s">
        <v>164</v>
      </c>
      <c r="E105" s="88">
        <v>6</v>
      </c>
      <c r="F105" s="88">
        <f t="shared" si="16"/>
        <v>513</v>
      </c>
      <c r="G105" s="88">
        <f>513*6</f>
        <v>3078</v>
      </c>
      <c r="H105" s="1"/>
      <c r="I105" s="66">
        <f t="shared" si="17"/>
        <v>279.81818181818181</v>
      </c>
    </row>
    <row r="106" spans="1:10">
      <c r="C106" s="41"/>
      <c r="D106" s="99"/>
      <c r="E106" s="88"/>
      <c r="F106" s="88"/>
      <c r="G106" s="88"/>
      <c r="H106" s="1"/>
      <c r="I106" s="66"/>
    </row>
    <row r="107" spans="1:10">
      <c r="A107" s="107" t="s">
        <v>202</v>
      </c>
      <c r="C107" s="41">
        <v>45631</v>
      </c>
      <c r="D107" s="99" t="s">
        <v>165</v>
      </c>
      <c r="E107" s="88">
        <v>39</v>
      </c>
      <c r="F107" s="88">
        <f t="shared" ref="F107" si="18">G107/E107</f>
        <v>133.30000000000001</v>
      </c>
      <c r="G107" s="88">
        <f>133.3*39</f>
        <v>5198.7000000000007</v>
      </c>
      <c r="H107" s="1"/>
      <c r="I107" s="66">
        <f t="shared" ref="I107" si="19">G107/11</f>
        <v>472.60909090909098</v>
      </c>
      <c r="J107" t="s">
        <v>203</v>
      </c>
    </row>
    <row r="108" spans="1:10">
      <c r="C108" s="41"/>
      <c r="D108" s="99"/>
      <c r="E108" s="88"/>
      <c r="F108" s="88"/>
      <c r="G108" s="88"/>
      <c r="H108" s="1"/>
      <c r="I108" s="66"/>
    </row>
    <row r="109" spans="1:10">
      <c r="C109" s="41">
        <v>45632</v>
      </c>
      <c r="D109" s="99" t="s">
        <v>166</v>
      </c>
      <c r="E109" s="88">
        <v>5</v>
      </c>
      <c r="F109" s="88">
        <f t="shared" ref="F109:F110" si="20">G109/E109</f>
        <v>549</v>
      </c>
      <c r="G109" s="88">
        <f>5*549</f>
        <v>2745</v>
      </c>
      <c r="H109" s="1"/>
      <c r="I109" s="66">
        <f t="shared" ref="I109:I127" si="21">G109/11</f>
        <v>249.54545454545453</v>
      </c>
    </row>
    <row r="110" spans="1:10">
      <c r="C110" s="41">
        <v>45632</v>
      </c>
      <c r="D110" s="99" t="s">
        <v>167</v>
      </c>
      <c r="E110" s="88">
        <v>25</v>
      </c>
      <c r="F110" s="88">
        <f t="shared" si="20"/>
        <v>69.2</v>
      </c>
      <c r="G110" s="88">
        <f>69.2*25</f>
        <v>1730</v>
      </c>
      <c r="H110" s="1"/>
      <c r="I110" s="66">
        <f t="shared" si="21"/>
        <v>157.27272727272728</v>
      </c>
    </row>
    <row r="111" spans="1:10">
      <c r="C111" s="41"/>
      <c r="D111" s="99"/>
      <c r="E111" s="88"/>
      <c r="F111" s="88"/>
      <c r="G111" s="88"/>
      <c r="H111" s="1"/>
      <c r="I111" s="66"/>
    </row>
    <row r="112" spans="1:10">
      <c r="A112" s="107" t="s">
        <v>201</v>
      </c>
      <c r="C112" s="41">
        <v>45632</v>
      </c>
      <c r="D112" s="99" t="s">
        <v>198</v>
      </c>
      <c r="E112" s="88">
        <v>51</v>
      </c>
      <c r="F112" s="88">
        <v>569</v>
      </c>
      <c r="G112" s="88">
        <f>E112*F112</f>
        <v>29019</v>
      </c>
      <c r="H112" s="1"/>
      <c r="I112" s="66">
        <f t="shared" si="21"/>
        <v>2638.090909090909</v>
      </c>
    </row>
    <row r="113" spans="1:9">
      <c r="C113" s="41"/>
      <c r="D113" s="99"/>
      <c r="E113" s="88"/>
      <c r="F113" s="88"/>
      <c r="G113" s="88"/>
      <c r="H113" s="1"/>
      <c r="I113" s="66"/>
    </row>
    <row r="114" spans="1:9">
      <c r="A114" s="107" t="s">
        <v>200</v>
      </c>
      <c r="C114" s="41">
        <v>45633</v>
      </c>
      <c r="D114" s="99" t="s">
        <v>192</v>
      </c>
      <c r="E114" s="88">
        <v>1</v>
      </c>
      <c r="F114" s="88">
        <v>580</v>
      </c>
      <c r="G114" s="88">
        <f>E114*F114</f>
        <v>580</v>
      </c>
      <c r="H114" s="1"/>
      <c r="I114" s="66">
        <f t="shared" si="21"/>
        <v>52.727272727272727</v>
      </c>
    </row>
    <row r="115" spans="1:9">
      <c r="C115" s="41">
        <v>45633</v>
      </c>
      <c r="D115" s="99" t="s">
        <v>193</v>
      </c>
      <c r="E115" s="88">
        <v>1</v>
      </c>
      <c r="F115" s="88">
        <v>470</v>
      </c>
      <c r="G115" s="88">
        <f t="shared" ref="G115:G117" si="22">E115*F115</f>
        <v>470</v>
      </c>
      <c r="H115" s="1"/>
      <c r="I115" s="66">
        <f t="shared" si="21"/>
        <v>42.727272727272727</v>
      </c>
    </row>
    <row r="116" spans="1:9">
      <c r="C116" s="41">
        <v>45633</v>
      </c>
      <c r="D116" s="99" t="s">
        <v>194</v>
      </c>
      <c r="E116" s="88">
        <v>4</v>
      </c>
      <c r="F116" s="88">
        <v>485</v>
      </c>
      <c r="G116" s="88">
        <f t="shared" si="22"/>
        <v>1940</v>
      </c>
      <c r="H116" s="1"/>
      <c r="I116" s="66">
        <f t="shared" si="21"/>
        <v>176.36363636363637</v>
      </c>
    </row>
    <row r="117" spans="1:9">
      <c r="C117" s="41">
        <v>45633</v>
      </c>
      <c r="D117" s="99" t="s">
        <v>195</v>
      </c>
      <c r="E117" s="88">
        <v>15</v>
      </c>
      <c r="F117" s="88">
        <v>569</v>
      </c>
      <c r="G117" s="88">
        <f t="shared" si="22"/>
        <v>8535</v>
      </c>
      <c r="H117" s="1"/>
      <c r="I117" s="66">
        <f t="shared" si="21"/>
        <v>775.90909090909088</v>
      </c>
    </row>
    <row r="118" spans="1:9">
      <c r="C118" s="41"/>
      <c r="D118" s="99"/>
      <c r="E118" s="88"/>
      <c r="F118" s="88"/>
      <c r="G118" s="88"/>
      <c r="H118" s="1"/>
      <c r="I118" s="66"/>
    </row>
    <row r="119" spans="1:9">
      <c r="A119" s="107" t="s">
        <v>201</v>
      </c>
      <c r="C119" s="41">
        <v>45634</v>
      </c>
      <c r="D119" s="99" t="s">
        <v>196</v>
      </c>
      <c r="E119" s="88">
        <v>38</v>
      </c>
      <c r="F119" s="88">
        <v>569</v>
      </c>
      <c r="G119" s="88">
        <f>E119*F119</f>
        <v>21622</v>
      </c>
      <c r="H119" s="1"/>
      <c r="I119" s="66">
        <f t="shared" si="21"/>
        <v>1965.6363636363637</v>
      </c>
    </row>
    <row r="120" spans="1:9">
      <c r="C120" s="41">
        <v>45634</v>
      </c>
      <c r="D120" s="99" t="s">
        <v>197</v>
      </c>
      <c r="E120" s="88">
        <v>11</v>
      </c>
      <c r="F120" s="88">
        <v>619</v>
      </c>
      <c r="G120" s="88">
        <f>E120*F120</f>
        <v>6809</v>
      </c>
      <c r="H120" s="1"/>
      <c r="I120" s="66">
        <f t="shared" si="21"/>
        <v>619</v>
      </c>
    </row>
    <row r="121" spans="1:9">
      <c r="C121" s="41"/>
      <c r="D121" s="99"/>
      <c r="E121" s="88"/>
      <c r="F121" s="88"/>
      <c r="G121" s="88"/>
      <c r="H121" s="1"/>
      <c r="I121" s="66"/>
    </row>
    <row r="122" spans="1:9">
      <c r="A122" s="107" t="s">
        <v>201</v>
      </c>
      <c r="C122" s="41">
        <v>45640</v>
      </c>
      <c r="D122" s="99" t="s">
        <v>199</v>
      </c>
      <c r="E122" s="88">
        <v>17</v>
      </c>
      <c r="F122" s="88">
        <v>569</v>
      </c>
      <c r="G122" s="88">
        <f>E122*F122</f>
        <v>9673</v>
      </c>
      <c r="H122" s="1"/>
      <c r="I122" s="66">
        <f t="shared" si="21"/>
        <v>879.36363636363637</v>
      </c>
    </row>
    <row r="123" spans="1:9">
      <c r="C123" s="41"/>
      <c r="D123" s="99"/>
      <c r="E123" s="88"/>
      <c r="F123" s="88"/>
      <c r="G123" s="88"/>
      <c r="H123" s="1"/>
      <c r="I123" s="66"/>
    </row>
    <row r="124" spans="1:9">
      <c r="C124" s="41">
        <v>45642</v>
      </c>
      <c r="D124" s="99" t="s">
        <v>190</v>
      </c>
      <c r="E124" s="88">
        <v>4</v>
      </c>
      <c r="F124" s="88">
        <v>490</v>
      </c>
      <c r="G124" s="88">
        <f>E124*F124</f>
        <v>1960</v>
      </c>
      <c r="H124" s="1"/>
      <c r="I124" s="66">
        <f t="shared" si="21"/>
        <v>178.18181818181819</v>
      </c>
    </row>
    <row r="125" spans="1:9">
      <c r="C125" s="41">
        <v>45644</v>
      </c>
      <c r="D125" s="99" t="s">
        <v>191</v>
      </c>
      <c r="E125" s="88">
        <v>60</v>
      </c>
      <c r="F125" s="88">
        <v>132</v>
      </c>
      <c r="G125" s="88">
        <f>E125*F125</f>
        <v>7920</v>
      </c>
      <c r="H125" s="1"/>
      <c r="I125" s="66">
        <f t="shared" si="21"/>
        <v>720</v>
      </c>
    </row>
    <row r="126" spans="1:9">
      <c r="C126" s="41"/>
      <c r="D126" s="99"/>
      <c r="E126" s="88"/>
      <c r="F126" s="88"/>
      <c r="G126" s="88"/>
      <c r="H126" s="1"/>
      <c r="I126" s="66"/>
    </row>
    <row r="127" spans="1:9">
      <c r="C127" s="41">
        <v>45648</v>
      </c>
      <c r="D127" s="99" t="s">
        <v>229</v>
      </c>
      <c r="E127" s="88">
        <v>43</v>
      </c>
      <c r="F127" s="88">
        <v>132</v>
      </c>
      <c r="G127" s="88">
        <f>E127*F127</f>
        <v>5676</v>
      </c>
      <c r="H127" s="1"/>
      <c r="I127" s="66">
        <f t="shared" si="21"/>
        <v>516</v>
      </c>
    </row>
    <row r="128" spans="1:9">
      <c r="C128" s="41"/>
      <c r="D128" s="99"/>
      <c r="E128" s="88"/>
      <c r="F128" s="88"/>
      <c r="G128" s="88"/>
      <c r="H128" s="1"/>
      <c r="I128" s="66"/>
    </row>
    <row r="129" spans="3:9">
      <c r="C129" s="41">
        <v>45650</v>
      </c>
      <c r="D129" s="99" t="s">
        <v>204</v>
      </c>
      <c r="E129" s="88">
        <v>2</v>
      </c>
      <c r="F129" s="88">
        <v>549</v>
      </c>
      <c r="G129" s="88">
        <f>E129*F129</f>
        <v>1098</v>
      </c>
      <c r="H129" s="1"/>
      <c r="I129" s="66">
        <f t="shared" ref="I129:I161" si="23">G129/11</f>
        <v>99.818181818181813</v>
      </c>
    </row>
    <row r="130" spans="3:9">
      <c r="C130" s="41"/>
      <c r="D130" s="99"/>
      <c r="E130" s="88"/>
      <c r="F130" s="88"/>
      <c r="G130" s="88"/>
      <c r="H130" s="1"/>
      <c r="I130" s="66"/>
    </row>
    <row r="131" spans="3:9">
      <c r="C131" s="98">
        <v>45652</v>
      </c>
      <c r="D131" s="99" t="s">
        <v>205</v>
      </c>
      <c r="E131" s="88">
        <v>2</v>
      </c>
      <c r="F131" s="88">
        <v>2968</v>
      </c>
      <c r="G131" s="88">
        <f>E131*F131</f>
        <v>5936</v>
      </c>
      <c r="H131" s="1"/>
      <c r="I131" s="66">
        <f t="shared" si="23"/>
        <v>539.63636363636363</v>
      </c>
    </row>
    <row r="132" spans="3:9">
      <c r="C132" s="98">
        <v>45652</v>
      </c>
      <c r="D132" s="36" t="s">
        <v>206</v>
      </c>
      <c r="E132" s="88">
        <v>1</v>
      </c>
      <c r="F132" s="88">
        <v>599</v>
      </c>
      <c r="G132" s="88">
        <f t="shared" ref="G132:G154" si="24">E132*F132</f>
        <v>599</v>
      </c>
      <c r="H132" s="1"/>
      <c r="I132" s="66">
        <f t="shared" si="23"/>
        <v>54.454545454545453</v>
      </c>
    </row>
    <row r="133" spans="3:9">
      <c r="C133" s="98">
        <v>45652</v>
      </c>
      <c r="D133" s="36" t="s">
        <v>207</v>
      </c>
      <c r="E133" s="88">
        <v>40</v>
      </c>
      <c r="F133" s="88">
        <v>140</v>
      </c>
      <c r="G133" s="88">
        <f t="shared" si="24"/>
        <v>5600</v>
      </c>
      <c r="H133" s="1"/>
      <c r="I133" s="66">
        <f t="shared" si="23"/>
        <v>509.09090909090907</v>
      </c>
    </row>
    <row r="134" spans="3:9">
      <c r="C134" s="98">
        <v>45652</v>
      </c>
      <c r="D134" s="36" t="s">
        <v>208</v>
      </c>
      <c r="E134" s="88">
        <v>1</v>
      </c>
      <c r="F134" s="88">
        <v>1798</v>
      </c>
      <c r="G134" s="88">
        <f t="shared" si="24"/>
        <v>1798</v>
      </c>
      <c r="H134" s="1"/>
      <c r="I134" s="66">
        <f t="shared" si="23"/>
        <v>163.45454545454547</v>
      </c>
    </row>
    <row r="135" spans="3:9">
      <c r="C135" s="98">
        <v>45652</v>
      </c>
      <c r="D135" s="36" t="s">
        <v>206</v>
      </c>
      <c r="E135" s="88">
        <v>1</v>
      </c>
      <c r="F135" s="88">
        <v>599</v>
      </c>
      <c r="G135" s="88">
        <f t="shared" si="24"/>
        <v>599</v>
      </c>
      <c r="H135" s="1"/>
      <c r="I135" s="66">
        <f t="shared" si="23"/>
        <v>54.454545454545453</v>
      </c>
    </row>
    <row r="136" spans="3:9">
      <c r="C136" s="98">
        <v>45652</v>
      </c>
      <c r="D136" s="36" t="s">
        <v>209</v>
      </c>
      <c r="E136" s="88">
        <v>1</v>
      </c>
      <c r="F136" s="88">
        <v>549</v>
      </c>
      <c r="G136" s="88">
        <f t="shared" si="24"/>
        <v>549</v>
      </c>
      <c r="H136" s="1"/>
      <c r="I136" s="66">
        <f t="shared" si="23"/>
        <v>49.909090909090907</v>
      </c>
    </row>
    <row r="137" spans="3:9">
      <c r="C137" s="98">
        <v>45652</v>
      </c>
      <c r="D137" s="36" t="s">
        <v>210</v>
      </c>
      <c r="E137" s="88">
        <v>5</v>
      </c>
      <c r="F137" s="88">
        <v>599</v>
      </c>
      <c r="G137" s="88">
        <f t="shared" si="24"/>
        <v>2995</v>
      </c>
      <c r="H137" s="1"/>
      <c r="I137" s="66">
        <f t="shared" si="23"/>
        <v>272.27272727272725</v>
      </c>
    </row>
    <row r="138" spans="3:9">
      <c r="C138" s="98">
        <v>45652</v>
      </c>
      <c r="D138" s="36" t="s">
        <v>211</v>
      </c>
      <c r="E138" s="88">
        <v>3</v>
      </c>
      <c r="F138" s="88">
        <v>2968</v>
      </c>
      <c r="G138" s="88">
        <f t="shared" si="24"/>
        <v>8904</v>
      </c>
      <c r="H138" s="1"/>
      <c r="I138" s="66">
        <f t="shared" si="23"/>
        <v>809.4545454545455</v>
      </c>
    </row>
    <row r="139" spans="3:9">
      <c r="C139" s="98">
        <v>45652</v>
      </c>
      <c r="D139" s="36" t="s">
        <v>208</v>
      </c>
      <c r="E139" s="88">
        <v>1</v>
      </c>
      <c r="F139" s="88">
        <v>1798</v>
      </c>
      <c r="G139" s="88">
        <f t="shared" si="24"/>
        <v>1798</v>
      </c>
      <c r="H139" s="1"/>
      <c r="I139" s="66">
        <f t="shared" si="23"/>
        <v>163.45454545454547</v>
      </c>
    </row>
    <row r="140" spans="3:9">
      <c r="C140" s="98">
        <v>45652</v>
      </c>
      <c r="D140" s="36" t="s">
        <v>212</v>
      </c>
      <c r="E140" s="88">
        <v>75</v>
      </c>
      <c r="F140" s="88">
        <v>128</v>
      </c>
      <c r="G140" s="88">
        <f t="shared" si="24"/>
        <v>9600</v>
      </c>
      <c r="H140" s="1"/>
      <c r="I140" s="66">
        <f t="shared" si="23"/>
        <v>872.72727272727275</v>
      </c>
    </row>
    <row r="141" spans="3:9">
      <c r="C141" s="98">
        <v>45652</v>
      </c>
      <c r="D141" s="99" t="s">
        <v>213</v>
      </c>
      <c r="E141" s="88">
        <v>40</v>
      </c>
      <c r="F141" s="88">
        <v>68.5</v>
      </c>
      <c r="G141" s="88">
        <f t="shared" si="24"/>
        <v>2740</v>
      </c>
      <c r="H141" s="1"/>
      <c r="I141" s="66">
        <f t="shared" si="23"/>
        <v>249.09090909090909</v>
      </c>
    </row>
    <row r="142" spans="3:9">
      <c r="C142" s="98">
        <v>45652</v>
      </c>
      <c r="D142" s="99" t="s">
        <v>214</v>
      </c>
      <c r="E142" s="88">
        <v>2</v>
      </c>
      <c r="F142" s="88">
        <v>132</v>
      </c>
      <c r="G142" s="88">
        <f t="shared" si="24"/>
        <v>264</v>
      </c>
      <c r="H142" s="1"/>
      <c r="I142" s="66">
        <f t="shared" si="23"/>
        <v>24</v>
      </c>
    </row>
    <row r="143" spans="3:9">
      <c r="C143" s="98">
        <v>45652</v>
      </c>
      <c r="D143" s="99" t="s">
        <v>215</v>
      </c>
      <c r="E143" s="88">
        <v>2</v>
      </c>
      <c r="F143" s="88">
        <v>128</v>
      </c>
      <c r="G143" s="88">
        <f t="shared" si="24"/>
        <v>256</v>
      </c>
      <c r="H143" s="1"/>
      <c r="I143" s="66">
        <f t="shared" si="23"/>
        <v>23.272727272727273</v>
      </c>
    </row>
    <row r="144" spans="3:9">
      <c r="C144" s="98">
        <v>45652</v>
      </c>
      <c r="D144" s="99" t="s">
        <v>216</v>
      </c>
      <c r="E144" s="88">
        <v>1</v>
      </c>
      <c r="F144" s="88">
        <v>697</v>
      </c>
      <c r="G144" s="88">
        <f t="shared" si="24"/>
        <v>697</v>
      </c>
      <c r="H144" s="1"/>
      <c r="I144" s="66">
        <f t="shared" si="23"/>
        <v>63.363636363636367</v>
      </c>
    </row>
    <row r="145" spans="3:9">
      <c r="C145" s="98">
        <v>45652</v>
      </c>
      <c r="D145" s="99" t="s">
        <v>217</v>
      </c>
      <c r="E145" s="88">
        <v>1</v>
      </c>
      <c r="F145" s="88">
        <v>598</v>
      </c>
      <c r="G145" s="88">
        <f t="shared" si="24"/>
        <v>598</v>
      </c>
      <c r="H145" s="1"/>
      <c r="I145" s="66">
        <f t="shared" si="23"/>
        <v>54.363636363636367</v>
      </c>
    </row>
    <row r="146" spans="3:9">
      <c r="C146" s="98">
        <v>45652</v>
      </c>
      <c r="D146" s="99" t="s">
        <v>218</v>
      </c>
      <c r="E146" s="88">
        <v>60</v>
      </c>
      <c r="F146" s="88">
        <v>140</v>
      </c>
      <c r="G146" s="88">
        <f t="shared" si="24"/>
        <v>8400</v>
      </c>
      <c r="H146" s="1"/>
      <c r="I146" s="66">
        <f t="shared" si="23"/>
        <v>763.63636363636363</v>
      </c>
    </row>
    <row r="147" spans="3:9">
      <c r="C147" s="98">
        <v>45652</v>
      </c>
      <c r="D147" s="99" t="s">
        <v>219</v>
      </c>
      <c r="E147" s="88">
        <v>1</v>
      </c>
      <c r="F147" s="88">
        <v>2158</v>
      </c>
      <c r="G147" s="88">
        <f t="shared" si="24"/>
        <v>2158</v>
      </c>
      <c r="H147" s="1"/>
      <c r="I147" s="66">
        <f t="shared" si="23"/>
        <v>196.18181818181819</v>
      </c>
    </row>
    <row r="148" spans="3:9">
      <c r="C148" s="98">
        <v>45652</v>
      </c>
      <c r="D148" s="36" t="s">
        <v>220</v>
      </c>
      <c r="E148" s="88">
        <v>1</v>
      </c>
      <c r="F148" s="88">
        <v>1798</v>
      </c>
      <c r="G148" s="88">
        <f t="shared" si="24"/>
        <v>1798</v>
      </c>
      <c r="H148" s="1"/>
      <c r="I148" s="66">
        <f t="shared" si="23"/>
        <v>163.45454545454547</v>
      </c>
    </row>
    <row r="149" spans="3:9">
      <c r="C149" s="98">
        <v>45652</v>
      </c>
      <c r="D149" s="36" t="s">
        <v>221</v>
      </c>
      <c r="E149" s="88">
        <v>22</v>
      </c>
      <c r="F149" s="88">
        <v>1790</v>
      </c>
      <c r="G149" s="88">
        <f t="shared" si="24"/>
        <v>39380</v>
      </c>
      <c r="H149" s="1"/>
      <c r="I149" s="66">
        <f t="shared" si="23"/>
        <v>3580</v>
      </c>
    </row>
    <row r="150" spans="3:9">
      <c r="C150" s="98">
        <v>45652</v>
      </c>
      <c r="D150" s="36" t="s">
        <v>222</v>
      </c>
      <c r="E150" s="88">
        <v>2</v>
      </c>
      <c r="F150" s="88">
        <v>2948</v>
      </c>
      <c r="G150" s="88">
        <f t="shared" si="24"/>
        <v>5896</v>
      </c>
      <c r="H150" s="1"/>
      <c r="I150" s="66">
        <f t="shared" si="23"/>
        <v>536</v>
      </c>
    </row>
    <row r="151" spans="3:9">
      <c r="C151" s="98">
        <v>45652</v>
      </c>
      <c r="D151" s="36" t="s">
        <v>223</v>
      </c>
      <c r="E151" s="88">
        <v>2</v>
      </c>
      <c r="F151" s="88">
        <v>1768</v>
      </c>
      <c r="G151" s="88">
        <f t="shared" si="24"/>
        <v>3536</v>
      </c>
      <c r="H151" s="1"/>
      <c r="I151" s="66">
        <f t="shared" si="23"/>
        <v>321.45454545454544</v>
      </c>
    </row>
    <row r="152" spans="3:9">
      <c r="C152" s="98">
        <v>45652</v>
      </c>
      <c r="D152" s="36" t="s">
        <v>224</v>
      </c>
      <c r="E152" s="88">
        <v>2</v>
      </c>
      <c r="F152" s="88">
        <v>550</v>
      </c>
      <c r="G152" s="88">
        <f t="shared" si="24"/>
        <v>1100</v>
      </c>
      <c r="H152" s="1"/>
      <c r="I152" s="66">
        <f t="shared" si="23"/>
        <v>100</v>
      </c>
    </row>
    <row r="153" spans="3:9">
      <c r="C153" s="98">
        <v>45652</v>
      </c>
      <c r="D153" s="36" t="s">
        <v>230</v>
      </c>
      <c r="E153" s="88">
        <v>1</v>
      </c>
      <c r="F153" s="88">
        <v>2158</v>
      </c>
      <c r="G153" s="88">
        <f t="shared" si="24"/>
        <v>2158</v>
      </c>
      <c r="H153" s="1"/>
      <c r="I153" s="66">
        <f t="shared" si="23"/>
        <v>196.18181818181819</v>
      </c>
    </row>
    <row r="154" spans="3:9">
      <c r="C154" s="98">
        <v>45652</v>
      </c>
      <c r="D154" s="36" t="s">
        <v>231</v>
      </c>
      <c r="E154" s="88">
        <v>1</v>
      </c>
      <c r="F154" s="88">
        <f>2968+40</f>
        <v>3008</v>
      </c>
      <c r="G154" s="88">
        <f t="shared" si="24"/>
        <v>3008</v>
      </c>
      <c r="H154" s="1"/>
      <c r="I154" s="66">
        <f t="shared" si="23"/>
        <v>273.45454545454544</v>
      </c>
    </row>
    <row r="155" spans="3:9">
      <c r="C155" s="98"/>
      <c r="D155" s="36"/>
      <c r="E155" s="88"/>
      <c r="F155" s="88"/>
      <c r="G155" s="88"/>
      <c r="H155" s="1"/>
      <c r="I155" s="66"/>
    </row>
    <row r="156" spans="3:9">
      <c r="C156" s="41">
        <v>45655</v>
      </c>
      <c r="D156" s="99" t="s">
        <v>227</v>
      </c>
      <c r="E156" s="88">
        <v>16</v>
      </c>
      <c r="F156" s="88">
        <v>569</v>
      </c>
      <c r="G156" s="88">
        <f>E156*F156</f>
        <v>9104</v>
      </c>
      <c r="H156" s="1"/>
      <c r="I156" s="66">
        <f t="shared" si="23"/>
        <v>827.63636363636363</v>
      </c>
    </row>
    <row r="157" spans="3:9">
      <c r="C157" s="41">
        <v>45655</v>
      </c>
      <c r="D157" s="99" t="s">
        <v>228</v>
      </c>
      <c r="E157" s="88">
        <v>1</v>
      </c>
      <c r="F157" s="88">
        <v>599</v>
      </c>
      <c r="G157" s="88">
        <f>E157*F157</f>
        <v>599</v>
      </c>
      <c r="H157" s="1"/>
      <c r="I157" s="66">
        <f t="shared" si="23"/>
        <v>54.454545454545453</v>
      </c>
    </row>
    <row r="158" spans="3:9">
      <c r="C158" s="98"/>
      <c r="D158" s="36"/>
      <c r="E158" s="88"/>
      <c r="F158" s="88"/>
      <c r="G158" s="88"/>
      <c r="H158" s="1"/>
      <c r="I158" s="66"/>
    </row>
    <row r="159" spans="3:9">
      <c r="C159" s="41">
        <v>45656</v>
      </c>
      <c r="D159" s="99" t="s">
        <v>225</v>
      </c>
      <c r="E159" s="88">
        <v>5</v>
      </c>
      <c r="F159" s="88">
        <v>127</v>
      </c>
      <c r="G159" s="88">
        <f>E159*F159</f>
        <v>635</v>
      </c>
      <c r="H159" s="1"/>
      <c r="I159" s="66">
        <f t="shared" si="23"/>
        <v>57.727272727272727</v>
      </c>
    </row>
    <row r="160" spans="3:9">
      <c r="C160" s="41">
        <v>45657</v>
      </c>
      <c r="D160" s="99" t="s">
        <v>225</v>
      </c>
      <c r="E160" s="88">
        <v>5</v>
      </c>
      <c r="F160" s="88">
        <v>127</v>
      </c>
      <c r="G160" s="88">
        <f t="shared" ref="G160:G161" si="25">E160*F160</f>
        <v>635</v>
      </c>
      <c r="H160" s="1"/>
      <c r="I160" s="66">
        <f t="shared" si="23"/>
        <v>57.727272727272727</v>
      </c>
    </row>
    <row r="161" spans="3:9">
      <c r="C161" s="41">
        <v>45657</v>
      </c>
      <c r="D161" s="99" t="s">
        <v>226</v>
      </c>
      <c r="E161" s="88">
        <v>52</v>
      </c>
      <c r="F161" s="88">
        <v>478.4</v>
      </c>
      <c r="G161" s="88">
        <f t="shared" si="25"/>
        <v>24876.799999999999</v>
      </c>
      <c r="H161" s="1"/>
      <c r="I161" s="66">
        <f t="shared" si="23"/>
        <v>2261.5272727272727</v>
      </c>
    </row>
    <row r="162" spans="3:9">
      <c r="C162" s="109"/>
      <c r="D162" s="103"/>
      <c r="E162" s="104"/>
      <c r="F162" s="104"/>
      <c r="G162" s="104"/>
      <c r="H162" s="105"/>
      <c r="I162" s="106"/>
    </row>
    <row r="164" spans="3:9" ht="16">
      <c r="D164" s="101" t="s">
        <v>93</v>
      </c>
      <c r="I164" s="100">
        <f>SUM(I5:I163)</f>
        <v>69626.873636363642</v>
      </c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C3:J70"/>
  <sheetViews>
    <sheetView tabSelected="1" topLeftCell="B53" workbookViewId="0">
      <selection activeCell="I71" sqref="I71"/>
    </sheetView>
  </sheetViews>
  <sheetFormatPr defaultRowHeight="14.5"/>
  <cols>
    <col min="3" max="3" width="10.453125" bestFit="1" customWidth="1"/>
    <col min="4" max="4" width="36.453125" customWidth="1"/>
    <col min="5" max="5" width="5.1796875" bestFit="1" customWidth="1"/>
    <col min="6" max="6" width="7.7265625" bestFit="1" customWidth="1"/>
    <col min="7" max="7" width="8.36328125" bestFit="1" customWidth="1"/>
    <col min="9" max="9" width="11" bestFit="1" customWidth="1"/>
    <col min="10" max="10" width="8.54296875" bestFit="1" customWidth="1"/>
  </cols>
  <sheetData>
    <row r="3" spans="3:9">
      <c r="E3" s="93"/>
      <c r="F3" s="93"/>
      <c r="G3" s="93"/>
    </row>
    <row r="4" spans="3:9">
      <c r="C4" s="31" t="s">
        <v>0</v>
      </c>
      <c r="D4" s="31" t="s">
        <v>1</v>
      </c>
      <c r="E4" s="94" t="s">
        <v>2</v>
      </c>
      <c r="F4" s="94" t="s">
        <v>29</v>
      </c>
      <c r="G4" s="95" t="s">
        <v>3</v>
      </c>
      <c r="H4" s="33"/>
      <c r="I4" s="31" t="s">
        <v>4</v>
      </c>
    </row>
    <row r="5" spans="3:9">
      <c r="C5" s="41"/>
      <c r="D5" s="36"/>
      <c r="E5" s="88"/>
      <c r="F5" s="88"/>
      <c r="G5" s="88"/>
      <c r="H5" s="1"/>
      <c r="I5" s="66"/>
    </row>
    <row r="6" spans="3:9">
      <c r="C6" s="41">
        <v>45621</v>
      </c>
      <c r="D6" s="99" t="s">
        <v>130</v>
      </c>
      <c r="E6" s="88">
        <v>3</v>
      </c>
      <c r="F6" s="88">
        <f t="shared" ref="F6:F15" si="0">G6/E6</f>
        <v>649</v>
      </c>
      <c r="G6" s="88">
        <f>3*649</f>
        <v>1947</v>
      </c>
      <c r="H6" s="1"/>
      <c r="I6" s="66">
        <f>G6*13.04/100</f>
        <v>253.88879999999997</v>
      </c>
    </row>
    <row r="7" spans="3:9">
      <c r="C7" s="41">
        <v>45621</v>
      </c>
      <c r="D7" s="99" t="s">
        <v>131</v>
      </c>
      <c r="E7" s="88">
        <v>2</v>
      </c>
      <c r="F7" s="88">
        <f t="shared" si="0"/>
        <v>145</v>
      </c>
      <c r="G7" s="88">
        <f>145*2</f>
        <v>290</v>
      </c>
      <c r="H7" s="1"/>
      <c r="I7" s="66">
        <f t="shared" ref="I7:I37" si="1">G7*13.04/100</f>
        <v>37.816000000000003</v>
      </c>
    </row>
    <row r="8" spans="3:9">
      <c r="C8" s="41">
        <v>45621</v>
      </c>
      <c r="D8" s="99" t="s">
        <v>132</v>
      </c>
      <c r="E8" s="88">
        <v>2</v>
      </c>
      <c r="F8" s="88">
        <f t="shared" si="0"/>
        <v>692</v>
      </c>
      <c r="G8" s="88">
        <f>692*2</f>
        <v>1384</v>
      </c>
      <c r="H8" s="1"/>
      <c r="I8" s="66">
        <f t="shared" si="1"/>
        <v>180.4736</v>
      </c>
    </row>
    <row r="9" spans="3:9">
      <c r="C9" s="41">
        <v>45621</v>
      </c>
      <c r="D9" s="99" t="s">
        <v>133</v>
      </c>
      <c r="E9" s="88">
        <v>10</v>
      </c>
      <c r="F9" s="88">
        <f t="shared" si="0"/>
        <v>692</v>
      </c>
      <c r="G9" s="88">
        <f>10*692</f>
        <v>6920</v>
      </c>
      <c r="H9" s="1"/>
      <c r="I9" s="66">
        <f t="shared" si="1"/>
        <v>902.36799999999994</v>
      </c>
    </row>
    <row r="10" spans="3:9">
      <c r="C10" s="41">
        <v>45621</v>
      </c>
      <c r="D10" s="99" t="s">
        <v>132</v>
      </c>
      <c r="E10" s="88">
        <v>2</v>
      </c>
      <c r="F10" s="88">
        <f t="shared" si="0"/>
        <v>692</v>
      </c>
      <c r="G10" s="88">
        <f>2*692</f>
        <v>1384</v>
      </c>
      <c r="H10" s="1"/>
      <c r="I10" s="66">
        <f t="shared" si="1"/>
        <v>180.4736</v>
      </c>
    </row>
    <row r="11" spans="3:9">
      <c r="C11" s="41">
        <v>45621</v>
      </c>
      <c r="D11" s="99" t="s">
        <v>134</v>
      </c>
      <c r="E11" s="88">
        <v>1</v>
      </c>
      <c r="F11" s="88">
        <f t="shared" si="0"/>
        <v>649</v>
      </c>
      <c r="G11" s="88">
        <f>1*649</f>
        <v>649</v>
      </c>
      <c r="H11" s="1"/>
      <c r="I11" s="66">
        <f t="shared" si="1"/>
        <v>84.629599999999996</v>
      </c>
    </row>
    <row r="12" spans="3:9">
      <c r="C12" s="41">
        <v>45621</v>
      </c>
      <c r="D12" s="99" t="s">
        <v>135</v>
      </c>
      <c r="E12" s="88">
        <v>10</v>
      </c>
      <c r="F12" s="88">
        <f t="shared" si="0"/>
        <v>649</v>
      </c>
      <c r="G12" s="88">
        <f>10*649</f>
        <v>6490</v>
      </c>
      <c r="H12" s="1"/>
      <c r="I12" s="66">
        <f t="shared" si="1"/>
        <v>846.29599999999994</v>
      </c>
    </row>
    <row r="13" spans="3:9">
      <c r="C13" s="41">
        <v>45621</v>
      </c>
      <c r="D13" s="99" t="s">
        <v>136</v>
      </c>
      <c r="E13" s="88">
        <v>5</v>
      </c>
      <c r="F13" s="88">
        <f t="shared" si="0"/>
        <v>529</v>
      </c>
      <c r="G13" s="88">
        <f>5*529</f>
        <v>2645</v>
      </c>
      <c r="H13" s="1"/>
      <c r="I13" s="66">
        <f t="shared" si="1"/>
        <v>344.90799999999996</v>
      </c>
    </row>
    <row r="14" spans="3:9">
      <c r="C14" s="41">
        <v>45621</v>
      </c>
      <c r="D14" s="99" t="s">
        <v>137</v>
      </c>
      <c r="E14" s="88">
        <v>5</v>
      </c>
      <c r="F14" s="88">
        <f t="shared" si="0"/>
        <v>644</v>
      </c>
      <c r="G14" s="88">
        <f>5*644</f>
        <v>3220</v>
      </c>
      <c r="H14" s="1"/>
      <c r="I14" s="66">
        <f t="shared" si="1"/>
        <v>419.88799999999998</v>
      </c>
    </row>
    <row r="15" spans="3:9">
      <c r="C15" s="41">
        <v>45621</v>
      </c>
      <c r="D15" s="99" t="s">
        <v>138</v>
      </c>
      <c r="E15" s="88">
        <v>6</v>
      </c>
      <c r="F15" s="88">
        <f t="shared" si="0"/>
        <v>598</v>
      </c>
      <c r="G15" s="88">
        <f>598*6</f>
        <v>3588</v>
      </c>
      <c r="H15" s="1"/>
      <c r="I15" s="66">
        <f t="shared" si="1"/>
        <v>467.87519999999995</v>
      </c>
    </row>
    <row r="16" spans="3:9">
      <c r="C16" s="41"/>
      <c r="D16" s="99"/>
      <c r="E16" s="88"/>
      <c r="F16" s="88"/>
      <c r="G16" s="88"/>
      <c r="H16" s="1"/>
      <c r="I16" s="66"/>
    </row>
    <row r="17" spans="3:9">
      <c r="C17" s="41">
        <v>45622</v>
      </c>
      <c r="D17" s="99" t="s">
        <v>139</v>
      </c>
      <c r="E17" s="88">
        <v>10</v>
      </c>
      <c r="F17" s="88">
        <f>G17/E17</f>
        <v>598</v>
      </c>
      <c r="G17" s="88">
        <f>598*10</f>
        <v>5980</v>
      </c>
      <c r="H17" s="1"/>
      <c r="I17" s="66">
        <f t="shared" si="1"/>
        <v>779.79199999999992</v>
      </c>
    </row>
    <row r="18" spans="3:9">
      <c r="C18" s="41">
        <v>45622</v>
      </c>
      <c r="D18" s="99" t="s">
        <v>140</v>
      </c>
      <c r="E18" s="88">
        <v>1</v>
      </c>
      <c r="F18" s="88">
        <f>G18/E18</f>
        <v>649</v>
      </c>
      <c r="G18" s="88">
        <f>649*1</f>
        <v>649</v>
      </c>
      <c r="H18" s="1"/>
      <c r="I18" s="66">
        <f t="shared" si="1"/>
        <v>84.629599999999996</v>
      </c>
    </row>
    <row r="19" spans="3:9">
      <c r="C19" s="41">
        <v>45622</v>
      </c>
      <c r="D19" s="99" t="s">
        <v>141</v>
      </c>
      <c r="E19" s="88">
        <v>4</v>
      </c>
      <c r="F19" s="88">
        <f>G19/E19</f>
        <v>649</v>
      </c>
      <c r="G19" s="88">
        <f>649*4</f>
        <v>2596</v>
      </c>
      <c r="H19" s="1"/>
      <c r="I19" s="66">
        <f t="shared" si="1"/>
        <v>338.51839999999999</v>
      </c>
    </row>
    <row r="20" spans="3:9">
      <c r="C20" s="41">
        <v>45622</v>
      </c>
      <c r="D20" s="99" t="s">
        <v>142</v>
      </c>
      <c r="E20" s="88">
        <v>25</v>
      </c>
      <c r="F20" s="88">
        <f>G20/E20</f>
        <v>128</v>
      </c>
      <c r="G20" s="88">
        <f>128*25</f>
        <v>3200</v>
      </c>
      <c r="H20" s="1"/>
      <c r="I20" s="66">
        <f t="shared" si="1"/>
        <v>417.28</v>
      </c>
    </row>
    <row r="21" spans="3:9">
      <c r="C21" s="41">
        <v>45622</v>
      </c>
      <c r="D21" s="99" t="s">
        <v>143</v>
      </c>
      <c r="E21" s="88">
        <v>2</v>
      </c>
      <c r="F21" s="88">
        <f>G21/E21</f>
        <v>649</v>
      </c>
      <c r="G21" s="88">
        <f>649*2</f>
        <v>1298</v>
      </c>
      <c r="H21" s="1"/>
      <c r="I21" s="66">
        <f t="shared" si="1"/>
        <v>169.25919999999999</v>
      </c>
    </row>
    <row r="22" spans="3:9">
      <c r="C22" s="41"/>
      <c r="D22" s="99"/>
      <c r="E22" s="88"/>
      <c r="F22" s="88"/>
      <c r="G22" s="88"/>
      <c r="H22" s="1"/>
      <c r="I22" s="66"/>
    </row>
    <row r="23" spans="3:9">
      <c r="C23" s="41">
        <v>45622</v>
      </c>
      <c r="D23" s="99" t="s">
        <v>140</v>
      </c>
      <c r="E23" s="88">
        <v>1</v>
      </c>
      <c r="F23" s="88">
        <f>G23/E23</f>
        <v>649</v>
      </c>
      <c r="G23" s="88">
        <f>1*649</f>
        <v>649</v>
      </c>
      <c r="H23" s="1"/>
      <c r="I23" s="66">
        <f t="shared" si="1"/>
        <v>84.629599999999996</v>
      </c>
    </row>
    <row r="24" spans="3:9">
      <c r="C24" s="41">
        <v>45622</v>
      </c>
      <c r="D24" s="99" t="s">
        <v>144</v>
      </c>
      <c r="E24" s="88">
        <v>50</v>
      </c>
      <c r="F24" s="88">
        <f>G24/E24</f>
        <v>598</v>
      </c>
      <c r="G24" s="88">
        <f>50*598</f>
        <v>29900</v>
      </c>
      <c r="H24" s="1"/>
      <c r="I24" s="66">
        <f t="shared" si="1"/>
        <v>3898.96</v>
      </c>
    </row>
    <row r="25" spans="3:9">
      <c r="C25" s="41"/>
      <c r="D25" s="99"/>
      <c r="E25" s="88"/>
      <c r="F25" s="88"/>
      <c r="G25" s="88"/>
      <c r="H25" s="1"/>
      <c r="I25" s="66"/>
    </row>
    <row r="26" spans="3:9">
      <c r="C26" s="41">
        <v>45623</v>
      </c>
      <c r="D26" s="99" t="s">
        <v>145</v>
      </c>
      <c r="E26" s="88">
        <v>46</v>
      </c>
      <c r="F26" s="88">
        <f>G26/E26</f>
        <v>644</v>
      </c>
      <c r="G26" s="88">
        <f>46*644</f>
        <v>29624</v>
      </c>
      <c r="H26" s="1"/>
      <c r="I26" s="66">
        <f t="shared" si="1"/>
        <v>3862.9695999999994</v>
      </c>
    </row>
    <row r="27" spans="3:9">
      <c r="C27" s="41">
        <v>45623</v>
      </c>
      <c r="D27" s="99" t="s">
        <v>146</v>
      </c>
      <c r="E27" s="88">
        <v>10</v>
      </c>
      <c r="F27" s="88">
        <f>G27/E27</f>
        <v>530</v>
      </c>
      <c r="G27" s="88">
        <f>10*530</f>
        <v>5300</v>
      </c>
      <c r="H27" s="1"/>
      <c r="I27" s="66">
        <f t="shared" si="1"/>
        <v>691.12</v>
      </c>
    </row>
    <row r="28" spans="3:9">
      <c r="C28" s="41">
        <v>45623</v>
      </c>
      <c r="D28" s="99" t="s">
        <v>147</v>
      </c>
      <c r="E28" s="88">
        <v>5</v>
      </c>
      <c r="F28" s="88">
        <f>G28/E28</f>
        <v>649</v>
      </c>
      <c r="G28" s="88">
        <f>5*649</f>
        <v>3245</v>
      </c>
      <c r="H28" s="1"/>
      <c r="I28" s="66">
        <f t="shared" si="1"/>
        <v>423.14799999999997</v>
      </c>
    </row>
    <row r="29" spans="3:9">
      <c r="C29" s="41">
        <v>45623</v>
      </c>
      <c r="D29" s="99" t="s">
        <v>148</v>
      </c>
      <c r="E29" s="88">
        <v>4</v>
      </c>
      <c r="F29" s="88">
        <f t="shared" ref="F29:F31" si="2">G29/E29</f>
        <v>649</v>
      </c>
      <c r="G29" s="88">
        <f>4*649</f>
        <v>2596</v>
      </c>
      <c r="H29" s="1"/>
      <c r="I29" s="66">
        <f t="shared" si="1"/>
        <v>338.51839999999999</v>
      </c>
    </row>
    <row r="30" spans="3:9">
      <c r="C30" s="41">
        <v>45623</v>
      </c>
      <c r="D30" s="99" t="s">
        <v>149</v>
      </c>
      <c r="E30" s="88">
        <v>2</v>
      </c>
      <c r="F30" s="88">
        <f t="shared" si="2"/>
        <v>529</v>
      </c>
      <c r="G30" s="88">
        <f>2*529</f>
        <v>1058</v>
      </c>
      <c r="H30" s="1"/>
      <c r="I30" s="66">
        <f t="shared" si="1"/>
        <v>137.9632</v>
      </c>
    </row>
    <row r="31" spans="3:9">
      <c r="C31" s="41">
        <v>45623</v>
      </c>
      <c r="D31" s="99" t="s">
        <v>150</v>
      </c>
      <c r="E31" s="88">
        <v>3</v>
      </c>
      <c r="F31" s="88">
        <f t="shared" si="2"/>
        <v>649</v>
      </c>
      <c r="G31" s="88">
        <f>3*649</f>
        <v>1947</v>
      </c>
      <c r="H31" s="1"/>
      <c r="I31" s="66">
        <f t="shared" si="1"/>
        <v>253.88879999999997</v>
      </c>
    </row>
    <row r="32" spans="3:9">
      <c r="C32" s="41"/>
      <c r="D32" s="99"/>
      <c r="E32" s="88"/>
      <c r="F32" s="88"/>
      <c r="G32" s="88"/>
      <c r="H32" s="1"/>
      <c r="I32" s="66"/>
    </row>
    <row r="33" spans="3:10">
      <c r="C33" s="41">
        <v>45624</v>
      </c>
      <c r="D33" s="99" t="s">
        <v>151</v>
      </c>
      <c r="E33" s="88">
        <v>1</v>
      </c>
      <c r="F33" s="88">
        <f t="shared" ref="F33:F37" si="3">G33/E33</f>
        <v>649</v>
      </c>
      <c r="G33" s="88">
        <f>1*649</f>
        <v>649</v>
      </c>
      <c r="H33" s="1"/>
      <c r="I33" s="66">
        <f t="shared" si="1"/>
        <v>84.629599999999996</v>
      </c>
    </row>
    <row r="34" spans="3:10">
      <c r="C34" s="41">
        <v>45624</v>
      </c>
      <c r="D34" s="99" t="s">
        <v>152</v>
      </c>
      <c r="E34" s="88">
        <v>2</v>
      </c>
      <c r="F34" s="88">
        <f t="shared" si="3"/>
        <v>649</v>
      </c>
      <c r="G34" s="88">
        <f>2*649</f>
        <v>1298</v>
      </c>
      <c r="H34" s="1"/>
      <c r="I34" s="66">
        <f t="shared" si="1"/>
        <v>169.25919999999999</v>
      </c>
    </row>
    <row r="35" spans="3:10">
      <c r="C35" s="41">
        <v>45624</v>
      </c>
      <c r="D35" s="99" t="s">
        <v>153</v>
      </c>
      <c r="E35" s="88">
        <v>10</v>
      </c>
      <c r="F35" s="88">
        <f t="shared" si="3"/>
        <v>649</v>
      </c>
      <c r="G35" s="88">
        <f>10*649</f>
        <v>6490</v>
      </c>
      <c r="H35" s="1"/>
      <c r="I35" s="66">
        <f t="shared" si="1"/>
        <v>846.29599999999994</v>
      </c>
    </row>
    <row r="36" spans="3:10">
      <c r="C36" s="41">
        <v>45624</v>
      </c>
      <c r="D36" s="99" t="s">
        <v>154</v>
      </c>
      <c r="E36" s="88">
        <v>23</v>
      </c>
      <c r="F36" s="88">
        <f t="shared" si="3"/>
        <v>530</v>
      </c>
      <c r="G36" s="88">
        <f>530*23</f>
        <v>12190</v>
      </c>
      <c r="H36" s="1"/>
      <c r="I36" s="66">
        <f t="shared" si="1"/>
        <v>1589.5759999999998</v>
      </c>
    </row>
    <row r="37" spans="3:10">
      <c r="C37" s="41">
        <v>45624</v>
      </c>
      <c r="D37" s="99" t="s">
        <v>155</v>
      </c>
      <c r="E37" s="88">
        <v>20</v>
      </c>
      <c r="F37" s="88">
        <f t="shared" si="3"/>
        <v>649</v>
      </c>
      <c r="G37" s="88">
        <f>649*20</f>
        <v>12980</v>
      </c>
      <c r="H37" s="1"/>
      <c r="I37" s="66">
        <f t="shared" si="1"/>
        <v>1692.5919999999999</v>
      </c>
    </row>
    <row r="38" spans="3:10">
      <c r="C38" s="41"/>
      <c r="D38" s="64"/>
      <c r="E38" s="88"/>
      <c r="F38" s="89"/>
      <c r="G38" s="88"/>
      <c r="H38" s="1"/>
      <c r="I38" s="66"/>
    </row>
    <row r="39" spans="3:10">
      <c r="C39" s="41">
        <v>45625</v>
      </c>
      <c r="D39" s="99" t="s">
        <v>156</v>
      </c>
      <c r="E39" s="88">
        <v>22</v>
      </c>
      <c r="F39" s="88">
        <f>G39/E39</f>
        <v>530</v>
      </c>
      <c r="G39" s="88">
        <f>22*530</f>
        <v>11660</v>
      </c>
      <c r="H39" s="1"/>
      <c r="I39" s="66">
        <f t="shared" ref="I39:I40" si="4">G39*13.04/100</f>
        <v>1520.4639999999999</v>
      </c>
    </row>
    <row r="40" spans="3:10">
      <c r="C40" s="41">
        <v>45625</v>
      </c>
      <c r="D40" s="99" t="s">
        <v>157</v>
      </c>
      <c r="E40" s="88">
        <v>100</v>
      </c>
      <c r="F40" s="88">
        <f>G40/E40</f>
        <v>649</v>
      </c>
      <c r="G40" s="88">
        <f>649*100</f>
        <v>64900</v>
      </c>
      <c r="H40" s="1"/>
      <c r="I40" s="66">
        <f t="shared" si="4"/>
        <v>8462.9599999999991</v>
      </c>
    </row>
    <row r="41" spans="3:10">
      <c r="C41" s="41"/>
      <c r="D41" s="99"/>
      <c r="E41" s="88"/>
      <c r="F41" s="88"/>
      <c r="G41" s="88"/>
      <c r="H41" s="1"/>
      <c r="I41" s="66"/>
    </row>
    <row r="42" spans="3:10">
      <c r="C42" s="41">
        <v>45635</v>
      </c>
      <c r="D42" s="99" t="s">
        <v>168</v>
      </c>
      <c r="E42" s="88">
        <v>8</v>
      </c>
      <c r="F42" s="88">
        <f t="shared" ref="F42:F64" si="5">G42/E42</f>
        <v>649</v>
      </c>
      <c r="G42" s="88">
        <f>649*8</f>
        <v>5192</v>
      </c>
      <c r="H42" s="1"/>
      <c r="I42" s="66">
        <f t="shared" ref="I42:I45" si="6">G42*13.04/100</f>
        <v>677.03679999999997</v>
      </c>
    </row>
    <row r="43" spans="3:10">
      <c r="C43" s="41">
        <v>45635</v>
      </c>
      <c r="D43" s="99" t="s">
        <v>169</v>
      </c>
      <c r="E43" s="88">
        <v>1</v>
      </c>
      <c r="F43" s="88">
        <f t="shared" si="5"/>
        <v>695</v>
      </c>
      <c r="G43" s="88">
        <f>695*1</f>
        <v>695</v>
      </c>
      <c r="H43" s="1"/>
      <c r="I43" s="66">
        <f t="shared" si="6"/>
        <v>90.627999999999986</v>
      </c>
    </row>
    <row r="44" spans="3:10">
      <c r="C44" s="41">
        <v>45635</v>
      </c>
      <c r="D44" s="99" t="s">
        <v>170</v>
      </c>
      <c r="E44" s="88">
        <v>1</v>
      </c>
      <c r="F44" s="88">
        <f t="shared" si="5"/>
        <v>599</v>
      </c>
      <c r="G44" s="88">
        <f>599*1</f>
        <v>599</v>
      </c>
      <c r="H44" s="1"/>
      <c r="I44" s="66">
        <f t="shared" si="6"/>
        <v>78.109599999999986</v>
      </c>
    </row>
    <row r="45" spans="3:10">
      <c r="C45" s="41">
        <v>45635</v>
      </c>
      <c r="D45" s="99" t="s">
        <v>171</v>
      </c>
      <c r="E45" s="88">
        <v>50</v>
      </c>
      <c r="F45" s="88">
        <f t="shared" si="5"/>
        <v>0</v>
      </c>
      <c r="G45" s="88">
        <v>0</v>
      </c>
      <c r="H45" s="1"/>
      <c r="I45" s="66">
        <f t="shared" si="6"/>
        <v>0</v>
      </c>
      <c r="J45" t="s">
        <v>17</v>
      </c>
    </row>
    <row r="46" spans="3:10">
      <c r="C46" s="41"/>
      <c r="D46" s="99"/>
      <c r="E46" s="88"/>
      <c r="F46" s="88"/>
      <c r="G46" s="88"/>
      <c r="H46" s="1"/>
      <c r="I46" s="66"/>
    </row>
    <row r="47" spans="3:10">
      <c r="C47" s="41">
        <v>45636</v>
      </c>
      <c r="D47" s="99" t="s">
        <v>170</v>
      </c>
      <c r="E47" s="88">
        <v>1</v>
      </c>
      <c r="F47" s="88">
        <f t="shared" si="5"/>
        <v>599</v>
      </c>
      <c r="G47" s="88">
        <f>599*1</f>
        <v>599</v>
      </c>
      <c r="H47" s="1"/>
      <c r="I47" s="66">
        <f t="shared" ref="I47:I50" si="7">G47*13.04/100</f>
        <v>78.109599999999986</v>
      </c>
    </row>
    <row r="48" spans="3:10">
      <c r="C48" s="41">
        <v>45636</v>
      </c>
      <c r="D48" s="99" t="s">
        <v>172</v>
      </c>
      <c r="E48" s="88">
        <v>2</v>
      </c>
      <c r="F48" s="88">
        <f t="shared" si="5"/>
        <v>550</v>
      </c>
      <c r="G48" s="88">
        <f>2*550</f>
        <v>1100</v>
      </c>
      <c r="H48" s="1"/>
      <c r="I48" s="66">
        <f t="shared" si="7"/>
        <v>143.43999999999997</v>
      </c>
    </row>
    <row r="49" spans="3:9">
      <c r="C49" s="41">
        <v>45636</v>
      </c>
      <c r="D49" s="99" t="s">
        <v>173</v>
      </c>
      <c r="E49" s="88">
        <v>10</v>
      </c>
      <c r="F49" s="88">
        <f t="shared" si="5"/>
        <v>649</v>
      </c>
      <c r="G49" s="88">
        <f>649*10</f>
        <v>6490</v>
      </c>
      <c r="H49" s="1"/>
      <c r="I49" s="66">
        <f t="shared" si="7"/>
        <v>846.29599999999994</v>
      </c>
    </row>
    <row r="50" spans="3:9">
      <c r="C50" s="41">
        <v>45636</v>
      </c>
      <c r="D50" s="99" t="s">
        <v>174</v>
      </c>
      <c r="E50" s="88">
        <v>36</v>
      </c>
      <c r="F50" s="88">
        <f t="shared" si="5"/>
        <v>620</v>
      </c>
      <c r="G50" s="88">
        <f>36*620</f>
        <v>22320</v>
      </c>
      <c r="H50" s="1"/>
      <c r="I50" s="66">
        <f t="shared" si="7"/>
        <v>2910.5279999999998</v>
      </c>
    </row>
    <row r="51" spans="3:9">
      <c r="C51" s="41"/>
      <c r="D51" s="99"/>
      <c r="E51" s="88"/>
      <c r="F51" s="88"/>
      <c r="G51" s="88"/>
      <c r="H51" s="1"/>
      <c r="I51" s="66"/>
    </row>
    <row r="52" spans="3:9">
      <c r="C52" s="41">
        <v>45637</v>
      </c>
      <c r="D52" s="99" t="s">
        <v>175</v>
      </c>
      <c r="E52" s="88">
        <v>35</v>
      </c>
      <c r="F52" s="88">
        <f t="shared" si="5"/>
        <v>620</v>
      </c>
      <c r="G52" s="88">
        <f>35*620</f>
        <v>21700</v>
      </c>
      <c r="H52" s="1"/>
      <c r="I52" s="66">
        <f t="shared" ref="I52:I64" si="8">G52*13.04/100</f>
        <v>2829.68</v>
      </c>
    </row>
    <row r="53" spans="3:9">
      <c r="C53" s="41">
        <v>45637</v>
      </c>
      <c r="D53" s="99" t="s">
        <v>176</v>
      </c>
      <c r="E53" s="88">
        <v>32</v>
      </c>
      <c r="F53" s="88">
        <f t="shared" si="5"/>
        <v>620</v>
      </c>
      <c r="G53" s="88">
        <f>620*32</f>
        <v>19840</v>
      </c>
      <c r="H53" s="1"/>
      <c r="I53" s="66">
        <f t="shared" si="8"/>
        <v>2587.136</v>
      </c>
    </row>
    <row r="54" spans="3:9">
      <c r="C54" s="41">
        <v>45637</v>
      </c>
      <c r="D54" s="99" t="s">
        <v>175</v>
      </c>
      <c r="E54" s="88">
        <v>35</v>
      </c>
      <c r="F54" s="88">
        <f t="shared" si="5"/>
        <v>620</v>
      </c>
      <c r="G54" s="88">
        <f>620*35</f>
        <v>21700</v>
      </c>
      <c r="H54" s="1"/>
      <c r="I54" s="66">
        <f t="shared" si="8"/>
        <v>2829.68</v>
      </c>
    </row>
    <row r="55" spans="3:9">
      <c r="C55" s="41">
        <v>45637</v>
      </c>
      <c r="D55" s="99" t="s">
        <v>177</v>
      </c>
      <c r="E55" s="88">
        <v>33</v>
      </c>
      <c r="F55" s="88">
        <f t="shared" si="5"/>
        <v>620</v>
      </c>
      <c r="G55" s="88">
        <f>33*620</f>
        <v>20460</v>
      </c>
      <c r="H55" s="1"/>
      <c r="I55" s="66">
        <f t="shared" si="8"/>
        <v>2667.9839999999995</v>
      </c>
    </row>
    <row r="56" spans="3:9">
      <c r="C56" s="41"/>
      <c r="D56" s="99"/>
      <c r="E56" s="88"/>
      <c r="F56" s="88"/>
      <c r="G56" s="88"/>
      <c r="H56" s="1"/>
      <c r="I56" s="66"/>
    </row>
    <row r="57" spans="3:9">
      <c r="C57" s="41">
        <v>45638</v>
      </c>
      <c r="D57" s="99" t="s">
        <v>178</v>
      </c>
      <c r="E57" s="88">
        <v>8</v>
      </c>
      <c r="F57" s="88">
        <f t="shared" si="5"/>
        <v>620</v>
      </c>
      <c r="G57" s="108">
        <f>8*620</f>
        <v>4960</v>
      </c>
      <c r="H57" s="1"/>
      <c r="I57" s="66">
        <f t="shared" si="8"/>
        <v>646.78399999999999</v>
      </c>
    </row>
    <row r="58" spans="3:9">
      <c r="C58" s="41">
        <v>45638</v>
      </c>
      <c r="D58" s="99" t="s">
        <v>179</v>
      </c>
      <c r="E58" s="88">
        <v>200</v>
      </c>
      <c r="F58" s="88">
        <f t="shared" si="5"/>
        <v>649</v>
      </c>
      <c r="G58" s="108">
        <f>200*649</f>
        <v>129800</v>
      </c>
      <c r="H58" s="1"/>
      <c r="I58" s="66">
        <f t="shared" si="8"/>
        <v>16925.919999999998</v>
      </c>
    </row>
    <row r="59" spans="3:9">
      <c r="C59" s="41">
        <v>45638</v>
      </c>
      <c r="D59" s="99" t="s">
        <v>180</v>
      </c>
      <c r="E59" s="88">
        <v>100</v>
      </c>
      <c r="F59" s="88">
        <f t="shared" si="5"/>
        <v>649</v>
      </c>
      <c r="G59" s="108">
        <f>100*649</f>
        <v>64900</v>
      </c>
      <c r="H59" s="1"/>
      <c r="I59" s="66">
        <f t="shared" si="8"/>
        <v>8462.9599999999991</v>
      </c>
    </row>
    <row r="60" spans="3:9">
      <c r="C60" s="41">
        <v>45638</v>
      </c>
      <c r="D60" s="99" t="s">
        <v>181</v>
      </c>
      <c r="E60" s="88">
        <v>35</v>
      </c>
      <c r="F60" s="88">
        <f t="shared" si="5"/>
        <v>695</v>
      </c>
      <c r="G60" s="108">
        <f>35*695</f>
        <v>24325</v>
      </c>
      <c r="H60" s="1"/>
      <c r="I60" s="66">
        <f t="shared" si="8"/>
        <v>3171.98</v>
      </c>
    </row>
    <row r="61" spans="3:9">
      <c r="C61" s="41">
        <v>45638</v>
      </c>
      <c r="D61" s="99" t="s">
        <v>182</v>
      </c>
      <c r="E61" s="88">
        <v>45</v>
      </c>
      <c r="F61" s="88">
        <f t="shared" si="5"/>
        <v>620</v>
      </c>
      <c r="G61" s="108">
        <f>45*620</f>
        <v>27900</v>
      </c>
      <c r="H61" s="1"/>
      <c r="I61" s="66">
        <f t="shared" si="8"/>
        <v>3638.16</v>
      </c>
    </row>
    <row r="62" spans="3:9">
      <c r="C62" s="41"/>
      <c r="D62" s="99"/>
      <c r="E62" s="88"/>
      <c r="F62" s="88"/>
      <c r="G62" s="88"/>
      <c r="H62" s="1"/>
      <c r="I62" s="66"/>
    </row>
    <row r="63" spans="3:9">
      <c r="C63" s="41">
        <v>45639</v>
      </c>
      <c r="D63" s="99" t="s">
        <v>183</v>
      </c>
      <c r="E63" s="88">
        <v>14</v>
      </c>
      <c r="F63" s="88">
        <f t="shared" si="5"/>
        <v>530</v>
      </c>
      <c r="G63" s="108">
        <f>14*530</f>
        <v>7420</v>
      </c>
      <c r="H63" s="1"/>
      <c r="I63" s="66">
        <f t="shared" si="8"/>
        <v>967.56799999999987</v>
      </c>
    </row>
    <row r="64" spans="3:9">
      <c r="C64" s="41">
        <v>45639</v>
      </c>
      <c r="D64" s="99" t="s">
        <v>168</v>
      </c>
      <c r="E64" s="88">
        <v>8</v>
      </c>
      <c r="F64" s="88">
        <f t="shared" si="5"/>
        <v>649</v>
      </c>
      <c r="G64" s="108">
        <f>8*649</f>
        <v>5192</v>
      </c>
      <c r="H64" s="1"/>
      <c r="I64" s="66">
        <f t="shared" si="8"/>
        <v>677.03679999999997</v>
      </c>
    </row>
    <row r="65" spans="3:9">
      <c r="C65" s="41"/>
      <c r="D65" s="99"/>
      <c r="E65" s="88"/>
      <c r="F65" s="88"/>
      <c r="G65" s="88"/>
      <c r="H65" s="1"/>
      <c r="I65" s="66"/>
    </row>
    <row r="66" spans="3:9">
      <c r="C66" s="41"/>
      <c r="D66" s="99"/>
      <c r="E66" s="88"/>
      <c r="F66" s="88"/>
      <c r="G66" s="88"/>
      <c r="H66" s="1"/>
      <c r="I66" s="66"/>
    </row>
    <row r="67" spans="3:9">
      <c r="C67" s="41"/>
      <c r="D67" s="99"/>
      <c r="E67" s="88"/>
      <c r="F67" s="88"/>
      <c r="G67" s="88"/>
      <c r="H67" s="1"/>
      <c r="I67" s="66"/>
    </row>
    <row r="68" spans="3:9">
      <c r="C68" s="98"/>
      <c r="D68" s="36"/>
      <c r="E68" s="88"/>
      <c r="F68" s="88"/>
      <c r="G68" s="88"/>
      <c r="H68" s="1"/>
      <c r="I68" s="66"/>
    </row>
    <row r="70" spans="3:9" ht="16">
      <c r="D70" s="101" t="s">
        <v>93</v>
      </c>
      <c r="E70" s="93"/>
      <c r="F70" s="93"/>
      <c r="G70" s="93"/>
      <c r="I70" s="100">
        <f>SUM(I5:I69)</f>
        <v>79794.107199999999</v>
      </c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9" sqref="F9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Starlink V4</vt:lpstr>
      <vt:lpstr>Starlink Mini</vt:lpstr>
      <vt:lpstr>IPHONE</vt:lpstr>
      <vt:lpstr>DJI-Other</vt:lpstr>
      <vt:lpstr>Total GST</vt:lpstr>
      <vt:lpstr>Australia Oct-Dec</vt:lpstr>
      <vt:lpstr>NewZealand Oct-Dec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cp:lastPrinted>2024-12-20T16:56:24Z</cp:lastPrinted>
  <dcterms:created xsi:type="dcterms:W3CDTF">2024-10-03T11:53:30Z</dcterms:created>
  <dcterms:modified xsi:type="dcterms:W3CDTF">2025-02-21T15:42:52Z</dcterms:modified>
</cp:coreProperties>
</file>