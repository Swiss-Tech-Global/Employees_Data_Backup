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Australia GST" sheetId="3" r:id="rId1"/>
  </sheets>
  <calcPr calcId="124519"/>
</workbook>
</file>

<file path=xl/calcChain.xml><?xml version="1.0" encoding="utf-8"?>
<calcChain xmlns="http://schemas.openxmlformats.org/spreadsheetml/2006/main">
  <c r="G159" i="3"/>
  <c r="I159" s="1"/>
  <c r="I158"/>
  <c r="G158"/>
  <c r="G157"/>
  <c r="I157" s="1"/>
  <c r="I155"/>
  <c r="G155"/>
  <c r="I154"/>
  <c r="G154"/>
  <c r="I152"/>
  <c r="G152"/>
  <c r="F152"/>
  <c r="G151"/>
  <c r="I151" s="1"/>
  <c r="G150"/>
  <c r="I150" s="1"/>
  <c r="I149"/>
  <c r="G149"/>
  <c r="I148"/>
  <c r="G148"/>
  <c r="G147"/>
  <c r="I147" s="1"/>
  <c r="G146"/>
  <c r="I146" s="1"/>
  <c r="I145"/>
  <c r="G145"/>
  <c r="I144"/>
  <c r="G144"/>
  <c r="G143"/>
  <c r="I143" s="1"/>
  <c r="G142"/>
  <c r="I142" s="1"/>
  <c r="I141"/>
  <c r="G141"/>
  <c r="I140"/>
  <c r="G140"/>
  <c r="G139"/>
  <c r="I139" s="1"/>
  <c r="G138"/>
  <c r="I138" s="1"/>
  <c r="I137"/>
  <c r="G137"/>
  <c r="I136"/>
  <c r="G136"/>
  <c r="G135"/>
  <c r="I135" s="1"/>
  <c r="G134"/>
  <c r="I134" s="1"/>
  <c r="I133"/>
  <c r="G133"/>
  <c r="I132"/>
  <c r="G132"/>
  <c r="G131"/>
  <c r="I131" s="1"/>
  <c r="G130"/>
  <c r="I130" s="1"/>
  <c r="I129"/>
  <c r="G129"/>
  <c r="I127"/>
  <c r="G127"/>
  <c r="G125"/>
  <c r="I125" s="1"/>
  <c r="G123"/>
  <c r="I123" s="1"/>
  <c r="I122"/>
  <c r="G122"/>
  <c r="I120"/>
  <c r="G120"/>
  <c r="G118"/>
  <c r="I118" s="1"/>
  <c r="G117"/>
  <c r="I117" s="1"/>
  <c r="I115"/>
  <c r="G115"/>
  <c r="I114"/>
  <c r="G114"/>
  <c r="G113"/>
  <c r="I113" s="1"/>
  <c r="G112"/>
  <c r="I112" s="1"/>
  <c r="I110"/>
  <c r="G110"/>
  <c r="I108"/>
  <c r="G108"/>
  <c r="F108"/>
  <c r="I107"/>
  <c r="G107"/>
  <c r="F107"/>
  <c r="I105"/>
  <c r="G105"/>
  <c r="F105" s="1"/>
  <c r="G103"/>
  <c r="I103" s="1"/>
  <c r="F103"/>
  <c r="G102"/>
  <c r="F102" s="1"/>
  <c r="G101"/>
  <c r="F101" s="1"/>
  <c r="G100"/>
  <c r="I100" s="1"/>
  <c r="I98"/>
  <c r="G98"/>
  <c r="F98" s="1"/>
  <c r="I97"/>
  <c r="G97"/>
  <c r="F97"/>
  <c r="I95"/>
  <c r="G95"/>
  <c r="F95"/>
  <c r="I93"/>
  <c r="G93"/>
  <c r="F93" s="1"/>
  <c r="G92"/>
  <c r="I92" s="1"/>
  <c r="F92"/>
  <c r="G91"/>
  <c r="F91" s="1"/>
  <c r="I89"/>
  <c r="G89"/>
  <c r="F89" s="1"/>
  <c r="G88"/>
  <c r="I88" s="1"/>
  <c r="I87"/>
  <c r="G87"/>
  <c r="F87" s="1"/>
  <c r="I86"/>
  <c r="G86"/>
  <c r="F86"/>
  <c r="I85"/>
  <c r="G85"/>
  <c r="F85"/>
  <c r="I83"/>
  <c r="G83"/>
  <c r="F83" s="1"/>
  <c r="G82"/>
  <c r="I82" s="1"/>
  <c r="F82"/>
  <c r="G81"/>
  <c r="F81" s="1"/>
  <c r="I80"/>
  <c r="G80"/>
  <c r="F80" s="1"/>
  <c r="G78"/>
  <c r="I78" s="1"/>
  <c r="I77"/>
  <c r="G77"/>
  <c r="F77" s="1"/>
  <c r="I76"/>
  <c r="F76"/>
  <c r="I75"/>
  <c r="F75"/>
  <c r="G74"/>
  <c r="F74" s="1"/>
  <c r="I73"/>
  <c r="G73"/>
  <c r="F73" s="1"/>
  <c r="G72"/>
  <c r="I72" s="1"/>
  <c r="I71"/>
  <c r="G71"/>
  <c r="F71" s="1"/>
  <c r="I69"/>
  <c r="G69"/>
  <c r="F69"/>
  <c r="I68"/>
  <c r="G68"/>
  <c r="F68"/>
  <c r="I67"/>
  <c r="G67"/>
  <c r="F67" s="1"/>
  <c r="G65"/>
  <c r="I65" s="1"/>
  <c r="I64"/>
  <c r="G64"/>
  <c r="F64"/>
  <c r="I63"/>
  <c r="G63"/>
  <c r="F63" s="1"/>
  <c r="G62"/>
  <c r="I62" s="1"/>
  <c r="F62"/>
  <c r="G61"/>
  <c r="F61" s="1"/>
  <c r="I60"/>
  <c r="G60"/>
  <c r="F60" s="1"/>
  <c r="I58"/>
  <c r="F58"/>
  <c r="I57"/>
  <c r="F57"/>
  <c r="I55"/>
  <c r="F55"/>
  <c r="I54"/>
  <c r="F54"/>
  <c r="I52"/>
  <c r="F52"/>
  <c r="I50"/>
  <c r="F50"/>
  <c r="I49"/>
  <c r="F49"/>
  <c r="I47"/>
  <c r="G47"/>
  <c r="I46"/>
  <c r="F46"/>
  <c r="E46"/>
  <c r="I45"/>
  <c r="G45"/>
  <c r="I43"/>
  <c r="G43"/>
  <c r="I42"/>
  <c r="F42"/>
  <c r="I41"/>
  <c r="G41"/>
  <c r="I40"/>
  <c r="G40"/>
  <c r="I39"/>
  <c r="G39"/>
  <c r="I38"/>
  <c r="F38"/>
  <c r="I37"/>
  <c r="F37"/>
  <c r="I36"/>
  <c r="G36"/>
  <c r="I35"/>
  <c r="G35"/>
  <c r="G34"/>
  <c r="I34" s="1"/>
  <c r="I33"/>
  <c r="G33"/>
  <c r="I32"/>
  <c r="G32"/>
  <c r="I30"/>
  <c r="G30"/>
  <c r="G29"/>
  <c r="I29" s="1"/>
  <c r="I27"/>
  <c r="F27"/>
  <c r="I25"/>
  <c r="I24"/>
  <c r="F24"/>
  <c r="I23"/>
  <c r="G23"/>
  <c r="G22"/>
  <c r="I22" s="1"/>
  <c r="I21"/>
  <c r="F21"/>
  <c r="I19"/>
  <c r="G19"/>
  <c r="I18"/>
  <c r="F18"/>
  <c r="I17"/>
  <c r="F17"/>
  <c r="I16"/>
  <c r="F16"/>
  <c r="I15"/>
  <c r="F15"/>
  <c r="I14"/>
  <c r="F14"/>
  <c r="I13"/>
  <c r="F13"/>
  <c r="I12"/>
  <c r="F12"/>
  <c r="I11"/>
  <c r="G11"/>
  <c r="I9"/>
  <c r="F9"/>
  <c r="I8"/>
  <c r="F8"/>
  <c r="I7"/>
  <c r="F7"/>
  <c r="I6"/>
  <c r="F6"/>
  <c r="I5"/>
  <c r="F5"/>
  <c r="I4"/>
  <c r="F4"/>
  <c r="G3"/>
  <c r="I3" s="1"/>
  <c r="I162" l="1"/>
  <c r="I61"/>
  <c r="F72"/>
  <c r="I74"/>
  <c r="F78"/>
  <c r="I81"/>
  <c r="F88"/>
  <c r="I91"/>
  <c r="F100"/>
  <c r="I102"/>
  <c r="I101"/>
</calcChain>
</file>

<file path=xl/sharedStrings.xml><?xml version="1.0" encoding="utf-8"?>
<sst xmlns="http://schemas.openxmlformats.org/spreadsheetml/2006/main" count="133" uniqueCount="126">
  <si>
    <t>Date</t>
  </si>
  <si>
    <t>Details</t>
  </si>
  <si>
    <t>Units</t>
  </si>
  <si>
    <t>Per.Unit</t>
  </si>
  <si>
    <t>Amount</t>
  </si>
  <si>
    <t>GST</t>
  </si>
  <si>
    <t>14 Units Purchased  V4</t>
  </si>
  <si>
    <t>8 Units Purchased  V4</t>
  </si>
  <si>
    <t>18 Units Purchased  V4</t>
  </si>
  <si>
    <t>2 Units Purchased  V4</t>
  </si>
  <si>
    <t>24 Units Purchased  V4</t>
  </si>
  <si>
    <t>55 Units Purchased  V4</t>
  </si>
  <si>
    <t xml:space="preserve">12 Units  Purchased Mini </t>
  </si>
  <si>
    <t xml:space="preserve">2 Units  Purchased Mini </t>
  </si>
  <si>
    <t xml:space="preserve">10 Units  Purchased Mini </t>
  </si>
  <si>
    <t xml:space="preserve">11 Units  Purchased Mini </t>
  </si>
  <si>
    <t xml:space="preserve">1 Units  Purchased Mini </t>
  </si>
  <si>
    <t xml:space="preserve">7 Units  Purchased Mini </t>
  </si>
  <si>
    <t xml:space="preserve">50 Units  Purchased Mini </t>
  </si>
  <si>
    <t>15Units PS 5</t>
  </si>
  <si>
    <t xml:space="preserve">18 Units JBL Charge.5 </t>
  </si>
  <si>
    <t xml:space="preserve">16 Units JBL Essential Flip2  </t>
  </si>
  <si>
    <t>1 unit  Starlink Camera</t>
  </si>
  <si>
    <t xml:space="preserve">Printer </t>
  </si>
  <si>
    <t>IPHONE 16 ProMax  Purchased</t>
  </si>
  <si>
    <t>Purchase 20 Units Mini  $745</t>
  </si>
  <si>
    <t xml:space="preserve">Purchase 8 Units Mini  $745 </t>
  </si>
  <si>
    <t>Charge.5  45Units  $142</t>
  </si>
  <si>
    <t>Flip Essential 2  14Units  $68</t>
  </si>
  <si>
    <t>PS5  10 Units  $669</t>
  </si>
  <si>
    <t>IP 16ProMax 256GB  1.Unit  $2147</t>
  </si>
  <si>
    <t>Starlink Mini  30 Units  $745</t>
  </si>
  <si>
    <t>Charge.5  100 Units  $145</t>
  </si>
  <si>
    <t>Flip Essential 2  100 Units  $68</t>
  </si>
  <si>
    <t>PS5  2 Units  $675</t>
  </si>
  <si>
    <t>Charge.5  100 Units  $133.3</t>
  </si>
  <si>
    <t>Charge.5  34 Units  $133.3</t>
  </si>
  <si>
    <t>Starlink Mini  10 Units  $768</t>
  </si>
  <si>
    <t>Instax Camera  7units  $95</t>
  </si>
  <si>
    <t>Starlink Mini 100 Units  $750</t>
  </si>
  <si>
    <t>DJI MavicPro  10Units  $2500</t>
  </si>
  <si>
    <t>PS5  2 Units  $669</t>
  </si>
  <si>
    <t>Instax Wide 400   8units  $189</t>
  </si>
  <si>
    <t>Instax Mini 99  10Units  $230</t>
  </si>
  <si>
    <t>Starlink V4  20Units  $500</t>
  </si>
  <si>
    <t>Starlink V4  39Units  $549</t>
  </si>
  <si>
    <t>Starlink V4  10Units  $549</t>
  </si>
  <si>
    <t>Starlink Mini  120Units  $548</t>
  </si>
  <si>
    <t>Starlink Mini  6Units  $579</t>
  </si>
  <si>
    <t xml:space="preserve">JBL Charge 5  50Units  $133.30 </t>
  </si>
  <si>
    <t>Starlink Mini 10 Units  $598</t>
  </si>
  <si>
    <t>Starlink V4  7Units  $500</t>
  </si>
  <si>
    <t>Starlink Mini 4 Units  $579</t>
  </si>
  <si>
    <t>JBL Xtreme 4   4Units  $269</t>
  </si>
  <si>
    <t>Starlink Mini  12Units  $598</t>
  </si>
  <si>
    <t>JBL Charge 5   30Units  $131</t>
  </si>
  <si>
    <t>JBL Charge 5   10Units  $131</t>
  </si>
  <si>
    <t>Starlink Mini 5 units  $599</t>
  </si>
  <si>
    <t>Starlink V4 3 units  $500</t>
  </si>
  <si>
    <t>Starlink V4 2 units  $549</t>
  </si>
  <si>
    <t>TOTAL GST</t>
  </si>
  <si>
    <t>Starlink V4  2Units   $299  GC Card</t>
  </si>
  <si>
    <t>Charge.5  100 Units  $140-10%  $126</t>
  </si>
  <si>
    <t>Starlink Mini 13Units   $598  WB</t>
  </si>
  <si>
    <t>Starlink Mini 14Units   $619 WB</t>
  </si>
  <si>
    <t>Starlink Mini 4Units   $618 WB</t>
  </si>
  <si>
    <t>Starlink Mini 4Units   $598 WB</t>
  </si>
  <si>
    <t>JBL Charge 5  200 Units  $120 WB</t>
  </si>
  <si>
    <t>Xtreme 4   50Units  $260   WB</t>
  </si>
  <si>
    <r>
      <t xml:space="preserve">Mavic Pro3   </t>
    </r>
    <r>
      <rPr>
        <strike/>
        <sz val="11"/>
        <color theme="1"/>
        <rFont val="Times New Roman"/>
        <family val="1"/>
      </rPr>
      <t>4units</t>
    </r>
    <r>
      <rPr>
        <sz val="11"/>
        <color theme="1"/>
        <rFont val="Times New Roman"/>
        <family val="1"/>
      </rPr>
      <t xml:space="preserve"> $2500 2units</t>
    </r>
  </si>
  <si>
    <t>JBL Charge 5  30 Units  $126 WB</t>
  </si>
  <si>
    <t xml:space="preserve">Starlink mini  10 Units  $598  WB </t>
  </si>
  <si>
    <t xml:space="preserve">Starlink V4  9 Units  $549  WB </t>
  </si>
  <si>
    <t xml:space="preserve">Starlink V4  14 Units  $549  WB </t>
  </si>
  <si>
    <t xml:space="preserve">Starlink mini  4 Units  $598  WB </t>
  </si>
  <si>
    <t xml:space="preserve">Starlink V4   6 Units  $549  WB </t>
  </si>
  <si>
    <t xml:space="preserve">Starlink mini  1 Units  $599  WB </t>
  </si>
  <si>
    <t>JBL Extreme 3   2units  $180  WB</t>
  </si>
  <si>
    <t>Starlink V4  6Units  $549  WB Card</t>
  </si>
  <si>
    <t>Starlink V4   13Units  $549  WB Card</t>
  </si>
  <si>
    <t>Starlink V4   2Units  $520  ARB Card</t>
  </si>
  <si>
    <t>Starlink V4   4Units  $513  WB Card</t>
  </si>
  <si>
    <t>Starlink V4   4Units  $486  WB Card</t>
  </si>
  <si>
    <t>Starlink V4   4Units  $513  ARB Card</t>
  </si>
  <si>
    <t>Starlink V4   6Units  $513  WB Card</t>
  </si>
  <si>
    <t>JBL Charge5  47Units  $133.30 WB</t>
  </si>
  <si>
    <t>Starlink V4   5Units  $549  WB Card</t>
  </si>
  <si>
    <t>JBL Essential.2  25units  $69.20  WB Card</t>
  </si>
  <si>
    <t>Starlink V4  51Units  $569  WB Card</t>
  </si>
  <si>
    <t>PS5  1Unit JBHifi  $580  WB Card</t>
  </si>
  <si>
    <t>Starlink V4  1Units  $470  WB Card</t>
  </si>
  <si>
    <t>Starlink V4  4Units  $485  WB Card</t>
  </si>
  <si>
    <t>Starlink V4  15Units  $569  WB Card</t>
  </si>
  <si>
    <t>Starlink V4  38Units  $569  WB Card</t>
  </si>
  <si>
    <t>Starlink Mini  11Units  $619  WB Card</t>
  </si>
  <si>
    <t>Starlink V4  17Units  $569  WB Card</t>
  </si>
  <si>
    <t>Starlink V4  4Units  $490  ARB Card</t>
  </si>
  <si>
    <t>JBL Charge 5  60Units  $132  WB Card</t>
  </si>
  <si>
    <t>JBL Charge5  43Units $132  WB Card</t>
  </si>
  <si>
    <t>Starlink V4  2Units  $549  ARB Card</t>
  </si>
  <si>
    <t>Mac Book Pro 2Units $2968-10%  WB Card</t>
  </si>
  <si>
    <t>Starlink Mini 1 Unit  $599-10%  WB Card</t>
  </si>
  <si>
    <t>JBL Charge 5  40units $140-10%  WB Card</t>
  </si>
  <si>
    <t>Apple I.Mac  1Unit  $1798-10%  WB Card</t>
  </si>
  <si>
    <t>Starlink V4 1 Unit  $549-10%  WB Card</t>
  </si>
  <si>
    <t>Starlink Mini 5 Unit  $599-10%  WB Card</t>
  </si>
  <si>
    <t>Apple MacBook Pro M4  3Unit  $2968-10%  WB Card</t>
  </si>
  <si>
    <t>JBL Charge 5  75units $128  WB Card</t>
  </si>
  <si>
    <t>JBL Essential 2  40Units  $68.50  WB Card</t>
  </si>
  <si>
    <t>Breville Coffee Machine 2Units  $132-10%  WB Card</t>
  </si>
  <si>
    <t>Delongi Coffee Machine 2Units  $128-10%  WB Card</t>
  </si>
  <si>
    <t>Dyson Airstraight 1Unit  $697-10%  WB Card</t>
  </si>
  <si>
    <t>Dyson Airstraight 1Unit  $598-10%  WB Card</t>
  </si>
  <si>
    <t>JBL Charge5  60Units  $140-10%  WB Card</t>
  </si>
  <si>
    <t>MacBook M3 1Unit  $2158 WB Card</t>
  </si>
  <si>
    <t>Apple I.Mac  1Unit  $1798  WB Card</t>
  </si>
  <si>
    <t>Starlink High.Performance kit 22Units $1790-10%  WB Card</t>
  </si>
  <si>
    <t>MacBook 2Units  $2948-10% WB Card</t>
  </si>
  <si>
    <t>Apple I.Mac  2Units  $1768-10%  WB Card</t>
  </si>
  <si>
    <t>Starlink Mini 2 Units  $550-10%  WB Card</t>
  </si>
  <si>
    <t>MacBook M3 1Unit  $2158+$40 WB Card</t>
  </si>
  <si>
    <t>MacBook M4 1Unit  $2968+$40-10% WB Card</t>
  </si>
  <si>
    <t>Starlink V4  16Units  $569  WB Card</t>
  </si>
  <si>
    <t>Starlink Mini 1Units  $599  WB Card</t>
  </si>
  <si>
    <t>Google Streamer 4k  5Units  $127  WB Card</t>
  </si>
  <si>
    <t>Starlink V4  52Units  $478.40  WB Card</t>
  </si>
</sst>
</file>

<file path=xl/styles.xml><?xml version="1.0" encoding="utf-8"?>
<styleSheet xmlns="http://schemas.openxmlformats.org/spreadsheetml/2006/main">
  <numFmts count="2">
    <numFmt numFmtId="43" formatCode="_-* #,##0.00_-;\-* #,##0.00_-;_-* &quot;-&quot;??_-;_-@_-"/>
    <numFmt numFmtId="164" formatCode="_-[$$-409]* #,##0.00_ ;_-[$$-409]* \-#,##0.00\ ;_-[$$-409]* &quot;-&quot;??_ ;_-@_ "/>
  </numFmts>
  <fonts count="14">
    <font>
      <sz val="11"/>
      <color theme="1"/>
      <name val="Calibri"/>
      <family val="2"/>
      <charset val="1"/>
      <scheme val="minor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u/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 val="singleAccounting"/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trike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36">
    <xf numFmtId="0" fontId="0" fillId="0" borderId="0" xfId="0"/>
    <xf numFmtId="0" fontId="1" fillId="0" borderId="1" xfId="5" applyFont="1" applyBorder="1" applyAlignment="1">
      <alignment horizontal="left" vertical="top"/>
    </xf>
    <xf numFmtId="14" fontId="0" fillId="0" borderId="1" xfId="0" applyNumberFormat="1" applyBorder="1"/>
    <xf numFmtId="0" fontId="2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Fill="1" applyBorder="1"/>
    <xf numFmtId="0" fontId="7" fillId="0" borderId="1" xfId="0" applyFont="1" applyBorder="1"/>
    <xf numFmtId="14" fontId="0" fillId="0" borderId="1" xfId="0" applyNumberFormat="1" applyBorder="1" applyAlignment="1">
      <alignment horizontal="center"/>
    </xf>
    <xf numFmtId="3" fontId="8" fillId="0" borderId="1" xfId="0" applyNumberFormat="1" applyFont="1" applyBorder="1" applyAlignment="1">
      <alignment horizontal="center"/>
    </xf>
    <xf numFmtId="4" fontId="8" fillId="0" borderId="1" xfId="0" applyNumberFormat="1" applyFont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top"/>
    </xf>
    <xf numFmtId="2" fontId="10" fillId="0" borderId="1" xfId="5" applyNumberFormat="1" applyFont="1" applyBorder="1" applyAlignment="1">
      <alignment horizontal="center" vertical="top"/>
    </xf>
    <xf numFmtId="14" fontId="0" fillId="0" borderId="0" xfId="0" applyNumberFormat="1" applyBorder="1"/>
    <xf numFmtId="0" fontId="3" fillId="0" borderId="0" xfId="0" applyFont="1" applyBorder="1" applyAlignment="1">
      <alignment wrapText="1"/>
    </xf>
    <xf numFmtId="0" fontId="8" fillId="0" borderId="0" xfId="0" applyFont="1" applyBorder="1" applyAlignment="1">
      <alignment horizontal="center"/>
    </xf>
    <xf numFmtId="0" fontId="0" fillId="0" borderId="0" xfId="0" applyBorder="1"/>
    <xf numFmtId="164" fontId="6" fillId="0" borderId="0" xfId="0" applyNumberFormat="1" applyFont="1" applyBorder="1"/>
    <xf numFmtId="14" fontId="4" fillId="0" borderId="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1" xfId="0" applyBorder="1"/>
    <xf numFmtId="0" fontId="1" fillId="0" borderId="1" xfId="4" applyFont="1" applyBorder="1" applyAlignment="1">
      <alignment horizontal="left" vertical="top"/>
    </xf>
    <xf numFmtId="0" fontId="5" fillId="0" borderId="1" xfId="0" applyFont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3" fillId="0" borderId="1" xfId="0" applyFont="1" applyBorder="1" applyAlignment="1">
      <alignment wrapText="1"/>
    </xf>
    <xf numFmtId="14" fontId="4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/>
    <xf numFmtId="0" fontId="8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1" xfId="0" applyFont="1" applyFill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14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wrapText="1"/>
    </xf>
    <xf numFmtId="164" fontId="11" fillId="0" borderId="0" xfId="0" applyNumberFormat="1" applyFont="1"/>
    <xf numFmtId="0" fontId="12" fillId="0" borderId="0" xfId="0" applyFont="1" applyAlignment="1">
      <alignment horizontal="center"/>
    </xf>
  </cellXfs>
  <cellStyles count="7">
    <cellStyle name="Comma 2" xfId="2"/>
    <cellStyle name="Normal" xfId="0" builtinId="0"/>
    <cellStyle name="Normal 2" xfId="1"/>
    <cellStyle name="Normal 3" xfId="3"/>
    <cellStyle name="Normal 4" xfId="4"/>
    <cellStyle name="Normal 5" xfId="5"/>
    <cellStyle name="Normal 6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2:I162"/>
  <sheetViews>
    <sheetView tabSelected="1" workbookViewId="0">
      <selection activeCell="K13" sqref="K13"/>
    </sheetView>
  </sheetViews>
  <sheetFormatPr defaultRowHeight="14.5"/>
  <cols>
    <col min="3" max="3" width="10.453125" bestFit="1" customWidth="1"/>
    <col min="4" max="4" width="46" bestFit="1" customWidth="1"/>
    <col min="5" max="5" width="5.1796875" bestFit="1" customWidth="1"/>
    <col min="6" max="6" width="7.7265625" bestFit="1" customWidth="1"/>
    <col min="7" max="7" width="8.36328125" bestFit="1" customWidth="1"/>
    <col min="9" max="9" width="11" bestFit="1" customWidth="1"/>
  </cols>
  <sheetData>
    <row r="2" spans="3:9">
      <c r="C2" s="22" t="s">
        <v>0</v>
      </c>
      <c r="D2" s="22" t="s">
        <v>1</v>
      </c>
      <c r="E2" s="30" t="s">
        <v>2</v>
      </c>
      <c r="F2" s="30" t="s">
        <v>3</v>
      </c>
      <c r="G2" s="31" t="s">
        <v>4</v>
      </c>
      <c r="H2" s="23"/>
      <c r="I2" s="22" t="s">
        <v>5</v>
      </c>
    </row>
    <row r="3" spans="3:9">
      <c r="C3" s="25">
        <v>45566</v>
      </c>
      <c r="D3" s="24" t="s">
        <v>61</v>
      </c>
      <c r="E3" s="27">
        <v>2</v>
      </c>
      <c r="F3" s="27">
        <v>299</v>
      </c>
      <c r="G3" s="27">
        <f>E3*F3</f>
        <v>598</v>
      </c>
      <c r="H3" s="20"/>
      <c r="I3" s="26">
        <f t="shared" ref="I3:I9" si="0">G3/11</f>
        <v>54.363636363636367</v>
      </c>
    </row>
    <row r="4" spans="3:9">
      <c r="C4" s="25">
        <v>45567</v>
      </c>
      <c r="D4" s="24" t="s">
        <v>6</v>
      </c>
      <c r="E4" s="27">
        <v>14</v>
      </c>
      <c r="F4" s="28">
        <f t="shared" ref="F4:F9" si="1">G4/E4</f>
        <v>298.14285714285717</v>
      </c>
      <c r="G4" s="27">
        <v>4174</v>
      </c>
      <c r="H4" s="20"/>
      <c r="I4" s="26">
        <f t="shared" si="0"/>
        <v>379.45454545454544</v>
      </c>
    </row>
    <row r="5" spans="3:9">
      <c r="C5" s="25">
        <v>45568</v>
      </c>
      <c r="D5" s="24" t="s">
        <v>7</v>
      </c>
      <c r="E5" s="27">
        <v>8</v>
      </c>
      <c r="F5" s="27">
        <f t="shared" si="1"/>
        <v>298</v>
      </c>
      <c r="G5" s="8">
        <v>2384</v>
      </c>
      <c r="H5" s="20"/>
      <c r="I5" s="26">
        <f t="shared" si="0"/>
        <v>216.72727272727272</v>
      </c>
    </row>
    <row r="6" spans="3:9">
      <c r="C6" s="25">
        <v>45570</v>
      </c>
      <c r="D6" s="24" t="s">
        <v>8</v>
      </c>
      <c r="E6" s="27">
        <v>18</v>
      </c>
      <c r="F6" s="28">
        <f t="shared" si="1"/>
        <v>298.88888888888891</v>
      </c>
      <c r="G6" s="27">
        <v>5380</v>
      </c>
      <c r="H6" s="20"/>
      <c r="I6" s="26">
        <f t="shared" si="0"/>
        <v>489.09090909090907</v>
      </c>
    </row>
    <row r="7" spans="3:9">
      <c r="C7" s="25">
        <v>45573</v>
      </c>
      <c r="D7" s="24" t="s">
        <v>9</v>
      </c>
      <c r="E7" s="27">
        <v>2</v>
      </c>
      <c r="F7" s="28">
        <f t="shared" si="1"/>
        <v>299</v>
      </c>
      <c r="G7" s="27">
        <v>598</v>
      </c>
      <c r="H7" s="20"/>
      <c r="I7" s="26">
        <f t="shared" si="0"/>
        <v>54.363636363636367</v>
      </c>
    </row>
    <row r="8" spans="3:9">
      <c r="C8" s="25">
        <v>45575</v>
      </c>
      <c r="D8" s="24" t="s">
        <v>10</v>
      </c>
      <c r="E8" s="27">
        <v>24</v>
      </c>
      <c r="F8" s="28">
        <f t="shared" si="1"/>
        <v>299.16291666666666</v>
      </c>
      <c r="G8" s="9">
        <v>7179.91</v>
      </c>
      <c r="H8" s="20"/>
      <c r="I8" s="26">
        <f t="shared" si="0"/>
        <v>652.71909090909094</v>
      </c>
    </row>
    <row r="9" spans="3:9">
      <c r="C9" s="7">
        <v>45580</v>
      </c>
      <c r="D9" s="24" t="s">
        <v>11</v>
      </c>
      <c r="E9" s="27">
        <v>55</v>
      </c>
      <c r="F9" s="28">
        <f t="shared" si="1"/>
        <v>318</v>
      </c>
      <c r="G9" s="27">
        <v>17490</v>
      </c>
      <c r="H9" s="20"/>
      <c r="I9" s="26">
        <f t="shared" si="0"/>
        <v>1590</v>
      </c>
    </row>
    <row r="10" spans="3:9">
      <c r="C10" s="20"/>
      <c r="D10" s="20"/>
      <c r="E10" s="27"/>
      <c r="F10" s="27"/>
      <c r="G10" s="27"/>
      <c r="H10" s="20"/>
      <c r="I10" s="20"/>
    </row>
    <row r="11" spans="3:9">
      <c r="C11" s="25">
        <v>45566</v>
      </c>
      <c r="D11" s="21" t="s">
        <v>12</v>
      </c>
      <c r="E11" s="27">
        <v>12</v>
      </c>
      <c r="F11" s="27">
        <v>750</v>
      </c>
      <c r="G11" s="27">
        <f>E11*F11</f>
        <v>9000</v>
      </c>
      <c r="H11" s="20"/>
      <c r="I11" s="26">
        <f>G11/11</f>
        <v>818.18181818181813</v>
      </c>
    </row>
    <row r="12" spans="3:9">
      <c r="C12" s="25">
        <v>45568</v>
      </c>
      <c r="D12" s="21" t="s">
        <v>13</v>
      </c>
      <c r="E12" s="27">
        <v>2</v>
      </c>
      <c r="F12" s="27">
        <f t="shared" ref="F12:F18" si="2">G12/E12</f>
        <v>780</v>
      </c>
      <c r="G12" s="27">
        <v>1560</v>
      </c>
      <c r="H12" s="20"/>
      <c r="I12" s="26">
        <f>G12/11</f>
        <v>141.81818181818181</v>
      </c>
    </row>
    <row r="13" spans="3:9">
      <c r="C13" s="25">
        <v>45569</v>
      </c>
      <c r="D13" s="21" t="s">
        <v>14</v>
      </c>
      <c r="E13" s="27">
        <v>10</v>
      </c>
      <c r="F13" s="27">
        <f t="shared" si="2"/>
        <v>768</v>
      </c>
      <c r="G13" s="27">
        <v>7680</v>
      </c>
      <c r="H13" s="20"/>
      <c r="I13" s="26">
        <f>G13/11</f>
        <v>698.18181818181813</v>
      </c>
    </row>
    <row r="14" spans="3:9">
      <c r="C14" s="25">
        <v>45572</v>
      </c>
      <c r="D14" s="21" t="s">
        <v>15</v>
      </c>
      <c r="E14" s="27">
        <v>11</v>
      </c>
      <c r="F14" s="28">
        <f t="shared" si="2"/>
        <v>746.81818181818187</v>
      </c>
      <c r="G14" s="8">
        <v>8215</v>
      </c>
      <c r="H14" s="20"/>
      <c r="I14" s="26">
        <f>G14/11</f>
        <v>746.81818181818187</v>
      </c>
    </row>
    <row r="15" spans="3:9">
      <c r="C15" s="25">
        <v>45575</v>
      </c>
      <c r="D15" s="21" t="s">
        <v>16</v>
      </c>
      <c r="E15" s="27">
        <v>1</v>
      </c>
      <c r="F15" s="28">
        <f t="shared" si="2"/>
        <v>759</v>
      </c>
      <c r="G15" s="27">
        <v>759</v>
      </c>
      <c r="H15" s="20"/>
      <c r="I15" s="26">
        <f>G15/11</f>
        <v>69</v>
      </c>
    </row>
    <row r="16" spans="3:9">
      <c r="C16" s="25">
        <v>45576</v>
      </c>
      <c r="D16" s="21" t="s">
        <v>17</v>
      </c>
      <c r="E16" s="27">
        <v>7</v>
      </c>
      <c r="F16" s="27">
        <f t="shared" si="2"/>
        <v>755</v>
      </c>
      <c r="G16" s="11">
        <v>5285</v>
      </c>
      <c r="H16" s="20"/>
      <c r="I16" s="26">
        <f t="shared" ref="I16:I19" si="3">G16/11</f>
        <v>480.45454545454544</v>
      </c>
    </row>
    <row r="17" spans="3:9">
      <c r="C17" s="25">
        <v>45577</v>
      </c>
      <c r="D17" s="21" t="s">
        <v>18</v>
      </c>
      <c r="E17" s="27">
        <v>50</v>
      </c>
      <c r="F17" s="27">
        <f t="shared" si="2"/>
        <v>750</v>
      </c>
      <c r="G17" s="11">
        <v>37500</v>
      </c>
      <c r="H17" s="20"/>
      <c r="I17" s="26">
        <f t="shared" si="3"/>
        <v>3409.090909090909</v>
      </c>
    </row>
    <row r="18" spans="3:9">
      <c r="C18" s="25">
        <v>45579</v>
      </c>
      <c r="D18" s="21" t="s">
        <v>14</v>
      </c>
      <c r="E18" s="27">
        <v>10</v>
      </c>
      <c r="F18" s="27">
        <f t="shared" si="2"/>
        <v>768</v>
      </c>
      <c r="G18" s="11">
        <v>7680</v>
      </c>
      <c r="H18" s="20"/>
      <c r="I18" s="26">
        <f t="shared" si="3"/>
        <v>698.18181818181813</v>
      </c>
    </row>
    <row r="19" spans="3:9">
      <c r="C19" s="25">
        <v>45580</v>
      </c>
      <c r="D19" s="21" t="s">
        <v>14</v>
      </c>
      <c r="E19" s="27">
        <v>10</v>
      </c>
      <c r="F19" s="27">
        <v>799</v>
      </c>
      <c r="G19" s="11">
        <f>E19*F19</f>
        <v>7990</v>
      </c>
      <c r="H19" s="20"/>
      <c r="I19" s="26">
        <f t="shared" si="3"/>
        <v>726.36363636363637</v>
      </c>
    </row>
    <row r="20" spans="3:9">
      <c r="C20" s="20"/>
      <c r="D20" s="20"/>
      <c r="E20" s="27"/>
      <c r="F20" s="27"/>
      <c r="G20" s="27"/>
      <c r="H20" s="20"/>
      <c r="I20" s="20"/>
    </row>
    <row r="21" spans="3:9">
      <c r="C21" s="2">
        <v>45573</v>
      </c>
      <c r="D21" s="4" t="s">
        <v>19</v>
      </c>
      <c r="E21" s="27">
        <v>15</v>
      </c>
      <c r="F21" s="28">
        <f>G21/E21</f>
        <v>668</v>
      </c>
      <c r="G21" s="27">
        <v>10020</v>
      </c>
      <c r="H21" s="20"/>
      <c r="I21" s="26">
        <f>G21/11</f>
        <v>910.90909090909088</v>
      </c>
    </row>
    <row r="22" spans="3:9">
      <c r="C22" s="2">
        <v>45573</v>
      </c>
      <c r="D22" s="3" t="s">
        <v>20</v>
      </c>
      <c r="E22" s="27">
        <v>18</v>
      </c>
      <c r="F22" s="28">
        <v>312</v>
      </c>
      <c r="G22" s="27">
        <f>E22*F22</f>
        <v>5616</v>
      </c>
      <c r="H22" s="20"/>
      <c r="I22" s="26">
        <f>G22/11</f>
        <v>510.54545454545456</v>
      </c>
    </row>
    <row r="23" spans="3:9">
      <c r="C23" s="2">
        <v>45573</v>
      </c>
      <c r="D23" s="3" t="s">
        <v>21</v>
      </c>
      <c r="E23" s="27">
        <v>16</v>
      </c>
      <c r="F23" s="27">
        <v>76</v>
      </c>
      <c r="G23" s="27">
        <f>E23*F23</f>
        <v>1216</v>
      </c>
      <c r="H23" s="20"/>
      <c r="I23" s="26">
        <f>G23/11</f>
        <v>110.54545454545455</v>
      </c>
    </row>
    <row r="24" spans="3:9">
      <c r="C24" s="25">
        <v>45575</v>
      </c>
      <c r="D24" s="5" t="s">
        <v>22</v>
      </c>
      <c r="E24" s="10">
        <v>1</v>
      </c>
      <c r="F24" s="27">
        <f>G24/E24</f>
        <v>99</v>
      </c>
      <c r="G24" s="27">
        <v>99</v>
      </c>
      <c r="H24" s="20"/>
      <c r="I24" s="26">
        <f>G24/11</f>
        <v>9</v>
      </c>
    </row>
    <row r="25" spans="3:9" ht="15.5">
      <c r="C25" s="2">
        <v>45567</v>
      </c>
      <c r="D25" s="6" t="s">
        <v>23</v>
      </c>
      <c r="E25" s="27">
        <v>1</v>
      </c>
      <c r="F25" s="27">
        <v>290</v>
      </c>
      <c r="G25" s="27">
        <v>290</v>
      </c>
      <c r="H25" s="20"/>
      <c r="I25" s="26">
        <f>G25/11</f>
        <v>26.363636363636363</v>
      </c>
    </row>
    <row r="26" spans="3:9">
      <c r="C26" s="20"/>
      <c r="D26" s="20"/>
      <c r="E26" s="27"/>
      <c r="F26" s="27"/>
      <c r="G26" s="27"/>
      <c r="H26" s="20"/>
      <c r="I26" s="20"/>
    </row>
    <row r="27" spans="3:9">
      <c r="C27" s="2">
        <v>45575</v>
      </c>
      <c r="D27" s="1" t="s">
        <v>24</v>
      </c>
      <c r="E27" s="27">
        <v>20</v>
      </c>
      <c r="F27" s="27">
        <f>G27/E27</f>
        <v>2219</v>
      </c>
      <c r="G27" s="12">
        <v>44380</v>
      </c>
      <c r="H27" s="20"/>
      <c r="I27" s="26">
        <f>G27/11</f>
        <v>4034.5454545454545</v>
      </c>
    </row>
    <row r="28" spans="3:9">
      <c r="C28" s="20"/>
      <c r="D28" s="20"/>
      <c r="E28" s="27"/>
      <c r="F28" s="27"/>
      <c r="G28" s="27"/>
      <c r="H28" s="20"/>
      <c r="I28" s="20"/>
    </row>
    <row r="29" spans="3:9">
      <c r="C29" s="2">
        <v>45584</v>
      </c>
      <c r="D29" s="24" t="s">
        <v>25</v>
      </c>
      <c r="E29" s="10">
        <v>20</v>
      </c>
      <c r="F29" s="27">
        <v>745</v>
      </c>
      <c r="G29" s="27">
        <f>E29*F29</f>
        <v>14900</v>
      </c>
      <c r="H29" s="20"/>
      <c r="I29" s="26">
        <f>G29/11</f>
        <v>1354.5454545454545</v>
      </c>
    </row>
    <row r="30" spans="3:9">
      <c r="C30" s="25">
        <v>45588</v>
      </c>
      <c r="D30" s="24" t="s">
        <v>26</v>
      </c>
      <c r="E30" s="27">
        <v>8</v>
      </c>
      <c r="F30" s="27">
        <v>745</v>
      </c>
      <c r="G30" s="27">
        <f>E30*F30</f>
        <v>5960</v>
      </c>
      <c r="H30" s="20"/>
      <c r="I30" s="26">
        <f>G30/11</f>
        <v>541.81818181818187</v>
      </c>
    </row>
    <row r="31" spans="3:9">
      <c r="C31" s="20"/>
      <c r="D31" s="20"/>
      <c r="E31" s="27"/>
      <c r="F31" s="27"/>
      <c r="G31" s="27"/>
      <c r="H31" s="20"/>
      <c r="I31" s="20"/>
    </row>
    <row r="32" spans="3:9">
      <c r="C32" s="32">
        <v>45591</v>
      </c>
      <c r="D32" s="33" t="s">
        <v>27</v>
      </c>
      <c r="E32" s="27">
        <v>45</v>
      </c>
      <c r="F32" s="27">
        <v>142</v>
      </c>
      <c r="G32" s="27">
        <f>E32*F32</f>
        <v>6390</v>
      </c>
      <c r="H32" s="20"/>
      <c r="I32" s="26">
        <f t="shared" ref="I32:I52" si="4">G32/11</f>
        <v>580.90909090909088</v>
      </c>
    </row>
    <row r="33" spans="3:9">
      <c r="C33" s="32">
        <v>45591</v>
      </c>
      <c r="D33" s="24" t="s">
        <v>28</v>
      </c>
      <c r="E33" s="27">
        <v>14</v>
      </c>
      <c r="F33" s="27">
        <v>68</v>
      </c>
      <c r="G33" s="27">
        <f>E33*F33</f>
        <v>952</v>
      </c>
      <c r="H33" s="20"/>
      <c r="I33" s="26">
        <f t="shared" si="4"/>
        <v>86.545454545454547</v>
      </c>
    </row>
    <row r="34" spans="3:9">
      <c r="C34" s="32">
        <v>45591</v>
      </c>
      <c r="D34" s="24" t="s">
        <v>29</v>
      </c>
      <c r="E34" s="27">
        <v>10</v>
      </c>
      <c r="F34" s="27">
        <v>669</v>
      </c>
      <c r="G34" s="27">
        <f t="shared" ref="G34:G36" si="5">E34*F34</f>
        <v>6690</v>
      </c>
      <c r="H34" s="20"/>
      <c r="I34" s="26">
        <f t="shared" si="4"/>
        <v>608.18181818181813</v>
      </c>
    </row>
    <row r="35" spans="3:9">
      <c r="C35" s="32">
        <v>45591</v>
      </c>
      <c r="D35" s="24" t="s">
        <v>30</v>
      </c>
      <c r="E35" s="27">
        <v>1</v>
      </c>
      <c r="F35" s="27">
        <v>2147</v>
      </c>
      <c r="G35" s="27">
        <f t="shared" si="5"/>
        <v>2147</v>
      </c>
      <c r="H35" s="20"/>
      <c r="I35" s="26">
        <f t="shared" si="4"/>
        <v>195.18181818181819</v>
      </c>
    </row>
    <row r="36" spans="3:9">
      <c r="C36" s="32">
        <v>45591</v>
      </c>
      <c r="D36" s="24" t="s">
        <v>31</v>
      </c>
      <c r="E36" s="27">
        <v>30</v>
      </c>
      <c r="F36" s="27">
        <v>745</v>
      </c>
      <c r="G36" s="27">
        <f t="shared" si="5"/>
        <v>22350</v>
      </c>
      <c r="H36" s="20"/>
      <c r="I36" s="26">
        <f t="shared" si="4"/>
        <v>2031.8181818181818</v>
      </c>
    </row>
    <row r="37" spans="3:9">
      <c r="C37" s="32">
        <v>45591</v>
      </c>
      <c r="D37" s="24" t="s">
        <v>32</v>
      </c>
      <c r="E37" s="27">
        <v>100</v>
      </c>
      <c r="F37" s="27">
        <f t="shared" ref="F37:F42" si="6">G37/E37</f>
        <v>0</v>
      </c>
      <c r="G37" s="27">
        <v>0</v>
      </c>
      <c r="H37" s="20"/>
      <c r="I37" s="26">
        <f t="shared" si="4"/>
        <v>0</v>
      </c>
    </row>
    <row r="38" spans="3:9">
      <c r="C38" s="32">
        <v>45591</v>
      </c>
      <c r="D38" s="24" t="s">
        <v>33</v>
      </c>
      <c r="E38" s="27">
        <v>100</v>
      </c>
      <c r="F38" s="27">
        <f t="shared" si="6"/>
        <v>0</v>
      </c>
      <c r="G38" s="27">
        <v>0</v>
      </c>
      <c r="H38" s="20"/>
      <c r="I38" s="26">
        <f t="shared" si="4"/>
        <v>0</v>
      </c>
    </row>
    <row r="39" spans="3:9">
      <c r="C39" s="32">
        <v>45591</v>
      </c>
      <c r="D39" s="24" t="s">
        <v>34</v>
      </c>
      <c r="E39" s="27">
        <v>2</v>
      </c>
      <c r="F39" s="27">
        <v>675</v>
      </c>
      <c r="G39" s="27">
        <f>E39*F39</f>
        <v>1350</v>
      </c>
      <c r="H39" s="20"/>
      <c r="I39" s="26">
        <f t="shared" si="4"/>
        <v>122.72727272727273</v>
      </c>
    </row>
    <row r="40" spans="3:9">
      <c r="C40" s="32">
        <v>45591</v>
      </c>
      <c r="D40" s="24" t="s">
        <v>35</v>
      </c>
      <c r="E40" s="27">
        <v>100</v>
      </c>
      <c r="F40" s="27">
        <v>133.30000000000001</v>
      </c>
      <c r="G40" s="27">
        <f t="shared" ref="G40:G43" si="7">E40*F40</f>
        <v>13330.000000000002</v>
      </c>
      <c r="H40" s="20"/>
      <c r="I40" s="26">
        <f t="shared" si="4"/>
        <v>1211.818181818182</v>
      </c>
    </row>
    <row r="41" spans="3:9">
      <c r="C41" s="32">
        <v>45591</v>
      </c>
      <c r="D41" s="24" t="s">
        <v>36</v>
      </c>
      <c r="E41" s="27">
        <v>34</v>
      </c>
      <c r="F41" s="27">
        <v>133.30000000000001</v>
      </c>
      <c r="G41" s="27">
        <f t="shared" si="7"/>
        <v>4532.2000000000007</v>
      </c>
      <c r="H41" s="20"/>
      <c r="I41" s="26">
        <f t="shared" si="4"/>
        <v>412.01818181818186</v>
      </c>
    </row>
    <row r="42" spans="3:9">
      <c r="C42" s="32">
        <v>45591</v>
      </c>
      <c r="D42" s="24" t="s">
        <v>37</v>
      </c>
      <c r="E42" s="27">
        <v>10</v>
      </c>
      <c r="F42" s="27">
        <f t="shared" si="6"/>
        <v>0</v>
      </c>
      <c r="G42" s="27">
        <v>0</v>
      </c>
      <c r="H42" s="20"/>
      <c r="I42" s="26">
        <f t="shared" si="4"/>
        <v>0</v>
      </c>
    </row>
    <row r="43" spans="3:9">
      <c r="C43" s="32">
        <v>45591</v>
      </c>
      <c r="D43" s="24" t="s">
        <v>38</v>
      </c>
      <c r="E43" s="27">
        <v>7</v>
      </c>
      <c r="F43" s="27">
        <v>95</v>
      </c>
      <c r="G43" s="27">
        <f t="shared" si="7"/>
        <v>665</v>
      </c>
      <c r="H43" s="20"/>
      <c r="I43" s="26">
        <f t="shared" si="4"/>
        <v>60.454545454545453</v>
      </c>
    </row>
    <row r="44" spans="3:9">
      <c r="C44" s="20"/>
      <c r="D44" s="20"/>
      <c r="E44" s="27"/>
      <c r="F44" s="27"/>
      <c r="G44" s="27"/>
      <c r="H44" s="20"/>
      <c r="I44" s="20"/>
    </row>
    <row r="45" spans="3:9">
      <c r="C45" s="32">
        <v>45593</v>
      </c>
      <c r="D45" s="33" t="s">
        <v>39</v>
      </c>
      <c r="E45" s="27">
        <v>100</v>
      </c>
      <c r="F45" s="27">
        <v>0</v>
      </c>
      <c r="G45" s="27">
        <f>E45*F45</f>
        <v>0</v>
      </c>
      <c r="H45" s="20"/>
      <c r="I45" s="26">
        <f t="shared" si="4"/>
        <v>0</v>
      </c>
    </row>
    <row r="46" spans="3:9">
      <c r="C46" s="32">
        <v>45593</v>
      </c>
      <c r="D46" s="24" t="s">
        <v>40</v>
      </c>
      <c r="E46" s="27">
        <f>10-8</f>
        <v>2</v>
      </c>
      <c r="F46" s="27">
        <f>G46/E46</f>
        <v>2500</v>
      </c>
      <c r="G46" s="27">
        <v>5000</v>
      </c>
      <c r="H46" s="20"/>
      <c r="I46" s="26">
        <f t="shared" si="4"/>
        <v>454.54545454545456</v>
      </c>
    </row>
    <row r="47" spans="3:9">
      <c r="C47" s="32">
        <v>45593</v>
      </c>
      <c r="D47" s="24" t="s">
        <v>41</v>
      </c>
      <c r="E47" s="27">
        <v>2</v>
      </c>
      <c r="F47" s="27">
        <v>669</v>
      </c>
      <c r="G47" s="27">
        <f>E47*F47</f>
        <v>1338</v>
      </c>
      <c r="H47" s="20"/>
      <c r="I47" s="26">
        <f t="shared" si="4"/>
        <v>121.63636363636364</v>
      </c>
    </row>
    <row r="48" spans="3:9">
      <c r="C48" s="20"/>
      <c r="D48" s="20"/>
      <c r="E48" s="27"/>
      <c r="F48" s="27"/>
      <c r="G48" s="27"/>
      <c r="H48" s="20"/>
      <c r="I48" s="20"/>
    </row>
    <row r="49" spans="3:9">
      <c r="C49" s="25">
        <v>45601</v>
      </c>
      <c r="D49" s="24" t="s">
        <v>42</v>
      </c>
      <c r="E49" s="27">
        <v>8</v>
      </c>
      <c r="F49" s="27">
        <f>G49/E49</f>
        <v>189</v>
      </c>
      <c r="G49" s="27">
        <v>1512</v>
      </c>
      <c r="H49" s="20"/>
      <c r="I49" s="26">
        <f t="shared" si="4"/>
        <v>137.45454545454547</v>
      </c>
    </row>
    <row r="50" spans="3:9">
      <c r="C50" s="25">
        <v>45601</v>
      </c>
      <c r="D50" s="24" t="s">
        <v>43</v>
      </c>
      <c r="E50" s="27">
        <v>10</v>
      </c>
      <c r="F50" s="27">
        <f>G50/E50</f>
        <v>230</v>
      </c>
      <c r="G50" s="27">
        <v>2300</v>
      </c>
      <c r="H50" s="20"/>
      <c r="I50" s="26">
        <f t="shared" si="4"/>
        <v>209.09090909090909</v>
      </c>
    </row>
    <row r="51" spans="3:9">
      <c r="C51" s="20"/>
      <c r="D51" s="20"/>
      <c r="E51" s="27"/>
      <c r="F51" s="27"/>
      <c r="G51" s="27"/>
      <c r="H51" s="20"/>
      <c r="I51" s="20"/>
    </row>
    <row r="52" spans="3:9">
      <c r="C52" s="2">
        <v>45605</v>
      </c>
      <c r="D52" s="24" t="s">
        <v>44</v>
      </c>
      <c r="E52" s="27">
        <v>20</v>
      </c>
      <c r="F52" s="27">
        <f>G52/E52</f>
        <v>500</v>
      </c>
      <c r="G52" s="27">
        <v>10000</v>
      </c>
      <c r="H52" s="20"/>
      <c r="I52" s="26">
        <f t="shared" si="4"/>
        <v>909.09090909090912</v>
      </c>
    </row>
    <row r="53" spans="3:9">
      <c r="C53" s="13"/>
      <c r="D53" s="14"/>
      <c r="E53" s="15"/>
      <c r="F53" s="15"/>
      <c r="G53" s="15"/>
      <c r="H53" s="16"/>
      <c r="I53" s="17"/>
    </row>
    <row r="54" spans="3:9">
      <c r="C54" s="2">
        <v>45608</v>
      </c>
      <c r="D54" s="24" t="s">
        <v>45</v>
      </c>
      <c r="E54" s="27">
        <v>39</v>
      </c>
      <c r="F54" s="27">
        <f>G54/E54</f>
        <v>549</v>
      </c>
      <c r="G54" s="27">
        <v>21411</v>
      </c>
      <c r="H54" s="20"/>
      <c r="I54" s="26">
        <f t="shared" ref="I54:I55" si="8">G54/11</f>
        <v>1946.4545454545455</v>
      </c>
    </row>
    <row r="55" spans="3:9">
      <c r="C55" s="2">
        <v>45609</v>
      </c>
      <c r="D55" s="24" t="s">
        <v>46</v>
      </c>
      <c r="E55" s="27">
        <v>10</v>
      </c>
      <c r="F55" s="27">
        <f>G55/E55</f>
        <v>549</v>
      </c>
      <c r="G55" s="27">
        <v>5490</v>
      </c>
      <c r="H55" s="20"/>
      <c r="I55" s="26">
        <f t="shared" si="8"/>
        <v>499.09090909090907</v>
      </c>
    </row>
    <row r="56" spans="3:9">
      <c r="C56" s="13"/>
      <c r="D56" s="14"/>
      <c r="E56" s="15"/>
      <c r="F56" s="15"/>
      <c r="G56" s="15"/>
      <c r="H56" s="16"/>
      <c r="I56" s="17"/>
    </row>
    <row r="57" spans="3:9">
      <c r="C57" s="2">
        <v>45610</v>
      </c>
      <c r="D57" s="24" t="s">
        <v>47</v>
      </c>
      <c r="E57" s="27">
        <v>120</v>
      </c>
      <c r="F57" s="27">
        <f>G57/E57</f>
        <v>548</v>
      </c>
      <c r="G57" s="27">
        <v>65760</v>
      </c>
      <c r="H57" s="20"/>
      <c r="I57" s="26">
        <f>G57/11</f>
        <v>5978.181818181818</v>
      </c>
    </row>
    <row r="58" spans="3:9">
      <c r="C58" s="2">
        <v>45610</v>
      </c>
      <c r="D58" s="24" t="s">
        <v>48</v>
      </c>
      <c r="E58" s="27">
        <v>6</v>
      </c>
      <c r="F58" s="27">
        <f>G58/E58</f>
        <v>579</v>
      </c>
      <c r="G58" s="27">
        <v>3474</v>
      </c>
      <c r="H58" s="20"/>
      <c r="I58" s="26">
        <f>G58/11</f>
        <v>315.81818181818181</v>
      </c>
    </row>
    <row r="59" spans="3:9">
      <c r="C59" s="2"/>
      <c r="D59" s="24"/>
      <c r="E59" s="27"/>
      <c r="F59" s="27"/>
      <c r="G59" s="27"/>
      <c r="H59" s="20"/>
      <c r="I59" s="26"/>
    </row>
    <row r="60" spans="3:9">
      <c r="C60" s="25">
        <v>45611</v>
      </c>
      <c r="D60" s="24" t="s">
        <v>49</v>
      </c>
      <c r="E60" s="27">
        <v>50</v>
      </c>
      <c r="F60" s="27">
        <f t="shared" ref="F60:F64" si="9">G60/E60</f>
        <v>133.30000000000001</v>
      </c>
      <c r="G60" s="27">
        <f>50*133.3</f>
        <v>6665.0000000000009</v>
      </c>
      <c r="H60" s="20"/>
      <c r="I60" s="26">
        <f t="shared" ref="I60:I65" si="10">G60/11</f>
        <v>605.90909090909099</v>
      </c>
    </row>
    <row r="61" spans="3:9">
      <c r="C61" s="25">
        <v>45611</v>
      </c>
      <c r="D61" s="24" t="s">
        <v>50</v>
      </c>
      <c r="E61" s="27">
        <v>10</v>
      </c>
      <c r="F61" s="27">
        <f t="shared" si="9"/>
        <v>598</v>
      </c>
      <c r="G61" s="27">
        <f>598*10</f>
        <v>5980</v>
      </c>
      <c r="H61" s="20"/>
      <c r="I61" s="26">
        <f t="shared" si="10"/>
        <v>543.63636363636363</v>
      </c>
    </row>
    <row r="62" spans="3:9">
      <c r="C62" s="25">
        <v>45611</v>
      </c>
      <c r="D62" s="24" t="s">
        <v>51</v>
      </c>
      <c r="E62" s="27">
        <v>7</v>
      </c>
      <c r="F62" s="27">
        <f t="shared" si="9"/>
        <v>500</v>
      </c>
      <c r="G62" s="27">
        <f>7*500</f>
        <v>3500</v>
      </c>
      <c r="H62" s="20"/>
      <c r="I62" s="26">
        <f t="shared" si="10"/>
        <v>318.18181818181819</v>
      </c>
    </row>
    <row r="63" spans="3:9">
      <c r="C63" s="25">
        <v>45611</v>
      </c>
      <c r="D63" s="24" t="s">
        <v>52</v>
      </c>
      <c r="E63" s="27">
        <v>4</v>
      </c>
      <c r="F63" s="27">
        <f t="shared" si="9"/>
        <v>579</v>
      </c>
      <c r="G63" s="27">
        <f>4*579</f>
        <v>2316</v>
      </c>
      <c r="H63" s="20"/>
      <c r="I63" s="26">
        <f t="shared" si="10"/>
        <v>210.54545454545453</v>
      </c>
    </row>
    <row r="64" spans="3:9">
      <c r="C64" s="25">
        <v>45611</v>
      </c>
      <c r="D64" s="24" t="s">
        <v>53</v>
      </c>
      <c r="E64" s="27">
        <v>4</v>
      </c>
      <c r="F64" s="27">
        <f t="shared" si="9"/>
        <v>269</v>
      </c>
      <c r="G64" s="27">
        <f>4*269</f>
        <v>1076</v>
      </c>
      <c r="H64" s="20"/>
      <c r="I64" s="26">
        <f t="shared" si="10"/>
        <v>97.818181818181813</v>
      </c>
    </row>
    <row r="65" spans="3:9">
      <c r="C65" s="25">
        <v>45611</v>
      </c>
      <c r="D65" s="24" t="s">
        <v>62</v>
      </c>
      <c r="E65" s="27">
        <v>100</v>
      </c>
      <c r="F65" s="27">
        <v>140</v>
      </c>
      <c r="G65" s="27">
        <f>E65*F65</f>
        <v>14000</v>
      </c>
      <c r="H65" s="20"/>
      <c r="I65" s="26">
        <f t="shared" si="10"/>
        <v>1272.7272727272727</v>
      </c>
    </row>
    <row r="66" spans="3:9">
      <c r="C66" s="25"/>
      <c r="D66" s="24"/>
      <c r="E66" s="27"/>
      <c r="F66" s="27"/>
      <c r="G66" s="27"/>
      <c r="H66" s="20"/>
      <c r="I66" s="26"/>
    </row>
    <row r="67" spans="3:9">
      <c r="C67" s="25">
        <v>45612</v>
      </c>
      <c r="D67" s="33" t="s">
        <v>54</v>
      </c>
      <c r="E67" s="27">
        <v>12</v>
      </c>
      <c r="F67" s="27">
        <f>G67/E67</f>
        <v>598</v>
      </c>
      <c r="G67" s="27">
        <f>12*598</f>
        <v>7176</v>
      </c>
      <c r="H67" s="20"/>
      <c r="I67" s="26">
        <f>G67/11</f>
        <v>652.36363636363637</v>
      </c>
    </row>
    <row r="68" spans="3:9">
      <c r="C68" s="25">
        <v>45612</v>
      </c>
      <c r="D68" s="24" t="s">
        <v>55</v>
      </c>
      <c r="E68" s="27">
        <v>30</v>
      </c>
      <c r="F68" s="27">
        <f>G68/E68</f>
        <v>131</v>
      </c>
      <c r="G68" s="27">
        <f>30*131</f>
        <v>3930</v>
      </c>
      <c r="H68" s="20"/>
      <c r="I68" s="26">
        <f>G68/11</f>
        <v>357.27272727272725</v>
      </c>
    </row>
    <row r="69" spans="3:9">
      <c r="C69" s="25">
        <v>45612</v>
      </c>
      <c r="D69" s="24" t="s">
        <v>56</v>
      </c>
      <c r="E69" s="27">
        <v>10</v>
      </c>
      <c r="F69" s="27">
        <f>G69/E69</f>
        <v>131</v>
      </c>
      <c r="G69" s="27">
        <f>10*131</f>
        <v>1310</v>
      </c>
      <c r="H69" s="20"/>
      <c r="I69" s="26">
        <f>G69/11</f>
        <v>119.09090909090909</v>
      </c>
    </row>
    <row r="70" spans="3:9">
      <c r="C70" s="25"/>
      <c r="D70" s="24"/>
      <c r="E70" s="27"/>
      <c r="F70" s="27"/>
      <c r="G70" s="27"/>
      <c r="H70" s="20"/>
      <c r="I70" s="26"/>
    </row>
    <row r="71" spans="3:9">
      <c r="C71" s="25">
        <v>45613</v>
      </c>
      <c r="D71" s="33" t="s">
        <v>63</v>
      </c>
      <c r="E71" s="27">
        <v>13</v>
      </c>
      <c r="F71" s="27">
        <f t="shared" ref="F71:F78" si="11">G71/E71</f>
        <v>598</v>
      </c>
      <c r="G71" s="27">
        <f>13*598</f>
        <v>7774</v>
      </c>
      <c r="H71" s="20"/>
      <c r="I71" s="26">
        <f t="shared" ref="I71:I78" si="12">G71/11</f>
        <v>706.72727272727275</v>
      </c>
    </row>
    <row r="72" spans="3:9">
      <c r="C72" s="25">
        <v>45613</v>
      </c>
      <c r="D72" s="33" t="s">
        <v>64</v>
      </c>
      <c r="E72" s="27">
        <v>14</v>
      </c>
      <c r="F72" s="27">
        <f t="shared" si="11"/>
        <v>619</v>
      </c>
      <c r="G72" s="27">
        <f>14*619</f>
        <v>8666</v>
      </c>
      <c r="H72" s="20"/>
      <c r="I72" s="26">
        <f t="shared" si="12"/>
        <v>787.81818181818187</v>
      </c>
    </row>
    <row r="73" spans="3:9">
      <c r="C73" s="25">
        <v>45613</v>
      </c>
      <c r="D73" s="33" t="s">
        <v>65</v>
      </c>
      <c r="E73" s="27">
        <v>4</v>
      </c>
      <c r="F73" s="27">
        <f t="shared" si="11"/>
        <v>618</v>
      </c>
      <c r="G73" s="27">
        <f>4*618</f>
        <v>2472</v>
      </c>
      <c r="H73" s="20"/>
      <c r="I73" s="26">
        <f t="shared" si="12"/>
        <v>224.72727272727272</v>
      </c>
    </row>
    <row r="74" spans="3:9">
      <c r="C74" s="25">
        <v>45613</v>
      </c>
      <c r="D74" s="33" t="s">
        <v>66</v>
      </c>
      <c r="E74" s="27">
        <v>4</v>
      </c>
      <c r="F74" s="27">
        <f t="shared" si="11"/>
        <v>598</v>
      </c>
      <c r="G74" s="27">
        <f>4*598</f>
        <v>2392</v>
      </c>
      <c r="H74" s="20"/>
      <c r="I74" s="26">
        <f t="shared" si="12"/>
        <v>217.45454545454547</v>
      </c>
    </row>
    <row r="75" spans="3:9">
      <c r="C75" s="25">
        <v>45613</v>
      </c>
      <c r="D75" s="33" t="s">
        <v>67</v>
      </c>
      <c r="E75" s="27">
        <v>200</v>
      </c>
      <c r="F75" s="27">
        <f t="shared" si="11"/>
        <v>0</v>
      </c>
      <c r="G75" s="27">
        <v>0</v>
      </c>
      <c r="H75" s="20"/>
      <c r="I75" s="26">
        <f t="shared" si="12"/>
        <v>0</v>
      </c>
    </row>
    <row r="76" spans="3:9">
      <c r="C76" s="25">
        <v>45613</v>
      </c>
      <c r="D76" s="24" t="s">
        <v>68</v>
      </c>
      <c r="E76" s="27">
        <v>50</v>
      </c>
      <c r="F76" s="27">
        <f t="shared" si="11"/>
        <v>0</v>
      </c>
      <c r="G76" s="27">
        <v>0</v>
      </c>
      <c r="H76" s="20"/>
      <c r="I76" s="26">
        <f t="shared" si="12"/>
        <v>0</v>
      </c>
    </row>
    <row r="77" spans="3:9">
      <c r="C77" s="25">
        <v>45613</v>
      </c>
      <c r="D77" s="33" t="s">
        <v>69</v>
      </c>
      <c r="E77" s="27">
        <v>2</v>
      </c>
      <c r="F77" s="27">
        <f t="shared" si="11"/>
        <v>2500</v>
      </c>
      <c r="G77" s="27">
        <f>2*2500</f>
        <v>5000</v>
      </c>
      <c r="H77" s="20"/>
      <c r="I77" s="26">
        <f t="shared" si="12"/>
        <v>454.54545454545456</v>
      </c>
    </row>
    <row r="78" spans="3:9">
      <c r="C78" s="25">
        <v>45613</v>
      </c>
      <c r="D78" s="33" t="s">
        <v>70</v>
      </c>
      <c r="E78" s="27">
        <v>30</v>
      </c>
      <c r="F78" s="27">
        <f t="shared" si="11"/>
        <v>126</v>
      </c>
      <c r="G78" s="27">
        <f>30*126</f>
        <v>3780</v>
      </c>
      <c r="H78" s="20"/>
      <c r="I78" s="26">
        <f t="shared" si="12"/>
        <v>343.63636363636363</v>
      </c>
    </row>
    <row r="79" spans="3:9">
      <c r="C79" s="25"/>
      <c r="D79" s="24"/>
      <c r="E79" s="27"/>
      <c r="F79" s="27"/>
      <c r="G79" s="27"/>
      <c r="H79" s="20"/>
      <c r="I79" s="26"/>
    </row>
    <row r="80" spans="3:9">
      <c r="C80" s="25">
        <v>45615</v>
      </c>
      <c r="D80" s="33" t="s">
        <v>71</v>
      </c>
      <c r="E80" s="27">
        <v>10</v>
      </c>
      <c r="F80" s="27">
        <f>G80/E80</f>
        <v>598</v>
      </c>
      <c r="G80" s="27">
        <f>10*598</f>
        <v>5980</v>
      </c>
      <c r="H80" s="20"/>
      <c r="I80" s="26">
        <f>G80/11</f>
        <v>543.63636363636363</v>
      </c>
    </row>
    <row r="81" spans="3:9">
      <c r="C81" s="25">
        <v>45615</v>
      </c>
      <c r="D81" s="33" t="s">
        <v>72</v>
      </c>
      <c r="E81" s="27">
        <v>9</v>
      </c>
      <c r="F81" s="27">
        <f>G81/E81</f>
        <v>549</v>
      </c>
      <c r="G81" s="27">
        <f>9*549</f>
        <v>4941</v>
      </c>
      <c r="H81" s="20"/>
      <c r="I81" s="26">
        <f>G81/11</f>
        <v>449.18181818181819</v>
      </c>
    </row>
    <row r="82" spans="3:9">
      <c r="C82" s="25">
        <v>45616</v>
      </c>
      <c r="D82" s="33" t="s">
        <v>71</v>
      </c>
      <c r="E82" s="27">
        <v>10</v>
      </c>
      <c r="F82" s="27">
        <f>G82/E82</f>
        <v>598</v>
      </c>
      <c r="G82" s="27">
        <f>10*598</f>
        <v>5980</v>
      </c>
      <c r="H82" s="20"/>
      <c r="I82" s="26">
        <f>G82/11</f>
        <v>543.63636363636363</v>
      </c>
    </row>
    <row r="83" spans="3:9">
      <c r="C83" s="25">
        <v>45616</v>
      </c>
      <c r="D83" s="33" t="s">
        <v>73</v>
      </c>
      <c r="E83" s="27">
        <v>14</v>
      </c>
      <c r="F83" s="27">
        <f>G83/E83</f>
        <v>549</v>
      </c>
      <c r="G83" s="27">
        <f>14*549</f>
        <v>7686</v>
      </c>
      <c r="H83" s="20"/>
      <c r="I83" s="26">
        <f>G83/11</f>
        <v>698.72727272727275</v>
      </c>
    </row>
    <row r="84" spans="3:9">
      <c r="C84" s="25"/>
      <c r="D84" s="33"/>
      <c r="E84" s="27"/>
      <c r="F84" s="27"/>
      <c r="G84" s="27"/>
      <c r="H84" s="20"/>
      <c r="I84" s="26"/>
    </row>
    <row r="85" spans="3:9">
      <c r="C85" s="25">
        <v>45617</v>
      </c>
      <c r="D85" s="33" t="s">
        <v>74</v>
      </c>
      <c r="E85" s="27">
        <v>4</v>
      </c>
      <c r="F85" s="27">
        <f>G85/E85</f>
        <v>598</v>
      </c>
      <c r="G85" s="27">
        <f>598*4</f>
        <v>2392</v>
      </c>
      <c r="H85" s="20"/>
      <c r="I85" s="26">
        <f>G85/11</f>
        <v>217.45454545454547</v>
      </c>
    </row>
    <row r="86" spans="3:9">
      <c r="C86" s="25">
        <v>45617</v>
      </c>
      <c r="D86" s="33" t="s">
        <v>75</v>
      </c>
      <c r="E86" s="27">
        <v>6</v>
      </c>
      <c r="F86" s="27">
        <f>G86/E86</f>
        <v>549</v>
      </c>
      <c r="G86" s="27">
        <f>549*6</f>
        <v>3294</v>
      </c>
      <c r="H86" s="20"/>
      <c r="I86" s="26">
        <f>G86/11</f>
        <v>299.45454545454544</v>
      </c>
    </row>
    <row r="87" spans="3:9">
      <c r="C87" s="25">
        <v>45617</v>
      </c>
      <c r="D87" s="33" t="s">
        <v>76</v>
      </c>
      <c r="E87" s="27">
        <v>1</v>
      </c>
      <c r="F87" s="27">
        <f>G87/E87</f>
        <v>599</v>
      </c>
      <c r="G87" s="27">
        <f>599*1</f>
        <v>599</v>
      </c>
      <c r="H87" s="20"/>
      <c r="I87" s="26">
        <f>G87/11</f>
        <v>54.454545454545453</v>
      </c>
    </row>
    <row r="88" spans="3:9">
      <c r="C88" s="25">
        <v>45617</v>
      </c>
      <c r="D88" s="33" t="s">
        <v>76</v>
      </c>
      <c r="E88" s="27">
        <v>1</v>
      </c>
      <c r="F88" s="27">
        <f>G88/E88</f>
        <v>599</v>
      </c>
      <c r="G88" s="27">
        <f>599*1</f>
        <v>599</v>
      </c>
      <c r="H88" s="20"/>
      <c r="I88" s="26">
        <f>G88/11</f>
        <v>54.454545454545453</v>
      </c>
    </row>
    <row r="89" spans="3:9">
      <c r="C89" s="25">
        <v>45617</v>
      </c>
      <c r="D89" s="33" t="s">
        <v>77</v>
      </c>
      <c r="E89" s="27">
        <v>2</v>
      </c>
      <c r="F89" s="27">
        <f>G89/E89</f>
        <v>180</v>
      </c>
      <c r="G89" s="27">
        <f>180*2</f>
        <v>360</v>
      </c>
      <c r="H89" s="20"/>
      <c r="I89" s="26">
        <f>G89/11</f>
        <v>32.727272727272727</v>
      </c>
    </row>
    <row r="90" spans="3:9">
      <c r="C90" s="25"/>
      <c r="D90" s="24"/>
      <c r="E90" s="27"/>
      <c r="F90" s="27"/>
      <c r="G90" s="27"/>
      <c r="H90" s="20"/>
      <c r="I90" s="26"/>
    </row>
    <row r="91" spans="3:9">
      <c r="C91" s="25">
        <v>45618</v>
      </c>
      <c r="D91" s="33" t="s">
        <v>57</v>
      </c>
      <c r="E91" s="27">
        <v>5</v>
      </c>
      <c r="F91" s="27">
        <f>G91/E91</f>
        <v>599</v>
      </c>
      <c r="G91" s="27">
        <f>599*5</f>
        <v>2995</v>
      </c>
      <c r="H91" s="20"/>
      <c r="I91" s="26">
        <f>G91/11</f>
        <v>272.27272727272725</v>
      </c>
    </row>
    <row r="92" spans="3:9">
      <c r="C92" s="25">
        <v>45618</v>
      </c>
      <c r="D92" s="33" t="s">
        <v>58</v>
      </c>
      <c r="E92" s="27">
        <v>3</v>
      </c>
      <c r="F92" s="27">
        <f>G92/E92</f>
        <v>500</v>
      </c>
      <c r="G92" s="27">
        <f>3*500</f>
        <v>1500</v>
      </c>
      <c r="H92" s="20"/>
      <c r="I92" s="26">
        <f>G92/11</f>
        <v>136.36363636363637</v>
      </c>
    </row>
    <row r="93" spans="3:9">
      <c r="C93" s="25">
        <v>45619</v>
      </c>
      <c r="D93" s="33" t="s">
        <v>59</v>
      </c>
      <c r="E93" s="27">
        <v>2</v>
      </c>
      <c r="F93" s="27">
        <f>G93/E93</f>
        <v>549</v>
      </c>
      <c r="G93" s="27">
        <f>549*2</f>
        <v>1098</v>
      </c>
      <c r="H93" s="20"/>
      <c r="I93" s="26">
        <f>G93/11</f>
        <v>99.818181818181813</v>
      </c>
    </row>
    <row r="94" spans="3:9">
      <c r="C94" s="25"/>
      <c r="D94" s="24"/>
      <c r="E94" s="27"/>
      <c r="F94" s="27"/>
      <c r="G94" s="27"/>
      <c r="H94" s="20"/>
      <c r="I94" s="26"/>
    </row>
    <row r="95" spans="3:9">
      <c r="C95" s="25">
        <v>45626</v>
      </c>
      <c r="D95" s="33" t="s">
        <v>78</v>
      </c>
      <c r="E95" s="27">
        <v>6</v>
      </c>
      <c r="F95" s="27">
        <f>G95/E95</f>
        <v>549</v>
      </c>
      <c r="G95" s="27">
        <f>6*549</f>
        <v>3294</v>
      </c>
      <c r="H95" s="20"/>
      <c r="I95" s="26">
        <f t="shared" ref="I95" si="13">G95/11</f>
        <v>299.45454545454544</v>
      </c>
    </row>
    <row r="96" spans="3:9">
      <c r="C96" s="25"/>
      <c r="D96" s="33"/>
      <c r="E96" s="27"/>
      <c r="F96" s="27"/>
      <c r="G96" s="27"/>
      <c r="H96" s="20"/>
      <c r="I96" s="26"/>
    </row>
    <row r="97" spans="3:9">
      <c r="C97" s="25">
        <v>45627</v>
      </c>
      <c r="D97" s="33" t="s">
        <v>79</v>
      </c>
      <c r="E97" s="27">
        <v>13</v>
      </c>
      <c r="F97" s="27">
        <f t="shared" ref="F97:F98" si="14">G97/E97</f>
        <v>549</v>
      </c>
      <c r="G97" s="27">
        <f>549*13</f>
        <v>7137</v>
      </c>
      <c r="H97" s="20"/>
      <c r="I97" s="26">
        <f t="shared" ref="I97:I98" si="15">G97/11</f>
        <v>648.81818181818187</v>
      </c>
    </row>
    <row r="98" spans="3:9">
      <c r="C98" s="25">
        <v>45627</v>
      </c>
      <c r="D98" s="33" t="s">
        <v>80</v>
      </c>
      <c r="E98" s="27">
        <v>2</v>
      </c>
      <c r="F98" s="27">
        <f t="shared" si="14"/>
        <v>520</v>
      </c>
      <c r="G98" s="27">
        <f>520*2</f>
        <v>1040</v>
      </c>
      <c r="H98" s="20"/>
      <c r="I98" s="26">
        <f t="shared" si="15"/>
        <v>94.545454545454547</v>
      </c>
    </row>
    <row r="99" spans="3:9">
      <c r="C99" s="25"/>
      <c r="D99" s="33"/>
      <c r="E99" s="27"/>
      <c r="F99" s="27"/>
      <c r="G99" s="27"/>
      <c r="H99" s="20"/>
      <c r="I99" s="26"/>
    </row>
    <row r="100" spans="3:9">
      <c r="C100" s="25">
        <v>45631</v>
      </c>
      <c r="D100" s="33" t="s">
        <v>81</v>
      </c>
      <c r="E100" s="27">
        <v>4</v>
      </c>
      <c r="F100" s="27">
        <f t="shared" ref="F100:F103" si="16">G100/E100</f>
        <v>513</v>
      </c>
      <c r="G100" s="27">
        <f>513*4</f>
        <v>2052</v>
      </c>
      <c r="H100" s="20"/>
      <c r="I100" s="26">
        <f t="shared" ref="I100:I103" si="17">G100/11</f>
        <v>186.54545454545453</v>
      </c>
    </row>
    <row r="101" spans="3:9">
      <c r="C101" s="25">
        <v>45631</v>
      </c>
      <c r="D101" s="33" t="s">
        <v>82</v>
      </c>
      <c r="E101" s="27">
        <v>4</v>
      </c>
      <c r="F101" s="27">
        <f t="shared" si="16"/>
        <v>486</v>
      </c>
      <c r="G101" s="27">
        <f>486*4</f>
        <v>1944</v>
      </c>
      <c r="H101" s="20"/>
      <c r="I101" s="26">
        <f t="shared" si="17"/>
        <v>176.72727272727272</v>
      </c>
    </row>
    <row r="102" spans="3:9">
      <c r="C102" s="25">
        <v>45631</v>
      </c>
      <c r="D102" s="33" t="s">
        <v>83</v>
      </c>
      <c r="E102" s="27">
        <v>4</v>
      </c>
      <c r="F102" s="27">
        <f t="shared" si="16"/>
        <v>513</v>
      </c>
      <c r="G102" s="27">
        <f>513*4</f>
        <v>2052</v>
      </c>
      <c r="H102" s="20"/>
      <c r="I102" s="26">
        <f t="shared" si="17"/>
        <v>186.54545454545453</v>
      </c>
    </row>
    <row r="103" spans="3:9">
      <c r="C103" s="25">
        <v>45631</v>
      </c>
      <c r="D103" s="33" t="s">
        <v>84</v>
      </c>
      <c r="E103" s="27">
        <v>6</v>
      </c>
      <c r="F103" s="27">
        <f t="shared" si="16"/>
        <v>513</v>
      </c>
      <c r="G103" s="27">
        <f>513*6</f>
        <v>3078</v>
      </c>
      <c r="H103" s="20"/>
      <c r="I103" s="26">
        <f t="shared" si="17"/>
        <v>279.81818181818181</v>
      </c>
    </row>
    <row r="104" spans="3:9">
      <c r="C104" s="25"/>
      <c r="D104" s="33"/>
      <c r="E104" s="27"/>
      <c r="F104" s="27"/>
      <c r="G104" s="27"/>
      <c r="H104" s="20"/>
      <c r="I104" s="26"/>
    </row>
    <row r="105" spans="3:9">
      <c r="C105" s="25">
        <v>45631</v>
      </c>
      <c r="D105" s="33" t="s">
        <v>85</v>
      </c>
      <c r="E105" s="27">
        <v>39</v>
      </c>
      <c r="F105" s="27">
        <f t="shared" ref="F105" si="18">G105/E105</f>
        <v>133.30000000000001</v>
      </c>
      <c r="G105" s="27">
        <f>133.3*39</f>
        <v>5198.7000000000007</v>
      </c>
      <c r="H105" s="20"/>
      <c r="I105" s="26">
        <f t="shared" ref="I105" si="19">G105/11</f>
        <v>472.60909090909098</v>
      </c>
    </row>
    <row r="106" spans="3:9">
      <c r="C106" s="25"/>
      <c r="D106" s="33"/>
      <c r="E106" s="27"/>
      <c r="F106" s="27"/>
      <c r="G106" s="27"/>
      <c r="H106" s="20"/>
      <c r="I106" s="26"/>
    </row>
    <row r="107" spans="3:9">
      <c r="C107" s="25">
        <v>45632</v>
      </c>
      <c r="D107" s="33" t="s">
        <v>86</v>
      </c>
      <c r="E107" s="27">
        <v>5</v>
      </c>
      <c r="F107" s="27">
        <f t="shared" ref="F107:F108" si="20">G107/E107</f>
        <v>549</v>
      </c>
      <c r="G107" s="27">
        <f>5*549</f>
        <v>2745</v>
      </c>
      <c r="H107" s="20"/>
      <c r="I107" s="26">
        <f t="shared" ref="I107:I125" si="21">G107/11</f>
        <v>249.54545454545453</v>
      </c>
    </row>
    <row r="108" spans="3:9">
      <c r="C108" s="25">
        <v>45632</v>
      </c>
      <c r="D108" s="33" t="s">
        <v>87</v>
      </c>
      <c r="E108" s="27">
        <v>25</v>
      </c>
      <c r="F108" s="27">
        <f t="shared" si="20"/>
        <v>69.2</v>
      </c>
      <c r="G108" s="27">
        <f>69.2*25</f>
        <v>1730</v>
      </c>
      <c r="H108" s="20"/>
      <c r="I108" s="26">
        <f t="shared" si="21"/>
        <v>157.27272727272728</v>
      </c>
    </row>
    <row r="109" spans="3:9">
      <c r="C109" s="25"/>
      <c r="D109" s="33"/>
      <c r="E109" s="27"/>
      <c r="F109" s="27"/>
      <c r="G109" s="27"/>
      <c r="H109" s="20"/>
      <c r="I109" s="26"/>
    </row>
    <row r="110" spans="3:9">
      <c r="C110" s="25">
        <v>45632</v>
      </c>
      <c r="D110" s="33" t="s">
        <v>88</v>
      </c>
      <c r="E110" s="27">
        <v>51</v>
      </c>
      <c r="F110" s="27">
        <v>569</v>
      </c>
      <c r="G110" s="27">
        <f>E110*F110</f>
        <v>29019</v>
      </c>
      <c r="H110" s="20"/>
      <c r="I110" s="26">
        <f t="shared" si="21"/>
        <v>2638.090909090909</v>
      </c>
    </row>
    <row r="111" spans="3:9">
      <c r="C111" s="25"/>
      <c r="D111" s="33"/>
      <c r="E111" s="27"/>
      <c r="F111" s="27"/>
      <c r="G111" s="27"/>
      <c r="H111" s="20"/>
      <c r="I111" s="26"/>
    </row>
    <row r="112" spans="3:9">
      <c r="C112" s="25">
        <v>45633</v>
      </c>
      <c r="D112" s="33" t="s">
        <v>89</v>
      </c>
      <c r="E112" s="27">
        <v>1</v>
      </c>
      <c r="F112" s="27">
        <v>580</v>
      </c>
      <c r="G112" s="27">
        <f>E112*F112</f>
        <v>580</v>
      </c>
      <c r="H112" s="20"/>
      <c r="I112" s="26">
        <f t="shared" si="21"/>
        <v>52.727272727272727</v>
      </c>
    </row>
    <row r="113" spans="3:9">
      <c r="C113" s="25">
        <v>45633</v>
      </c>
      <c r="D113" s="33" t="s">
        <v>90</v>
      </c>
      <c r="E113" s="27">
        <v>1</v>
      </c>
      <c r="F113" s="27">
        <v>470</v>
      </c>
      <c r="G113" s="27">
        <f t="shared" ref="G113:G115" si="22">E113*F113</f>
        <v>470</v>
      </c>
      <c r="H113" s="20"/>
      <c r="I113" s="26">
        <f t="shared" si="21"/>
        <v>42.727272727272727</v>
      </c>
    </row>
    <row r="114" spans="3:9">
      <c r="C114" s="25">
        <v>45633</v>
      </c>
      <c r="D114" s="33" t="s">
        <v>91</v>
      </c>
      <c r="E114" s="27">
        <v>4</v>
      </c>
      <c r="F114" s="27">
        <v>485</v>
      </c>
      <c r="G114" s="27">
        <f t="shared" si="22"/>
        <v>1940</v>
      </c>
      <c r="H114" s="20"/>
      <c r="I114" s="26">
        <f t="shared" si="21"/>
        <v>176.36363636363637</v>
      </c>
    </row>
    <row r="115" spans="3:9">
      <c r="C115" s="25">
        <v>45633</v>
      </c>
      <c r="D115" s="33" t="s">
        <v>92</v>
      </c>
      <c r="E115" s="27">
        <v>15</v>
      </c>
      <c r="F115" s="27">
        <v>569</v>
      </c>
      <c r="G115" s="27">
        <f t="shared" si="22"/>
        <v>8535</v>
      </c>
      <c r="H115" s="20"/>
      <c r="I115" s="26">
        <f t="shared" si="21"/>
        <v>775.90909090909088</v>
      </c>
    </row>
    <row r="116" spans="3:9">
      <c r="C116" s="25"/>
      <c r="D116" s="33"/>
      <c r="E116" s="27"/>
      <c r="F116" s="27"/>
      <c r="G116" s="27"/>
      <c r="H116" s="20"/>
      <c r="I116" s="26"/>
    </row>
    <row r="117" spans="3:9">
      <c r="C117" s="25">
        <v>45634</v>
      </c>
      <c r="D117" s="33" t="s">
        <v>93</v>
      </c>
      <c r="E117" s="27">
        <v>38</v>
      </c>
      <c r="F117" s="27">
        <v>569</v>
      </c>
      <c r="G117" s="27">
        <f>E117*F117</f>
        <v>21622</v>
      </c>
      <c r="H117" s="20"/>
      <c r="I117" s="26">
        <f t="shared" si="21"/>
        <v>1965.6363636363637</v>
      </c>
    </row>
    <row r="118" spans="3:9">
      <c r="C118" s="25">
        <v>45634</v>
      </c>
      <c r="D118" s="33" t="s">
        <v>94</v>
      </c>
      <c r="E118" s="27">
        <v>11</v>
      </c>
      <c r="F118" s="27">
        <v>619</v>
      </c>
      <c r="G118" s="27">
        <f>E118*F118</f>
        <v>6809</v>
      </c>
      <c r="H118" s="20"/>
      <c r="I118" s="26">
        <f t="shared" si="21"/>
        <v>619</v>
      </c>
    </row>
    <row r="119" spans="3:9">
      <c r="C119" s="25"/>
      <c r="D119" s="33"/>
      <c r="E119" s="27"/>
      <c r="F119" s="27"/>
      <c r="G119" s="27"/>
      <c r="H119" s="20"/>
      <c r="I119" s="26"/>
    </row>
    <row r="120" spans="3:9">
      <c r="C120" s="25">
        <v>45640</v>
      </c>
      <c r="D120" s="33" t="s">
        <v>95</v>
      </c>
      <c r="E120" s="27">
        <v>17</v>
      </c>
      <c r="F120" s="27">
        <v>569</v>
      </c>
      <c r="G120" s="27">
        <f>E120*F120</f>
        <v>9673</v>
      </c>
      <c r="H120" s="20"/>
      <c r="I120" s="26">
        <f t="shared" si="21"/>
        <v>879.36363636363637</v>
      </c>
    </row>
    <row r="121" spans="3:9">
      <c r="C121" s="25"/>
      <c r="D121" s="33"/>
      <c r="E121" s="27"/>
      <c r="F121" s="27"/>
      <c r="G121" s="27"/>
      <c r="H121" s="20"/>
      <c r="I121" s="26"/>
    </row>
    <row r="122" spans="3:9">
      <c r="C122" s="25">
        <v>45642</v>
      </c>
      <c r="D122" s="33" t="s">
        <v>96</v>
      </c>
      <c r="E122" s="27">
        <v>4</v>
      </c>
      <c r="F122" s="27">
        <v>490</v>
      </c>
      <c r="G122" s="27">
        <f>E122*F122</f>
        <v>1960</v>
      </c>
      <c r="H122" s="20"/>
      <c r="I122" s="26">
        <f t="shared" si="21"/>
        <v>178.18181818181819</v>
      </c>
    </row>
    <row r="123" spans="3:9">
      <c r="C123" s="25">
        <v>45644</v>
      </c>
      <c r="D123" s="33" t="s">
        <v>97</v>
      </c>
      <c r="E123" s="27">
        <v>60</v>
      </c>
      <c r="F123" s="27">
        <v>132</v>
      </c>
      <c r="G123" s="27">
        <f>E123*F123</f>
        <v>7920</v>
      </c>
      <c r="H123" s="20"/>
      <c r="I123" s="26">
        <f t="shared" si="21"/>
        <v>720</v>
      </c>
    </row>
    <row r="124" spans="3:9">
      <c r="C124" s="25"/>
      <c r="D124" s="33"/>
      <c r="E124" s="27"/>
      <c r="F124" s="27"/>
      <c r="G124" s="27"/>
      <c r="H124" s="20"/>
      <c r="I124" s="26"/>
    </row>
    <row r="125" spans="3:9">
      <c r="C125" s="25">
        <v>45648</v>
      </c>
      <c r="D125" s="33" t="s">
        <v>98</v>
      </c>
      <c r="E125" s="27">
        <v>43</v>
      </c>
      <c r="F125" s="27">
        <v>132</v>
      </c>
      <c r="G125" s="27">
        <f>E125*F125</f>
        <v>5676</v>
      </c>
      <c r="H125" s="20"/>
      <c r="I125" s="26">
        <f t="shared" si="21"/>
        <v>516</v>
      </c>
    </row>
    <row r="126" spans="3:9">
      <c r="C126" s="25"/>
      <c r="D126" s="33"/>
      <c r="E126" s="27"/>
      <c r="F126" s="27"/>
      <c r="G126" s="27"/>
      <c r="H126" s="20"/>
      <c r="I126" s="26"/>
    </row>
    <row r="127" spans="3:9">
      <c r="C127" s="25">
        <v>45650</v>
      </c>
      <c r="D127" s="33" t="s">
        <v>99</v>
      </c>
      <c r="E127" s="27">
        <v>2</v>
      </c>
      <c r="F127" s="27">
        <v>549</v>
      </c>
      <c r="G127" s="27">
        <f>E127*F127</f>
        <v>1098</v>
      </c>
      <c r="H127" s="20"/>
      <c r="I127" s="26">
        <f t="shared" ref="I127:I159" si="23">G127/11</f>
        <v>99.818181818181813</v>
      </c>
    </row>
    <row r="128" spans="3:9">
      <c r="C128" s="25"/>
      <c r="D128" s="33"/>
      <c r="E128" s="27"/>
      <c r="F128" s="27"/>
      <c r="G128" s="27"/>
      <c r="H128" s="20"/>
      <c r="I128" s="26"/>
    </row>
    <row r="129" spans="3:9">
      <c r="C129" s="32">
        <v>45652</v>
      </c>
      <c r="D129" s="33" t="s">
        <v>100</v>
      </c>
      <c r="E129" s="27">
        <v>2</v>
      </c>
      <c r="F129" s="27">
        <v>2968</v>
      </c>
      <c r="G129" s="27">
        <f>E129*F129</f>
        <v>5936</v>
      </c>
      <c r="H129" s="20"/>
      <c r="I129" s="26">
        <f t="shared" si="23"/>
        <v>539.63636363636363</v>
      </c>
    </row>
    <row r="130" spans="3:9">
      <c r="C130" s="32">
        <v>45652</v>
      </c>
      <c r="D130" s="24" t="s">
        <v>101</v>
      </c>
      <c r="E130" s="27">
        <v>1</v>
      </c>
      <c r="F130" s="27">
        <v>599</v>
      </c>
      <c r="G130" s="27">
        <f t="shared" ref="G130:G152" si="24">E130*F130</f>
        <v>599</v>
      </c>
      <c r="H130" s="20"/>
      <c r="I130" s="26">
        <f t="shared" si="23"/>
        <v>54.454545454545453</v>
      </c>
    </row>
    <row r="131" spans="3:9">
      <c r="C131" s="32">
        <v>45652</v>
      </c>
      <c r="D131" s="24" t="s">
        <v>102</v>
      </c>
      <c r="E131" s="27">
        <v>40</v>
      </c>
      <c r="F131" s="27">
        <v>140</v>
      </c>
      <c r="G131" s="27">
        <f t="shared" si="24"/>
        <v>5600</v>
      </c>
      <c r="H131" s="20"/>
      <c r="I131" s="26">
        <f t="shared" si="23"/>
        <v>509.09090909090907</v>
      </c>
    </row>
    <row r="132" spans="3:9">
      <c r="C132" s="32">
        <v>45652</v>
      </c>
      <c r="D132" s="24" t="s">
        <v>103</v>
      </c>
      <c r="E132" s="27">
        <v>1</v>
      </c>
      <c r="F132" s="27">
        <v>1798</v>
      </c>
      <c r="G132" s="27">
        <f t="shared" si="24"/>
        <v>1798</v>
      </c>
      <c r="H132" s="20"/>
      <c r="I132" s="26">
        <f t="shared" si="23"/>
        <v>163.45454545454547</v>
      </c>
    </row>
    <row r="133" spans="3:9">
      <c r="C133" s="32">
        <v>45652</v>
      </c>
      <c r="D133" s="24" t="s">
        <v>101</v>
      </c>
      <c r="E133" s="27">
        <v>1</v>
      </c>
      <c r="F133" s="27">
        <v>599</v>
      </c>
      <c r="G133" s="27">
        <f t="shared" si="24"/>
        <v>599</v>
      </c>
      <c r="H133" s="20"/>
      <c r="I133" s="26">
        <f t="shared" si="23"/>
        <v>54.454545454545453</v>
      </c>
    </row>
    <row r="134" spans="3:9">
      <c r="C134" s="32">
        <v>45652</v>
      </c>
      <c r="D134" s="24" t="s">
        <v>104</v>
      </c>
      <c r="E134" s="27">
        <v>1</v>
      </c>
      <c r="F134" s="27">
        <v>549</v>
      </c>
      <c r="G134" s="27">
        <f t="shared" si="24"/>
        <v>549</v>
      </c>
      <c r="H134" s="20"/>
      <c r="I134" s="26">
        <f t="shared" si="23"/>
        <v>49.909090909090907</v>
      </c>
    </row>
    <row r="135" spans="3:9">
      <c r="C135" s="32">
        <v>45652</v>
      </c>
      <c r="D135" s="24" t="s">
        <v>105</v>
      </c>
      <c r="E135" s="27">
        <v>5</v>
      </c>
      <c r="F135" s="27">
        <v>599</v>
      </c>
      <c r="G135" s="27">
        <f t="shared" si="24"/>
        <v>2995</v>
      </c>
      <c r="H135" s="20"/>
      <c r="I135" s="26">
        <f t="shared" si="23"/>
        <v>272.27272727272725</v>
      </c>
    </row>
    <row r="136" spans="3:9">
      <c r="C136" s="32">
        <v>45652</v>
      </c>
      <c r="D136" s="24" t="s">
        <v>106</v>
      </c>
      <c r="E136" s="27">
        <v>3</v>
      </c>
      <c r="F136" s="27">
        <v>2968</v>
      </c>
      <c r="G136" s="27">
        <f t="shared" si="24"/>
        <v>8904</v>
      </c>
      <c r="H136" s="20"/>
      <c r="I136" s="26">
        <f t="shared" si="23"/>
        <v>809.4545454545455</v>
      </c>
    </row>
    <row r="137" spans="3:9">
      <c r="C137" s="32">
        <v>45652</v>
      </c>
      <c r="D137" s="24" t="s">
        <v>103</v>
      </c>
      <c r="E137" s="27">
        <v>1</v>
      </c>
      <c r="F137" s="27">
        <v>1798</v>
      </c>
      <c r="G137" s="27">
        <f t="shared" si="24"/>
        <v>1798</v>
      </c>
      <c r="H137" s="20"/>
      <c r="I137" s="26">
        <f t="shared" si="23"/>
        <v>163.45454545454547</v>
      </c>
    </row>
    <row r="138" spans="3:9">
      <c r="C138" s="32">
        <v>45652</v>
      </c>
      <c r="D138" s="24" t="s">
        <v>107</v>
      </c>
      <c r="E138" s="27">
        <v>75</v>
      </c>
      <c r="F138" s="27">
        <v>128</v>
      </c>
      <c r="G138" s="27">
        <f t="shared" si="24"/>
        <v>9600</v>
      </c>
      <c r="H138" s="20"/>
      <c r="I138" s="26">
        <f t="shared" si="23"/>
        <v>872.72727272727275</v>
      </c>
    </row>
    <row r="139" spans="3:9">
      <c r="C139" s="32">
        <v>45652</v>
      </c>
      <c r="D139" s="33" t="s">
        <v>108</v>
      </c>
      <c r="E139" s="27">
        <v>40</v>
      </c>
      <c r="F139" s="27">
        <v>68.5</v>
      </c>
      <c r="G139" s="27">
        <f t="shared" si="24"/>
        <v>2740</v>
      </c>
      <c r="H139" s="20"/>
      <c r="I139" s="26">
        <f t="shared" si="23"/>
        <v>249.09090909090909</v>
      </c>
    </row>
    <row r="140" spans="3:9">
      <c r="C140" s="32">
        <v>45652</v>
      </c>
      <c r="D140" s="33" t="s">
        <v>109</v>
      </c>
      <c r="E140" s="27">
        <v>2</v>
      </c>
      <c r="F140" s="27">
        <v>132</v>
      </c>
      <c r="G140" s="27">
        <f t="shared" si="24"/>
        <v>264</v>
      </c>
      <c r="H140" s="20"/>
      <c r="I140" s="26">
        <f t="shared" si="23"/>
        <v>24</v>
      </c>
    </row>
    <row r="141" spans="3:9">
      <c r="C141" s="32">
        <v>45652</v>
      </c>
      <c r="D141" s="33" t="s">
        <v>110</v>
      </c>
      <c r="E141" s="27">
        <v>2</v>
      </c>
      <c r="F141" s="27">
        <v>128</v>
      </c>
      <c r="G141" s="27">
        <f t="shared" si="24"/>
        <v>256</v>
      </c>
      <c r="H141" s="20"/>
      <c r="I141" s="26">
        <f t="shared" si="23"/>
        <v>23.272727272727273</v>
      </c>
    </row>
    <row r="142" spans="3:9">
      <c r="C142" s="32">
        <v>45652</v>
      </c>
      <c r="D142" s="33" t="s">
        <v>111</v>
      </c>
      <c r="E142" s="27">
        <v>1</v>
      </c>
      <c r="F142" s="27">
        <v>697</v>
      </c>
      <c r="G142" s="27">
        <f t="shared" si="24"/>
        <v>697</v>
      </c>
      <c r="H142" s="20"/>
      <c r="I142" s="26">
        <f t="shared" si="23"/>
        <v>63.363636363636367</v>
      </c>
    </row>
    <row r="143" spans="3:9">
      <c r="C143" s="32">
        <v>45652</v>
      </c>
      <c r="D143" s="33" t="s">
        <v>112</v>
      </c>
      <c r="E143" s="27">
        <v>1</v>
      </c>
      <c r="F143" s="27">
        <v>598</v>
      </c>
      <c r="G143" s="27">
        <f t="shared" si="24"/>
        <v>598</v>
      </c>
      <c r="H143" s="20"/>
      <c r="I143" s="26">
        <f t="shared" si="23"/>
        <v>54.363636363636367</v>
      </c>
    </row>
    <row r="144" spans="3:9">
      <c r="C144" s="32">
        <v>45652</v>
      </c>
      <c r="D144" s="33" t="s">
        <v>113</v>
      </c>
      <c r="E144" s="27">
        <v>60</v>
      </c>
      <c r="F144" s="27">
        <v>140</v>
      </c>
      <c r="G144" s="27">
        <f t="shared" si="24"/>
        <v>8400</v>
      </c>
      <c r="H144" s="20"/>
      <c r="I144" s="26">
        <f t="shared" si="23"/>
        <v>763.63636363636363</v>
      </c>
    </row>
    <row r="145" spans="3:9">
      <c r="C145" s="32">
        <v>45652</v>
      </c>
      <c r="D145" s="33" t="s">
        <v>114</v>
      </c>
      <c r="E145" s="27">
        <v>1</v>
      </c>
      <c r="F145" s="27">
        <v>2158</v>
      </c>
      <c r="G145" s="27">
        <f t="shared" si="24"/>
        <v>2158</v>
      </c>
      <c r="H145" s="20"/>
      <c r="I145" s="26">
        <f t="shared" si="23"/>
        <v>196.18181818181819</v>
      </c>
    </row>
    <row r="146" spans="3:9">
      <c r="C146" s="32">
        <v>45652</v>
      </c>
      <c r="D146" s="24" t="s">
        <v>115</v>
      </c>
      <c r="E146" s="27">
        <v>1</v>
      </c>
      <c r="F146" s="27">
        <v>1798</v>
      </c>
      <c r="G146" s="27">
        <f t="shared" si="24"/>
        <v>1798</v>
      </c>
      <c r="H146" s="20"/>
      <c r="I146" s="26">
        <f t="shared" si="23"/>
        <v>163.45454545454547</v>
      </c>
    </row>
    <row r="147" spans="3:9" ht="28.5">
      <c r="C147" s="32">
        <v>45652</v>
      </c>
      <c r="D147" s="24" t="s">
        <v>116</v>
      </c>
      <c r="E147" s="27">
        <v>22</v>
      </c>
      <c r="F147" s="27">
        <v>1790</v>
      </c>
      <c r="G147" s="27">
        <f t="shared" si="24"/>
        <v>39380</v>
      </c>
      <c r="H147" s="20"/>
      <c r="I147" s="26">
        <f t="shared" si="23"/>
        <v>3580</v>
      </c>
    </row>
    <row r="148" spans="3:9">
      <c r="C148" s="32">
        <v>45652</v>
      </c>
      <c r="D148" s="24" t="s">
        <v>117</v>
      </c>
      <c r="E148" s="27">
        <v>2</v>
      </c>
      <c r="F148" s="27">
        <v>2948</v>
      </c>
      <c r="G148" s="27">
        <f t="shared" si="24"/>
        <v>5896</v>
      </c>
      <c r="H148" s="20"/>
      <c r="I148" s="26">
        <f t="shared" si="23"/>
        <v>536</v>
      </c>
    </row>
    <row r="149" spans="3:9">
      <c r="C149" s="32">
        <v>45652</v>
      </c>
      <c r="D149" s="24" t="s">
        <v>118</v>
      </c>
      <c r="E149" s="27">
        <v>2</v>
      </c>
      <c r="F149" s="27">
        <v>1768</v>
      </c>
      <c r="G149" s="27">
        <f t="shared" si="24"/>
        <v>3536</v>
      </c>
      <c r="H149" s="20"/>
      <c r="I149" s="26">
        <f t="shared" si="23"/>
        <v>321.45454545454544</v>
      </c>
    </row>
    <row r="150" spans="3:9">
      <c r="C150" s="32">
        <v>45652</v>
      </c>
      <c r="D150" s="24" t="s">
        <v>119</v>
      </c>
      <c r="E150" s="27">
        <v>2</v>
      </c>
      <c r="F150" s="27">
        <v>550</v>
      </c>
      <c r="G150" s="27">
        <f t="shared" si="24"/>
        <v>1100</v>
      </c>
      <c r="H150" s="20"/>
      <c r="I150" s="26">
        <f t="shared" si="23"/>
        <v>100</v>
      </c>
    </row>
    <row r="151" spans="3:9">
      <c r="C151" s="32">
        <v>45652</v>
      </c>
      <c r="D151" s="24" t="s">
        <v>120</v>
      </c>
      <c r="E151" s="27">
        <v>1</v>
      </c>
      <c r="F151" s="27">
        <v>2158</v>
      </c>
      <c r="G151" s="27">
        <f t="shared" si="24"/>
        <v>2158</v>
      </c>
      <c r="H151" s="20"/>
      <c r="I151" s="26">
        <f t="shared" si="23"/>
        <v>196.18181818181819</v>
      </c>
    </row>
    <row r="152" spans="3:9">
      <c r="C152" s="32">
        <v>45652</v>
      </c>
      <c r="D152" s="24" t="s">
        <v>121</v>
      </c>
      <c r="E152" s="27">
        <v>1</v>
      </c>
      <c r="F152" s="27">
        <f>2968+40</f>
        <v>3008</v>
      </c>
      <c r="G152" s="27">
        <f t="shared" si="24"/>
        <v>3008</v>
      </c>
      <c r="H152" s="20"/>
      <c r="I152" s="26">
        <f t="shared" si="23"/>
        <v>273.45454545454544</v>
      </c>
    </row>
    <row r="153" spans="3:9">
      <c r="C153" s="32"/>
      <c r="D153" s="24"/>
      <c r="E153" s="27"/>
      <c r="F153" s="27"/>
      <c r="G153" s="27"/>
      <c r="H153" s="20"/>
      <c r="I153" s="26"/>
    </row>
    <row r="154" spans="3:9">
      <c r="C154" s="25">
        <v>45655</v>
      </c>
      <c r="D154" s="33" t="s">
        <v>122</v>
      </c>
      <c r="E154" s="27">
        <v>16</v>
      </c>
      <c r="F154" s="27">
        <v>569</v>
      </c>
      <c r="G154" s="27">
        <f>E154*F154</f>
        <v>9104</v>
      </c>
      <c r="H154" s="20"/>
      <c r="I154" s="26">
        <f t="shared" si="23"/>
        <v>827.63636363636363</v>
      </c>
    </row>
    <row r="155" spans="3:9">
      <c r="C155" s="25">
        <v>45655</v>
      </c>
      <c r="D155" s="33" t="s">
        <v>123</v>
      </c>
      <c r="E155" s="27">
        <v>1</v>
      </c>
      <c r="F155" s="27">
        <v>599</v>
      </c>
      <c r="G155" s="27">
        <f>E155*F155</f>
        <v>599</v>
      </c>
      <c r="H155" s="20"/>
      <c r="I155" s="26">
        <f t="shared" si="23"/>
        <v>54.454545454545453</v>
      </c>
    </row>
    <row r="156" spans="3:9">
      <c r="C156" s="32"/>
      <c r="D156" s="24"/>
      <c r="E156" s="27"/>
      <c r="F156" s="27"/>
      <c r="G156" s="27"/>
      <c r="H156" s="20"/>
      <c r="I156" s="26"/>
    </row>
    <row r="157" spans="3:9">
      <c r="C157" s="25">
        <v>45656</v>
      </c>
      <c r="D157" s="33" t="s">
        <v>124</v>
      </c>
      <c r="E157" s="27">
        <v>5</v>
      </c>
      <c r="F157" s="27">
        <v>127</v>
      </c>
      <c r="G157" s="27">
        <f>E157*F157</f>
        <v>635</v>
      </c>
      <c r="H157" s="20"/>
      <c r="I157" s="26">
        <f t="shared" si="23"/>
        <v>57.727272727272727</v>
      </c>
    </row>
    <row r="158" spans="3:9">
      <c r="C158" s="25">
        <v>45657</v>
      </c>
      <c r="D158" s="33" t="s">
        <v>124</v>
      </c>
      <c r="E158" s="27">
        <v>5</v>
      </c>
      <c r="F158" s="27">
        <v>127</v>
      </c>
      <c r="G158" s="27">
        <f t="shared" ref="G158:G159" si="25">E158*F158</f>
        <v>635</v>
      </c>
      <c r="H158" s="20"/>
      <c r="I158" s="26">
        <f t="shared" si="23"/>
        <v>57.727272727272727</v>
      </c>
    </row>
    <row r="159" spans="3:9">
      <c r="C159" s="25">
        <v>45657</v>
      </c>
      <c r="D159" s="33" t="s">
        <v>125</v>
      </c>
      <c r="E159" s="27">
        <v>52</v>
      </c>
      <c r="F159" s="27">
        <v>478.4</v>
      </c>
      <c r="G159" s="27">
        <f t="shared" si="25"/>
        <v>24876.799999999999</v>
      </c>
      <c r="H159" s="20"/>
      <c r="I159" s="26">
        <f t="shared" si="23"/>
        <v>2261.5272727272727</v>
      </c>
    </row>
    <row r="160" spans="3:9">
      <c r="C160" s="18"/>
      <c r="D160" s="14"/>
      <c r="E160" s="15"/>
      <c r="F160" s="15"/>
      <c r="G160" s="15"/>
      <c r="H160" s="16"/>
      <c r="I160" s="17"/>
    </row>
    <row r="161" spans="3:9">
      <c r="C161" s="19"/>
      <c r="D161" s="19"/>
      <c r="E161" s="29"/>
      <c r="F161" s="29"/>
      <c r="G161" s="29"/>
      <c r="H161" s="19"/>
      <c r="I161" s="19"/>
    </row>
    <row r="162" spans="3:9" ht="16">
      <c r="C162" s="19"/>
      <c r="D162" s="35" t="s">
        <v>60</v>
      </c>
      <c r="E162" s="29"/>
      <c r="F162" s="29"/>
      <c r="G162" s="29"/>
      <c r="H162" s="19"/>
      <c r="I162" s="34">
        <f>SUM(I3:I161)</f>
        <v>69626.873636363642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Australia GST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dell5300</dc:creator>
  <cp:lastModifiedBy>dell5300</cp:lastModifiedBy>
  <dcterms:created xsi:type="dcterms:W3CDTF">2025-01-07T09:39:17Z</dcterms:created>
  <dcterms:modified xsi:type="dcterms:W3CDTF">2025-02-21T13:21:36Z</dcterms:modified>
</cp:coreProperties>
</file>