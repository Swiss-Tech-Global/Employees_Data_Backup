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5300\Desktop\Starlink\"/>
    </mc:Choice>
  </mc:AlternateContent>
  <xr:revisionPtr revIDLastSave="0" documentId="13_ncr:1_{F64F119F-1364-4419-8984-9A1B084965C9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Total" sheetId="1" r:id="rId1"/>
    <sheet name="Stock" sheetId="2" r:id="rId2"/>
    <sheet name="Pending Units" sheetId="3" r:id="rId3"/>
    <sheet name="GST NZ" sheetId="4" r:id="rId4"/>
    <sheet name="AUD GST" sheetId="7" r:id="rId5"/>
    <sheet name="Entries" sheetId="5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8" l="1"/>
  <c r="M11" i="8"/>
  <c r="M10" i="8"/>
  <c r="I7" i="8"/>
  <c r="G13" i="8"/>
  <c r="G10" i="8"/>
  <c r="G7" i="8"/>
  <c r="D13" i="8" l="1"/>
  <c r="D10" i="8"/>
  <c r="D7" i="8"/>
  <c r="AB51" i="2"/>
  <c r="AA51" i="2"/>
  <c r="Z51" i="2"/>
  <c r="Y51" i="2"/>
  <c r="Q51" i="2"/>
  <c r="F16" i="7" l="1"/>
  <c r="H16" i="7" s="1"/>
  <c r="F15" i="7"/>
  <c r="H15" i="7" s="1"/>
  <c r="F14" i="7"/>
  <c r="H14" i="7" s="1"/>
  <c r="F13" i="7"/>
  <c r="H13" i="7" s="1"/>
  <c r="F12" i="7"/>
  <c r="H12" i="7" s="1"/>
  <c r="F11" i="7"/>
  <c r="H11" i="7" s="1"/>
  <c r="F10" i="7"/>
  <c r="H10" i="7" s="1"/>
  <c r="F9" i="7"/>
  <c r="H9" i="7" s="1"/>
  <c r="F8" i="7"/>
  <c r="H8" i="7" s="1"/>
  <c r="F7" i="7"/>
  <c r="H7" i="7" s="1"/>
  <c r="J10" i="3"/>
  <c r="N22" i="3"/>
  <c r="M22" i="3"/>
  <c r="I58" i="1"/>
  <c r="I57" i="1"/>
  <c r="I56" i="1"/>
  <c r="I55" i="1"/>
  <c r="I54" i="1"/>
  <c r="I53" i="1"/>
  <c r="I52" i="1"/>
  <c r="I51" i="1"/>
  <c r="I50" i="1"/>
  <c r="I49" i="1"/>
  <c r="G54" i="1"/>
  <c r="G51" i="1"/>
  <c r="J49" i="1"/>
  <c r="J50" i="1" s="1"/>
  <c r="F5" i="7"/>
  <c r="F4" i="7"/>
  <c r="J51" i="1" l="1"/>
  <c r="J52" i="1" s="1"/>
  <c r="J53" i="1" s="1"/>
  <c r="J54" i="1" s="1"/>
  <c r="J55" i="1" s="1"/>
  <c r="J56" i="1" s="1"/>
  <c r="J57" i="1" s="1"/>
  <c r="J58" i="1" s="1"/>
  <c r="G13" i="4" l="1"/>
  <c r="I13" i="4" s="1"/>
  <c r="H5" i="7"/>
  <c r="H4" i="7"/>
  <c r="H21" i="7" l="1"/>
  <c r="G30" i="1"/>
  <c r="I30" i="1" s="1"/>
  <c r="J30" i="1" s="1"/>
  <c r="J31" i="1" s="1"/>
  <c r="G38" i="1"/>
  <c r="I38" i="1" s="1"/>
  <c r="J38" i="1" s="1"/>
  <c r="G39" i="1"/>
  <c r="I39" i="1" s="1"/>
  <c r="F59" i="2"/>
  <c r="X51" i="2"/>
  <c r="H65" i="2" s="1"/>
  <c r="G24" i="1"/>
  <c r="I24" i="1" s="1"/>
  <c r="G23" i="1"/>
  <c r="I23" i="1" s="1"/>
  <c r="J23" i="1" s="1"/>
  <c r="G17" i="4"/>
  <c r="I17" i="4" s="1"/>
  <c r="G16" i="4"/>
  <c r="I16" i="4" s="1"/>
  <c r="G15" i="4"/>
  <c r="I15" i="4" s="1"/>
  <c r="G59" i="2"/>
  <c r="G56" i="2"/>
  <c r="G40" i="1"/>
  <c r="I40" i="1" s="1"/>
  <c r="J32" i="1" l="1"/>
  <c r="J33" i="1" s="1"/>
  <c r="J39" i="1"/>
  <c r="J40" i="1" s="1"/>
  <c r="J41" i="1" s="1"/>
  <c r="J42" i="1" s="1"/>
  <c r="J43" i="1" s="1"/>
  <c r="J24" i="1"/>
  <c r="J25" i="1" s="1"/>
  <c r="L13" i="1" l="1"/>
  <c r="M59" i="2" l="1"/>
  <c r="J62" i="2"/>
  <c r="L62" i="2" s="1"/>
  <c r="M62" i="2" s="1"/>
  <c r="L61" i="2"/>
  <c r="M61" i="2" s="1"/>
  <c r="G31" i="3"/>
  <c r="H31" i="3" s="1"/>
  <c r="G28" i="3"/>
  <c r="H28" i="3" s="1"/>
  <c r="G30" i="3"/>
  <c r="H30" i="3" s="1"/>
  <c r="G29" i="3"/>
  <c r="H29" i="3" s="1"/>
  <c r="G26" i="3"/>
  <c r="H26" i="3" s="1"/>
  <c r="M57" i="2"/>
  <c r="L59" i="2"/>
  <c r="N59" i="2" s="1"/>
  <c r="L60" i="2"/>
  <c r="M60" i="2" s="1"/>
  <c r="M63" i="2" l="1"/>
  <c r="H32" i="3"/>
  <c r="I32" i="3" s="1"/>
  <c r="W23" i="3" l="1"/>
  <c r="T23" i="3"/>
  <c r="S23" i="3"/>
  <c r="R23" i="3"/>
  <c r="V23" i="3"/>
  <c r="U23" i="3"/>
  <c r="G11" i="4"/>
  <c r="G10" i="4"/>
  <c r="G9" i="4"/>
  <c r="G8" i="4"/>
  <c r="I11" i="4" l="1"/>
  <c r="I10" i="4"/>
  <c r="I9" i="4"/>
  <c r="I8" i="4"/>
  <c r="G5" i="5" l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16" i="1"/>
  <c r="I16" i="1" s="1"/>
  <c r="G15" i="1"/>
  <c r="I15" i="1" s="1"/>
  <c r="G14" i="1"/>
  <c r="I14" i="1" s="1"/>
  <c r="G13" i="1"/>
  <c r="I13" i="1" s="1"/>
  <c r="J13" i="1" s="1"/>
  <c r="G6" i="4"/>
  <c r="I6" i="4" s="1"/>
  <c r="I21" i="4" s="1"/>
  <c r="J14" i="1" l="1"/>
  <c r="J15" i="1" s="1"/>
  <c r="J16" i="1" s="1"/>
  <c r="J17" i="1" s="1"/>
  <c r="J18" i="1" s="1"/>
  <c r="G4" i="1"/>
  <c r="I4" i="1" s="1"/>
  <c r="J4" i="1" s="1"/>
  <c r="J5" i="1" s="1"/>
  <c r="J6" i="1" s="1"/>
  <c r="J7" i="1" s="1"/>
  <c r="J8" i="1" s="1"/>
  <c r="L22" i="3"/>
  <c r="I22" i="3"/>
  <c r="H22" i="3"/>
  <c r="G22" i="3"/>
  <c r="K14" i="3"/>
  <c r="K22" i="3" s="1"/>
  <c r="J6" i="3"/>
  <c r="J22" i="3" l="1"/>
  <c r="W51" i="2"/>
  <c r="V51" i="2"/>
  <c r="H62" i="2" s="1"/>
  <c r="U51" i="2"/>
  <c r="T51" i="2"/>
  <c r="S51" i="2"/>
  <c r="R51" i="2"/>
  <c r="P51" i="2"/>
  <c r="H61" i="2" s="1"/>
  <c r="O51" i="2"/>
  <c r="N51" i="2"/>
  <c r="M51" i="2"/>
  <c r="L51" i="2"/>
  <c r="H63" i="2" s="1"/>
  <c r="K51" i="2"/>
  <c r="H64" i="2" s="1"/>
  <c r="J51" i="2"/>
  <c r="H60" i="2" s="1"/>
  <c r="I51" i="2"/>
  <c r="H59" i="2" s="1"/>
  <c r="H51" i="2"/>
  <c r="H58" i="2" s="1"/>
  <c r="G51" i="2"/>
  <c r="H57" i="2" s="1"/>
  <c r="L57" i="2" s="1"/>
  <c r="N57" i="2" s="1"/>
  <c r="F51" i="2"/>
  <c r="H56" i="2" s="1"/>
  <c r="L56" i="2" s="1"/>
  <c r="N56" i="2" s="1"/>
  <c r="N63" i="2" s="1"/>
</calcChain>
</file>

<file path=xl/sharedStrings.xml><?xml version="1.0" encoding="utf-8"?>
<sst xmlns="http://schemas.openxmlformats.org/spreadsheetml/2006/main" count="239" uniqueCount="104">
  <si>
    <t>Date</t>
  </si>
  <si>
    <t>Details</t>
  </si>
  <si>
    <t>V4</t>
  </si>
  <si>
    <t>Mini</t>
  </si>
  <si>
    <t>Camera</t>
  </si>
  <si>
    <t>Charge 5</t>
  </si>
  <si>
    <t>Essential 2</t>
  </si>
  <si>
    <t>Google Tv 4k</t>
  </si>
  <si>
    <t>MacBook Pro</t>
  </si>
  <si>
    <t>I.Mac</t>
  </si>
  <si>
    <t>MacBook M4</t>
  </si>
  <si>
    <t>Breville</t>
  </si>
  <si>
    <t xml:space="preserve">Delongi </t>
  </si>
  <si>
    <t>Dyson</t>
  </si>
  <si>
    <t>MacBook M3</t>
  </si>
  <si>
    <t>Starlink HP Kit</t>
  </si>
  <si>
    <t>MacBook</t>
  </si>
  <si>
    <t>Opening</t>
  </si>
  <si>
    <t>Group Date Msg by AR</t>
  </si>
  <si>
    <t>Send to Dubai</t>
  </si>
  <si>
    <t>Remaining Units</t>
  </si>
  <si>
    <t xml:space="preserve">Shipment </t>
  </si>
  <si>
    <t>Pur/Sell</t>
  </si>
  <si>
    <t xml:space="preserve">Dollar </t>
  </si>
  <si>
    <t>Rate</t>
  </si>
  <si>
    <t>Purchasing</t>
  </si>
  <si>
    <t>Total AED</t>
  </si>
  <si>
    <t>ok</t>
  </si>
  <si>
    <t>JBL Charge 5   30Units  $131</t>
  </si>
  <si>
    <t xml:space="preserve">Starlink mini  1 Units  $599  WB </t>
  </si>
  <si>
    <t>32UNIT PAYMENT BALANCE</t>
  </si>
  <si>
    <t>JBL Charge 5  60Units  $132  WB Card</t>
  </si>
  <si>
    <t>JBL Charge 5  40units $140-10%  WB Card  $700 Deposit</t>
  </si>
  <si>
    <t>Apple MacBook Pro M4  3Unit  $2968-10%  WB Card  890$ D</t>
  </si>
  <si>
    <t>not paid</t>
  </si>
  <si>
    <t>JBL Charge 5  75units $128  WB Card</t>
  </si>
  <si>
    <t>payment done</t>
  </si>
  <si>
    <t>JBL Essential 2  40Units  $68.50  WB Card</t>
  </si>
  <si>
    <t>JBL Charge5  60Units  $140-10%  WB Card $500 D</t>
  </si>
  <si>
    <t>Starlink High.Performance kit 22Units $1790-10%  WB Card</t>
  </si>
  <si>
    <t>MacBook M4 1Unit  $2968+$40-10% WB Card</t>
  </si>
  <si>
    <t>Details (New.Zealand)</t>
  </si>
  <si>
    <t>Starlink v4 19Units  @580  WB</t>
  </si>
  <si>
    <t>Entry Done</t>
  </si>
  <si>
    <t>Recvd &amp; Sell to Dubai</t>
  </si>
  <si>
    <t>Units</t>
  </si>
  <si>
    <t>Per.Unit</t>
  </si>
  <si>
    <t>Amount</t>
  </si>
  <si>
    <t>GST</t>
  </si>
  <si>
    <t>TOTAL GST</t>
  </si>
  <si>
    <t>Received In Dubai (NZ Stock)</t>
  </si>
  <si>
    <t>(New Zealand Stock)</t>
  </si>
  <si>
    <t>Starlink Mini 500 Units  $630  WB</t>
  </si>
  <si>
    <t>JBL Charge 5  150Units $148  WB</t>
  </si>
  <si>
    <t>JBL Charge 5  50Units  $145   WB</t>
  </si>
  <si>
    <t>Google Chrome Cast  250Units  $149  WB</t>
  </si>
  <si>
    <t>Jawed bhai Investment</t>
  </si>
  <si>
    <t>Particular</t>
  </si>
  <si>
    <t>Dr</t>
  </si>
  <si>
    <t>Cr</t>
  </si>
  <si>
    <t>Balance</t>
  </si>
  <si>
    <t>Chrome Cast</t>
  </si>
  <si>
    <t>From Jawed Bhai @2.3</t>
  </si>
  <si>
    <t>Pending Collection In Australia</t>
  </si>
  <si>
    <t>Pending Collection In NewZealand</t>
  </si>
  <si>
    <t xml:space="preserve">Total Stock </t>
  </si>
  <si>
    <t>AUD</t>
  </si>
  <si>
    <t>NZ</t>
  </si>
  <si>
    <t>TOTAL</t>
  </si>
  <si>
    <t>23 Units Extra</t>
  </si>
  <si>
    <t xml:space="preserve">Paid </t>
  </si>
  <si>
    <t>Instax Wide 400 5units   $188  WB</t>
  </si>
  <si>
    <t>JBL Charge5 125Units $133.30 WB</t>
  </si>
  <si>
    <t>Details (Australia)</t>
  </si>
  <si>
    <t>Starlink V4  200Units $549  WB</t>
  </si>
  <si>
    <t>JBL Charge.5 6Units $145  WB</t>
  </si>
  <si>
    <t>PS5  15Units  $695  ARB</t>
  </si>
  <si>
    <t>PS5</t>
  </si>
  <si>
    <t>Intax Wide 400</t>
  </si>
  <si>
    <t>IMAC 1 unit $1919 WB Card</t>
  </si>
  <si>
    <t>IMAC 1 unit $1934 WB Card</t>
  </si>
  <si>
    <t>Macbook M4 with Airpods 4 NC 7 Units $2349 WB Card</t>
  </si>
  <si>
    <t>Macbook M4 with Airpods 4 NC 1 Unit $ 2349 (apple Hornsby Pending collection) WB Card</t>
  </si>
  <si>
    <t xml:space="preserve"> Macbook M4 with Airpods 4 NC 1 Unit $2349 ARB Card</t>
  </si>
  <si>
    <t>Innstax mini Evo 1 unit $248 HN CH</t>
  </si>
  <si>
    <t>Instax Li Play 1 Unit $203 HN CH</t>
  </si>
  <si>
    <t>Instax mini 40 1 unit $143 HN CH</t>
  </si>
  <si>
    <t>Instax mini 99 Bundle 1 unit $250 JBHIFI CH</t>
  </si>
  <si>
    <t>(Australia)</t>
  </si>
  <si>
    <r>
      <rPr>
        <b/>
        <sz val="12"/>
        <color rgb="FF000000"/>
        <rFont val="Times New Roman"/>
        <family val="1"/>
      </rPr>
      <t>Instax wide 400</t>
    </r>
    <r>
      <rPr>
        <sz val="12"/>
        <color rgb="FF000000"/>
        <rFont val="Times New Roman"/>
        <family val="1"/>
      </rPr>
      <t xml:space="preserve"> 10 Units $ 188 
(Harvey Norman Castle Hills Pending collection)</t>
    </r>
  </si>
  <si>
    <t>MacBook M4
with Airpods</t>
  </si>
  <si>
    <t>Instax wide 400</t>
  </si>
  <si>
    <t>Macbook M4 with Airpods 4 NC 1 Unit $2349 ARB Card</t>
  </si>
  <si>
    <t>Airpods 4</t>
  </si>
  <si>
    <t>Mini Evo</t>
  </si>
  <si>
    <t>Li Play</t>
  </si>
  <si>
    <t>Mini 40</t>
  </si>
  <si>
    <t>Mini 99</t>
  </si>
  <si>
    <t>Received in dabai (Nz stock)</t>
  </si>
  <si>
    <t>FEB</t>
  </si>
  <si>
    <t>Jan</t>
  </si>
  <si>
    <t>Net Sell</t>
  </si>
  <si>
    <t>G.P</t>
  </si>
  <si>
    <t>Total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</si>
</sst>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.00_ ;_-[$$-409]* \-#,##0.00\ ;_-[$$-409]* &quot;-&quot;??_ ;_-@_ "/>
    <numFmt numFmtId="165" formatCode="_-* #,##0.000_-;\-* #,##0.000_-;_-* &quot;-&quot;??_-;_-@_-"/>
  </numFmts>
  <fonts count="26" x14ac:knownFonts="1"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u/>
      <sz val="11"/>
      <color rgb="FFFF0000"/>
      <name val="Times New Roman"/>
      <family val="1"/>
    </font>
    <font>
      <b/>
      <u/>
      <sz val="14"/>
      <color theme="1"/>
      <name val="Calibri"/>
      <family val="2"/>
      <scheme val="minor"/>
    </font>
    <font>
      <b/>
      <u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8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left" vertical="top"/>
    </xf>
    <xf numFmtId="0" fontId="1" fillId="0" borderId="1" xfId="1" applyBorder="1" applyAlignment="1">
      <alignment horizontal="center" vertical="top"/>
    </xf>
    <xf numFmtId="0" fontId="5" fillId="0" borderId="1" xfId="1" applyFont="1" applyBorder="1" applyAlignment="1">
      <alignment wrapText="1"/>
    </xf>
    <xf numFmtId="14" fontId="6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left" vertical="top"/>
    </xf>
    <xf numFmtId="14" fontId="1" fillId="0" borderId="1" xfId="1" applyNumberFormat="1" applyBorder="1" applyAlignment="1">
      <alignment horizontal="left" vertical="top"/>
    </xf>
    <xf numFmtId="0" fontId="3" fillId="0" borderId="1" xfId="1" applyFont="1" applyBorder="1" applyAlignment="1">
      <alignment horizontal="center" vertical="top"/>
    </xf>
    <xf numFmtId="0" fontId="8" fillId="0" borderId="1" xfId="1" applyFont="1" applyBorder="1" applyAlignment="1">
      <alignment wrapText="1"/>
    </xf>
    <xf numFmtId="0" fontId="4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  <xf numFmtId="0" fontId="1" fillId="0" borderId="1" xfId="1" applyBorder="1" applyAlignment="1">
      <alignment horizontal="center"/>
    </xf>
    <xf numFmtId="0" fontId="9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164" fontId="14" fillId="0" borderId="1" xfId="0" applyNumberFormat="1" applyFont="1" applyBorder="1"/>
    <xf numFmtId="1" fontId="12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16" fillId="0" borderId="0" xfId="0" applyNumberFormat="1" applyFont="1"/>
    <xf numFmtId="0" fontId="17" fillId="0" borderId="1" xfId="1" applyFont="1" applyBorder="1" applyAlignment="1">
      <alignment wrapText="1"/>
    </xf>
    <xf numFmtId="0" fontId="19" fillId="0" borderId="1" xfId="0" applyFont="1" applyBorder="1" applyAlignment="1">
      <alignment wrapText="1"/>
    </xf>
    <xf numFmtId="43" fontId="3" fillId="0" borderId="0" xfId="2" applyFont="1" applyAlignment="1">
      <alignment horizontal="center" vertical="center"/>
    </xf>
    <xf numFmtId="43" fontId="2" fillId="0" borderId="1" xfId="2" applyFont="1" applyFill="1" applyBorder="1" applyAlignment="1">
      <alignment horizontal="center" vertical="center"/>
    </xf>
    <xf numFmtId="43" fontId="7" fillId="0" borderId="1" xfId="2" applyFont="1" applyFill="1" applyBorder="1" applyAlignment="1">
      <alignment horizontal="center" vertical="center"/>
    </xf>
    <xf numFmtId="43" fontId="2" fillId="0" borderId="1" xfId="2" applyFont="1" applyBorder="1" applyAlignment="1">
      <alignment horizontal="center" vertical="center"/>
    </xf>
    <xf numFmtId="43" fontId="0" fillId="0" borderId="0" xfId="2" applyFont="1" applyAlignment="1">
      <alignment horizontal="center"/>
    </xf>
    <xf numFmtId="0" fontId="20" fillId="0" borderId="0" xfId="0" applyFont="1"/>
    <xf numFmtId="0" fontId="20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 wrapText="1"/>
    </xf>
    <xf numFmtId="4" fontId="5" fillId="0" borderId="1" xfId="0" applyNumberFormat="1" applyFont="1" applyBorder="1" applyAlignment="1">
      <alignment horizontal="right" wrapText="1"/>
    </xf>
    <xf numFmtId="0" fontId="1" fillId="0" borderId="1" xfId="0" applyFont="1" applyBorder="1"/>
    <xf numFmtId="4" fontId="1" fillId="0" borderId="1" xfId="0" applyNumberFormat="1" applyFont="1" applyBorder="1"/>
    <xf numFmtId="0" fontId="11" fillId="0" borderId="1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Border="1"/>
    <xf numFmtId="0" fontId="2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14" fontId="1" fillId="0" borderId="1" xfId="1" applyNumberFormat="1" applyBorder="1" applyAlignment="1">
      <alignment horizontal="center" vertical="top"/>
    </xf>
    <xf numFmtId="0" fontId="22" fillId="0" borderId="0" xfId="1" applyFont="1" applyAlignment="1">
      <alignment horizontal="left" vertical="top"/>
    </xf>
    <xf numFmtId="0" fontId="14" fillId="0" borderId="0" xfId="0" applyFont="1"/>
    <xf numFmtId="0" fontId="1" fillId="0" borderId="0" xfId="1" applyAlignment="1">
      <alignment horizontal="right" vertical="top"/>
    </xf>
    <xf numFmtId="0" fontId="0" fillId="0" borderId="0" xfId="0" applyAlignment="1">
      <alignment horizontal="right"/>
    </xf>
    <xf numFmtId="1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1" fontId="12" fillId="0" borderId="0" xfId="0" applyNumberFormat="1" applyFont="1" applyAlignment="1">
      <alignment horizontal="center"/>
    </xf>
    <xf numFmtId="164" fontId="14" fillId="0" borderId="0" xfId="0" applyNumberFormat="1" applyFont="1"/>
    <xf numFmtId="43" fontId="3" fillId="0" borderId="0" xfId="2" applyFont="1" applyFill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center" vertical="center"/>
    </xf>
    <xf numFmtId="43" fontId="2" fillId="0" borderId="0" xfId="2" applyFont="1" applyFill="1" applyBorder="1" applyAlignment="1">
      <alignment horizontal="center" vertical="center"/>
    </xf>
    <xf numFmtId="164" fontId="23" fillId="0" borderId="0" xfId="0" applyNumberFormat="1" applyFont="1"/>
    <xf numFmtId="43" fontId="12" fillId="0" borderId="1" xfId="2" applyFont="1" applyBorder="1" applyAlignment="1">
      <alignment horizontal="center"/>
    </xf>
    <xf numFmtId="43" fontId="12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22" fillId="0" borderId="1" xfId="1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8"/>
  <sheetViews>
    <sheetView tabSelected="1" topLeftCell="A10" zoomScale="96" zoomScaleNormal="96" workbookViewId="0">
      <selection activeCell="L26" sqref="L26"/>
    </sheetView>
  </sheetViews>
  <sheetFormatPr defaultRowHeight="14.5" x14ac:dyDescent="0.35"/>
  <cols>
    <col min="1" max="1" width="10.08984375" bestFit="1" customWidth="1"/>
    <col min="3" max="3" width="10.36328125" bestFit="1" customWidth="1"/>
    <col min="4" max="4" width="10.1796875" bestFit="1" customWidth="1"/>
    <col min="6" max="6" width="57" customWidth="1"/>
    <col min="8" max="8" width="9.08984375" style="47" bestFit="1" customWidth="1"/>
    <col min="9" max="9" width="11.36328125" bestFit="1" customWidth="1"/>
    <col min="10" max="10" width="10.81640625" bestFit="1" customWidth="1"/>
  </cols>
  <sheetData>
    <row r="2" spans="3:12" ht="15" x14ac:dyDescent="0.35">
      <c r="C2" s="16" t="s">
        <v>0</v>
      </c>
      <c r="D2" s="16" t="s">
        <v>21</v>
      </c>
      <c r="E2" s="16" t="s">
        <v>22</v>
      </c>
      <c r="F2" s="17" t="s">
        <v>41</v>
      </c>
      <c r="G2" s="18" t="s">
        <v>23</v>
      </c>
      <c r="H2" s="43" t="s">
        <v>24</v>
      </c>
      <c r="I2" s="16" t="s">
        <v>25</v>
      </c>
      <c r="J2" s="16" t="s">
        <v>26</v>
      </c>
    </row>
    <row r="3" spans="3:12" x14ac:dyDescent="0.35">
      <c r="C3" s="19"/>
      <c r="D3" s="20"/>
      <c r="E3" s="20"/>
      <c r="F3" s="21"/>
      <c r="G3" s="22"/>
      <c r="H3" s="44"/>
      <c r="I3" s="22"/>
      <c r="J3" s="22"/>
    </row>
    <row r="4" spans="3:12" x14ac:dyDescent="0.35">
      <c r="C4" s="19">
        <v>45672</v>
      </c>
      <c r="D4" s="20"/>
      <c r="E4" s="20"/>
      <c r="F4" s="21" t="s">
        <v>42</v>
      </c>
      <c r="G4" s="22">
        <f>19*580</f>
        <v>11020</v>
      </c>
      <c r="H4" s="45">
        <v>2.19</v>
      </c>
      <c r="I4" s="22">
        <f>G4*H4</f>
        <v>24133.8</v>
      </c>
      <c r="J4" s="22">
        <f>J3+I4</f>
        <v>24133.8</v>
      </c>
    </row>
    <row r="5" spans="3:12" x14ac:dyDescent="0.35">
      <c r="C5" s="19"/>
      <c r="D5" s="20"/>
      <c r="E5" s="20"/>
      <c r="F5" s="21"/>
      <c r="G5" s="22"/>
      <c r="H5" s="45"/>
      <c r="I5" s="22"/>
      <c r="J5" s="22">
        <f t="shared" ref="J5:J8" si="0">J4+I5</f>
        <v>24133.8</v>
      </c>
    </row>
    <row r="6" spans="3:12" x14ac:dyDescent="0.35">
      <c r="C6" s="19"/>
      <c r="D6" s="20"/>
      <c r="E6" s="20"/>
      <c r="F6" s="21"/>
      <c r="G6" s="22"/>
      <c r="H6" s="45"/>
      <c r="I6" s="22"/>
      <c r="J6" s="22">
        <f t="shared" si="0"/>
        <v>24133.8</v>
      </c>
    </row>
    <row r="7" spans="3:12" x14ac:dyDescent="0.35">
      <c r="C7" s="19"/>
      <c r="D7" s="20"/>
      <c r="E7" s="20"/>
      <c r="F7" s="21"/>
      <c r="G7" s="22"/>
      <c r="H7" s="45"/>
      <c r="I7" s="22"/>
      <c r="J7" s="22">
        <f t="shared" si="0"/>
        <v>24133.8</v>
      </c>
    </row>
    <row r="8" spans="3:12" ht="15" x14ac:dyDescent="0.35">
      <c r="C8" s="19"/>
      <c r="D8" s="20"/>
      <c r="E8" s="20"/>
      <c r="F8" s="23"/>
      <c r="G8" s="22"/>
      <c r="H8" s="46"/>
      <c r="I8" s="22"/>
      <c r="J8" s="22">
        <f t="shared" si="0"/>
        <v>24133.8</v>
      </c>
    </row>
    <row r="11" spans="3:12" ht="15" x14ac:dyDescent="0.35">
      <c r="C11" s="16" t="s">
        <v>0</v>
      </c>
      <c r="D11" s="16" t="s">
        <v>21</v>
      </c>
      <c r="E11" s="16" t="s">
        <v>22</v>
      </c>
      <c r="F11" s="17" t="s">
        <v>41</v>
      </c>
      <c r="G11" s="18" t="s">
        <v>23</v>
      </c>
      <c r="H11" s="43" t="s">
        <v>24</v>
      </c>
      <c r="I11" s="16" t="s">
        <v>25</v>
      </c>
      <c r="J11" s="16" t="s">
        <v>26</v>
      </c>
    </row>
    <row r="12" spans="3:12" x14ac:dyDescent="0.35">
      <c r="C12" s="19"/>
      <c r="D12" s="20"/>
      <c r="E12" s="20"/>
      <c r="F12" s="21"/>
      <c r="G12" s="22"/>
      <c r="H12" s="44"/>
      <c r="I12" s="22"/>
      <c r="J12" s="22"/>
      <c r="K12" t="s">
        <v>70</v>
      </c>
    </row>
    <row r="13" spans="3:12" x14ac:dyDescent="0.35">
      <c r="C13" s="19">
        <v>45695</v>
      </c>
      <c r="D13" s="20"/>
      <c r="E13" s="20"/>
      <c r="F13" s="21" t="s">
        <v>52</v>
      </c>
      <c r="G13" s="22">
        <f>500*630</f>
        <v>315000</v>
      </c>
      <c r="H13" s="45">
        <v>2.19</v>
      </c>
      <c r="I13" s="22">
        <f>G13*H13</f>
        <v>689850</v>
      </c>
      <c r="J13" s="22">
        <f>J12+I13</f>
        <v>689850</v>
      </c>
      <c r="K13">
        <v>270000</v>
      </c>
      <c r="L13">
        <f>315000-270000</f>
        <v>45000</v>
      </c>
    </row>
    <row r="14" spans="3:12" x14ac:dyDescent="0.35">
      <c r="C14" s="19">
        <v>45695</v>
      </c>
      <c r="D14" s="20"/>
      <c r="E14" s="20"/>
      <c r="F14" s="21" t="s">
        <v>53</v>
      </c>
      <c r="G14" s="22">
        <f>150*148</f>
        <v>22200</v>
      </c>
      <c r="H14" s="45">
        <v>2.19</v>
      </c>
      <c r="I14" s="22">
        <f t="shared" ref="I14:I16" si="1">G14*H14</f>
        <v>48618</v>
      </c>
      <c r="J14" s="22">
        <f t="shared" ref="J14:J18" si="2">J13+I14</f>
        <v>738468</v>
      </c>
    </row>
    <row r="15" spans="3:12" x14ac:dyDescent="0.35">
      <c r="C15" s="19">
        <v>45695</v>
      </c>
      <c r="D15" s="20"/>
      <c r="E15" s="20"/>
      <c r="F15" s="21" t="s">
        <v>54</v>
      </c>
      <c r="G15" s="22">
        <f>50*145</f>
        <v>7250</v>
      </c>
      <c r="H15" s="45">
        <v>2.19</v>
      </c>
      <c r="I15" s="22">
        <f t="shared" si="1"/>
        <v>15877.5</v>
      </c>
      <c r="J15" s="22">
        <f t="shared" si="2"/>
        <v>754345.5</v>
      </c>
    </row>
    <row r="16" spans="3:12" x14ac:dyDescent="0.35">
      <c r="C16" s="19">
        <v>45695</v>
      </c>
      <c r="D16" s="20"/>
      <c r="E16" s="20"/>
      <c r="F16" s="21" t="s">
        <v>55</v>
      </c>
      <c r="G16" s="22">
        <f>250*149</f>
        <v>37250</v>
      </c>
      <c r="H16" s="45">
        <v>2.19</v>
      </c>
      <c r="I16" s="22">
        <f t="shared" si="1"/>
        <v>81577.5</v>
      </c>
      <c r="J16" s="22">
        <f t="shared" si="2"/>
        <v>835923</v>
      </c>
    </row>
    <row r="17" spans="3:10" x14ac:dyDescent="0.35">
      <c r="C17" s="19"/>
      <c r="D17" s="20"/>
      <c r="E17" s="20"/>
      <c r="F17" s="21"/>
      <c r="G17" s="22"/>
      <c r="H17" s="45"/>
      <c r="I17" s="22"/>
      <c r="J17" s="22">
        <f t="shared" si="2"/>
        <v>835923</v>
      </c>
    </row>
    <row r="18" spans="3:10" ht="15" x14ac:dyDescent="0.35">
      <c r="C18" s="19"/>
      <c r="D18" s="20"/>
      <c r="E18" s="20"/>
      <c r="F18" s="23"/>
      <c r="G18" s="22"/>
      <c r="H18" s="46"/>
      <c r="I18" s="22"/>
      <c r="J18" s="22">
        <f t="shared" si="2"/>
        <v>835923</v>
      </c>
    </row>
    <row r="21" spans="3:10" ht="15" x14ac:dyDescent="0.35">
      <c r="C21" s="16" t="s">
        <v>0</v>
      </c>
      <c r="D21" s="16" t="s">
        <v>21</v>
      </c>
      <c r="E21" s="16" t="s">
        <v>22</v>
      </c>
      <c r="F21" s="17" t="s">
        <v>73</v>
      </c>
      <c r="G21" s="18" t="s">
        <v>23</v>
      </c>
      <c r="H21" s="73" t="s">
        <v>24</v>
      </c>
      <c r="I21" s="16" t="s">
        <v>25</v>
      </c>
      <c r="J21" s="16" t="s">
        <v>26</v>
      </c>
    </row>
    <row r="22" spans="3:10" x14ac:dyDescent="0.35">
      <c r="C22" s="19"/>
      <c r="D22" s="20"/>
      <c r="E22" s="20"/>
      <c r="F22" s="21"/>
      <c r="G22" s="22"/>
      <c r="H22" s="44"/>
      <c r="I22" s="22"/>
      <c r="J22" s="22"/>
    </row>
    <row r="23" spans="3:10" x14ac:dyDescent="0.35">
      <c r="C23" s="19">
        <v>45701</v>
      </c>
      <c r="D23" s="20"/>
      <c r="E23" s="20"/>
      <c r="F23" s="21" t="s">
        <v>71</v>
      </c>
      <c r="G23" s="22">
        <f>5*188</f>
        <v>940</v>
      </c>
      <c r="H23" s="45">
        <v>2.3199999999999998</v>
      </c>
      <c r="I23" s="22">
        <f>G23*H23</f>
        <v>2180.7999999999997</v>
      </c>
      <c r="J23" s="22">
        <f>J22+I23</f>
        <v>2180.7999999999997</v>
      </c>
    </row>
    <row r="24" spans="3:10" x14ac:dyDescent="0.35">
      <c r="C24" s="19">
        <v>45701</v>
      </c>
      <c r="D24" s="20"/>
      <c r="E24" s="20"/>
      <c r="F24" s="21" t="s">
        <v>72</v>
      </c>
      <c r="G24" s="22">
        <f>125*133.3</f>
        <v>16662.5</v>
      </c>
      <c r="H24" s="45">
        <v>2.3199999999999998</v>
      </c>
      <c r="I24" s="22">
        <f t="shared" ref="I24" si="3">G24*H24</f>
        <v>38657</v>
      </c>
      <c r="J24" s="22">
        <f t="shared" ref="J24:J25" si="4">J23+I24</f>
        <v>40837.800000000003</v>
      </c>
    </row>
    <row r="25" spans="3:10" ht="15" x14ac:dyDescent="0.35">
      <c r="C25" s="19"/>
      <c r="D25" s="20"/>
      <c r="E25" s="20"/>
      <c r="F25" s="74"/>
      <c r="G25" s="22"/>
      <c r="H25" s="44"/>
      <c r="I25" s="22"/>
      <c r="J25" s="22">
        <f t="shared" si="4"/>
        <v>40837.800000000003</v>
      </c>
    </row>
    <row r="28" spans="3:10" ht="15" x14ac:dyDescent="0.35">
      <c r="C28" s="16" t="s">
        <v>0</v>
      </c>
      <c r="D28" s="16" t="s">
        <v>21</v>
      </c>
      <c r="E28" s="16" t="s">
        <v>22</v>
      </c>
      <c r="F28" s="17" t="s">
        <v>41</v>
      </c>
      <c r="G28" s="18" t="s">
        <v>23</v>
      </c>
      <c r="H28" s="43" t="s">
        <v>24</v>
      </c>
      <c r="I28" s="16" t="s">
        <v>25</v>
      </c>
      <c r="J28" s="16" t="s">
        <v>26</v>
      </c>
    </row>
    <row r="29" spans="3:10" x14ac:dyDescent="0.35">
      <c r="C29" s="19"/>
      <c r="D29" s="20"/>
      <c r="E29" s="20"/>
      <c r="F29" s="21"/>
      <c r="G29" s="22"/>
      <c r="H29" s="44"/>
      <c r="I29" s="22"/>
      <c r="J29" s="22"/>
    </row>
    <row r="30" spans="3:10" x14ac:dyDescent="0.35">
      <c r="C30" s="19">
        <v>45705</v>
      </c>
      <c r="D30" s="20"/>
      <c r="E30" s="20"/>
      <c r="F30" s="21" t="s">
        <v>55</v>
      </c>
      <c r="G30" s="22">
        <f>250*149</f>
        <v>37250</v>
      </c>
      <c r="H30" s="45">
        <v>2.19</v>
      </c>
      <c r="I30" s="22">
        <f>G30*H30</f>
        <v>81577.5</v>
      </c>
      <c r="J30" s="22">
        <f t="shared" ref="J30:J33" si="5">J29+I30</f>
        <v>81577.5</v>
      </c>
    </row>
    <row r="31" spans="3:10" x14ac:dyDescent="0.35">
      <c r="C31" s="19"/>
      <c r="D31" s="20"/>
      <c r="E31" s="20"/>
      <c r="F31" s="21"/>
      <c r="G31" s="22"/>
      <c r="H31" s="45"/>
      <c r="I31" s="22"/>
      <c r="J31" s="22">
        <f t="shared" si="5"/>
        <v>81577.5</v>
      </c>
    </row>
    <row r="32" spans="3:10" x14ac:dyDescent="0.35">
      <c r="C32" s="19"/>
      <c r="D32" s="20"/>
      <c r="E32" s="20"/>
      <c r="F32" s="21"/>
      <c r="G32" s="22"/>
      <c r="H32" s="45"/>
      <c r="I32" s="22"/>
      <c r="J32" s="22">
        <f t="shared" si="5"/>
        <v>81577.5</v>
      </c>
    </row>
    <row r="33" spans="1:10" ht="15" x14ac:dyDescent="0.35">
      <c r="C33" s="19"/>
      <c r="D33" s="20"/>
      <c r="E33" s="20"/>
      <c r="F33" s="23"/>
      <c r="G33" s="22"/>
      <c r="H33" s="46"/>
      <c r="I33" s="22"/>
      <c r="J33" s="22">
        <f t="shared" si="5"/>
        <v>81577.5</v>
      </c>
    </row>
    <row r="34" spans="1:10" ht="15" x14ac:dyDescent="0.35">
      <c r="C34" s="69"/>
      <c r="D34" s="75"/>
      <c r="E34" s="75"/>
      <c r="F34" s="76"/>
      <c r="G34" s="77"/>
      <c r="H34" s="78"/>
      <c r="I34" s="77"/>
      <c r="J34" s="77"/>
    </row>
    <row r="35" spans="1:10" ht="15" x14ac:dyDescent="0.35">
      <c r="C35" s="69"/>
      <c r="D35" s="75"/>
      <c r="E35" s="75"/>
      <c r="F35" s="76"/>
      <c r="G35" s="77"/>
      <c r="H35" s="78"/>
      <c r="I35" s="77"/>
      <c r="J35" s="77"/>
    </row>
    <row r="36" spans="1:10" ht="15" x14ac:dyDescent="0.35">
      <c r="C36" s="16" t="s">
        <v>0</v>
      </c>
      <c r="D36" s="16" t="s">
        <v>21</v>
      </c>
      <c r="E36" s="16" t="s">
        <v>22</v>
      </c>
      <c r="F36" s="17" t="s">
        <v>41</v>
      </c>
      <c r="G36" s="18" t="s">
        <v>23</v>
      </c>
      <c r="H36" s="43" t="s">
        <v>24</v>
      </c>
      <c r="I36" s="16" t="s">
        <v>25</v>
      </c>
      <c r="J36" s="16" t="s">
        <v>26</v>
      </c>
    </row>
    <row r="37" spans="1:10" x14ac:dyDescent="0.35">
      <c r="C37" s="19"/>
      <c r="D37" s="20"/>
      <c r="E37" s="20"/>
      <c r="F37" s="21"/>
      <c r="G37" s="22"/>
      <c r="H37" s="44"/>
      <c r="I37" s="22"/>
      <c r="J37" s="22"/>
    </row>
    <row r="38" spans="1:10" x14ac:dyDescent="0.35">
      <c r="C38" s="19">
        <v>45706</v>
      </c>
      <c r="D38" s="20"/>
      <c r="E38" s="20"/>
      <c r="F38" s="21" t="s">
        <v>74</v>
      </c>
      <c r="G38" s="22">
        <f>200*549</f>
        <v>109800</v>
      </c>
      <c r="H38" s="45">
        <v>2.19</v>
      </c>
      <c r="I38" s="22">
        <f>G38*H38</f>
        <v>240462</v>
      </c>
      <c r="J38" s="22">
        <f t="shared" ref="J38:J43" si="6">J37+I38</f>
        <v>240462</v>
      </c>
    </row>
    <row r="39" spans="1:10" x14ac:dyDescent="0.35">
      <c r="C39" s="19">
        <v>45706</v>
      </c>
      <c r="D39" s="20"/>
      <c r="E39" s="20"/>
      <c r="F39" s="21" t="s">
        <v>75</v>
      </c>
      <c r="G39" s="22">
        <f>6*145</f>
        <v>870</v>
      </c>
      <c r="H39" s="45">
        <v>2.19</v>
      </c>
      <c r="I39" s="22">
        <f t="shared" ref="I39:I40" si="7">G39*H39</f>
        <v>1905.3</v>
      </c>
      <c r="J39" s="22">
        <f t="shared" si="6"/>
        <v>242367.3</v>
      </c>
    </row>
    <row r="40" spans="1:10" x14ac:dyDescent="0.35">
      <c r="A40" t="s">
        <v>43</v>
      </c>
      <c r="C40" s="19">
        <v>45706</v>
      </c>
      <c r="D40" s="20"/>
      <c r="E40" s="20"/>
      <c r="F40" s="21" t="s">
        <v>76</v>
      </c>
      <c r="G40" s="22">
        <f>15*695</f>
        <v>10425</v>
      </c>
      <c r="H40" s="45">
        <v>2.19</v>
      </c>
      <c r="I40" s="22">
        <f t="shared" si="7"/>
        <v>22830.75</v>
      </c>
      <c r="J40" s="22">
        <f t="shared" si="6"/>
        <v>265198.05</v>
      </c>
    </row>
    <row r="41" spans="1:10" x14ac:dyDescent="0.35">
      <c r="C41" s="19"/>
      <c r="D41" s="20"/>
      <c r="E41" s="20"/>
      <c r="F41" s="21"/>
      <c r="G41" s="22"/>
      <c r="H41" s="45"/>
      <c r="I41" s="22"/>
      <c r="J41" s="22">
        <f t="shared" si="6"/>
        <v>265198.05</v>
      </c>
    </row>
    <row r="42" spans="1:10" x14ac:dyDescent="0.35">
      <c r="C42" s="19"/>
      <c r="D42" s="20"/>
      <c r="E42" s="20"/>
      <c r="F42" s="21"/>
      <c r="G42" s="22"/>
      <c r="H42" s="45"/>
      <c r="I42" s="22"/>
      <c r="J42" s="22">
        <f t="shared" si="6"/>
        <v>265198.05</v>
      </c>
    </row>
    <row r="43" spans="1:10" ht="15" x14ac:dyDescent="0.35">
      <c r="C43" s="19"/>
      <c r="D43" s="20"/>
      <c r="E43" s="20"/>
      <c r="F43" s="23"/>
      <c r="G43" s="22"/>
      <c r="H43" s="46"/>
      <c r="I43" s="22"/>
      <c r="J43" s="22">
        <f t="shared" si="6"/>
        <v>265198.05</v>
      </c>
    </row>
    <row r="47" spans="1:10" ht="15" x14ac:dyDescent="0.35">
      <c r="C47" s="16" t="s">
        <v>0</v>
      </c>
      <c r="D47" s="16" t="s">
        <v>21</v>
      </c>
      <c r="E47" s="16" t="s">
        <v>22</v>
      </c>
      <c r="F47" s="17" t="s">
        <v>73</v>
      </c>
      <c r="G47" s="18" t="s">
        <v>23</v>
      </c>
      <c r="H47" s="43" t="s">
        <v>24</v>
      </c>
      <c r="I47" s="16" t="s">
        <v>25</v>
      </c>
      <c r="J47" s="16" t="s">
        <v>26</v>
      </c>
    </row>
    <row r="48" spans="1:10" x14ac:dyDescent="0.35">
      <c r="C48" s="19"/>
      <c r="D48" s="20"/>
      <c r="E48" s="20"/>
      <c r="F48" s="21"/>
      <c r="G48" s="22"/>
      <c r="H48" s="44"/>
      <c r="I48" s="22"/>
      <c r="J48" s="22"/>
    </row>
    <row r="49" spans="3:10" x14ac:dyDescent="0.35">
      <c r="C49" s="19">
        <v>45709</v>
      </c>
      <c r="D49" s="20"/>
      <c r="E49" s="20"/>
      <c r="F49" s="21" t="s">
        <v>79</v>
      </c>
      <c r="G49" s="22">
        <v>1919</v>
      </c>
      <c r="H49" s="84">
        <v>2.3250000000000002</v>
      </c>
      <c r="I49" s="22">
        <f>G49*H49</f>
        <v>4461.6750000000002</v>
      </c>
      <c r="J49" s="22">
        <f t="shared" ref="J49:J58" si="8">J48+I49</f>
        <v>4461.6750000000002</v>
      </c>
    </row>
    <row r="50" spans="3:10" x14ac:dyDescent="0.35">
      <c r="C50" s="19">
        <v>45709</v>
      </c>
      <c r="D50" s="20"/>
      <c r="E50" s="20"/>
      <c r="F50" s="21" t="s">
        <v>80</v>
      </c>
      <c r="G50" s="22">
        <v>1934</v>
      </c>
      <c r="H50" s="84">
        <v>2.3250000000000002</v>
      </c>
      <c r="I50" s="22">
        <f t="shared" ref="I50:I58" si="9">G50*H50</f>
        <v>4496.55</v>
      </c>
      <c r="J50" s="22">
        <f t="shared" si="8"/>
        <v>8958.2250000000004</v>
      </c>
    </row>
    <row r="51" spans="3:10" x14ac:dyDescent="0.35">
      <c r="C51" s="19">
        <v>45709</v>
      </c>
      <c r="D51" s="20"/>
      <c r="E51" s="20"/>
      <c r="F51" s="21" t="s">
        <v>81</v>
      </c>
      <c r="G51" s="22">
        <f>2349*7</f>
        <v>16443</v>
      </c>
      <c r="H51" s="84">
        <v>2.3250000000000002</v>
      </c>
      <c r="I51" s="22">
        <f t="shared" si="9"/>
        <v>38229.975000000006</v>
      </c>
      <c r="J51" s="22">
        <f t="shared" si="8"/>
        <v>47188.200000000004</v>
      </c>
    </row>
    <row r="52" spans="3:10" x14ac:dyDescent="0.35">
      <c r="C52" s="19">
        <v>45709</v>
      </c>
      <c r="D52" s="20"/>
      <c r="E52" s="20"/>
      <c r="F52" s="21" t="s">
        <v>92</v>
      </c>
      <c r="G52" s="22">
        <v>2349</v>
      </c>
      <c r="H52" s="84">
        <v>2.3250000000000002</v>
      </c>
      <c r="I52" s="22">
        <f t="shared" si="9"/>
        <v>5461.4250000000002</v>
      </c>
      <c r="J52" s="22">
        <f t="shared" si="8"/>
        <v>52649.625000000007</v>
      </c>
    </row>
    <row r="53" spans="3:10" ht="28.5" x14ac:dyDescent="0.35">
      <c r="C53" s="19">
        <v>45709</v>
      </c>
      <c r="D53" s="20"/>
      <c r="E53" s="20"/>
      <c r="F53" s="21" t="s">
        <v>82</v>
      </c>
      <c r="G53" s="22">
        <v>2349</v>
      </c>
      <c r="H53" s="84">
        <v>2.3250000000000002</v>
      </c>
      <c r="I53" s="22">
        <f t="shared" si="9"/>
        <v>5461.4250000000002</v>
      </c>
      <c r="J53" s="22">
        <f t="shared" si="8"/>
        <v>58111.05000000001</v>
      </c>
    </row>
    <row r="54" spans="3:10" ht="31" x14ac:dyDescent="0.35">
      <c r="C54" s="19">
        <v>45709</v>
      </c>
      <c r="D54" s="20"/>
      <c r="E54" s="20"/>
      <c r="F54" s="82" t="s">
        <v>89</v>
      </c>
      <c r="G54" s="83">
        <f>188*10</f>
        <v>1880</v>
      </c>
      <c r="H54" s="84">
        <v>2.3250000000000002</v>
      </c>
      <c r="I54" s="22">
        <f t="shared" si="9"/>
        <v>4371</v>
      </c>
      <c r="J54" s="22">
        <f t="shared" si="8"/>
        <v>62482.05000000001</v>
      </c>
    </row>
    <row r="55" spans="3:10" x14ac:dyDescent="0.35">
      <c r="C55" s="19">
        <v>45709</v>
      </c>
      <c r="D55" s="35"/>
      <c r="E55" s="35"/>
      <c r="F55" s="21" t="s">
        <v>84</v>
      </c>
      <c r="G55" s="83">
        <v>248</v>
      </c>
      <c r="H55" s="84">
        <v>2.3250000000000002</v>
      </c>
      <c r="I55" s="22">
        <f t="shared" si="9"/>
        <v>576.6</v>
      </c>
      <c r="J55" s="22">
        <f t="shared" si="8"/>
        <v>63058.650000000009</v>
      </c>
    </row>
    <row r="56" spans="3:10" x14ac:dyDescent="0.35">
      <c r="C56" s="19">
        <v>45709</v>
      </c>
      <c r="D56" s="35"/>
      <c r="E56" s="35"/>
      <c r="F56" s="21" t="s">
        <v>85</v>
      </c>
      <c r="G56" s="83">
        <v>203</v>
      </c>
      <c r="H56" s="84">
        <v>2.3250000000000002</v>
      </c>
      <c r="I56" s="22">
        <f t="shared" si="9"/>
        <v>471.97500000000002</v>
      </c>
      <c r="J56" s="22">
        <f t="shared" si="8"/>
        <v>63530.625000000007</v>
      </c>
    </row>
    <row r="57" spans="3:10" x14ac:dyDescent="0.35">
      <c r="C57" s="19">
        <v>45709</v>
      </c>
      <c r="D57" s="35"/>
      <c r="E57" s="35"/>
      <c r="F57" s="21" t="s">
        <v>86</v>
      </c>
      <c r="G57" s="83">
        <v>143</v>
      </c>
      <c r="H57" s="84">
        <v>2.3250000000000002</v>
      </c>
      <c r="I57" s="22">
        <f t="shared" si="9"/>
        <v>332.47500000000002</v>
      </c>
      <c r="J57" s="22">
        <f t="shared" si="8"/>
        <v>63863.100000000006</v>
      </c>
    </row>
    <row r="58" spans="3:10" x14ac:dyDescent="0.35">
      <c r="C58" s="19">
        <v>45709</v>
      </c>
      <c r="D58" s="35"/>
      <c r="E58" s="35"/>
      <c r="F58" s="21" t="s">
        <v>87</v>
      </c>
      <c r="G58" s="83">
        <v>250</v>
      </c>
      <c r="H58" s="84">
        <v>2.3250000000000002</v>
      </c>
      <c r="I58" s="22">
        <f t="shared" si="9"/>
        <v>581.25</v>
      </c>
      <c r="J58" s="22">
        <f t="shared" si="8"/>
        <v>64444.350000000006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AB66"/>
  <sheetViews>
    <sheetView zoomScale="70" zoomScaleNormal="70" workbookViewId="0">
      <selection activeCell="C13" sqref="C13"/>
    </sheetView>
  </sheetViews>
  <sheetFormatPr defaultRowHeight="14.5" x14ac:dyDescent="0.35"/>
  <cols>
    <col min="3" max="3" width="18.08984375" bestFit="1" customWidth="1"/>
    <col min="4" max="4" width="10.36328125" bestFit="1" customWidth="1"/>
    <col min="5" max="5" width="46.54296875" bestFit="1" customWidth="1"/>
    <col min="6" max="6" width="6.81640625" customWidth="1"/>
    <col min="7" max="7" width="8.08984375" customWidth="1"/>
    <col min="8" max="8" width="7.1796875" bestFit="1" customWidth="1"/>
    <col min="9" max="9" width="11.54296875" bestFit="1" customWidth="1"/>
    <col min="10" max="10" width="9.6328125" bestFit="1" customWidth="1"/>
    <col min="11" max="12" width="11.36328125" bestFit="1" customWidth="1"/>
    <col min="13" max="13" width="11.54296875" bestFit="1" customWidth="1"/>
    <col min="14" max="14" width="12" bestFit="1" customWidth="1"/>
    <col min="15" max="15" width="5.453125" bestFit="1" customWidth="1"/>
    <col min="16" max="16" width="11.6328125" bestFit="1" customWidth="1"/>
    <col min="17" max="17" width="11.6328125" customWidth="1"/>
    <col min="18" max="18" width="7.54296875" bestFit="1" customWidth="1"/>
    <col min="19" max="19" width="7.81640625" bestFit="1" customWidth="1"/>
    <col min="20" max="20" width="5.81640625" bestFit="1" customWidth="1"/>
    <col min="21" max="21" width="11.6328125" bestFit="1" customWidth="1"/>
    <col min="22" max="22" width="13.453125" bestFit="1" customWidth="1"/>
    <col min="23" max="23" width="8.54296875" bestFit="1" customWidth="1"/>
    <col min="24" max="24" width="12.81640625" bestFit="1" customWidth="1"/>
    <col min="25" max="25" width="13" customWidth="1"/>
    <col min="26" max="26" width="15.453125" customWidth="1"/>
    <col min="27" max="27" width="12" customWidth="1"/>
  </cols>
  <sheetData>
    <row r="3" spans="3:28" x14ac:dyDescent="0.35">
      <c r="D3" s="8" t="s">
        <v>0</v>
      </c>
      <c r="E3" s="8" t="s">
        <v>1</v>
      </c>
      <c r="F3" s="8" t="s">
        <v>2</v>
      </c>
      <c r="G3" s="8" t="s">
        <v>3</v>
      </c>
      <c r="H3" s="8" t="s">
        <v>4</v>
      </c>
      <c r="I3" s="8" t="s">
        <v>5</v>
      </c>
      <c r="J3" s="11" t="s">
        <v>6</v>
      </c>
      <c r="K3" s="8" t="s">
        <v>61</v>
      </c>
      <c r="L3" s="8" t="s">
        <v>77</v>
      </c>
      <c r="M3" s="11" t="s">
        <v>7</v>
      </c>
      <c r="N3" s="8" t="s">
        <v>8</v>
      </c>
      <c r="O3" s="8" t="s">
        <v>9</v>
      </c>
      <c r="P3" s="8" t="s">
        <v>10</v>
      </c>
      <c r="Q3" s="8" t="s">
        <v>93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8" t="s">
        <v>16</v>
      </c>
      <c r="X3" s="8" t="s">
        <v>78</v>
      </c>
      <c r="Y3" s="8" t="s">
        <v>94</v>
      </c>
      <c r="Z3" s="8" t="s">
        <v>95</v>
      </c>
      <c r="AA3" s="8" t="s">
        <v>96</v>
      </c>
      <c r="AB3" s="8" t="s">
        <v>97</v>
      </c>
    </row>
    <row r="4" spans="3:28" x14ac:dyDescent="0.35">
      <c r="D4" s="6"/>
      <c r="E4" s="6"/>
      <c r="F4" s="6"/>
      <c r="G4" s="6"/>
      <c r="H4" s="6"/>
      <c r="I4" s="6"/>
      <c r="J4" s="6"/>
      <c r="K4" s="6"/>
      <c r="L4" s="6"/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3:28" x14ac:dyDescent="0.35">
      <c r="D5" s="5"/>
      <c r="E5" s="4"/>
      <c r="F5" s="13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3:28" x14ac:dyDescent="0.35">
      <c r="C6" s="1"/>
      <c r="D6" s="7"/>
      <c r="E6" s="9"/>
      <c r="F6" s="13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3:28" x14ac:dyDescent="0.35">
      <c r="C7" s="1"/>
      <c r="D7" s="5">
        <v>45658</v>
      </c>
      <c r="E7" s="4" t="s">
        <v>17</v>
      </c>
      <c r="F7" s="14">
        <v>57</v>
      </c>
      <c r="G7" s="14">
        <v>110</v>
      </c>
      <c r="H7" s="14">
        <v>1</v>
      </c>
      <c r="I7" s="14">
        <v>238</v>
      </c>
      <c r="J7" s="14">
        <v>40</v>
      </c>
      <c r="K7" s="14">
        <v>0</v>
      </c>
      <c r="L7" s="14">
        <v>1</v>
      </c>
      <c r="M7" s="14">
        <v>10</v>
      </c>
      <c r="N7" s="14">
        <v>2</v>
      </c>
      <c r="O7" s="14">
        <v>5</v>
      </c>
      <c r="P7" s="14">
        <v>4</v>
      </c>
      <c r="Q7" s="14"/>
      <c r="R7" s="14">
        <v>2</v>
      </c>
      <c r="S7" s="14">
        <v>2</v>
      </c>
      <c r="T7" s="14">
        <v>2</v>
      </c>
      <c r="U7" s="14">
        <v>2</v>
      </c>
      <c r="V7" s="14">
        <v>22</v>
      </c>
      <c r="W7" s="14">
        <v>2</v>
      </c>
      <c r="X7" s="14"/>
      <c r="Y7" s="14"/>
      <c r="Z7" s="14"/>
      <c r="AA7" s="14"/>
      <c r="AB7" s="14"/>
    </row>
    <row r="8" spans="3:28" x14ac:dyDescent="0.35">
      <c r="C8" s="1"/>
      <c r="D8" s="5"/>
      <c r="E8" s="9"/>
      <c r="F8" s="13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3:28" x14ac:dyDescent="0.35">
      <c r="C9" s="15" t="s">
        <v>18</v>
      </c>
      <c r="D9" s="5">
        <v>45663</v>
      </c>
      <c r="E9" s="9" t="s">
        <v>19</v>
      </c>
      <c r="F9" s="13">
        <v>-57</v>
      </c>
      <c r="G9" s="13">
        <v>-9</v>
      </c>
      <c r="H9" s="14"/>
      <c r="I9" s="13">
        <v>-45</v>
      </c>
      <c r="J9" s="13">
        <v>-30</v>
      </c>
      <c r="K9" s="13"/>
      <c r="L9" s="13"/>
      <c r="M9" s="13">
        <v>-10</v>
      </c>
      <c r="N9" s="13">
        <v>-2</v>
      </c>
      <c r="O9" s="13">
        <v>-5</v>
      </c>
      <c r="P9" s="13"/>
      <c r="Q9" s="13"/>
      <c r="R9" s="13">
        <v>-2</v>
      </c>
      <c r="S9" s="13">
        <v>-2</v>
      </c>
      <c r="T9" s="13">
        <v>-2</v>
      </c>
      <c r="U9" s="13">
        <v>-2</v>
      </c>
      <c r="V9" s="13">
        <v>-11</v>
      </c>
      <c r="W9" s="13">
        <v>-2</v>
      </c>
      <c r="X9" s="13"/>
      <c r="Y9" s="13"/>
      <c r="Z9" s="13"/>
      <c r="AA9" s="13"/>
      <c r="AB9" s="13"/>
    </row>
    <row r="10" spans="3:28" x14ac:dyDescent="0.35">
      <c r="C10" s="1"/>
      <c r="D10" s="5"/>
      <c r="E10" s="42" t="s">
        <v>51</v>
      </c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3:28" x14ac:dyDescent="0.35">
      <c r="C11" s="1"/>
      <c r="D11" s="5">
        <v>45672</v>
      </c>
      <c r="E11" s="21" t="s">
        <v>42</v>
      </c>
      <c r="F11" s="14">
        <v>19</v>
      </c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3:28" x14ac:dyDescent="0.35">
      <c r="C12" s="1"/>
      <c r="D12" s="5">
        <v>45688</v>
      </c>
      <c r="E12" s="4" t="s">
        <v>44</v>
      </c>
      <c r="F12" s="13"/>
      <c r="G12" s="13"/>
      <c r="H12" s="14"/>
      <c r="I12" s="14"/>
      <c r="J12" s="14"/>
      <c r="K12" s="14"/>
      <c r="L12" s="13">
        <v>-1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3:28" x14ac:dyDescent="0.35">
      <c r="C13" s="1"/>
      <c r="D13" s="5"/>
      <c r="E13" s="42" t="s">
        <v>51</v>
      </c>
      <c r="F13" s="13"/>
      <c r="G13" s="13"/>
      <c r="H13" s="14"/>
      <c r="I13" s="14"/>
      <c r="J13" s="14"/>
      <c r="K13" s="14"/>
      <c r="L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3:28" x14ac:dyDescent="0.35">
      <c r="C14" s="1"/>
      <c r="D14" s="19">
        <v>45695</v>
      </c>
      <c r="E14" s="21" t="s">
        <v>52</v>
      </c>
      <c r="F14" s="13"/>
      <c r="G14" s="13">
        <v>500</v>
      </c>
      <c r="H14" s="14"/>
      <c r="I14" s="14"/>
      <c r="J14" s="14"/>
      <c r="K14" s="14"/>
      <c r="L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3:28" x14ac:dyDescent="0.35">
      <c r="C15" s="1"/>
      <c r="D15" s="19">
        <v>45695</v>
      </c>
      <c r="E15" s="21" t="s">
        <v>53</v>
      </c>
      <c r="F15" s="13"/>
      <c r="G15" s="13"/>
      <c r="H15" s="14"/>
      <c r="I15" s="14">
        <v>150</v>
      </c>
      <c r="J15" s="14"/>
      <c r="K15" s="14"/>
      <c r="L15" s="13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3:28" x14ac:dyDescent="0.35">
      <c r="C16" s="1"/>
      <c r="D16" s="19">
        <v>45695</v>
      </c>
      <c r="E16" s="21" t="s">
        <v>54</v>
      </c>
      <c r="F16" s="13"/>
      <c r="G16" s="13"/>
      <c r="H16" s="14"/>
      <c r="I16" s="14">
        <v>50</v>
      </c>
      <c r="J16" s="14"/>
      <c r="K16" s="14"/>
      <c r="L16" s="13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3:28" x14ac:dyDescent="0.35">
      <c r="C17" s="1"/>
      <c r="D17" s="19">
        <v>45695</v>
      </c>
      <c r="E17" s="21" t="s">
        <v>55</v>
      </c>
      <c r="F17" s="13"/>
      <c r="G17" s="13"/>
      <c r="H17" s="14"/>
      <c r="I17" s="14"/>
      <c r="J17" s="14"/>
      <c r="K17" s="14">
        <v>250</v>
      </c>
      <c r="L17" s="13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3:28" x14ac:dyDescent="0.35">
      <c r="C18" s="1"/>
      <c r="D18" s="5"/>
      <c r="E18" s="4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3:28" x14ac:dyDescent="0.35">
      <c r="C19" s="1"/>
      <c r="D19" s="5">
        <v>45695</v>
      </c>
      <c r="E19" s="41" t="s">
        <v>50</v>
      </c>
      <c r="F19" s="13"/>
      <c r="G19" s="13">
        <v>-300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3:28" x14ac:dyDescent="0.35">
      <c r="C20" s="1"/>
      <c r="D20" s="5"/>
      <c r="E20" s="41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3:28" x14ac:dyDescent="0.35">
      <c r="C21" s="1"/>
      <c r="D21" s="5">
        <v>45699</v>
      </c>
      <c r="E21" s="41" t="s">
        <v>50</v>
      </c>
      <c r="F21" s="13"/>
      <c r="G21" s="13">
        <v>-200</v>
      </c>
      <c r="H21" s="14"/>
      <c r="I21" s="13">
        <v>-189</v>
      </c>
      <c r="J21" s="14"/>
      <c r="K21" s="13">
        <v>-250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3:28" x14ac:dyDescent="0.35">
      <c r="C22" s="1"/>
      <c r="D22" s="5"/>
      <c r="E22" s="41"/>
      <c r="F22" s="13"/>
      <c r="G22" s="13"/>
      <c r="H22" s="14"/>
      <c r="I22" s="13"/>
      <c r="J22" s="14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3:28" x14ac:dyDescent="0.35">
      <c r="C23" s="1"/>
      <c r="D23" s="19">
        <v>45701</v>
      </c>
      <c r="E23" s="21" t="s">
        <v>71</v>
      </c>
      <c r="F23" s="13"/>
      <c r="G23" s="13"/>
      <c r="H23" s="14"/>
      <c r="I23" s="13"/>
      <c r="J23" s="14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>
        <v>5</v>
      </c>
      <c r="Y23" s="14"/>
      <c r="Z23" s="14"/>
      <c r="AA23" s="14"/>
      <c r="AB23" s="14"/>
    </row>
    <row r="24" spans="3:28" x14ac:dyDescent="0.35">
      <c r="C24" s="1"/>
      <c r="D24" s="19">
        <v>45701</v>
      </c>
      <c r="E24" s="21" t="s">
        <v>72</v>
      </c>
      <c r="F24" s="13"/>
      <c r="G24" s="13"/>
      <c r="H24" s="14"/>
      <c r="I24" s="14">
        <v>125</v>
      </c>
      <c r="J24" s="14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3:28" x14ac:dyDescent="0.35">
      <c r="C25" s="1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3:28" x14ac:dyDescent="0.35">
      <c r="C26" s="1"/>
      <c r="D26" s="5"/>
      <c r="E26" s="42" t="s">
        <v>51</v>
      </c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3:28" x14ac:dyDescent="0.35">
      <c r="C27" s="1"/>
      <c r="D27" s="19">
        <v>45705</v>
      </c>
      <c r="E27" s="21" t="s">
        <v>55</v>
      </c>
      <c r="F27" s="13"/>
      <c r="G27" s="13"/>
      <c r="H27" s="14"/>
      <c r="I27" s="14"/>
      <c r="J27" s="14"/>
      <c r="K27" s="14">
        <v>250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3:28" x14ac:dyDescent="0.35">
      <c r="C28" s="1"/>
      <c r="D28" s="5"/>
      <c r="E28" s="41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3:28" x14ac:dyDescent="0.35">
      <c r="C29" s="1"/>
      <c r="D29" s="5"/>
      <c r="E29" s="42" t="s">
        <v>51</v>
      </c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3:28" x14ac:dyDescent="0.35">
      <c r="C30" s="1"/>
      <c r="D30" s="19">
        <v>45706</v>
      </c>
      <c r="E30" s="21" t="s">
        <v>74</v>
      </c>
      <c r="F30" s="13">
        <v>200</v>
      </c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3:28" x14ac:dyDescent="0.35">
      <c r="C31" s="1"/>
      <c r="D31" s="19">
        <v>45706</v>
      </c>
      <c r="E31" s="21" t="s">
        <v>75</v>
      </c>
      <c r="F31" s="13"/>
      <c r="G31" s="13"/>
      <c r="H31" s="14"/>
      <c r="I31" s="14">
        <v>6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3:28" x14ac:dyDescent="0.35">
      <c r="C32" s="1"/>
      <c r="D32" s="19">
        <v>45706</v>
      </c>
      <c r="E32" s="21" t="s">
        <v>76</v>
      </c>
      <c r="F32" s="13"/>
      <c r="G32" s="13"/>
      <c r="H32" s="14"/>
      <c r="I32" s="14"/>
      <c r="J32" s="14"/>
      <c r="K32" s="14"/>
      <c r="L32" s="14">
        <v>15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3:28" x14ac:dyDescent="0.35">
      <c r="C33" s="1"/>
      <c r="D33" s="19"/>
      <c r="E33" s="85" t="s">
        <v>88</v>
      </c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3:28" x14ac:dyDescent="0.35">
      <c r="C34" s="1"/>
      <c r="D34" s="19">
        <v>45709</v>
      </c>
      <c r="E34" s="21" t="s">
        <v>79</v>
      </c>
      <c r="F34" s="13"/>
      <c r="G34" s="13"/>
      <c r="H34" s="14"/>
      <c r="I34" s="14"/>
      <c r="J34" s="14"/>
      <c r="K34" s="14"/>
      <c r="L34" s="14"/>
      <c r="M34" s="14"/>
      <c r="N34" s="14"/>
      <c r="O34" s="14">
        <v>1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3:28" x14ac:dyDescent="0.35">
      <c r="C35" s="1"/>
      <c r="D35" s="19">
        <v>45709</v>
      </c>
      <c r="E35" s="21" t="s">
        <v>80</v>
      </c>
      <c r="F35" s="13"/>
      <c r="G35" s="13"/>
      <c r="H35" s="14"/>
      <c r="I35" s="14"/>
      <c r="J35" s="14"/>
      <c r="K35" s="14"/>
      <c r="L35" s="14"/>
      <c r="M35" s="14"/>
      <c r="N35" s="14"/>
      <c r="O35" s="14">
        <v>1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3:28" ht="28.5" x14ac:dyDescent="0.35">
      <c r="C36" s="1"/>
      <c r="D36" s="19">
        <v>45709</v>
      </c>
      <c r="E36" s="21" t="s">
        <v>81</v>
      </c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>
        <v>7</v>
      </c>
      <c r="Q36" s="14">
        <v>7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3:28" ht="28.5" x14ac:dyDescent="0.35">
      <c r="C37" s="1"/>
      <c r="D37" s="19">
        <v>45709</v>
      </c>
      <c r="E37" s="21" t="s">
        <v>83</v>
      </c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>
        <v>1</v>
      </c>
      <c r="Q37" s="14">
        <v>1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3:28" ht="28.5" x14ac:dyDescent="0.35">
      <c r="C38" s="1"/>
      <c r="D38" s="19">
        <v>45709</v>
      </c>
      <c r="E38" s="21" t="s">
        <v>82</v>
      </c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>
        <v>1</v>
      </c>
      <c r="Q38" s="14">
        <v>1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3:28" ht="31" x14ac:dyDescent="0.35">
      <c r="C39" s="1"/>
      <c r="D39" s="19">
        <v>45709</v>
      </c>
      <c r="E39" s="82" t="s">
        <v>89</v>
      </c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>
        <v>10</v>
      </c>
      <c r="Y39" s="14"/>
      <c r="Z39" s="14"/>
      <c r="AA39" s="14"/>
      <c r="AB39" s="14"/>
    </row>
    <row r="40" spans="3:28" x14ac:dyDescent="0.35">
      <c r="C40" s="1"/>
      <c r="D40" s="19">
        <v>45709</v>
      </c>
      <c r="E40" s="21" t="s">
        <v>84</v>
      </c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>
        <v>1</v>
      </c>
      <c r="Z40" s="14"/>
      <c r="AA40" s="14"/>
      <c r="AB40" s="14"/>
    </row>
    <row r="41" spans="3:28" x14ac:dyDescent="0.35">
      <c r="C41" s="1"/>
      <c r="D41" s="19">
        <v>45709</v>
      </c>
      <c r="E41" s="21" t="s">
        <v>85</v>
      </c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>
        <v>1</v>
      </c>
      <c r="AA41" s="14"/>
      <c r="AB41" s="14"/>
    </row>
    <row r="42" spans="3:28" x14ac:dyDescent="0.35">
      <c r="C42" s="1"/>
      <c r="D42" s="19">
        <v>45709</v>
      </c>
      <c r="E42" s="21" t="s">
        <v>86</v>
      </c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>
        <v>1</v>
      </c>
      <c r="AB42" s="14"/>
    </row>
    <row r="43" spans="3:28" x14ac:dyDescent="0.35">
      <c r="C43" s="1"/>
      <c r="D43" s="19">
        <v>45709</v>
      </c>
      <c r="E43" s="21" t="s">
        <v>87</v>
      </c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>
        <v>1</v>
      </c>
    </row>
    <row r="44" spans="3:28" x14ac:dyDescent="0.35">
      <c r="C44" s="1"/>
      <c r="D44" s="19"/>
      <c r="E44" s="21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3:28" x14ac:dyDescent="0.35">
      <c r="C45" s="1"/>
      <c r="D45" s="19">
        <v>45713</v>
      </c>
      <c r="E45" s="41" t="s">
        <v>98</v>
      </c>
      <c r="F45" s="13">
        <v>-200</v>
      </c>
      <c r="G45" s="13"/>
      <c r="H45" s="14"/>
      <c r="I45" s="13">
        <v>-17</v>
      </c>
      <c r="J45" s="87"/>
      <c r="K45" s="13">
        <v>-250</v>
      </c>
      <c r="L45" s="13">
        <v>-15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spans="3:28" x14ac:dyDescent="0.35">
      <c r="C46" s="1"/>
      <c r="D46" s="19"/>
      <c r="E46" s="21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3:28" x14ac:dyDescent="0.35">
      <c r="C47" s="1"/>
      <c r="D47" s="19"/>
      <c r="E47" s="21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3:28" x14ac:dyDescent="0.35">
      <c r="C48" s="1"/>
      <c r="D48" s="19"/>
      <c r="E48" s="21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spans="3:28" x14ac:dyDescent="0.35">
      <c r="C49" s="1"/>
      <c r="D49" s="19"/>
      <c r="E49" s="21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spans="3:28" x14ac:dyDescent="0.35">
      <c r="C50" s="1"/>
      <c r="D50" s="7"/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3:28" ht="15" x14ac:dyDescent="0.35">
      <c r="C51" s="1"/>
      <c r="D51" s="6"/>
      <c r="E51" s="10" t="s">
        <v>20</v>
      </c>
      <c r="F51" s="10">
        <f t="shared" ref="F51:W51" si="0">SUM(F5:F50)</f>
        <v>19</v>
      </c>
      <c r="G51" s="10">
        <f t="shared" si="0"/>
        <v>101</v>
      </c>
      <c r="H51" s="10">
        <f t="shared" si="0"/>
        <v>1</v>
      </c>
      <c r="I51" s="10">
        <f t="shared" si="0"/>
        <v>318</v>
      </c>
      <c r="J51" s="10">
        <f t="shared" si="0"/>
        <v>10</v>
      </c>
      <c r="K51" s="10">
        <f t="shared" si="0"/>
        <v>0</v>
      </c>
      <c r="L51" s="10">
        <f t="shared" si="0"/>
        <v>0</v>
      </c>
      <c r="M51" s="10">
        <f t="shared" si="0"/>
        <v>0</v>
      </c>
      <c r="N51" s="10">
        <f t="shared" si="0"/>
        <v>0</v>
      </c>
      <c r="O51" s="10">
        <f t="shared" si="0"/>
        <v>2</v>
      </c>
      <c r="P51" s="10">
        <f t="shared" si="0"/>
        <v>13</v>
      </c>
      <c r="Q51" s="10">
        <f t="shared" si="0"/>
        <v>9</v>
      </c>
      <c r="R51" s="10">
        <f t="shared" si="0"/>
        <v>0</v>
      </c>
      <c r="S51" s="10">
        <f t="shared" si="0"/>
        <v>0</v>
      </c>
      <c r="T51" s="10">
        <f t="shared" si="0"/>
        <v>0</v>
      </c>
      <c r="U51" s="10">
        <f t="shared" si="0"/>
        <v>0</v>
      </c>
      <c r="V51" s="10">
        <f t="shared" si="0"/>
        <v>11</v>
      </c>
      <c r="W51" s="10">
        <f t="shared" si="0"/>
        <v>0</v>
      </c>
      <c r="X51" s="10">
        <f t="shared" ref="X51:AB51" si="1">SUM(X5:X50)</f>
        <v>15</v>
      </c>
      <c r="Y51" s="10">
        <f t="shared" si="1"/>
        <v>1</v>
      </c>
      <c r="Z51" s="10">
        <f t="shared" si="1"/>
        <v>1</v>
      </c>
      <c r="AA51" s="10">
        <f t="shared" si="1"/>
        <v>1</v>
      </c>
      <c r="AB51" s="10">
        <f t="shared" si="1"/>
        <v>1</v>
      </c>
    </row>
    <row r="53" spans="3:28" x14ac:dyDescent="0.35"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5" spans="3:28" x14ac:dyDescent="0.35">
      <c r="C55" s="1"/>
      <c r="D55" s="1"/>
      <c r="E55" s="8" t="s">
        <v>65</v>
      </c>
      <c r="F55" s="3" t="s">
        <v>66</v>
      </c>
      <c r="G55" s="3" t="s">
        <v>67</v>
      </c>
      <c r="H55" s="64" t="s">
        <v>68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3:28" x14ac:dyDescent="0.35">
      <c r="C56" s="1"/>
      <c r="D56" s="1"/>
      <c r="E56" s="8" t="s">
        <v>2</v>
      </c>
      <c r="F56" s="61">
        <v>0</v>
      </c>
      <c r="G56" s="62">
        <f>19+200</f>
        <v>219</v>
      </c>
      <c r="H56" s="12">
        <f>F51</f>
        <v>19</v>
      </c>
      <c r="I56" s="2"/>
      <c r="J56" s="67"/>
      <c r="K56" s="67">
        <v>580</v>
      </c>
      <c r="L56" s="67">
        <f>H56*K56</f>
        <v>11020</v>
      </c>
      <c r="M56">
        <v>0</v>
      </c>
      <c r="N56" s="67">
        <f>L56*2.2</f>
        <v>24244.000000000004</v>
      </c>
      <c r="O56" s="1"/>
      <c r="P56" s="1"/>
      <c r="Q56" s="1"/>
      <c r="R56" s="1"/>
      <c r="S56" s="1"/>
      <c r="T56" s="1"/>
      <c r="U56" s="1"/>
      <c r="V56" s="1"/>
      <c r="W56" s="1"/>
    </row>
    <row r="57" spans="3:28" x14ac:dyDescent="0.35">
      <c r="C57" s="1"/>
      <c r="D57" s="1"/>
      <c r="E57" s="8" t="s">
        <v>3</v>
      </c>
      <c r="F57" s="61">
        <v>1</v>
      </c>
      <c r="G57" s="62">
        <v>100</v>
      </c>
      <c r="H57" s="12">
        <f>G51</f>
        <v>101</v>
      </c>
      <c r="I57" s="2"/>
      <c r="J57" s="67">
        <v>600</v>
      </c>
      <c r="K57" s="67">
        <v>630</v>
      </c>
      <c r="L57" s="67">
        <f>H57*K57</f>
        <v>63630</v>
      </c>
      <c r="M57">
        <f>J57*2.32</f>
        <v>1392</v>
      </c>
      <c r="N57" s="67">
        <f>L57*2.2</f>
        <v>139986</v>
      </c>
      <c r="O57" s="1"/>
      <c r="P57" s="1"/>
      <c r="Q57" s="1"/>
      <c r="R57" s="1"/>
      <c r="S57" s="1"/>
      <c r="T57" s="1"/>
      <c r="U57" s="1"/>
      <c r="V57" s="1"/>
      <c r="W57" s="1"/>
    </row>
    <row r="58" spans="3:28" x14ac:dyDescent="0.35">
      <c r="E58" s="8" t="s">
        <v>4</v>
      </c>
      <c r="F58" s="61">
        <v>1</v>
      </c>
      <c r="G58" s="62">
        <v>0</v>
      </c>
      <c r="H58" s="12">
        <f>H51</f>
        <v>1</v>
      </c>
      <c r="I58" s="2"/>
      <c r="J58" s="68">
        <v>100</v>
      </c>
      <c r="K58" s="68"/>
      <c r="M58">
        <v>100</v>
      </c>
      <c r="N58">
        <v>0</v>
      </c>
    </row>
    <row r="59" spans="3:28" x14ac:dyDescent="0.35">
      <c r="E59" s="8" t="s">
        <v>5</v>
      </c>
      <c r="F59" s="63">
        <f>210+125</f>
        <v>335</v>
      </c>
      <c r="G59" s="62">
        <f>17+6</f>
        <v>23</v>
      </c>
      <c r="H59" s="12">
        <f>I51</f>
        <v>318</v>
      </c>
      <c r="I59" s="65" t="s">
        <v>69</v>
      </c>
      <c r="J59" s="68">
        <v>131</v>
      </c>
      <c r="K59" s="68">
        <v>145</v>
      </c>
      <c r="L59">
        <f>G59*K59</f>
        <v>3335</v>
      </c>
      <c r="M59">
        <f>(131*3)*2.32</f>
        <v>911.76</v>
      </c>
      <c r="N59">
        <f>L59*2.2</f>
        <v>7337.0000000000009</v>
      </c>
    </row>
    <row r="60" spans="3:28" x14ac:dyDescent="0.35">
      <c r="E60" s="8" t="s">
        <v>6</v>
      </c>
      <c r="F60" s="61">
        <v>10</v>
      </c>
      <c r="G60" s="3">
        <v>0</v>
      </c>
      <c r="H60" s="12">
        <f>J51</f>
        <v>10</v>
      </c>
      <c r="I60" s="1"/>
      <c r="J60" s="68">
        <v>68.5</v>
      </c>
      <c r="K60" s="68"/>
      <c r="L60">
        <f>J60*F60</f>
        <v>685</v>
      </c>
      <c r="M60">
        <f>L60*2.32</f>
        <v>1589.1999999999998</v>
      </c>
      <c r="N60">
        <v>0</v>
      </c>
    </row>
    <row r="61" spans="3:28" x14ac:dyDescent="0.35">
      <c r="E61" s="8" t="s">
        <v>10</v>
      </c>
      <c r="F61" s="61">
        <v>4</v>
      </c>
      <c r="G61" s="3">
        <v>0</v>
      </c>
      <c r="H61" s="12">
        <f>P51</f>
        <v>13</v>
      </c>
      <c r="I61" s="1"/>
      <c r="J61" s="68">
        <v>2671</v>
      </c>
      <c r="K61" s="68"/>
      <c r="L61">
        <f>1*J61</f>
        <v>2671</v>
      </c>
      <c r="M61">
        <f>L61*2.32</f>
        <v>6196.7199999999993</v>
      </c>
      <c r="N61">
        <v>0</v>
      </c>
    </row>
    <row r="62" spans="3:28" x14ac:dyDescent="0.35">
      <c r="E62" s="8" t="s">
        <v>15</v>
      </c>
      <c r="F62" s="61">
        <v>11</v>
      </c>
      <c r="G62" s="3">
        <v>0</v>
      </c>
      <c r="H62" s="12">
        <f>V51</f>
        <v>11</v>
      </c>
      <c r="I62" s="1"/>
      <c r="J62">
        <f>1611</f>
        <v>1611</v>
      </c>
      <c r="L62">
        <f>J62*F62</f>
        <v>17721</v>
      </c>
      <c r="M62">
        <f>L62*2.32</f>
        <v>41112.719999999994</v>
      </c>
      <c r="N62">
        <v>0</v>
      </c>
    </row>
    <row r="63" spans="3:28" x14ac:dyDescent="0.35">
      <c r="E63" s="8" t="s">
        <v>77</v>
      </c>
      <c r="F63" s="61">
        <v>0</v>
      </c>
      <c r="G63" s="3">
        <v>15</v>
      </c>
      <c r="H63" s="12">
        <f>L51</f>
        <v>0</v>
      </c>
      <c r="M63" s="66">
        <f>SUM(M56:M62)</f>
        <v>51302.399999999994</v>
      </c>
      <c r="N63" s="66">
        <f>SUM(N56:N62)</f>
        <v>171567</v>
      </c>
    </row>
    <row r="64" spans="3:28" x14ac:dyDescent="0.35">
      <c r="E64" s="8" t="s">
        <v>61</v>
      </c>
      <c r="F64" s="61">
        <v>0</v>
      </c>
      <c r="G64" s="61">
        <v>250</v>
      </c>
      <c r="H64" s="61">
        <f>K51</f>
        <v>0</v>
      </c>
    </row>
    <row r="65" spans="5:14" x14ac:dyDescent="0.35">
      <c r="E65" s="8" t="s">
        <v>78</v>
      </c>
      <c r="F65" s="61">
        <v>5</v>
      </c>
      <c r="G65" s="61">
        <v>0</v>
      </c>
      <c r="H65" s="61">
        <f>X51</f>
        <v>15</v>
      </c>
    </row>
    <row r="66" spans="5:14" x14ac:dyDescent="0.35">
      <c r="M66">
        <v>51302</v>
      </c>
      <c r="N66">
        <v>169653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W32"/>
  <sheetViews>
    <sheetView zoomScale="85" zoomScaleNormal="85" workbookViewId="0">
      <selection activeCell="L22" sqref="L22"/>
    </sheetView>
  </sheetViews>
  <sheetFormatPr defaultRowHeight="14.5" x14ac:dyDescent="0.35"/>
  <cols>
    <col min="3" max="3" width="23.90625" bestFit="1" customWidth="1"/>
    <col min="4" max="4" width="9.81640625" customWidth="1"/>
    <col min="5" max="5" width="15.36328125" customWidth="1"/>
    <col min="6" max="6" width="53.08984375" bestFit="1" customWidth="1"/>
    <col min="7" max="7" width="7.6328125" customWidth="1"/>
    <col min="8" max="8" width="7.1796875" customWidth="1"/>
    <col min="9" max="9" width="12.6328125" bestFit="1" customWidth="1"/>
    <col min="10" max="10" width="7.81640625" bestFit="1" customWidth="1"/>
    <col min="11" max="11" width="9.08984375" bestFit="1" customWidth="1"/>
    <col min="12" max="12" width="11.1796875" bestFit="1" customWidth="1"/>
    <col min="13" max="14" width="15.1796875" customWidth="1"/>
    <col min="16" max="16" width="9.90625" bestFit="1" customWidth="1"/>
    <col min="17" max="17" width="30.81640625" customWidth="1"/>
    <col min="20" max="20" width="13.36328125" customWidth="1"/>
  </cols>
  <sheetData>
    <row r="2" spans="3:23" x14ac:dyDescent="0.35">
      <c r="C2" s="24"/>
      <c r="D2" s="24"/>
      <c r="E2" s="24"/>
      <c r="F2" s="25" t="s">
        <v>63</v>
      </c>
      <c r="G2" s="24"/>
      <c r="H2" s="24"/>
      <c r="I2" s="24"/>
      <c r="J2" s="24"/>
      <c r="K2" s="24"/>
      <c r="L2" s="24"/>
    </row>
    <row r="3" spans="3:23" ht="26" x14ac:dyDescent="0.35">
      <c r="C3" s="24"/>
      <c r="D3" s="24"/>
      <c r="E3" s="26" t="s">
        <v>0</v>
      </c>
      <c r="F3" s="26" t="s">
        <v>1</v>
      </c>
      <c r="G3" s="26" t="s">
        <v>2</v>
      </c>
      <c r="H3" s="26" t="s">
        <v>3</v>
      </c>
      <c r="I3" s="26" t="s">
        <v>15</v>
      </c>
      <c r="J3" s="27" t="s">
        <v>5</v>
      </c>
      <c r="K3" s="27" t="s">
        <v>6</v>
      </c>
      <c r="L3" s="26" t="s">
        <v>10</v>
      </c>
      <c r="M3" s="86" t="s">
        <v>90</v>
      </c>
      <c r="N3" s="86" t="s">
        <v>91</v>
      </c>
      <c r="P3" s="24"/>
      <c r="Q3" s="25" t="s">
        <v>64</v>
      </c>
      <c r="R3" s="24"/>
      <c r="S3" s="24"/>
      <c r="T3" s="24"/>
      <c r="U3" s="24"/>
      <c r="V3" s="24"/>
      <c r="W3" s="24"/>
    </row>
    <row r="4" spans="3:23" x14ac:dyDescent="0.35">
      <c r="C4" s="24"/>
      <c r="D4" s="24"/>
      <c r="E4" s="28"/>
      <c r="F4" s="28"/>
      <c r="G4" s="28"/>
      <c r="H4" s="28"/>
      <c r="I4" s="28"/>
      <c r="J4" s="28"/>
      <c r="K4" s="28"/>
      <c r="L4" s="28"/>
      <c r="M4" s="28"/>
      <c r="N4" s="28"/>
      <c r="P4" s="26" t="s">
        <v>0</v>
      </c>
      <c r="Q4" s="26" t="s">
        <v>1</v>
      </c>
      <c r="R4" s="26" t="s">
        <v>2</v>
      </c>
      <c r="S4" s="26" t="s">
        <v>3</v>
      </c>
      <c r="T4" s="26" t="s">
        <v>15</v>
      </c>
      <c r="U4" s="27" t="s">
        <v>5</v>
      </c>
      <c r="V4" s="27" t="s">
        <v>6</v>
      </c>
      <c r="W4" s="26" t="s">
        <v>10</v>
      </c>
    </row>
    <row r="5" spans="3:23" x14ac:dyDescent="0.35">
      <c r="C5" s="24"/>
      <c r="D5" s="24"/>
      <c r="E5" s="28"/>
      <c r="F5" s="28"/>
      <c r="G5" s="29"/>
      <c r="H5" s="29"/>
      <c r="I5" s="29"/>
      <c r="J5" s="29"/>
      <c r="K5" s="29"/>
      <c r="L5" s="29"/>
      <c r="M5" s="29"/>
      <c r="N5" s="29"/>
      <c r="P5" s="28"/>
      <c r="Q5" s="28"/>
      <c r="R5" s="28"/>
      <c r="S5" s="28"/>
      <c r="T5" s="28"/>
      <c r="U5" s="28"/>
      <c r="V5" s="28"/>
      <c r="W5" s="28"/>
    </row>
    <row r="6" spans="3:23" x14ac:dyDescent="0.35">
      <c r="C6" s="24" t="s">
        <v>27</v>
      </c>
      <c r="D6" s="24"/>
      <c r="E6" s="19">
        <v>45612</v>
      </c>
      <c r="F6" s="21" t="s">
        <v>28</v>
      </c>
      <c r="G6" s="29"/>
      <c r="H6" s="29"/>
      <c r="I6" s="29"/>
      <c r="J6" s="29">
        <f>30-27</f>
        <v>3</v>
      </c>
      <c r="K6" s="29"/>
      <c r="L6" s="29"/>
      <c r="M6" s="29"/>
      <c r="N6" s="29"/>
      <c r="P6" s="19">
        <v>45695</v>
      </c>
      <c r="Q6" s="21" t="s">
        <v>54</v>
      </c>
      <c r="R6" s="29"/>
      <c r="S6" s="29"/>
      <c r="T6" s="29"/>
      <c r="U6" s="29">
        <v>17</v>
      </c>
      <c r="V6" s="29"/>
      <c r="W6" s="29"/>
    </row>
    <row r="7" spans="3:23" x14ac:dyDescent="0.35">
      <c r="C7" s="24"/>
      <c r="D7" s="24"/>
      <c r="E7" s="28"/>
      <c r="F7" s="60"/>
      <c r="G7" s="29"/>
      <c r="H7" s="29"/>
      <c r="I7" s="29"/>
      <c r="J7" s="29"/>
      <c r="K7" s="29"/>
      <c r="L7" s="29"/>
      <c r="M7" s="29"/>
      <c r="N7" s="29"/>
      <c r="P7" s="19"/>
      <c r="Q7" s="21"/>
      <c r="R7" s="29"/>
      <c r="S7" s="29"/>
      <c r="T7" s="29"/>
      <c r="U7" s="29"/>
      <c r="V7" s="29"/>
      <c r="W7" s="29"/>
    </row>
    <row r="8" spans="3:23" x14ac:dyDescent="0.35">
      <c r="C8" s="24" t="s">
        <v>27</v>
      </c>
      <c r="D8" s="24"/>
      <c r="E8" s="19">
        <v>45617</v>
      </c>
      <c r="F8" s="21" t="s">
        <v>29</v>
      </c>
      <c r="G8" s="29"/>
      <c r="H8" s="29">
        <v>1</v>
      </c>
      <c r="I8" s="29"/>
      <c r="J8" s="29"/>
      <c r="K8" s="29"/>
      <c r="L8" s="29"/>
      <c r="M8" s="29"/>
      <c r="N8" s="29"/>
      <c r="P8" s="28"/>
      <c r="Q8" s="60"/>
      <c r="R8" s="29"/>
      <c r="S8" s="29"/>
      <c r="T8" s="29"/>
      <c r="U8" s="29"/>
      <c r="V8" s="29"/>
      <c r="W8" s="29"/>
    </row>
    <row r="9" spans="3:23" x14ac:dyDescent="0.35">
      <c r="C9" s="24"/>
      <c r="D9" s="24"/>
      <c r="E9" s="19"/>
      <c r="F9" s="60"/>
      <c r="G9" s="29"/>
      <c r="H9" s="29"/>
      <c r="I9" s="29"/>
      <c r="J9" s="29"/>
      <c r="K9" s="29"/>
      <c r="L9" s="29"/>
      <c r="M9" s="29"/>
      <c r="N9" s="29"/>
      <c r="P9" s="19"/>
      <c r="Q9" s="21"/>
      <c r="R9" s="29"/>
      <c r="S9" s="29"/>
      <c r="T9" s="29"/>
      <c r="U9" s="29"/>
      <c r="V9" s="29"/>
      <c r="W9" s="29"/>
    </row>
    <row r="10" spans="3:23" x14ac:dyDescent="0.35">
      <c r="C10" s="24" t="s">
        <v>30</v>
      </c>
      <c r="D10" s="24"/>
      <c r="E10" s="19">
        <v>45644</v>
      </c>
      <c r="F10" s="21" t="s">
        <v>31</v>
      </c>
      <c r="G10" s="29"/>
      <c r="H10" s="29"/>
      <c r="I10" s="29"/>
      <c r="J10" s="29">
        <f>60-28</f>
        <v>32</v>
      </c>
      <c r="K10" s="29"/>
      <c r="L10" s="29"/>
      <c r="M10" s="29"/>
      <c r="N10" s="29"/>
      <c r="P10" s="19"/>
      <c r="Q10" s="60"/>
      <c r="R10" s="29"/>
      <c r="S10" s="29"/>
      <c r="T10" s="29"/>
      <c r="U10" s="29"/>
      <c r="V10" s="29"/>
      <c r="W10" s="29"/>
    </row>
    <row r="11" spans="3:23" x14ac:dyDescent="0.35">
      <c r="C11" s="24"/>
      <c r="D11" s="24"/>
      <c r="E11" s="19"/>
      <c r="F11" s="60"/>
      <c r="G11" s="29"/>
      <c r="H11" s="29"/>
      <c r="I11" s="29"/>
      <c r="J11" s="29"/>
      <c r="K11" s="29"/>
      <c r="L11" s="29"/>
      <c r="M11" s="29"/>
      <c r="N11" s="29"/>
      <c r="P11" s="19"/>
      <c r="Q11" s="21"/>
      <c r="R11" s="29"/>
      <c r="S11" s="29"/>
      <c r="T11" s="29"/>
      <c r="U11" s="29"/>
      <c r="V11" s="29"/>
      <c r="W11" s="29"/>
    </row>
    <row r="12" spans="3:23" x14ac:dyDescent="0.35">
      <c r="C12" s="24"/>
      <c r="D12" s="24">
        <v>700</v>
      </c>
      <c r="E12" s="19">
        <v>45652</v>
      </c>
      <c r="F12" s="21" t="s">
        <v>32</v>
      </c>
      <c r="G12" s="29"/>
      <c r="H12" s="29"/>
      <c r="I12" s="29"/>
      <c r="J12" s="29">
        <v>40</v>
      </c>
      <c r="K12" s="29"/>
      <c r="L12" s="29"/>
      <c r="M12" s="29"/>
      <c r="N12" s="29"/>
      <c r="P12" s="19"/>
      <c r="Q12" s="60"/>
      <c r="R12" s="29"/>
      <c r="S12" s="29"/>
      <c r="T12" s="29"/>
      <c r="U12" s="29"/>
      <c r="V12" s="29"/>
      <c r="W12" s="29"/>
    </row>
    <row r="13" spans="3:23" x14ac:dyDescent="0.35">
      <c r="C13" s="24" t="s">
        <v>34</v>
      </c>
      <c r="D13" s="24">
        <v>0</v>
      </c>
      <c r="E13" s="19">
        <v>45652</v>
      </c>
      <c r="F13" s="21" t="s">
        <v>35</v>
      </c>
      <c r="G13" s="29"/>
      <c r="H13" s="29"/>
      <c r="I13" s="29"/>
      <c r="J13" s="29">
        <v>75</v>
      </c>
      <c r="K13" s="29"/>
      <c r="L13" s="29"/>
      <c r="M13" s="29"/>
      <c r="N13" s="29"/>
      <c r="P13" s="19"/>
      <c r="Q13" s="31"/>
      <c r="R13" s="29"/>
      <c r="S13" s="29"/>
      <c r="T13" s="29"/>
      <c r="U13" s="29"/>
      <c r="V13" s="29"/>
      <c r="W13" s="29"/>
    </row>
    <row r="14" spans="3:23" x14ac:dyDescent="0.35">
      <c r="C14" s="24" t="s">
        <v>36</v>
      </c>
      <c r="D14" s="24"/>
      <c r="E14" s="19">
        <v>45652</v>
      </c>
      <c r="F14" s="21" t="s">
        <v>37</v>
      </c>
      <c r="G14" s="29"/>
      <c r="H14" s="29"/>
      <c r="I14" s="29"/>
      <c r="J14" s="29"/>
      <c r="K14" s="29">
        <f>40-10-20</f>
        <v>10</v>
      </c>
      <c r="L14" s="29"/>
      <c r="M14" s="29"/>
      <c r="N14" s="29"/>
      <c r="P14" s="19"/>
      <c r="Q14" s="21"/>
      <c r="R14" s="29"/>
      <c r="S14" s="29"/>
      <c r="T14" s="29"/>
      <c r="U14" s="29"/>
      <c r="V14" s="29"/>
      <c r="W14" s="29"/>
    </row>
    <row r="15" spans="3:23" x14ac:dyDescent="0.35">
      <c r="C15" s="24" t="s">
        <v>36</v>
      </c>
      <c r="D15" s="24"/>
      <c r="E15" s="19">
        <v>45652</v>
      </c>
      <c r="F15" s="21" t="s">
        <v>39</v>
      </c>
      <c r="G15" s="29"/>
      <c r="H15" s="29"/>
      <c r="I15" s="29">
        <v>11</v>
      </c>
      <c r="J15" s="29"/>
      <c r="K15" s="29"/>
      <c r="L15" s="29"/>
      <c r="M15" s="29"/>
      <c r="N15" s="29"/>
      <c r="P15" s="19"/>
      <c r="Q15" s="21"/>
      <c r="R15" s="29"/>
      <c r="S15" s="29"/>
      <c r="T15" s="29"/>
      <c r="U15" s="29"/>
      <c r="V15" s="29"/>
      <c r="W15" s="29"/>
    </row>
    <row r="16" spans="3:23" x14ac:dyDescent="0.35">
      <c r="C16" s="24" t="s">
        <v>36</v>
      </c>
      <c r="D16" s="24"/>
      <c r="E16" s="19">
        <v>45652</v>
      </c>
      <c r="F16" s="21" t="s">
        <v>40</v>
      </c>
      <c r="G16" s="29"/>
      <c r="H16" s="29"/>
      <c r="I16" s="29"/>
      <c r="J16" s="29"/>
      <c r="K16" s="29"/>
      <c r="L16" s="29">
        <v>1</v>
      </c>
      <c r="M16" s="29"/>
      <c r="N16" s="29"/>
      <c r="P16" s="19"/>
      <c r="Q16" s="21"/>
      <c r="R16" s="29"/>
      <c r="S16" s="29"/>
      <c r="T16" s="29"/>
      <c r="U16" s="29"/>
      <c r="V16" s="29"/>
      <c r="W16" s="29"/>
    </row>
    <row r="17" spans="3:23" x14ac:dyDescent="0.35">
      <c r="C17" s="24"/>
      <c r="D17" s="24"/>
      <c r="E17" s="19"/>
      <c r="F17" s="42"/>
      <c r="G17" s="29"/>
      <c r="H17" s="29"/>
      <c r="I17" s="29"/>
      <c r="J17" s="29"/>
      <c r="K17" s="29"/>
      <c r="L17" s="29"/>
      <c r="M17" s="29"/>
      <c r="N17" s="29"/>
      <c r="P17" s="19"/>
      <c r="Q17" s="21"/>
      <c r="R17" s="29"/>
      <c r="S17" s="29"/>
      <c r="T17" s="29"/>
      <c r="U17" s="29"/>
      <c r="V17" s="29"/>
      <c r="W17" s="29"/>
    </row>
    <row r="18" spans="3:23" ht="28.5" x14ac:dyDescent="0.35">
      <c r="C18" s="24"/>
      <c r="D18" s="24"/>
      <c r="E18" s="19">
        <v>45709</v>
      </c>
      <c r="F18" s="21" t="s">
        <v>82</v>
      </c>
      <c r="G18" s="29"/>
      <c r="H18" s="29"/>
      <c r="I18" s="29"/>
      <c r="J18" s="29"/>
      <c r="K18" s="29"/>
      <c r="L18" s="29"/>
      <c r="M18" s="29">
        <v>1</v>
      </c>
      <c r="N18" s="29"/>
      <c r="P18" s="19"/>
      <c r="Q18" s="42"/>
      <c r="R18" s="29"/>
      <c r="S18" s="29"/>
      <c r="T18" s="29"/>
      <c r="U18" s="29"/>
      <c r="V18" s="29"/>
      <c r="W18" s="29"/>
    </row>
    <row r="19" spans="3:23" ht="31" x14ac:dyDescent="0.35">
      <c r="C19" s="24"/>
      <c r="D19" s="24"/>
      <c r="E19" s="19">
        <v>45709</v>
      </c>
      <c r="F19" s="82" t="s">
        <v>89</v>
      </c>
      <c r="G19" s="29"/>
      <c r="H19" s="29"/>
      <c r="I19" s="29"/>
      <c r="J19" s="29"/>
      <c r="K19" s="29"/>
      <c r="L19" s="29"/>
      <c r="M19" s="29"/>
      <c r="N19" s="29">
        <v>10</v>
      </c>
      <c r="P19" s="19"/>
      <c r="Q19" s="21"/>
      <c r="R19" s="29"/>
      <c r="S19" s="29"/>
      <c r="T19" s="29"/>
      <c r="U19" s="29"/>
      <c r="V19" s="29"/>
      <c r="W19" s="29"/>
    </row>
    <row r="20" spans="3:23" x14ac:dyDescent="0.35">
      <c r="C20" s="24"/>
      <c r="D20" s="24"/>
      <c r="E20" s="19"/>
      <c r="F20" s="21"/>
      <c r="G20" s="29"/>
      <c r="H20" s="29"/>
      <c r="I20" s="29"/>
      <c r="J20" s="29"/>
      <c r="K20" s="29"/>
      <c r="L20" s="29"/>
      <c r="M20" s="29"/>
      <c r="N20" s="29"/>
      <c r="P20" s="19"/>
      <c r="Q20" s="21"/>
      <c r="R20" s="29"/>
      <c r="S20" s="29"/>
      <c r="T20" s="29"/>
      <c r="U20" s="29"/>
      <c r="V20" s="29"/>
      <c r="W20" s="29"/>
    </row>
    <row r="21" spans="3:23" x14ac:dyDescent="0.35">
      <c r="C21" s="24"/>
      <c r="D21" s="24"/>
      <c r="E21" s="28"/>
      <c r="F21" s="28"/>
      <c r="G21" s="29"/>
      <c r="H21" s="29"/>
      <c r="I21" s="29"/>
      <c r="J21" s="29"/>
      <c r="K21" s="29"/>
      <c r="L21" s="29"/>
      <c r="M21" s="29"/>
      <c r="N21" s="29"/>
      <c r="P21" s="19"/>
      <c r="Q21" s="21"/>
      <c r="R21" s="29"/>
      <c r="S21" s="29"/>
      <c r="T21" s="29"/>
      <c r="U21" s="29"/>
      <c r="V21" s="29"/>
      <c r="W21" s="29"/>
    </row>
    <row r="22" spans="3:23" ht="15" x14ac:dyDescent="0.35">
      <c r="C22" s="24"/>
      <c r="D22" s="24"/>
      <c r="E22" s="28"/>
      <c r="F22" s="30" t="s">
        <v>20</v>
      </c>
      <c r="G22" s="30">
        <f t="shared" ref="G22:L22" si="0">SUM(G5:G21)</f>
        <v>0</v>
      </c>
      <c r="H22" s="30">
        <f t="shared" si="0"/>
        <v>1</v>
      </c>
      <c r="I22" s="30">
        <f t="shared" si="0"/>
        <v>11</v>
      </c>
      <c r="J22" s="30">
        <f t="shared" si="0"/>
        <v>150</v>
      </c>
      <c r="K22" s="30">
        <f t="shared" si="0"/>
        <v>10</v>
      </c>
      <c r="L22" s="30">
        <f t="shared" si="0"/>
        <v>1</v>
      </c>
      <c r="M22" s="30">
        <f t="shared" ref="M22:N22" si="1">SUM(M5:M21)</f>
        <v>1</v>
      </c>
      <c r="N22" s="30">
        <f t="shared" si="1"/>
        <v>10</v>
      </c>
      <c r="P22" s="28"/>
      <c r="Q22" s="28"/>
      <c r="R22" s="29"/>
      <c r="S22" s="29"/>
      <c r="T22" s="29"/>
      <c r="U22" s="29"/>
      <c r="V22" s="29"/>
      <c r="W22" s="29"/>
    </row>
    <row r="23" spans="3:23" ht="15" x14ac:dyDescent="0.35">
      <c r="P23" s="28"/>
      <c r="Q23" s="30" t="s">
        <v>20</v>
      </c>
      <c r="R23" s="30">
        <f t="shared" ref="R23:W23" si="2">SUM(R6:R22)</f>
        <v>0</v>
      </c>
      <c r="S23" s="30">
        <f t="shared" si="2"/>
        <v>0</v>
      </c>
      <c r="T23" s="30">
        <f t="shared" si="2"/>
        <v>0</v>
      </c>
      <c r="U23" s="30">
        <f t="shared" si="2"/>
        <v>17</v>
      </c>
      <c r="V23" s="30">
        <f t="shared" si="2"/>
        <v>0</v>
      </c>
      <c r="W23" s="30">
        <f t="shared" si="2"/>
        <v>0</v>
      </c>
    </row>
    <row r="26" spans="3:23" x14ac:dyDescent="0.35">
      <c r="F26" s="21" t="s">
        <v>31</v>
      </c>
      <c r="G26">
        <f>132*32</f>
        <v>4224</v>
      </c>
      <c r="H26">
        <f>G26</f>
        <v>4224</v>
      </c>
    </row>
    <row r="27" spans="3:23" x14ac:dyDescent="0.35">
      <c r="F27" s="60"/>
    </row>
    <row r="28" spans="3:23" x14ac:dyDescent="0.35">
      <c r="F28" s="21" t="s">
        <v>32</v>
      </c>
      <c r="G28">
        <f>126*40</f>
        <v>5040</v>
      </c>
      <c r="H28">
        <f>G28-700</f>
        <v>4340</v>
      </c>
    </row>
    <row r="29" spans="3:23" x14ac:dyDescent="0.35">
      <c r="F29" s="31" t="s">
        <v>33</v>
      </c>
      <c r="G29">
        <f>2671.2*3</f>
        <v>8013.5999999999995</v>
      </c>
      <c r="H29">
        <f>G29-890</f>
        <v>7123.5999999999995</v>
      </c>
    </row>
    <row r="30" spans="3:23" x14ac:dyDescent="0.35">
      <c r="F30" s="21" t="s">
        <v>35</v>
      </c>
      <c r="G30">
        <f>75*128</f>
        <v>9600</v>
      </c>
      <c r="H30">
        <f>G30</f>
        <v>9600</v>
      </c>
    </row>
    <row r="31" spans="3:23" x14ac:dyDescent="0.35">
      <c r="F31" s="21" t="s">
        <v>38</v>
      </c>
      <c r="G31">
        <f>126*60</f>
        <v>7560</v>
      </c>
      <c r="H31">
        <f>G31-500</f>
        <v>7060</v>
      </c>
    </row>
    <row r="32" spans="3:23" x14ac:dyDescent="0.35">
      <c r="H32" s="66">
        <f>SUM(H26:H31)</f>
        <v>32347.599999999999</v>
      </c>
      <c r="I32">
        <f>H32*2.32</f>
        <v>75046.431999999986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K21"/>
  <sheetViews>
    <sheetView workbookViewId="0">
      <selection activeCell="I6" sqref="I6"/>
    </sheetView>
  </sheetViews>
  <sheetFormatPr defaultRowHeight="14.5" x14ac:dyDescent="0.35"/>
  <cols>
    <col min="3" max="3" width="10.453125" bestFit="1" customWidth="1"/>
    <col min="4" max="4" width="37.36328125" customWidth="1"/>
    <col min="5" max="5" width="5.1796875" bestFit="1" customWidth="1"/>
    <col min="6" max="7" width="7.81640625" bestFit="1" customWidth="1"/>
    <col min="9" max="9" width="11" bestFit="1" customWidth="1"/>
  </cols>
  <sheetData>
    <row r="3" spans="3:9" x14ac:dyDescent="0.35">
      <c r="E3" s="32"/>
      <c r="F3" s="32"/>
      <c r="G3" s="32"/>
    </row>
    <row r="4" spans="3:9" x14ac:dyDescent="0.35">
      <c r="C4" s="26" t="s">
        <v>0</v>
      </c>
      <c r="D4" s="26" t="s">
        <v>1</v>
      </c>
      <c r="E4" s="33" t="s">
        <v>45</v>
      </c>
      <c r="F4" s="33" t="s">
        <v>46</v>
      </c>
      <c r="G4" s="33" t="s">
        <v>47</v>
      </c>
      <c r="H4" s="28"/>
      <c r="I4" s="26" t="s">
        <v>48</v>
      </c>
    </row>
    <row r="5" spans="3:9" x14ac:dyDescent="0.35">
      <c r="C5" s="19"/>
      <c r="D5" s="21"/>
      <c r="E5" s="34"/>
      <c r="F5" s="34"/>
      <c r="G5" s="34"/>
      <c r="H5" s="35"/>
      <c r="I5" s="36"/>
    </row>
    <row r="6" spans="3:9" x14ac:dyDescent="0.35">
      <c r="C6" s="19">
        <v>45672</v>
      </c>
      <c r="D6" s="21" t="s">
        <v>42</v>
      </c>
      <c r="E6" s="34">
        <v>19</v>
      </c>
      <c r="F6" s="37">
        <v>580</v>
      </c>
      <c r="G6" s="34">
        <f>E6*F6</f>
        <v>11020</v>
      </c>
      <c r="H6" s="35"/>
      <c r="I6" s="36">
        <f>G6*13.04/100</f>
        <v>1437.0079999999998</v>
      </c>
    </row>
    <row r="7" spans="3:9" x14ac:dyDescent="0.35">
      <c r="C7" s="19"/>
      <c r="D7" s="21"/>
      <c r="E7" s="34"/>
      <c r="F7" s="34"/>
      <c r="G7" s="38"/>
      <c r="H7" s="35"/>
      <c r="I7" s="36"/>
    </row>
    <row r="8" spans="3:9" x14ac:dyDescent="0.35">
      <c r="C8" s="19">
        <v>45695</v>
      </c>
      <c r="D8" s="21" t="s">
        <v>52</v>
      </c>
      <c r="E8" s="34">
        <v>500</v>
      </c>
      <c r="F8" s="37">
        <v>630</v>
      </c>
      <c r="G8" s="34">
        <f t="shared" ref="G8:G11" si="0">E8*F8</f>
        <v>315000</v>
      </c>
      <c r="H8" s="35"/>
      <c r="I8" s="36">
        <f t="shared" ref="I8:I11" si="1">G8*13.04/100</f>
        <v>41075.999999999993</v>
      </c>
    </row>
    <row r="9" spans="3:9" x14ac:dyDescent="0.35">
      <c r="C9" s="19">
        <v>45695</v>
      </c>
      <c r="D9" s="21" t="s">
        <v>53</v>
      </c>
      <c r="E9" s="34">
        <v>150</v>
      </c>
      <c r="F9" s="37">
        <v>148</v>
      </c>
      <c r="G9" s="34">
        <f t="shared" si="0"/>
        <v>22200</v>
      </c>
      <c r="H9" s="35"/>
      <c r="I9" s="36">
        <f t="shared" si="1"/>
        <v>2894.88</v>
      </c>
    </row>
    <row r="10" spans="3:9" x14ac:dyDescent="0.35">
      <c r="C10" s="19">
        <v>45695</v>
      </c>
      <c r="D10" s="21" t="s">
        <v>54</v>
      </c>
      <c r="E10" s="34">
        <v>50</v>
      </c>
      <c r="F10" s="37">
        <v>145</v>
      </c>
      <c r="G10" s="34">
        <f t="shared" si="0"/>
        <v>7250</v>
      </c>
      <c r="H10" s="35"/>
      <c r="I10" s="36">
        <f t="shared" si="1"/>
        <v>945.4</v>
      </c>
    </row>
    <row r="11" spans="3:9" x14ac:dyDescent="0.35">
      <c r="C11" s="19">
        <v>45695</v>
      </c>
      <c r="D11" s="21" t="s">
        <v>55</v>
      </c>
      <c r="E11" s="34">
        <v>250</v>
      </c>
      <c r="F11" s="37">
        <v>149</v>
      </c>
      <c r="G11" s="34">
        <f t="shared" si="0"/>
        <v>37250</v>
      </c>
      <c r="H11" s="35"/>
      <c r="I11" s="36">
        <f t="shared" si="1"/>
        <v>4857.3999999999996</v>
      </c>
    </row>
    <row r="12" spans="3:9" x14ac:dyDescent="0.35">
      <c r="C12" s="69"/>
      <c r="D12" s="70"/>
      <c r="E12" s="32"/>
      <c r="F12" s="71"/>
      <c r="G12" s="32"/>
      <c r="I12" s="72"/>
    </row>
    <row r="13" spans="3:9" x14ac:dyDescent="0.35">
      <c r="C13" s="19">
        <v>45705</v>
      </c>
      <c r="D13" s="21" t="s">
        <v>55</v>
      </c>
      <c r="E13" s="34">
        <v>250</v>
      </c>
      <c r="F13" s="37">
        <v>149</v>
      </c>
      <c r="G13" s="34">
        <f t="shared" ref="G13" si="2">E13*F13</f>
        <v>37250</v>
      </c>
      <c r="H13" s="35"/>
      <c r="I13" s="36">
        <f t="shared" ref="I13" si="3">G13*13.04/100</f>
        <v>4857.3999999999996</v>
      </c>
    </row>
    <row r="14" spans="3:9" x14ac:dyDescent="0.35">
      <c r="C14" s="69"/>
      <c r="D14" s="70"/>
      <c r="E14" s="32"/>
      <c r="F14" s="71"/>
      <c r="G14" s="32"/>
      <c r="I14" s="72"/>
    </row>
    <row r="15" spans="3:9" x14ac:dyDescent="0.35">
      <c r="C15" s="19">
        <v>45706</v>
      </c>
      <c r="D15" s="21" t="s">
        <v>74</v>
      </c>
      <c r="E15" s="34">
        <v>200</v>
      </c>
      <c r="F15" s="37">
        <v>549</v>
      </c>
      <c r="G15" s="34">
        <f t="shared" ref="G15:G17" si="4">E15*F15</f>
        <v>109800</v>
      </c>
      <c r="H15" s="35"/>
      <c r="I15" s="36">
        <f t="shared" ref="I15:I17" si="5">G15*13.04/100</f>
        <v>14317.92</v>
      </c>
    </row>
    <row r="16" spans="3:9" x14ac:dyDescent="0.35">
      <c r="C16" s="19">
        <v>45706</v>
      </c>
      <c r="D16" s="21" t="s">
        <v>75</v>
      </c>
      <c r="E16" s="34">
        <v>6</v>
      </c>
      <c r="F16" s="37">
        <v>145</v>
      </c>
      <c r="G16" s="34">
        <f t="shared" si="4"/>
        <v>870</v>
      </c>
      <c r="H16" s="35"/>
      <c r="I16" s="36">
        <f t="shared" si="5"/>
        <v>113.44799999999999</v>
      </c>
    </row>
    <row r="17" spans="3:11" x14ac:dyDescent="0.35">
      <c r="C17" s="19">
        <v>45706</v>
      </c>
      <c r="D17" s="21" t="s">
        <v>76</v>
      </c>
      <c r="E17" s="34">
        <v>15</v>
      </c>
      <c r="F17" s="37">
        <v>695</v>
      </c>
      <c r="G17" s="34">
        <f t="shared" si="4"/>
        <v>10425</v>
      </c>
      <c r="H17" s="35"/>
      <c r="I17" s="36">
        <f t="shared" si="5"/>
        <v>1359.42</v>
      </c>
    </row>
    <row r="18" spans="3:11" x14ac:dyDescent="0.35">
      <c r="C18" s="69"/>
      <c r="D18" s="70"/>
      <c r="E18" s="32"/>
      <c r="F18" s="71"/>
      <c r="G18" s="32"/>
      <c r="I18" s="72"/>
    </row>
    <row r="19" spans="3:11" x14ac:dyDescent="0.35">
      <c r="D19" s="70"/>
    </row>
    <row r="20" spans="3:11" x14ac:dyDescent="0.35">
      <c r="D20" s="70"/>
    </row>
    <row r="21" spans="3:11" ht="16" x14ac:dyDescent="0.5">
      <c r="D21" s="39" t="s">
        <v>49</v>
      </c>
      <c r="I21" s="40">
        <f>SUM(I5:I18)</f>
        <v>71858.876000000004</v>
      </c>
      <c r="K21">
        <v>71858.880000000005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21"/>
  <sheetViews>
    <sheetView topLeftCell="A2" workbookViewId="0">
      <selection activeCell="A17" sqref="A17"/>
    </sheetView>
  </sheetViews>
  <sheetFormatPr defaultRowHeight="14.5" x14ac:dyDescent="0.35"/>
  <cols>
    <col min="2" max="2" width="9.90625" bestFit="1" customWidth="1"/>
    <col min="3" max="3" width="49.36328125" customWidth="1"/>
    <col min="5" max="5" width="9.08984375" bestFit="1" customWidth="1"/>
    <col min="6" max="6" width="10.08984375" bestFit="1" customWidth="1"/>
    <col min="8" max="8" width="10" bestFit="1" customWidth="1"/>
  </cols>
  <sheetData>
    <row r="3" spans="2:8" x14ac:dyDescent="0.35">
      <c r="B3" s="26" t="s">
        <v>0</v>
      </c>
      <c r="C3" s="26" t="s">
        <v>1</v>
      </c>
      <c r="D3" s="33" t="s">
        <v>45</v>
      </c>
      <c r="E3" s="33" t="s">
        <v>46</v>
      </c>
      <c r="F3" s="33" t="s">
        <v>47</v>
      </c>
      <c r="G3" s="28"/>
      <c r="H3" s="26" t="s">
        <v>48</v>
      </c>
    </row>
    <row r="4" spans="2:8" x14ac:dyDescent="0.35">
      <c r="B4" s="19">
        <v>45701</v>
      </c>
      <c r="C4" s="21" t="s">
        <v>71</v>
      </c>
      <c r="D4" s="34">
        <v>5</v>
      </c>
      <c r="E4" s="80">
        <v>188</v>
      </c>
      <c r="F4" s="81">
        <f>D4*E4</f>
        <v>940</v>
      </c>
      <c r="G4" s="35"/>
      <c r="H4" s="36">
        <f t="shared" ref="H4:H5" si="0">F4/11</f>
        <v>85.454545454545453</v>
      </c>
    </row>
    <row r="5" spans="2:8" x14ac:dyDescent="0.35">
      <c r="B5" s="19">
        <v>45701</v>
      </c>
      <c r="C5" s="21" t="s">
        <v>72</v>
      </c>
      <c r="D5" s="34">
        <v>125</v>
      </c>
      <c r="E5" s="80">
        <v>133.30000000000001</v>
      </c>
      <c r="F5" s="81">
        <f>D5*E5</f>
        <v>16662.5</v>
      </c>
      <c r="G5" s="35"/>
      <c r="H5" s="36">
        <f t="shared" si="0"/>
        <v>1514.7727272727273</v>
      </c>
    </row>
    <row r="7" spans="2:8" x14ac:dyDescent="0.35">
      <c r="B7" s="19">
        <v>45709</v>
      </c>
      <c r="C7" s="21" t="s">
        <v>79</v>
      </c>
      <c r="D7" s="34">
        <v>1</v>
      </c>
      <c r="E7" s="80">
        <v>1919</v>
      </c>
      <c r="F7" s="81">
        <f t="shared" ref="F7:F16" si="1">D7*E7</f>
        <v>1919</v>
      </c>
      <c r="G7" s="35"/>
      <c r="H7" s="36">
        <f t="shared" ref="H7:H16" si="2">F7/11</f>
        <v>174.45454545454547</v>
      </c>
    </row>
    <row r="8" spans="2:8" x14ac:dyDescent="0.35">
      <c r="B8" s="19">
        <v>45709</v>
      </c>
      <c r="C8" s="21" t="s">
        <v>80</v>
      </c>
      <c r="D8" s="34">
        <v>1</v>
      </c>
      <c r="E8" s="80">
        <v>1934</v>
      </c>
      <c r="F8" s="81">
        <f t="shared" si="1"/>
        <v>1934</v>
      </c>
      <c r="G8" s="35"/>
      <c r="H8" s="36">
        <f t="shared" si="2"/>
        <v>175.81818181818181</v>
      </c>
    </row>
    <row r="9" spans="2:8" x14ac:dyDescent="0.35">
      <c r="B9" s="19">
        <v>45709</v>
      </c>
      <c r="C9" s="21" t="s">
        <v>81</v>
      </c>
      <c r="D9" s="34">
        <v>7</v>
      </c>
      <c r="E9" s="80">
        <v>2349</v>
      </c>
      <c r="F9" s="81">
        <f t="shared" si="1"/>
        <v>16443</v>
      </c>
      <c r="G9" s="35"/>
      <c r="H9" s="36">
        <f t="shared" si="2"/>
        <v>1494.8181818181818</v>
      </c>
    </row>
    <row r="10" spans="2:8" x14ac:dyDescent="0.35">
      <c r="B10" s="19">
        <v>45709</v>
      </c>
      <c r="C10" s="21" t="s">
        <v>92</v>
      </c>
      <c r="D10" s="34">
        <v>1</v>
      </c>
      <c r="E10" s="80">
        <v>2349</v>
      </c>
      <c r="F10" s="81">
        <f t="shared" si="1"/>
        <v>2349</v>
      </c>
      <c r="G10" s="35"/>
      <c r="H10" s="36">
        <f t="shared" si="2"/>
        <v>213.54545454545453</v>
      </c>
    </row>
    <row r="11" spans="2:8" ht="28.5" x14ac:dyDescent="0.35">
      <c r="B11" s="19">
        <v>45709</v>
      </c>
      <c r="C11" s="21" t="s">
        <v>82</v>
      </c>
      <c r="D11" s="34">
        <v>1</v>
      </c>
      <c r="E11" s="80">
        <v>2349</v>
      </c>
      <c r="F11" s="81">
        <f t="shared" si="1"/>
        <v>2349</v>
      </c>
      <c r="G11" s="35"/>
      <c r="H11" s="36">
        <f t="shared" si="2"/>
        <v>213.54545454545453</v>
      </c>
    </row>
    <row r="12" spans="2:8" ht="31" x14ac:dyDescent="0.35">
      <c r="B12" s="19">
        <v>45709</v>
      </c>
      <c r="C12" s="82" t="s">
        <v>89</v>
      </c>
      <c r="D12" s="34">
        <v>10</v>
      </c>
      <c r="E12" s="80">
        <v>188</v>
      </c>
      <c r="F12" s="81">
        <f t="shared" si="1"/>
        <v>1880</v>
      </c>
      <c r="G12" s="35"/>
      <c r="H12" s="36">
        <f t="shared" si="2"/>
        <v>170.90909090909091</v>
      </c>
    </row>
    <row r="13" spans="2:8" x14ac:dyDescent="0.35">
      <c r="B13" s="19">
        <v>45709</v>
      </c>
      <c r="C13" s="21" t="s">
        <v>84</v>
      </c>
      <c r="D13" s="34">
        <v>1</v>
      </c>
      <c r="E13" s="80">
        <v>248</v>
      </c>
      <c r="F13" s="81">
        <f t="shared" si="1"/>
        <v>248</v>
      </c>
      <c r="G13" s="35"/>
      <c r="H13" s="36">
        <f t="shared" si="2"/>
        <v>22.545454545454547</v>
      </c>
    </row>
    <row r="14" spans="2:8" x14ac:dyDescent="0.35">
      <c r="B14" s="19">
        <v>45709</v>
      </c>
      <c r="C14" s="21" t="s">
        <v>85</v>
      </c>
      <c r="D14" s="34">
        <v>1</v>
      </c>
      <c r="E14" s="80">
        <v>203</v>
      </c>
      <c r="F14" s="81">
        <f t="shared" si="1"/>
        <v>203</v>
      </c>
      <c r="G14" s="35"/>
      <c r="H14" s="36">
        <f t="shared" si="2"/>
        <v>18.454545454545453</v>
      </c>
    </row>
    <row r="15" spans="2:8" x14ac:dyDescent="0.35">
      <c r="B15" s="19">
        <v>45709</v>
      </c>
      <c r="C15" s="21" t="s">
        <v>86</v>
      </c>
      <c r="D15" s="34">
        <v>1</v>
      </c>
      <c r="E15" s="80">
        <v>143</v>
      </c>
      <c r="F15" s="81">
        <f t="shared" si="1"/>
        <v>143</v>
      </c>
      <c r="G15" s="35"/>
      <c r="H15" s="36">
        <f t="shared" si="2"/>
        <v>13</v>
      </c>
    </row>
    <row r="16" spans="2:8" x14ac:dyDescent="0.35">
      <c r="B16" s="19">
        <v>45709</v>
      </c>
      <c r="C16" s="21" t="s">
        <v>87</v>
      </c>
      <c r="D16" s="34">
        <v>1</v>
      </c>
      <c r="E16" s="80">
        <v>250</v>
      </c>
      <c r="F16" s="81">
        <f t="shared" si="1"/>
        <v>250</v>
      </c>
      <c r="G16" s="35"/>
      <c r="H16" s="36">
        <f t="shared" si="2"/>
        <v>22.727272727272727</v>
      </c>
    </row>
    <row r="21" spans="3:8" x14ac:dyDescent="0.35">
      <c r="C21" s="39" t="s">
        <v>49</v>
      </c>
      <c r="H21" s="79">
        <f>SUM(H4:H20)</f>
        <v>4120.045454545455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G22"/>
  <sheetViews>
    <sheetView workbookViewId="0">
      <selection activeCell="I14" sqref="I14"/>
    </sheetView>
  </sheetViews>
  <sheetFormatPr defaultRowHeight="14.5" x14ac:dyDescent="0.35"/>
  <cols>
    <col min="3" max="3" width="10.453125" bestFit="1" customWidth="1"/>
    <col min="4" max="4" width="38" bestFit="1" customWidth="1"/>
    <col min="5" max="5" width="8.81640625" bestFit="1" customWidth="1"/>
    <col min="7" max="7" width="9.54296875" bestFit="1" customWidth="1"/>
  </cols>
  <sheetData>
    <row r="2" spans="3:7" ht="18.5" x14ac:dyDescent="0.45">
      <c r="D2" s="48" t="s">
        <v>56</v>
      </c>
    </row>
    <row r="3" spans="3:7" ht="18.5" x14ac:dyDescent="0.35">
      <c r="C3" s="49" t="s">
        <v>0</v>
      </c>
      <c r="D3" s="49" t="s">
        <v>57</v>
      </c>
      <c r="E3" s="49" t="s">
        <v>58</v>
      </c>
      <c r="F3" s="49" t="s">
        <v>59</v>
      </c>
      <c r="G3" s="49" t="s">
        <v>60</v>
      </c>
    </row>
    <row r="4" spans="3:7" x14ac:dyDescent="0.35">
      <c r="C4" s="35"/>
      <c r="D4" s="35"/>
      <c r="E4" s="35"/>
      <c r="F4" s="35"/>
      <c r="G4" s="35"/>
    </row>
    <row r="5" spans="3:7" x14ac:dyDescent="0.35">
      <c r="C5" s="50">
        <v>45692</v>
      </c>
      <c r="D5" s="21" t="s">
        <v>62</v>
      </c>
      <c r="E5" s="51">
        <v>50000</v>
      </c>
      <c r="F5" s="52"/>
      <c r="G5" s="53">
        <f>G4+E5-F5</f>
        <v>50000</v>
      </c>
    </row>
    <row r="6" spans="3:7" x14ac:dyDescent="0.35">
      <c r="C6" s="50"/>
      <c r="D6" s="21"/>
      <c r="E6" s="51"/>
      <c r="F6" s="52"/>
      <c r="G6" s="53">
        <f t="shared" ref="G6:G22" si="0">G5+E6-F6</f>
        <v>50000</v>
      </c>
    </row>
    <row r="7" spans="3:7" x14ac:dyDescent="0.35">
      <c r="C7" s="50"/>
      <c r="D7" s="21"/>
      <c r="E7" s="51"/>
      <c r="F7" s="52"/>
      <c r="G7" s="53">
        <f t="shared" si="0"/>
        <v>50000</v>
      </c>
    </row>
    <row r="8" spans="3:7" x14ac:dyDescent="0.35">
      <c r="C8" s="50"/>
      <c r="D8" s="52"/>
      <c r="E8" s="51"/>
      <c r="F8" s="52"/>
      <c r="G8" s="53">
        <f t="shared" si="0"/>
        <v>50000</v>
      </c>
    </row>
    <row r="9" spans="3:7" x14ac:dyDescent="0.35">
      <c r="C9" s="50"/>
      <c r="D9" s="52"/>
      <c r="E9" s="51"/>
      <c r="F9" s="52"/>
      <c r="G9" s="53">
        <f t="shared" si="0"/>
        <v>50000</v>
      </c>
    </row>
    <row r="10" spans="3:7" x14ac:dyDescent="0.35">
      <c r="C10" s="50"/>
      <c r="D10" s="52"/>
      <c r="E10" s="51"/>
      <c r="F10" s="52"/>
      <c r="G10" s="53">
        <f t="shared" si="0"/>
        <v>50000</v>
      </c>
    </row>
    <row r="11" spans="3:7" x14ac:dyDescent="0.35">
      <c r="C11" s="50"/>
      <c r="D11" s="52"/>
      <c r="E11" s="51"/>
      <c r="F11" s="52"/>
      <c r="G11" s="53">
        <f t="shared" si="0"/>
        <v>50000</v>
      </c>
    </row>
    <row r="12" spans="3:7" x14ac:dyDescent="0.35">
      <c r="C12" s="50"/>
      <c r="D12" s="54"/>
      <c r="E12" s="51"/>
      <c r="F12" s="52"/>
      <c r="G12" s="53">
        <f t="shared" si="0"/>
        <v>50000</v>
      </c>
    </row>
    <row r="13" spans="3:7" x14ac:dyDescent="0.35">
      <c r="C13" s="55"/>
      <c r="D13" s="52"/>
      <c r="E13" s="52"/>
      <c r="F13" s="56"/>
      <c r="G13" s="53">
        <f t="shared" si="0"/>
        <v>50000</v>
      </c>
    </row>
    <row r="14" spans="3:7" x14ac:dyDescent="0.35">
      <c r="C14" s="55"/>
      <c r="D14" s="52"/>
      <c r="E14" s="52"/>
      <c r="F14" s="56"/>
      <c r="G14" s="53">
        <f t="shared" si="0"/>
        <v>50000</v>
      </c>
    </row>
    <row r="15" spans="3:7" x14ac:dyDescent="0.35">
      <c r="C15" s="55"/>
      <c r="D15" s="52"/>
      <c r="E15" s="52"/>
      <c r="F15" s="56"/>
      <c r="G15" s="53">
        <f t="shared" si="0"/>
        <v>50000</v>
      </c>
    </row>
    <row r="16" spans="3:7" x14ac:dyDescent="0.35">
      <c r="C16" s="55"/>
      <c r="D16" s="52"/>
      <c r="E16" s="52"/>
      <c r="F16" s="56"/>
      <c r="G16" s="53">
        <f t="shared" si="0"/>
        <v>50000</v>
      </c>
    </row>
    <row r="17" spans="3:7" x14ac:dyDescent="0.35">
      <c r="C17" s="55"/>
      <c r="D17" s="52"/>
      <c r="E17" s="52"/>
      <c r="F17" s="56"/>
      <c r="G17" s="53">
        <f t="shared" si="0"/>
        <v>50000</v>
      </c>
    </row>
    <row r="18" spans="3:7" x14ac:dyDescent="0.35">
      <c r="C18" s="55"/>
      <c r="D18" s="52"/>
      <c r="E18" s="52"/>
      <c r="F18" s="56"/>
      <c r="G18" s="53">
        <f t="shared" si="0"/>
        <v>50000</v>
      </c>
    </row>
    <row r="19" spans="3:7" x14ac:dyDescent="0.35">
      <c r="C19" s="57"/>
      <c r="D19" s="28"/>
      <c r="E19" s="58"/>
      <c r="F19" s="58"/>
      <c r="G19" s="53">
        <f t="shared" si="0"/>
        <v>50000</v>
      </c>
    </row>
    <row r="20" spans="3:7" x14ac:dyDescent="0.35">
      <c r="C20" s="57"/>
      <c r="D20" s="28"/>
      <c r="E20" s="58"/>
      <c r="F20" s="58"/>
      <c r="G20" s="53">
        <f t="shared" si="0"/>
        <v>50000</v>
      </c>
    </row>
    <row r="21" spans="3:7" x14ac:dyDescent="0.35">
      <c r="C21" s="55"/>
      <c r="D21" s="52"/>
      <c r="E21" s="52"/>
      <c r="F21" s="56"/>
      <c r="G21" s="53">
        <f t="shared" si="0"/>
        <v>50000</v>
      </c>
    </row>
    <row r="22" spans="3:7" ht="15.5" x14ac:dyDescent="0.35">
      <c r="C22" s="52"/>
      <c r="D22" s="52"/>
      <c r="E22" s="52"/>
      <c r="F22" s="52"/>
      <c r="G22" s="59">
        <f t="shared" si="0"/>
        <v>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4:M13"/>
  <sheetViews>
    <sheetView workbookViewId="0">
      <selection activeCell="M13" sqref="M13"/>
    </sheetView>
  </sheetViews>
  <sheetFormatPr defaultRowHeight="14.5" x14ac:dyDescent="0.35"/>
  <cols>
    <col min="7" max="7" width="9.453125" bestFit="1" customWidth="1"/>
    <col min="12" max="12" width="9.81640625" bestFit="1" customWidth="1"/>
  </cols>
  <sheetData>
    <row r="4" spans="4:13" x14ac:dyDescent="0.35">
      <c r="G4" t="s">
        <v>99</v>
      </c>
      <c r="I4" t="s">
        <v>100</v>
      </c>
      <c r="L4" t="s">
        <v>100</v>
      </c>
    </row>
    <row r="6" spans="4:13" x14ac:dyDescent="0.35">
      <c r="D6" s="88">
        <v>1703063</v>
      </c>
      <c r="G6" s="88">
        <v>538488</v>
      </c>
      <c r="I6" s="88">
        <v>1138800</v>
      </c>
      <c r="L6" t="s">
        <v>101</v>
      </c>
      <c r="M6">
        <v>1180045</v>
      </c>
    </row>
    <row r="7" spans="4:13" x14ac:dyDescent="0.35">
      <c r="D7">
        <f>D6/11</f>
        <v>154823.90909090909</v>
      </c>
      <c r="G7">
        <f>G6/11</f>
        <v>48953.454545454544</v>
      </c>
      <c r="I7">
        <f>I6/11</f>
        <v>103527.27272727272</v>
      </c>
    </row>
    <row r="8" spans="4:13" x14ac:dyDescent="0.35">
      <c r="L8" t="s">
        <v>25</v>
      </c>
      <c r="M8">
        <v>1144695</v>
      </c>
    </row>
    <row r="9" spans="4:13" x14ac:dyDescent="0.35">
      <c r="D9">
        <v>-21500</v>
      </c>
      <c r="G9">
        <v>11946</v>
      </c>
      <c r="I9" s="88">
        <v>41280</v>
      </c>
      <c r="M9">
        <f>M8/11</f>
        <v>104063.18181818182</v>
      </c>
    </row>
    <row r="10" spans="4:13" x14ac:dyDescent="0.35">
      <c r="D10">
        <f>D7+D9</f>
        <v>133323.90909090909</v>
      </c>
      <c r="G10">
        <f>G7-G9</f>
        <v>37007.454545454544</v>
      </c>
      <c r="M10">
        <f>M8-M9</f>
        <v>1040631.8181818181</v>
      </c>
    </row>
    <row r="11" spans="4:13" x14ac:dyDescent="0.35">
      <c r="D11">
        <v>80000</v>
      </c>
      <c r="G11" s="89">
        <v>65380.7</v>
      </c>
      <c r="I11" s="89">
        <v>39901.599999999999</v>
      </c>
      <c r="L11" t="s">
        <v>102</v>
      </c>
      <c r="M11">
        <f>M6-M10</f>
        <v>139413.18181818188</v>
      </c>
    </row>
    <row r="13" spans="4:13" x14ac:dyDescent="0.35">
      <c r="D13">
        <f>D10-D11</f>
        <v>53323.909090909088</v>
      </c>
      <c r="G13" s="89">
        <f>G10-G11</f>
        <v>-28373.245454545453</v>
      </c>
      <c r="L13" t="s">
        <v>103</v>
      </c>
      <c r="M13">
        <v>39901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Stock</vt:lpstr>
      <vt:lpstr>Pending Units</vt:lpstr>
      <vt:lpstr>GST NZ</vt:lpstr>
      <vt:lpstr>AUD GST</vt:lpstr>
      <vt:lpstr>Entries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2025-01-21T09:53:00Z</dcterms:created>
  <dcterms:modified xsi:type="dcterms:W3CDTF">2025-05-11T17:03:13Z</dcterms:modified>
</cp:coreProperties>
</file>