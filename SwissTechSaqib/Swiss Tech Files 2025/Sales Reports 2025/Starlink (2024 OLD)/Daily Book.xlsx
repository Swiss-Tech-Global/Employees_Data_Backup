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5300\Desktop\Starlink\"/>
    </mc:Choice>
  </mc:AlternateContent>
  <xr:revisionPtr revIDLastSave="0" documentId="13_ncr:1_{01D14212-B573-4551-931C-91E408E4B0AD}" xr6:coauthVersionLast="47" xr6:coauthVersionMax="47" xr10:uidLastSave="{00000000-0000-0000-0000-000000000000}"/>
  <bookViews>
    <workbookView xWindow="-108" yWindow="-108" windowWidth="23256" windowHeight="13896" firstSheet="3" activeTab="9" xr2:uid="{00000000-000D-0000-FFFF-FFFF00000000}"/>
  </bookViews>
  <sheets>
    <sheet name="Cash " sheetId="4" r:id="rId1"/>
    <sheet name="Pending Work" sheetId="2" r:id="rId2"/>
    <sheet name="Shpping Charges" sheetId="5" r:id="rId3"/>
    <sheet name="Closing Nov.24" sheetId="6" r:id="rId4"/>
    <sheet name="Sheet1" sheetId="7" r:id="rId5"/>
    <sheet name="Sheet2" sheetId="8" r:id="rId6"/>
    <sheet name="Sheet3" sheetId="9" r:id="rId7"/>
    <sheet name="Profit25" sheetId="10" r:id="rId8"/>
    <sheet name="Sheet4" sheetId="11" r:id="rId9"/>
    <sheet name="Reports" sheetId="12" r:id="rId10"/>
    <sheet name="Sheet6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5" i="12" l="1"/>
  <c r="F164" i="12"/>
  <c r="F116" i="12"/>
  <c r="C127" i="12"/>
  <c r="E76" i="5"/>
  <c r="E77" i="5" s="1"/>
  <c r="C81" i="12"/>
  <c r="F70" i="12"/>
  <c r="G28" i="13"/>
  <c r="G20" i="13"/>
  <c r="H20" i="13" s="1"/>
  <c r="G15" i="13"/>
  <c r="H15" i="13" s="1"/>
  <c r="B37" i="13"/>
  <c r="E26" i="13"/>
  <c r="C36" i="12"/>
  <c r="F25" i="12"/>
  <c r="E36" i="11"/>
  <c r="A16" i="1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2" i="11"/>
  <c r="E35" i="5"/>
  <c r="E36" i="5"/>
  <c r="E37" i="5"/>
  <c r="E38" i="5" s="1"/>
  <c r="D178" i="12" l="1"/>
  <c r="D130" i="12"/>
  <c r="D84" i="12"/>
  <c r="C40" i="13"/>
  <c r="D39" i="12"/>
  <c r="I19" i="10"/>
  <c r="I13" i="10"/>
  <c r="H38" i="10"/>
  <c r="F26" i="10"/>
  <c r="L40" i="10" l="1"/>
  <c r="K44" i="10" l="1"/>
  <c r="L42" i="10" s="1"/>
  <c r="C37" i="10"/>
  <c r="D40" i="10" s="1"/>
  <c r="F401" i="4" l="1"/>
  <c r="E60" i="5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G81" i="4"/>
  <c r="G254" i="2"/>
  <c r="H254" i="2" s="1"/>
  <c r="F58" i="6" l="1"/>
  <c r="F56" i="6"/>
  <c r="F55" i="6"/>
  <c r="F59" i="6" s="1"/>
  <c r="F46" i="6"/>
  <c r="F45" i="6"/>
  <c r="F48" i="6" s="1"/>
  <c r="F22" i="6"/>
  <c r="F24" i="6" s="1"/>
  <c r="F14" i="6"/>
  <c r="F26" i="6" s="1"/>
  <c r="F29" i="6" s="1"/>
  <c r="F13" i="6"/>
  <c r="F12" i="6"/>
  <c r="F61" i="6" l="1"/>
  <c r="F28" i="6"/>
  <c r="F64" i="6" l="1"/>
  <c r="F63" i="6"/>
  <c r="E56" i="5"/>
  <c r="E57" i="5" s="1"/>
  <c r="H104" i="2" l="1"/>
  <c r="H103" i="2"/>
  <c r="F307" i="2"/>
  <c r="G154" i="2"/>
  <c r="H102" i="2"/>
  <c r="H101" i="2"/>
  <c r="D67" i="4"/>
  <c r="F335" i="2" l="1"/>
  <c r="H100" i="2"/>
  <c r="H99" i="2"/>
  <c r="H98" i="2"/>
  <c r="H97" i="2"/>
  <c r="H96" i="2" l="1"/>
  <c r="H95" i="2"/>
  <c r="H94" i="2"/>
  <c r="H93" i="2"/>
  <c r="H92" i="2"/>
  <c r="H91" i="2"/>
  <c r="D196" i="4" l="1"/>
  <c r="E199" i="4"/>
  <c r="F199" i="4" s="1"/>
  <c r="H191" i="4"/>
  <c r="J191" i="4" s="1"/>
  <c r="H190" i="4"/>
  <c r="J190" i="4" s="1"/>
  <c r="F191" i="4"/>
  <c r="F190" i="4"/>
  <c r="G9" i="9"/>
  <c r="G8" i="9"/>
  <c r="G7" i="9"/>
  <c r="G6" i="9"/>
  <c r="G5" i="9"/>
  <c r="H90" i="2"/>
  <c r="H89" i="2"/>
  <c r="F272" i="2"/>
  <c r="F287" i="2" s="1"/>
  <c r="H88" i="2"/>
  <c r="G88" i="2"/>
  <c r="G204" i="2"/>
  <c r="H87" i="2" l="1"/>
  <c r="H86" i="2"/>
  <c r="H85" i="2"/>
  <c r="H84" i="2"/>
  <c r="G14" i="7"/>
  <c r="G13" i="7"/>
  <c r="G12" i="7"/>
  <c r="G11" i="7"/>
  <c r="G9" i="7"/>
  <c r="G8" i="7"/>
  <c r="F21" i="8"/>
  <c r="F22" i="8" s="1"/>
  <c r="G19" i="7"/>
  <c r="I19" i="7" s="1"/>
  <c r="G18" i="7"/>
  <c r="G17" i="7"/>
  <c r="G16" i="7"/>
  <c r="H19" i="7"/>
  <c r="H18" i="7"/>
  <c r="I18" i="7" s="1"/>
  <c r="H17" i="7"/>
  <c r="H83" i="2"/>
  <c r="G107" i="2"/>
  <c r="H82" i="2"/>
  <c r="H81" i="2"/>
  <c r="F23" i="8" l="1"/>
  <c r="F24" i="8"/>
  <c r="I17" i="7"/>
  <c r="G30" i="7"/>
  <c r="G29" i="7"/>
  <c r="G28" i="7"/>
  <c r="G27" i="7"/>
  <c r="G26" i="7"/>
  <c r="G25" i="7"/>
  <c r="H16" i="7"/>
  <c r="I16" i="7" s="1"/>
  <c r="H24" i="7"/>
  <c r="H23" i="7"/>
  <c r="H22" i="7"/>
  <c r="I22" i="7" s="1"/>
  <c r="H21" i="7"/>
  <c r="I21" i="7" s="1"/>
  <c r="G24" i="7"/>
  <c r="I24" i="7" s="1"/>
  <c r="G23" i="7"/>
  <c r="G22" i="7"/>
  <c r="G21" i="7"/>
  <c r="H14" i="7"/>
  <c r="I14" i="7" s="1"/>
  <c r="H13" i="7"/>
  <c r="I13" i="7" s="1"/>
  <c r="H12" i="7"/>
  <c r="I12" i="7" s="1"/>
  <c r="H11" i="7"/>
  <c r="I11" i="7" s="1"/>
  <c r="H10" i="7"/>
  <c r="I10" i="7" s="1"/>
  <c r="H9" i="7"/>
  <c r="H8" i="7"/>
  <c r="I7" i="7"/>
  <c r="H7" i="7"/>
  <c r="F14" i="7"/>
  <c r="F13" i="7"/>
  <c r="F12" i="7"/>
  <c r="F11" i="7"/>
  <c r="F10" i="7"/>
  <c r="F9" i="7"/>
  <c r="I9" i="7" s="1"/>
  <c r="F8" i="7"/>
  <c r="I8" i="7" s="1"/>
  <c r="F7" i="7"/>
  <c r="I23" i="7" l="1"/>
  <c r="I32" i="7" s="1"/>
  <c r="H80" i="2"/>
  <c r="D187" i="4"/>
  <c r="H79" i="2" l="1"/>
  <c r="H78" i="2"/>
  <c r="H77" i="2" l="1"/>
  <c r="H76" i="2"/>
  <c r="H75" i="2"/>
  <c r="H74" i="2"/>
  <c r="H73" i="2"/>
  <c r="H72" i="2"/>
  <c r="H71" i="2"/>
  <c r="H70" i="2"/>
  <c r="H69" i="2"/>
  <c r="H68" i="2"/>
  <c r="G215" i="2" l="1"/>
  <c r="H215" i="2" s="1"/>
  <c r="Q13" i="6"/>
  <c r="Q14" i="6"/>
  <c r="Q25" i="6" l="1"/>
  <c r="Q27" i="6" l="1"/>
  <c r="Q15" i="6"/>
  <c r="Q16" i="6" s="1"/>
  <c r="D162" i="4"/>
  <c r="L5" i="4"/>
  <c r="L4" i="4"/>
  <c r="D160" i="4"/>
  <c r="D158" i="4"/>
  <c r="D157" i="4"/>
  <c r="D155" i="4"/>
  <c r="D151" i="4"/>
  <c r="Q29" i="6" l="1"/>
  <c r="D148" i="4"/>
  <c r="D135" i="4"/>
  <c r="D134" i="4"/>
  <c r="J8" i="4"/>
  <c r="J14" i="4"/>
  <c r="J12" i="4"/>
  <c r="G46" i="2" l="1"/>
  <c r="G45" i="2"/>
  <c r="G63" i="2" l="1"/>
  <c r="D168" i="4"/>
  <c r="E44" i="5"/>
  <c r="E45" i="5" s="1"/>
  <c r="E6" i="5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51" i="5" l="1"/>
  <c r="E52" i="5" s="1"/>
  <c r="E53" i="5" s="1"/>
  <c r="E54" i="5" s="1"/>
  <c r="E46" i="5"/>
  <c r="E47" i="5" s="1"/>
  <c r="E48" i="5" s="1"/>
  <c r="E49" i="5" s="1"/>
  <c r="E23" i="5"/>
  <c r="E24" i="5" s="1"/>
  <c r="D16" i="4"/>
  <c r="D95" i="4" s="1"/>
  <c r="E25" i="5" l="1"/>
  <c r="E26" i="5" s="1"/>
  <c r="E27" i="5" s="1"/>
  <c r="E28" i="5" s="1"/>
  <c r="E29" i="5" s="1"/>
  <c r="E30" i="5" s="1"/>
  <c r="E31" i="5" s="1"/>
  <c r="E32" i="5" s="1"/>
  <c r="E33" i="5" s="1"/>
  <c r="E34" i="5" s="1"/>
  <c r="K3" i="4"/>
  <c r="L3" i="4" s="1"/>
</calcChain>
</file>

<file path=xl/sharedStrings.xml><?xml version="1.0" encoding="utf-8"?>
<sst xmlns="http://schemas.openxmlformats.org/spreadsheetml/2006/main" count="1209" uniqueCount="604">
  <si>
    <t>Cash Payment by A/R</t>
  </si>
  <si>
    <t>Cash Sell by A/R</t>
  </si>
  <si>
    <t>Send to Australia</t>
  </si>
  <si>
    <t>Noman Sir Payment</t>
  </si>
  <si>
    <t>Add Company</t>
  </si>
  <si>
    <t>AR Payment Adjust AMGT Danish balance</t>
  </si>
  <si>
    <t>AR Payment Ahsan CBA</t>
  </si>
  <si>
    <t>Total</t>
  </si>
  <si>
    <t>Cash add Office Cash by AR</t>
  </si>
  <si>
    <t>AR Salary</t>
  </si>
  <si>
    <t>Add Office Cash by AR</t>
  </si>
  <si>
    <t>3 Invoices</t>
  </si>
  <si>
    <t>Send by Saad</t>
  </si>
  <si>
    <t>Cash Opening</t>
  </si>
  <si>
    <t>System</t>
  </si>
  <si>
    <t>Starlink V4</t>
  </si>
  <si>
    <t>Starlink Mini</t>
  </si>
  <si>
    <t>Apple Watch</t>
  </si>
  <si>
    <t>IP 16 128GB JV</t>
  </si>
  <si>
    <t>IP 16 Plus 128Gb JV</t>
  </si>
  <si>
    <t>IP 16 Plus 512Gb JV</t>
  </si>
  <si>
    <t>Rec by Faisal Bhai v4 Purchase</t>
  </si>
  <si>
    <t>Printer (AMGT)</t>
  </si>
  <si>
    <t>Send to Karachi Office 04/11/2024</t>
  </si>
  <si>
    <t>Send to karachi Office</t>
  </si>
  <si>
    <t xml:space="preserve">Cash By Faisal Bhai </t>
  </si>
  <si>
    <t>Date</t>
  </si>
  <si>
    <t>Inv#</t>
  </si>
  <si>
    <t>Amount</t>
  </si>
  <si>
    <t>Balance</t>
  </si>
  <si>
    <t>S023271</t>
  </si>
  <si>
    <t>S024293</t>
  </si>
  <si>
    <t>S024384</t>
  </si>
  <si>
    <t>S024382</t>
  </si>
  <si>
    <t>S024447</t>
  </si>
  <si>
    <t>S024454</t>
  </si>
  <si>
    <t>S024488</t>
  </si>
  <si>
    <t>S024516</t>
  </si>
  <si>
    <t>S024536</t>
  </si>
  <si>
    <t>S024568</t>
  </si>
  <si>
    <t>S024572</t>
  </si>
  <si>
    <t>S024603</t>
  </si>
  <si>
    <t>Paid by WB</t>
  </si>
  <si>
    <t>MEGATOP CARGO</t>
  </si>
  <si>
    <t>CT FREIGHT LTD</t>
  </si>
  <si>
    <t>S00725236</t>
  </si>
  <si>
    <t>Send to Australia $50,000</t>
  </si>
  <si>
    <t>From World Mart by Faisal Bhai</t>
  </si>
  <si>
    <t>Cash In Hand Faisal Bhai</t>
  </si>
  <si>
    <t>Open match</t>
  </si>
  <si>
    <t>Sell V4</t>
  </si>
  <si>
    <t>From AMGT by Faisal Bhai</t>
  </si>
  <si>
    <t>Purchasing</t>
  </si>
  <si>
    <t>Visa Charges</t>
  </si>
  <si>
    <t>$1400 australian Dollar by AR</t>
  </si>
  <si>
    <t>$50 australian Dollar by AR</t>
  </si>
  <si>
    <t>Pay to Raaz (Send to Australia $80000x2.41) 2/3</t>
  </si>
  <si>
    <t>Pay to Raaz (Send to Australia $80000x2.41) 1/3</t>
  </si>
  <si>
    <t>Recvable</t>
  </si>
  <si>
    <t>From Saad</t>
  </si>
  <si>
    <t>exp</t>
  </si>
  <si>
    <t>From Noman Sahb Behalf of AR</t>
  </si>
  <si>
    <t>PS5</t>
  </si>
  <si>
    <t>DJI Mavic 3Pro</t>
  </si>
  <si>
    <t xml:space="preserve">Insta wide 400 </t>
  </si>
  <si>
    <t>Insta Mini-12</t>
  </si>
  <si>
    <t>Insta Mini-99</t>
  </si>
  <si>
    <t>Charge 5</t>
  </si>
  <si>
    <t>Essential 2</t>
  </si>
  <si>
    <t>50 Mini Sell</t>
  </si>
  <si>
    <t>v4 20 sell</t>
  </si>
  <si>
    <t>hamali &amp; Packing Charges</t>
  </si>
  <si>
    <t>World Mart Invoice Payment</t>
  </si>
  <si>
    <t>faisal bhai</t>
  </si>
  <si>
    <t>Sell PS5</t>
  </si>
  <si>
    <t>Purchasing IP 14</t>
  </si>
  <si>
    <t>From Hazrto</t>
  </si>
  <si>
    <t xml:space="preserve">Mudassir Bhai Invoice </t>
  </si>
  <si>
    <t>IP 14 JV</t>
  </si>
  <si>
    <t>IP 16 ProMax Sell</t>
  </si>
  <si>
    <t>Online AR A/C</t>
  </si>
  <si>
    <t>Cash Deposit</t>
  </si>
  <si>
    <t>IP 16 ProMax 512</t>
  </si>
  <si>
    <t>IP 16 ProMax 256</t>
  </si>
  <si>
    <t>IP 15 ProMax 256</t>
  </si>
  <si>
    <t>10units Send to pakistan by musavir</t>
  </si>
  <si>
    <t>Packing charges</t>
  </si>
  <si>
    <t>V4 Sell</t>
  </si>
  <si>
    <t>Xterem 4</t>
  </si>
  <si>
    <t>Send to Pakistan</t>
  </si>
  <si>
    <t>Packing material</t>
  </si>
  <si>
    <t>Advance payment</t>
  </si>
  <si>
    <t xml:space="preserve">hamali </t>
  </si>
  <si>
    <t>cash sell</t>
  </si>
  <si>
    <t>From World mart</t>
  </si>
  <si>
    <t>Mini sell</t>
  </si>
  <si>
    <t xml:space="preserve">Hamali </t>
  </si>
  <si>
    <t>Payment to Abdullah Purchasing</t>
  </si>
  <si>
    <t>Packing</t>
  </si>
  <si>
    <t>Hamali</t>
  </si>
  <si>
    <t>White gold</t>
  </si>
  <si>
    <t>IP 16 Promax 256Gb Active
#3235640</t>
  </si>
  <si>
    <t>Sell v4</t>
  </si>
  <si>
    <t>Sell charge5</t>
  </si>
  <si>
    <t>Mini Sell</t>
  </si>
  <si>
    <t>Cash Recvd</t>
  </si>
  <si>
    <t>Clearing Charges</t>
  </si>
  <si>
    <t xml:space="preserve">AR </t>
  </si>
  <si>
    <t>2 units karachi</t>
  </si>
  <si>
    <t>IP 16 Promax 512Gb 
#6083838</t>
  </si>
  <si>
    <t>IP 16 Promax 512Gb 
#90101472</t>
  </si>
  <si>
    <t>IP 16 Promax 256Gb 
#3228074</t>
  </si>
  <si>
    <t>Cash By Saqib</t>
  </si>
  <si>
    <t>Qty</t>
  </si>
  <si>
    <t>Details</t>
  </si>
  <si>
    <t>Rate</t>
  </si>
  <si>
    <t xml:space="preserve">Net Balance </t>
  </si>
  <si>
    <t>HOLD BY Faisal Bhai</t>
  </si>
  <si>
    <t>AR Personal</t>
  </si>
  <si>
    <t>Sell Mini</t>
  </si>
  <si>
    <t>Paid to Raaz Extra Payment (145000)</t>
  </si>
  <si>
    <t>12 mini sell</t>
  </si>
  <si>
    <t>15 mini sell</t>
  </si>
  <si>
    <t>Paid to AR</t>
  </si>
  <si>
    <t xml:space="preserve">Samsung S23Fe </t>
  </si>
  <si>
    <t>Samsung A54</t>
  </si>
  <si>
    <t>Iphone 11</t>
  </si>
  <si>
    <t>Iphone 13 Promax 256GB</t>
  </si>
  <si>
    <t>Iphone 11 Pro 256Gb</t>
  </si>
  <si>
    <t>AMGT</t>
  </si>
  <si>
    <t>AR Stock</t>
  </si>
  <si>
    <t>IP payment From Faisal Bhai</t>
  </si>
  <si>
    <t xml:space="preserve">hezar payment by Abdullah </t>
  </si>
  <si>
    <t>Abbas</t>
  </si>
  <si>
    <t>Sell mini</t>
  </si>
  <si>
    <t>Paid to Raaz</t>
  </si>
  <si>
    <t>sell mini</t>
  </si>
  <si>
    <t>From Abbas</t>
  </si>
  <si>
    <t>AR Visa Charges</t>
  </si>
  <si>
    <t>Cash by AR</t>
  </si>
  <si>
    <t>WB Hotel Charges</t>
  </si>
  <si>
    <t>ok</t>
  </si>
  <si>
    <t xml:space="preserve">Cash In Hand Dubai </t>
  </si>
  <si>
    <t>Receivable</t>
  </si>
  <si>
    <t>Gift Card Balance
JB Hifi / Harvey</t>
  </si>
  <si>
    <t>Payables</t>
  </si>
  <si>
    <t>AB Card Balance</t>
  </si>
  <si>
    <t>AR Investment</t>
  </si>
  <si>
    <t xml:space="preserve">Abdul Majid Bhai </t>
  </si>
  <si>
    <t xml:space="preserve">Jawed Bhai </t>
  </si>
  <si>
    <t xml:space="preserve">Faisal Bhai </t>
  </si>
  <si>
    <t>Net Profit</t>
  </si>
  <si>
    <t>Kumar</t>
  </si>
  <si>
    <t>Monopoly</t>
  </si>
  <si>
    <t>Saad Wajahat</t>
  </si>
  <si>
    <t>Waheed Bhai</t>
  </si>
  <si>
    <t>Stock Value</t>
  </si>
  <si>
    <t xml:space="preserve">Australia GST Refund </t>
  </si>
  <si>
    <t xml:space="preserve">Newzealand GST Refund </t>
  </si>
  <si>
    <t>IP 16 Promax 512Gb 
#288229</t>
  </si>
  <si>
    <t>IP 16 Promax 512Gb 
#4725327</t>
  </si>
  <si>
    <t>Parcel Charges pishawar</t>
  </si>
  <si>
    <t>14 Customer Cash by Saqib</t>
  </si>
  <si>
    <t>Paid to Raaz($100,000)</t>
  </si>
  <si>
    <t>Handover to Shahnawaz</t>
  </si>
  <si>
    <t>IP 16 Promax 512Gb 
#497886</t>
  </si>
  <si>
    <t>IP 14 128GB OLX</t>
  </si>
  <si>
    <t>IP 14 128GB Aryan</t>
  </si>
  <si>
    <t>Carry Payment IP 14 to Musawir</t>
  </si>
  <si>
    <t>Cash Payments</t>
  </si>
  <si>
    <t>Online Payment</t>
  </si>
  <si>
    <t>S00024817</t>
  </si>
  <si>
    <t>IP 16 Promax 512Gb 
#3398754</t>
  </si>
  <si>
    <t>v4 sell amount</t>
  </si>
  <si>
    <t>IP 14 128GB Waqas #356188</t>
  </si>
  <si>
    <t>IP 14 128GB Waqas #698429</t>
  </si>
  <si>
    <t>IP 16Promax 256GB FU mubashir</t>
  </si>
  <si>
    <t>entry Done</t>
  </si>
  <si>
    <t>Paid to amgt (Mudassir bhai Stock Freezone Charges)</t>
  </si>
  <si>
    <t>hamali charges</t>
  </si>
  <si>
    <t>Cash By Abubakr</t>
  </si>
  <si>
    <t>Party Name</t>
  </si>
  <si>
    <t>Model</t>
  </si>
  <si>
    <t>Purchase rate</t>
  </si>
  <si>
    <t>Exp</t>
  </si>
  <si>
    <t>Sell</t>
  </si>
  <si>
    <t>Profit</t>
  </si>
  <si>
    <t>Comments</t>
  </si>
  <si>
    <t>Abdul Rehman Bhai</t>
  </si>
  <si>
    <t xml:space="preserve">Dubai Local </t>
  </si>
  <si>
    <t>11500 Carry Charges Rate 77.5</t>
  </si>
  <si>
    <t>Conversion rate 77.5
30aed Shipping charges</t>
  </si>
  <si>
    <t>Total Profit</t>
  </si>
  <si>
    <t>IP 16 ProMax 256FU (Mubashir)</t>
  </si>
  <si>
    <t xml:space="preserve">IP 14 128GB </t>
  </si>
  <si>
    <t>IP 16Promax 256GB FU A.haseeb</t>
  </si>
  <si>
    <t>IP 16Promax 256GB FU Ritesh</t>
  </si>
  <si>
    <t>RABI AHMED LEOPARD INVOICES</t>
  </si>
  <si>
    <t>DATE</t>
  </si>
  <si>
    <t>MONTH OF OCT-NOV</t>
  </si>
  <si>
    <t>CN#</t>
  </si>
  <si>
    <t>DESTINATION</t>
  </si>
  <si>
    <t>RATE</t>
  </si>
  <si>
    <t>WEIGHT KG</t>
  </si>
  <si>
    <t>AMOUNT</t>
  </si>
  <si>
    <t>GHOTKI</t>
  </si>
  <si>
    <t>RAWALPINDI</t>
  </si>
  <si>
    <t>FLYER+PACKING</t>
  </si>
  <si>
    <t>TOTAL</t>
  </si>
  <si>
    <t>FUEL SURCHARGE 15%</t>
  </si>
  <si>
    <t>SBR SALES TAX 15%</t>
  </si>
  <si>
    <t>NET AMOUNT</t>
  </si>
  <si>
    <t>GROSS TOTAL</t>
  </si>
  <si>
    <t>Conversion rate 77.5  30aed Shipping charges
Carry charges 20,000pkr Faisal bhai</t>
  </si>
  <si>
    <t xml:space="preserve">Conversion rate 77.5  30aed Shipping charges
Carry charges 20,000pkr AR </t>
  </si>
  <si>
    <t>Carry 20,000PKR Conversion rate 77.5  AR</t>
  </si>
  <si>
    <t>2Units 16ProMax JV Carry Charges adjust</t>
  </si>
  <si>
    <t>4unit JV &amp; 4Units FU Carry Charges Paid to AR</t>
  </si>
  <si>
    <t>Entry Done</t>
  </si>
  <si>
    <t>Saqib Salary</t>
  </si>
  <si>
    <t>Abubakar Salary</t>
  </si>
  <si>
    <t>Send to Dubai (Transfer Ahsan CBA A/C)</t>
  </si>
  <si>
    <t xml:space="preserve">Karachi Office </t>
  </si>
  <si>
    <t>IP 14 128GB Waqas #4035507</t>
  </si>
  <si>
    <t>IP 14 128GB Waqas #4276945</t>
  </si>
  <si>
    <t>3 Units Carry To faisal Bhai</t>
  </si>
  <si>
    <t>Receviable</t>
  </si>
  <si>
    <t>From Waqas MT By Saqib</t>
  </si>
  <si>
    <t>16plus packing Exp</t>
  </si>
  <si>
    <t>IP 15Promax 256GB JV mubashir</t>
  </si>
  <si>
    <t>IP 16Plus 128GB JV mubashir</t>
  </si>
  <si>
    <r>
      <t xml:space="preserve">Cash BY AR To </t>
    </r>
    <r>
      <rPr>
        <b/>
        <sz val="11"/>
        <color theme="1"/>
        <rFont val="Calibri"/>
        <family val="2"/>
        <scheme val="minor"/>
      </rPr>
      <t>worldmart</t>
    </r>
  </si>
  <si>
    <r>
      <t xml:space="preserve">Cash BY AR To </t>
    </r>
    <r>
      <rPr>
        <b/>
        <sz val="11"/>
        <color theme="1"/>
        <rFont val="Calibri"/>
        <family val="2"/>
        <scheme val="minor"/>
      </rPr>
      <t>Shahnawaz</t>
    </r>
  </si>
  <si>
    <t>Withdraw A/C Rec by Saqib</t>
  </si>
  <si>
    <t>Cash From Saqib A/C</t>
  </si>
  <si>
    <t>Out To Waheed Bhai (Handover to Faisal Bhai)</t>
  </si>
  <si>
    <t>Send to Ahsan CBA</t>
  </si>
  <si>
    <t>WB Utility Exp</t>
  </si>
  <si>
    <t>Cash From Waqas By Abubakr</t>
  </si>
  <si>
    <t>Paid by AR to Raaz</t>
  </si>
  <si>
    <t>Anas Gohar Encell Shop Invoice</t>
  </si>
  <si>
    <t>Send to Dubai (Online To Fahad Tanver) 18k aed</t>
  </si>
  <si>
    <t>IP 14 128GB Waqas 4units 102000pkr</t>
  </si>
  <si>
    <t>Behalf of WB For Fan</t>
  </si>
  <si>
    <t>Waqas MT</t>
  </si>
  <si>
    <t>Cash by Saqib</t>
  </si>
  <si>
    <t>Online</t>
  </si>
  <si>
    <t>Cash by Abubakr</t>
  </si>
  <si>
    <t>Waqas 4Units  102,000</t>
  </si>
  <si>
    <t>Paid to ahsan CBA</t>
  </si>
  <si>
    <t>Send to Dubai By AR @78</t>
  </si>
  <si>
    <t>Paid to AR (Watch Payment Online Faisal Bhai A/C)</t>
  </si>
  <si>
    <t>Paid to Zulqarnain (Faisal Bhai Ticket)</t>
  </si>
  <si>
    <t>imile parcel charges (AR Personal)</t>
  </si>
  <si>
    <t>IP 16 Promax Desert HK FU</t>
  </si>
  <si>
    <t xml:space="preserve">16Promax 256GB Payment </t>
  </si>
  <si>
    <t>Out to Zulqarnain @78</t>
  </si>
  <si>
    <t>Cash Received  &amp; Out to AR</t>
  </si>
  <si>
    <t>Cash From Waqas MT</t>
  </si>
  <si>
    <t>Faisal Bhai Personal paid to Abubakar</t>
  </si>
  <si>
    <t>AR Payment (From Sultan 18000)</t>
  </si>
  <si>
    <t>AR Payment (From Mudassir $200)</t>
  </si>
  <si>
    <t>AR Whatsapp</t>
  </si>
  <si>
    <t xml:space="preserve">Australia Purchasing AR A/C But Entry Pending </t>
  </si>
  <si>
    <t>Aud Group</t>
  </si>
  <si>
    <t>old Extra payment by Saqib</t>
  </si>
  <si>
    <t xml:space="preserve">From Saqib To Faisal Bhai </t>
  </si>
  <si>
    <t xml:space="preserve">out to Waheed Bhai </t>
  </si>
  <si>
    <t>2unit IP 16PM Carry To AR</t>
  </si>
  <si>
    <t>Karachi Office Rent Paid to Daniyal</t>
  </si>
  <si>
    <t>AR Payment (From Raaz 59000)</t>
  </si>
  <si>
    <t>Cleared</t>
  </si>
  <si>
    <t>Payment from Hamza</t>
  </si>
  <si>
    <t>AR Salary Adjust</t>
  </si>
  <si>
    <t>Returned To AR</t>
  </si>
  <si>
    <t>IP 16 Promax Desert HK FU Mubashir Amma tower</t>
  </si>
  <si>
    <t>IP 16 Promax Desert HK FU (cash Sell)</t>
  </si>
  <si>
    <t xml:space="preserve">16Promax HK FU 256GB Payment </t>
  </si>
  <si>
    <t>Transfer AR Meezan A/C</t>
  </si>
  <si>
    <t>IP 16 Promax Desert HK FU (Bilal G49 )</t>
  </si>
  <si>
    <t>Mubashir Amma tower</t>
  </si>
  <si>
    <t>IP 16ProMax HK FU by Saqib</t>
  </si>
  <si>
    <t>Bilal G49</t>
  </si>
  <si>
    <t>IP 16ProMax HK FU by Abubakar</t>
  </si>
  <si>
    <t>Online AR Meezan</t>
  </si>
  <si>
    <t>Old Balance</t>
  </si>
  <si>
    <t>IP 16 Promax Fu</t>
  </si>
  <si>
    <t>IP 16Plus</t>
  </si>
  <si>
    <t>IP 16</t>
  </si>
  <si>
    <t>Laptop</t>
  </si>
  <si>
    <t>Pixel</t>
  </si>
  <si>
    <t>IP 16Plus 512GB (Waqas MT)</t>
  </si>
  <si>
    <t>IP 16Plus 512GB</t>
  </si>
  <si>
    <r>
      <t xml:space="preserve">Cash BY RAAZ To </t>
    </r>
    <r>
      <rPr>
        <b/>
        <sz val="11"/>
        <color theme="1"/>
        <rFont val="Calibri"/>
        <family val="2"/>
        <scheme val="minor"/>
      </rPr>
      <t>Shahnawaz</t>
    </r>
  </si>
  <si>
    <t>Mini</t>
  </si>
  <si>
    <t>Charge5</t>
  </si>
  <si>
    <t>$</t>
  </si>
  <si>
    <t xml:space="preserve">Cash Handling </t>
  </si>
  <si>
    <t>TT Charges</t>
  </si>
  <si>
    <t>Import Charges</t>
  </si>
  <si>
    <t>Local Charges</t>
  </si>
  <si>
    <t>Fz Charges</t>
  </si>
  <si>
    <t>Other Exp per Unit</t>
  </si>
  <si>
    <t>S00077965</t>
  </si>
  <si>
    <t>NZ</t>
  </si>
  <si>
    <t>S00077579</t>
  </si>
  <si>
    <t xml:space="preserve">WB Paid </t>
  </si>
  <si>
    <t>S00729811</t>
  </si>
  <si>
    <t>S00727280</t>
  </si>
  <si>
    <t>S00024861</t>
  </si>
  <si>
    <t>S00024936</t>
  </si>
  <si>
    <r>
      <t xml:space="preserve">Cash BY PowerPlay To </t>
    </r>
    <r>
      <rPr>
        <b/>
        <sz val="11"/>
        <color theme="1"/>
        <rFont val="Calibri"/>
        <family val="2"/>
        <scheme val="minor"/>
      </rPr>
      <t>Shahnawaz</t>
    </r>
  </si>
  <si>
    <t xml:space="preserve">Online AR A/C From Mubashir </t>
  </si>
  <si>
    <t>Online AR A/C (From Bilal G49)</t>
  </si>
  <si>
    <t>Online AR A/C (From Abubakr)</t>
  </si>
  <si>
    <t>Online AR A/C (From Bilal G49) 993.50USD</t>
  </si>
  <si>
    <t>IP 16 128GB JV (Waqas MT)</t>
  </si>
  <si>
    <t>Waqas MT Cash by Abubakr</t>
  </si>
  <si>
    <t>Faisal Bhai</t>
  </si>
  <si>
    <t>2 Cable Purchase</t>
  </si>
  <si>
    <t>1 charger Purchased</t>
  </si>
  <si>
    <t>Online AR A/C (From Waqas MT)</t>
  </si>
  <si>
    <t>Paid to AbuBakar (For Faisal bhai)</t>
  </si>
  <si>
    <t>Received by Maaz</t>
  </si>
  <si>
    <t xml:space="preserve">Payment from Waqas MT by Maaz </t>
  </si>
  <si>
    <t>Out to Maaz</t>
  </si>
  <si>
    <t>MAAZ</t>
  </si>
  <si>
    <t xml:space="preserve">Online AR A/C </t>
  </si>
  <si>
    <t>Cash Recevd</t>
  </si>
  <si>
    <t>AR MEEZAN A/C</t>
  </si>
  <si>
    <t>From Waqas MT</t>
  </si>
  <si>
    <t>From Mubashir</t>
  </si>
  <si>
    <t>IP 16Promax 4Units Carry paid to AR</t>
  </si>
  <si>
    <t>Cash Paid to Raaz</t>
  </si>
  <si>
    <t>From Ashfaq Sahab  (352000PKR to Zulqarnain)</t>
  </si>
  <si>
    <t>Paid to Taha Against PKR Payment AR</t>
  </si>
  <si>
    <t>Danish Invoice (Add AR Staff Ledger)</t>
  </si>
  <si>
    <t>Cash Rec By AR From World Mart</t>
  </si>
  <si>
    <t>Transfer Saqib A/C Salary</t>
  </si>
  <si>
    <t xml:space="preserve">From Ashfaq Sahab  </t>
  </si>
  <si>
    <t xml:space="preserve">From Power play </t>
  </si>
  <si>
    <t>Hamza Customer</t>
  </si>
  <si>
    <t xml:space="preserve">From AR  @79 </t>
  </si>
  <si>
    <t xml:space="preserve">Mudassir Bhai Balance Adjustment </t>
  </si>
  <si>
    <t xml:space="preserve">australia Purchasing </t>
  </si>
  <si>
    <t>$1400 USD Dollar by AR</t>
  </si>
  <si>
    <t>From World Mart Balance</t>
  </si>
  <si>
    <t>IP 16 Plus 128GB (B.Box)</t>
  </si>
  <si>
    <t>From B.Box (IP 16Plus )</t>
  </si>
  <si>
    <t>Faisal Bhai (Paid to Zulqarnain)</t>
  </si>
  <si>
    <t>Handover to Saqib B/O Faisal Bhai</t>
  </si>
  <si>
    <t>3 IP 16 PM Carry Charges TO AR</t>
  </si>
  <si>
    <t>last closing</t>
  </si>
  <si>
    <t>Dec Closing</t>
  </si>
  <si>
    <t xml:space="preserve">Payment to Raaz </t>
  </si>
  <si>
    <t>All Cleared</t>
  </si>
  <si>
    <t>IP 16 Promax Desert HK FU Waqas MT</t>
  </si>
  <si>
    <t>Online Rec Faisal Bhai A/C</t>
  </si>
  <si>
    <t>AR Watch Payment Online Received</t>
  </si>
  <si>
    <t>Online AR A/C From Waqas MT</t>
  </si>
  <si>
    <t>Adjust Faisal Bhai Dubai A/C @79  (10822 Aed)</t>
  </si>
  <si>
    <t>Online Zulqarnain A/C (Saqib Visa Rejection)</t>
  </si>
  <si>
    <t>From Waqas MT (Zulqarnain A/C)</t>
  </si>
  <si>
    <t>Paid to zulqarnain (Saqib Visa Rejection )</t>
  </si>
  <si>
    <t>From Sir Ashfaq</t>
  </si>
  <si>
    <t>From Worldmart Invoice</t>
  </si>
  <si>
    <t xml:space="preserve">AR Salary Payment Returned </t>
  </si>
  <si>
    <t>300 units mini</t>
  </si>
  <si>
    <t xml:space="preserve">From Hamza </t>
  </si>
  <si>
    <t xml:space="preserve">Invoice </t>
  </si>
  <si>
    <t>Paid to Faisal Bhai</t>
  </si>
  <si>
    <t xml:space="preserve">Sell Purchase Profit </t>
  </si>
  <si>
    <t>Expenses</t>
  </si>
  <si>
    <t>From Waheed Bhai</t>
  </si>
  <si>
    <t>From Abdul Rehman Bhai</t>
  </si>
  <si>
    <t>GST Refund Pending</t>
  </si>
  <si>
    <t>AMGT Cards $36016.19 USD</t>
  </si>
  <si>
    <t>AR Credit Card</t>
  </si>
  <si>
    <t>AR Profit Add</t>
  </si>
  <si>
    <t>WB Profit Add</t>
  </si>
  <si>
    <t xml:space="preserve">DEC-2024 CLOSING </t>
  </si>
  <si>
    <t>Total Stock Value</t>
  </si>
  <si>
    <r>
      <t xml:space="preserve">Less: </t>
    </r>
    <r>
      <rPr>
        <sz val="10"/>
        <color rgb="FF000000"/>
        <rFont val="Times New Roman"/>
        <family val="1"/>
      </rPr>
      <t>Pending Stock</t>
    </r>
  </si>
  <si>
    <t>Cash In Hand</t>
  </si>
  <si>
    <t>AHMED SODANI</t>
  </si>
  <si>
    <t>ANAS GOHAR</t>
  </si>
  <si>
    <t>FAISAL BHAI HOLD STOCK KARACHI</t>
  </si>
  <si>
    <t>HAMZA CUSTOMER</t>
  </si>
  <si>
    <t>POWER PLAY</t>
  </si>
  <si>
    <t>SAAD &amp; WAJAHAT</t>
  </si>
  <si>
    <t>SIR ASHFAQ AMGT</t>
  </si>
  <si>
    <t>GST REFUND AUSTRALIA</t>
  </si>
  <si>
    <t>GST REFUND NEWZEALAND</t>
  </si>
  <si>
    <t>ABDUL MAJID BHAI</t>
  </si>
  <si>
    <t>AR STAFF</t>
  </si>
  <si>
    <t>ASHFAQ SAHAB CARD</t>
  </si>
  <si>
    <t>FAISAL BHAI</t>
  </si>
  <si>
    <t>JAWED BHAI AUSTRALIA</t>
  </si>
  <si>
    <t>WAHEED BHAI</t>
  </si>
  <si>
    <t>RAAZ</t>
  </si>
  <si>
    <t>Shipping Charges</t>
  </si>
  <si>
    <t>Entry Done 10/1/2025</t>
  </si>
  <si>
    <t>Dubai Shipment</t>
  </si>
  <si>
    <t>S00024875</t>
  </si>
  <si>
    <t>S00024925</t>
  </si>
  <si>
    <t>Old Adjust</t>
  </si>
  <si>
    <t>S00024572/A</t>
  </si>
  <si>
    <t>Adjust AR A/C Software</t>
  </si>
  <si>
    <t>IP 16Promax 256GB JV Sell</t>
  </si>
  <si>
    <t>3units Carry Adjust @20000</t>
  </si>
  <si>
    <t>Sell Add AR ledger</t>
  </si>
  <si>
    <t xml:space="preserve">Karachi Office Rent Paid </t>
  </si>
  <si>
    <t>C:\Users\dell5300\AppData\Local\Microsoft\Edge\User Data\</t>
  </si>
  <si>
    <t>Paid to Abubakar (For Faisal Bhai)</t>
  </si>
  <si>
    <t>paid to AMGT (label Charges)</t>
  </si>
  <si>
    <t>Cash Paid to Faisal bhai</t>
  </si>
  <si>
    <t>Sell Chrome Cast  9units issue)</t>
  </si>
  <si>
    <t>Paid to Shahnwaz bhai Faisal Bhai</t>
  </si>
  <si>
    <t>S00025157</t>
  </si>
  <si>
    <t>Paid to Abubakr (3 mobile Commission)</t>
  </si>
  <si>
    <t>Paid to abubakr (Behalf of faisal bhai)</t>
  </si>
  <si>
    <t>Fahib Salary</t>
  </si>
  <si>
    <t>Deposite AR Meezan A/C</t>
  </si>
  <si>
    <t xml:space="preserve">Rec by Faisal Bhai </t>
  </si>
  <si>
    <t>Account</t>
  </si>
  <si>
    <t>MUDASSIR</t>
  </si>
  <si>
    <t>OWAIS HOUSTON</t>
  </si>
  <si>
    <t>PAYABLES</t>
  </si>
  <si>
    <t>UMAR CANADA</t>
  </si>
  <si>
    <t>WORLD MART</t>
  </si>
  <si>
    <t>CASH</t>
  </si>
  <si>
    <t xml:space="preserve">Net Amount </t>
  </si>
  <si>
    <t>ABDUL MAJID BHAI DRAWINGS</t>
  </si>
  <si>
    <t>Total Stock Worth</t>
  </si>
  <si>
    <t>update</t>
  </si>
  <si>
    <t>S00025243</t>
  </si>
  <si>
    <t>S00025296</t>
  </si>
  <si>
    <t>Transfer to Dubai Islamic AR Salary</t>
  </si>
  <si>
    <t>Paid to Shahnwaz bhai AR</t>
  </si>
  <si>
    <t>payment out to Ashfaq Sahab Card</t>
  </si>
  <si>
    <t>ABUBAKER KARACHI</t>
  </si>
  <si>
    <t>AHSAN CBA</t>
  </si>
  <si>
    <t>ASAD KHREED0</t>
  </si>
  <si>
    <t>CELL WEARS</t>
  </si>
  <si>
    <t>FIVE PERCENT</t>
  </si>
  <si>
    <t>NOMAN AMGT</t>
  </si>
  <si>
    <t>SAAD</t>
  </si>
  <si>
    <t>SHEER ALAM</t>
  </si>
  <si>
    <t>WAJAHAT</t>
  </si>
  <si>
    <t>NEWZELAND GST OLD (79794) @2.19</t>
  </si>
  <si>
    <t>S00025404</t>
  </si>
  <si>
    <t>INVOICE 00082613</t>
  </si>
  <si>
    <t>June 06, 2025</t>
  </si>
  <si>
    <t xml:space="preserve">   </t>
  </si>
  <si>
    <t>AHSAN MOHSIN</t>
  </si>
  <si>
    <t>BABA</t>
  </si>
  <si>
    <t>GAME HOME</t>
  </si>
  <si>
    <t>HASAN</t>
  </si>
  <si>
    <t>KARACHI SALE</t>
  </si>
  <si>
    <t>POWER PALY</t>
  </si>
  <si>
    <t>NEWZELAND(75,247.58) @2.13</t>
  </si>
  <si>
    <t>AUSTRALIA  (70,948.53) @2.3660</t>
  </si>
  <si>
    <t>MACBOOK 3 OLD</t>
  </si>
  <si>
    <t>BEATS STUDIO BUDS</t>
  </si>
  <si>
    <t>CANON SX740</t>
  </si>
  <si>
    <t>PS5 CDS DRAGON AGE</t>
  </si>
  <si>
    <t>DJI MAVIC PRO RC</t>
  </si>
  <si>
    <t>DJI MAVIC PRO RC COMBO</t>
  </si>
  <si>
    <t xml:space="preserve">DJI MIC 2 </t>
  </si>
  <si>
    <t>OSMO MOBILE 7 P</t>
  </si>
  <si>
    <t xml:space="preserve">OSMO ACTION 5 PRO ADVENTURE </t>
  </si>
  <si>
    <t xml:space="preserve">DJI OSMO POCKET 3 </t>
  </si>
  <si>
    <t>DYSON</t>
  </si>
  <si>
    <t>ESSENTIAL FLIP</t>
  </si>
  <si>
    <t>GOOGLE TV STREAMER</t>
  </si>
  <si>
    <t>INSTAX FILM 10 PACK</t>
  </si>
  <si>
    <t xml:space="preserve">IPAD 11 PRO </t>
  </si>
  <si>
    <t>IPHONE 16 PRO</t>
  </si>
  <si>
    <t>IPHONE 16 PRO MAX</t>
  </si>
  <si>
    <t>MACBOOK AIR M4 15 24/512 GB</t>
  </si>
  <si>
    <t>MACBOOK AIR 15 M3 24/512</t>
  </si>
  <si>
    <t>MACBOOK AIR 24/512 GB</t>
  </si>
  <si>
    <t>NINJA BLAST BLENDER</t>
  </si>
  <si>
    <t>NORTION ANTIVIRUS</t>
  </si>
  <si>
    <t>PRINTER</t>
  </si>
  <si>
    <t>STARLINK HP KIT</t>
  </si>
  <si>
    <t>INSTAX WIDE 400</t>
  </si>
  <si>
    <t>STARLINK V4</t>
  </si>
  <si>
    <t>TOTAL PAYABLE</t>
  </si>
  <si>
    <t>TOTAL RECEIVABLE</t>
  </si>
  <si>
    <t>June 14, 2025</t>
  </si>
  <si>
    <t>jan</t>
  </si>
  <si>
    <t>feb</t>
  </si>
  <si>
    <t>mar</t>
  </si>
  <si>
    <t>feb last</t>
  </si>
  <si>
    <t>april</t>
  </si>
  <si>
    <t>may</t>
  </si>
  <si>
    <t>AHMED HMB</t>
  </si>
  <si>
    <t>DANIAL WIZZ TECH</t>
  </si>
  <si>
    <t>HASSAN 311</t>
  </si>
  <si>
    <t>s</t>
  </si>
  <si>
    <t>stock Worth</t>
  </si>
  <si>
    <t>Date June 16, 2025</t>
  </si>
  <si>
    <t>Cash</t>
  </si>
  <si>
    <t>Payable</t>
  </si>
  <si>
    <t>S00025743</t>
  </si>
  <si>
    <t>June 03, 2025</t>
  </si>
  <si>
    <t>INVOICE 00082459</t>
  </si>
  <si>
    <t>May 09, 2025</t>
  </si>
  <si>
    <t>INVOICE 00081818</t>
  </si>
  <si>
    <t>S00025369</t>
  </si>
  <si>
    <t>S00025505</t>
  </si>
  <si>
    <t>SONY GM II Lense</t>
  </si>
  <si>
    <t>PS5 CONTROLLER DUAL SENSE</t>
  </si>
  <si>
    <t>OSMO POCKET 3 COMBO</t>
  </si>
  <si>
    <t xml:space="preserve">DJI Mavic 4 pro </t>
  </si>
  <si>
    <t>DJI Mavic 4 Pro Combo</t>
  </si>
  <si>
    <t>BK MATRIX</t>
  </si>
  <si>
    <t>AZAM RANA</t>
  </si>
  <si>
    <t>TURBO</t>
  </si>
  <si>
    <t>AUSTRALIA  (85,154.53) @2.3615</t>
  </si>
  <si>
    <t>NEWZELAND(75,886.54) @2.23</t>
  </si>
  <si>
    <t>June 26,2025</t>
  </si>
  <si>
    <t>SHIPPING CHARGES (18924) @ 2.23</t>
  </si>
  <si>
    <t>19772 Aud @ 2.36</t>
  </si>
  <si>
    <t>June 26, 2025</t>
  </si>
  <si>
    <t>Starting Investment</t>
  </si>
  <si>
    <t>Five %</t>
  </si>
  <si>
    <t>Five Percent Waheed</t>
  </si>
  <si>
    <t>Five Percent AR</t>
  </si>
  <si>
    <t>WB After 5 % (696,738.2)</t>
  </si>
  <si>
    <t>June 28, 2025</t>
  </si>
  <si>
    <t>Asad Khreedo 650</t>
  </si>
  <si>
    <t>Azam Rana 1450</t>
  </si>
  <si>
    <t>Baba: 19,071</t>
  </si>
  <si>
    <t>Cell Wears USA 3,452</t>
  </si>
  <si>
    <t>DJI Hub 2450</t>
  </si>
  <si>
    <t>Hasan 475</t>
  </si>
  <si>
    <t>Power Play 1,180</t>
  </si>
  <si>
    <t>Saad. 18,982</t>
  </si>
  <si>
    <t>Sher Alam AMGT 692</t>
  </si>
  <si>
    <t>Umer Canada 272</t>
  </si>
  <si>
    <t>AUSTRALIA  (72,057) @2.3999</t>
  </si>
  <si>
    <t>Abbas 110</t>
  </si>
  <si>
    <t>Abubaker Karachi 2465</t>
  </si>
  <si>
    <t>Ahsan CBA 1675</t>
  </si>
  <si>
    <t>Ahsan Mohsin: -73,300</t>
  </si>
  <si>
    <t>Fahim Ahmed 13,750</t>
  </si>
  <si>
    <t>HMB -42197</t>
  </si>
  <si>
    <t>Karachi Sale 3713</t>
  </si>
  <si>
    <t>Mudassir AR 101,994</t>
  </si>
  <si>
    <t>Ontell -135,236</t>
  </si>
  <si>
    <t>Owais Houston USA 215,451</t>
  </si>
  <si>
    <t>Raaz 93337.8</t>
  </si>
  <si>
    <t>Turbo -19,320</t>
  </si>
  <si>
    <t>Umair Rocker 73,176</t>
  </si>
  <si>
    <t>NEWZEALAND (75,483.3) @2.23</t>
  </si>
  <si>
    <t xml:space="preserve">Five percent </t>
  </si>
  <si>
    <t>Noman AMGT</t>
  </si>
  <si>
    <t>July 14,2025</t>
  </si>
  <si>
    <t>INVOICE 00083944</t>
  </si>
  <si>
    <t>July 23,2025</t>
  </si>
  <si>
    <t>INVOICE S00025886</t>
  </si>
  <si>
    <t>July 10, 2025</t>
  </si>
  <si>
    <t>INV 00083555</t>
  </si>
  <si>
    <t>INV 00083605</t>
  </si>
  <si>
    <t>July 11, 2025</t>
  </si>
  <si>
    <t>July 30, 2025</t>
  </si>
  <si>
    <t>Ahsan CBA</t>
  </si>
  <si>
    <t>ASAD KHAREEDO</t>
  </si>
  <si>
    <t>DJI HUB</t>
  </si>
  <si>
    <t>Faheem Ahmed Chacha</t>
  </si>
  <si>
    <t>Hassan</t>
  </si>
  <si>
    <t>Hazarto</t>
  </si>
  <si>
    <t>Karachi Sale</t>
  </si>
  <si>
    <t>Moin Sahab</t>
  </si>
  <si>
    <t>mudassir Ar</t>
  </si>
  <si>
    <t>NY advance</t>
  </si>
  <si>
    <t>Raaz</t>
  </si>
  <si>
    <t>Saad</t>
  </si>
  <si>
    <t>Sheer Alam AMGT</t>
  </si>
  <si>
    <t>Shehzad Mughal</t>
  </si>
  <si>
    <t xml:space="preserve">Turbo </t>
  </si>
  <si>
    <t>Ahsan Mohsin: -</t>
  </si>
  <si>
    <t xml:space="preserve">umar canada </t>
  </si>
  <si>
    <t>AUSTRALIA  (9,093) @2.3999</t>
  </si>
  <si>
    <t>NEWZEALAND (51,723) @2.23</t>
  </si>
  <si>
    <t>July 31,2025</t>
  </si>
  <si>
    <t>SHIPPING CHARGES (16,045) @ 2.37805</t>
  </si>
  <si>
    <t>NZ Shipping 20,355 @2.23</t>
  </si>
  <si>
    <t>June 30,2025</t>
  </si>
  <si>
    <t>abdulmussawir</t>
  </si>
  <si>
    <t>Adil</t>
  </si>
  <si>
    <t>Ahsan Mohsin</t>
  </si>
  <si>
    <t>hamza customer</t>
  </si>
  <si>
    <t>hassan</t>
  </si>
  <si>
    <t>METRO SHAMEEM</t>
  </si>
  <si>
    <t xml:space="preserve">Plower play </t>
  </si>
  <si>
    <t>worlad mart</t>
  </si>
  <si>
    <t>AUSTRALIA  (72,421) @2.3999</t>
  </si>
  <si>
    <t>NEWZEALAND (76,290) @2.23</t>
  </si>
  <si>
    <t>NZ Shipping 18,924 @2.23</t>
  </si>
  <si>
    <t>SHIPPING CHARGES (19,772) @ 2.3999</t>
  </si>
  <si>
    <t>jawed bahi 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</si>
</sst>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AED&quot;* #,##0.00_-;\-&quot;AED&quot;* #,##0.00_-;_-&quot;AED&quot;* &quot;-&quot;??_-;_-@_-"/>
    <numFmt numFmtId="164" formatCode="&quot;AED&quot;#,##0.00"/>
    <numFmt numFmtId="165" formatCode="_-[$NZD]\ * #,##0_-;\-[$NZD]\ * #,##0_-;_-[$NZD]\ * &quot;-&quot;_-;_-@_-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8"/>
      <color theme="1"/>
      <name val="Calibri"/>
      <family val="2"/>
      <charset val="1"/>
      <scheme val="minor"/>
    </font>
    <font>
      <b/>
      <sz val="8"/>
      <color theme="0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4" fontId="0" fillId="0" borderId="7" xfId="0" applyNumberForma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0" fontId="7" fillId="0" borderId="0" xfId="0" applyFont="1"/>
    <xf numFmtId="14" fontId="0" fillId="0" borderId="19" xfId="0" applyNumberFormat="1" applyBorder="1"/>
    <xf numFmtId="0" fontId="0" fillId="0" borderId="19" xfId="0" applyBorder="1" applyAlignment="1">
      <alignment horizontal="center"/>
    </xf>
    <xf numFmtId="0" fontId="0" fillId="0" borderId="19" xfId="0" applyBorder="1" applyAlignment="1">
      <alignment wrapText="1"/>
    </xf>
    <xf numFmtId="2" fontId="0" fillId="0" borderId="19" xfId="0" applyNumberFormat="1" applyBorder="1" applyAlignment="1">
      <alignment horizontal="center"/>
    </xf>
    <xf numFmtId="2" fontId="0" fillId="0" borderId="19" xfId="0" applyNumberFormat="1" applyBorder="1"/>
    <xf numFmtId="0" fontId="0" fillId="0" borderId="19" xfId="0" applyBorder="1" applyAlignment="1">
      <alignment horizontal="center" wrapText="1"/>
    </xf>
    <xf numFmtId="0" fontId="2" fillId="3" borderId="17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4" fontId="0" fillId="4" borderId="19" xfId="0" applyNumberFormat="1" applyFill="1" applyBorder="1"/>
    <xf numFmtId="0" fontId="0" fillId="4" borderId="19" xfId="0" applyFill="1" applyBorder="1" applyAlignment="1">
      <alignment horizontal="center"/>
    </xf>
    <xf numFmtId="0" fontId="0" fillId="4" borderId="19" xfId="0" applyFill="1" applyBorder="1" applyAlignment="1">
      <alignment wrapText="1"/>
    </xf>
    <xf numFmtId="2" fontId="0" fillId="4" borderId="19" xfId="0" applyNumberFormat="1" applyFill="1" applyBorder="1" applyAlignment="1">
      <alignment horizontal="center"/>
    </xf>
    <xf numFmtId="2" fontId="0" fillId="4" borderId="19" xfId="0" applyNumberFormat="1" applyFill="1" applyBorder="1"/>
    <xf numFmtId="0" fontId="0" fillId="4" borderId="19" xfId="0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2" fontId="2" fillId="5" borderId="0" xfId="0" applyNumberFormat="1" applyFont="1" applyFill="1"/>
    <xf numFmtId="0" fontId="2" fillId="0" borderId="19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6" borderId="19" xfId="0" applyFill="1" applyBorder="1" applyAlignment="1">
      <alignment horizontal="center" wrapText="1"/>
    </xf>
    <xf numFmtId="0" fontId="0" fillId="6" borderId="19" xfId="0" applyFill="1" applyBorder="1" applyAlignment="1">
      <alignment horizontal="center"/>
    </xf>
    <xf numFmtId="0" fontId="2" fillId="0" borderId="19" xfId="0" applyFont="1" applyBorder="1" applyAlignment="1">
      <alignment wrapText="1"/>
    </xf>
    <xf numFmtId="0" fontId="0" fillId="0" borderId="19" xfId="0" applyBorder="1"/>
    <xf numFmtId="0" fontId="2" fillId="0" borderId="19" xfId="0" applyFont="1" applyBorder="1"/>
    <xf numFmtId="14" fontId="0" fillId="7" borderId="19" xfId="0" applyNumberFormat="1" applyFill="1" applyBorder="1"/>
    <xf numFmtId="0" fontId="0" fillId="7" borderId="19" xfId="0" applyFill="1" applyBorder="1" applyAlignment="1">
      <alignment wrapText="1"/>
    </xf>
    <xf numFmtId="0" fontId="0" fillId="7" borderId="19" xfId="0" applyFill="1" applyBorder="1"/>
    <xf numFmtId="0" fontId="6" fillId="0" borderId="0" xfId="0" applyFont="1"/>
    <xf numFmtId="14" fontId="7" fillId="0" borderId="0" xfId="0" applyNumberFormat="1" applyFont="1"/>
    <xf numFmtId="0" fontId="0" fillId="2" borderId="0" xfId="0" applyFill="1" applyAlignment="1">
      <alignment horizontal="left" vertical="top"/>
    </xf>
    <xf numFmtId="0" fontId="13" fillId="0" borderId="0" xfId="0" applyFont="1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14" fontId="0" fillId="2" borderId="0" xfId="0" applyNumberFormat="1" applyFill="1"/>
    <xf numFmtId="0" fontId="0" fillId="8" borderId="0" xfId="0" applyFill="1"/>
    <xf numFmtId="0" fontId="2" fillId="8" borderId="0" xfId="0" applyFont="1" applyFill="1" applyAlignment="1">
      <alignment horizontal="center"/>
    </xf>
    <xf numFmtId="14" fontId="0" fillId="8" borderId="0" xfId="0" applyNumberFormat="1" applyFill="1"/>
    <xf numFmtId="0" fontId="2" fillId="8" borderId="0" xfId="0" applyFont="1" applyFill="1"/>
    <xf numFmtId="0" fontId="0" fillId="8" borderId="0" xfId="0" applyFill="1" applyAlignment="1">
      <alignment wrapText="1"/>
    </xf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14" fontId="0" fillId="8" borderId="11" xfId="0" applyNumberFormat="1" applyFill="1" applyBorder="1"/>
    <xf numFmtId="0" fontId="0" fillId="8" borderId="12" xfId="0" applyFill="1" applyBorder="1"/>
    <xf numFmtId="2" fontId="0" fillId="8" borderId="0" xfId="0" applyNumberFormat="1" applyFill="1"/>
    <xf numFmtId="14" fontId="0" fillId="8" borderId="13" xfId="0" applyNumberFormat="1" applyFill="1" applyBorder="1"/>
    <xf numFmtId="0" fontId="0" fillId="8" borderId="14" xfId="0" applyFill="1" applyBorder="1" applyAlignment="1">
      <alignment wrapText="1"/>
    </xf>
    <xf numFmtId="0" fontId="0" fillId="8" borderId="14" xfId="0" applyFill="1" applyBorder="1"/>
    <xf numFmtId="0" fontId="0" fillId="8" borderId="15" xfId="0" applyFill="1" applyBorder="1"/>
    <xf numFmtId="0" fontId="2" fillId="8" borderId="15" xfId="0" applyFont="1" applyFill="1" applyBorder="1"/>
    <xf numFmtId="14" fontId="0" fillId="8" borderId="19" xfId="0" applyNumberFormat="1" applyFill="1" applyBorder="1"/>
    <xf numFmtId="0" fontId="2" fillId="8" borderId="19" xfId="0" applyFont="1" applyFill="1" applyBorder="1" applyAlignment="1">
      <alignment wrapText="1"/>
    </xf>
    <xf numFmtId="0" fontId="0" fillId="8" borderId="19" xfId="0" applyFill="1" applyBorder="1"/>
    <xf numFmtId="0" fontId="0" fillId="8" borderId="19" xfId="0" applyFill="1" applyBorder="1" applyAlignment="1">
      <alignment wrapText="1"/>
    </xf>
    <xf numFmtId="0" fontId="2" fillId="8" borderId="19" xfId="0" applyFont="1" applyFill="1" applyBorder="1"/>
    <xf numFmtId="0" fontId="6" fillId="8" borderId="19" xfId="0" applyFont="1" applyFill="1" applyBorder="1" applyAlignment="1">
      <alignment wrapText="1"/>
    </xf>
    <xf numFmtId="0" fontId="6" fillId="8" borderId="19" xfId="0" applyFont="1" applyFill="1" applyBorder="1"/>
    <xf numFmtId="0" fontId="10" fillId="8" borderId="19" xfId="0" applyFont="1" applyFill="1" applyBorder="1"/>
    <xf numFmtId="0" fontId="11" fillId="8" borderId="19" xfId="0" applyFont="1" applyFill="1" applyBorder="1"/>
    <xf numFmtId="0" fontId="7" fillId="8" borderId="19" xfId="0" applyFont="1" applyFill="1" applyBorder="1"/>
    <xf numFmtId="0" fontId="12" fillId="8" borderId="19" xfId="0" applyFont="1" applyFill="1" applyBorder="1"/>
    <xf numFmtId="0" fontId="2" fillId="8" borderId="0" xfId="0" applyFont="1" applyFill="1" applyAlignment="1">
      <alignment wrapText="1"/>
    </xf>
    <xf numFmtId="0" fontId="2" fillId="8" borderId="19" xfId="0" applyFont="1" applyFill="1" applyBorder="1" applyAlignment="1">
      <alignment horizontal="center"/>
    </xf>
    <xf numFmtId="44" fontId="0" fillId="0" borderId="0" xfId="0" applyNumberFormat="1"/>
    <xf numFmtId="0" fontId="15" fillId="0" borderId="0" xfId="0" applyFont="1"/>
    <xf numFmtId="44" fontId="15" fillId="0" borderId="0" xfId="0" applyNumberFormat="1" applyFont="1"/>
    <xf numFmtId="0" fontId="16" fillId="9" borderId="19" xfId="0" applyFont="1" applyFill="1" applyBorder="1"/>
    <xf numFmtId="44" fontId="15" fillId="0" borderId="19" xfId="0" applyNumberFormat="1" applyFont="1" applyBorder="1"/>
    <xf numFmtId="0" fontId="17" fillId="0" borderId="0" xfId="0" applyFont="1" applyAlignment="1">
      <alignment horizontal="center"/>
    </xf>
    <xf numFmtId="0" fontId="16" fillId="9" borderId="0" xfId="0" applyFont="1" applyFill="1"/>
    <xf numFmtId="44" fontId="16" fillId="9" borderId="21" xfId="0" applyNumberFormat="1" applyFont="1" applyFill="1" applyBorder="1"/>
    <xf numFmtId="44" fontId="16" fillId="9" borderId="0" xfId="0" applyNumberFormat="1" applyFont="1" applyFill="1"/>
    <xf numFmtId="0" fontId="15" fillId="0" borderId="23" xfId="0" applyFont="1" applyBorder="1"/>
    <xf numFmtId="0" fontId="15" fillId="0" borderId="19" xfId="0" applyFont="1" applyBorder="1"/>
    <xf numFmtId="0" fontId="16" fillId="9" borderId="23" xfId="0" applyFont="1" applyFill="1" applyBorder="1"/>
    <xf numFmtId="44" fontId="19" fillId="0" borderId="0" xfId="0" applyNumberFormat="1" applyFont="1" applyAlignment="1">
      <alignment horizontal="right"/>
    </xf>
    <xf numFmtId="44" fontId="19" fillId="0" borderId="0" xfId="0" applyNumberFormat="1" applyFont="1"/>
    <xf numFmtId="15" fontId="0" fillId="0" borderId="19" xfId="0" applyNumberFormat="1" applyBorder="1"/>
    <xf numFmtId="0" fontId="20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5" fillId="0" borderId="26" xfId="0" applyFont="1" applyBorder="1"/>
    <xf numFmtId="0" fontId="18" fillId="0" borderId="0" xfId="0" applyFont="1"/>
    <xf numFmtId="0" fontId="22" fillId="0" borderId="0" xfId="0" applyFont="1"/>
    <xf numFmtId="44" fontId="22" fillId="0" borderId="19" xfId="0" applyNumberFormat="1" applyFont="1" applyBorder="1"/>
    <xf numFmtId="44" fontId="22" fillId="0" borderId="0" xfId="0" applyNumberFormat="1" applyFont="1"/>
    <xf numFmtId="0" fontId="15" fillId="10" borderId="23" xfId="0" applyFont="1" applyFill="1" applyBorder="1"/>
    <xf numFmtId="44" fontId="15" fillId="10" borderId="19" xfId="0" applyNumberFormat="1" applyFont="1" applyFill="1" applyBorder="1"/>
    <xf numFmtId="0" fontId="15" fillId="10" borderId="19" xfId="0" applyFont="1" applyFill="1" applyBorder="1"/>
    <xf numFmtId="0" fontId="15" fillId="11" borderId="19" xfId="0" applyFont="1" applyFill="1" applyBorder="1"/>
    <xf numFmtId="44" fontId="15" fillId="11" borderId="19" xfId="0" applyNumberFormat="1" applyFont="1" applyFill="1" applyBorder="1"/>
    <xf numFmtId="0" fontId="15" fillId="11" borderId="23" xfId="0" applyFont="1" applyFill="1" applyBorder="1"/>
    <xf numFmtId="4" fontId="15" fillId="0" borderId="0" xfId="0" applyNumberFormat="1" applyFont="1"/>
    <xf numFmtId="164" fontId="0" fillId="0" borderId="0" xfId="0" applyNumberFormat="1"/>
    <xf numFmtId="165" fontId="0" fillId="0" borderId="19" xfId="0" applyNumberFormat="1" applyBorder="1"/>
    <xf numFmtId="0" fontId="0" fillId="12" borderId="0" xfId="0" applyFill="1"/>
    <xf numFmtId="4" fontId="0" fillId="12" borderId="0" xfId="0" applyNumberFormat="1" applyFill="1"/>
    <xf numFmtId="44" fontId="0" fillId="12" borderId="0" xfId="0" applyNumberFormat="1" applyFill="1"/>
    <xf numFmtId="0" fontId="21" fillId="12" borderId="19" xfId="0" applyFont="1" applyFill="1" applyBorder="1" applyAlignment="1">
      <alignment horizontal="left" vertical="center" wrapText="1"/>
    </xf>
    <xf numFmtId="0" fontId="21" fillId="12" borderId="19" xfId="0" applyFont="1" applyFill="1" applyBorder="1" applyAlignment="1">
      <alignment horizontal="left" vertical="center"/>
    </xf>
    <xf numFmtId="0" fontId="15" fillId="13" borderId="19" xfId="0" applyFont="1" applyFill="1" applyBorder="1"/>
    <xf numFmtId="44" fontId="0" fillId="11" borderId="19" xfId="0" applyNumberFormat="1" applyFill="1" applyBorder="1"/>
    <xf numFmtId="44" fontId="15" fillId="13" borderId="19" xfId="0" applyNumberFormat="1" applyFont="1" applyFill="1" applyBorder="1"/>
    <xf numFmtId="0" fontId="15" fillId="8" borderId="19" xfId="0" applyFont="1" applyFill="1" applyBorder="1"/>
    <xf numFmtId="44" fontId="23" fillId="9" borderId="0" xfId="0" applyNumberFormat="1" applyFont="1" applyFill="1"/>
    <xf numFmtId="0" fontId="23" fillId="9" borderId="0" xfId="0" applyFont="1" applyFill="1"/>
    <xf numFmtId="4" fontId="15" fillId="0" borderId="19" xfId="0" applyNumberFormat="1" applyFont="1" applyBorder="1"/>
    <xf numFmtId="0" fontId="15" fillId="0" borderId="1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06"/>
  <sheetViews>
    <sheetView topLeftCell="A120" workbookViewId="0">
      <selection activeCell="L128" sqref="L128"/>
    </sheetView>
  </sheetViews>
  <sheetFormatPr defaultRowHeight="14.4" x14ac:dyDescent="0.3"/>
  <cols>
    <col min="2" max="2" width="10.44140625" bestFit="1" customWidth="1"/>
    <col min="3" max="3" width="40.77734375" bestFit="1" customWidth="1"/>
    <col min="4" max="4" width="14.77734375" customWidth="1"/>
    <col min="8" max="8" width="10.44140625" bestFit="1" customWidth="1"/>
    <col min="9" max="9" width="22.5546875" customWidth="1"/>
    <col min="10" max="10" width="11.5546875" customWidth="1"/>
  </cols>
  <sheetData>
    <row r="2" spans="2:12" x14ac:dyDescent="0.3">
      <c r="J2" s="3" t="s">
        <v>14</v>
      </c>
    </row>
    <row r="3" spans="2:12" x14ac:dyDescent="0.3">
      <c r="B3" s="1">
        <v>45591</v>
      </c>
      <c r="C3" t="s">
        <v>0</v>
      </c>
      <c r="D3">
        <v>434535</v>
      </c>
      <c r="H3" s="1">
        <v>45617</v>
      </c>
      <c r="I3" t="s">
        <v>13</v>
      </c>
      <c r="J3">
        <v>207411</v>
      </c>
      <c r="K3">
        <f>D95</f>
        <v>1400.2099999999919</v>
      </c>
      <c r="L3">
        <f>J3-K3</f>
        <v>206010.79</v>
      </c>
    </row>
    <row r="4" spans="2:12" x14ac:dyDescent="0.3">
      <c r="B4" s="1">
        <v>45593</v>
      </c>
      <c r="C4" t="s">
        <v>1</v>
      </c>
      <c r="D4">
        <v>26100</v>
      </c>
      <c r="I4" t="s">
        <v>15</v>
      </c>
      <c r="J4">
        <v>96</v>
      </c>
      <c r="K4">
        <v>85</v>
      </c>
      <c r="L4">
        <f>J4-K4</f>
        <v>11</v>
      </c>
    </row>
    <row r="5" spans="2:12" x14ac:dyDescent="0.3">
      <c r="B5" s="1">
        <v>45593</v>
      </c>
      <c r="C5" t="s">
        <v>2</v>
      </c>
      <c r="D5">
        <v>-132169</v>
      </c>
      <c r="I5" t="s">
        <v>16</v>
      </c>
      <c r="J5">
        <v>121</v>
      </c>
      <c r="K5">
        <v>136</v>
      </c>
      <c r="L5">
        <f>J5-K5</f>
        <v>-15</v>
      </c>
    </row>
    <row r="6" spans="2:12" x14ac:dyDescent="0.3">
      <c r="B6" s="1">
        <v>45595</v>
      </c>
      <c r="C6" t="s">
        <v>3</v>
      </c>
      <c r="D6">
        <v>9119</v>
      </c>
      <c r="I6" t="s">
        <v>22</v>
      </c>
      <c r="J6">
        <v>1</v>
      </c>
    </row>
    <row r="7" spans="2:12" x14ac:dyDescent="0.3">
      <c r="B7" s="1">
        <v>45596</v>
      </c>
      <c r="C7" t="s">
        <v>2</v>
      </c>
      <c r="D7">
        <v>-122250</v>
      </c>
      <c r="I7" t="s">
        <v>62</v>
      </c>
      <c r="J7">
        <v>13</v>
      </c>
    </row>
    <row r="8" spans="2:12" x14ac:dyDescent="0.3">
      <c r="B8" s="1">
        <v>45597</v>
      </c>
      <c r="C8" t="s">
        <v>4</v>
      </c>
      <c r="D8">
        <v>-20000</v>
      </c>
      <c r="I8" t="s">
        <v>63</v>
      </c>
      <c r="J8">
        <f>2+2</f>
        <v>4</v>
      </c>
    </row>
    <row r="9" spans="2:12" x14ac:dyDescent="0.3">
      <c r="B9" s="1">
        <v>45597</v>
      </c>
      <c r="C9" t="s">
        <v>5</v>
      </c>
      <c r="D9">
        <v>-16000</v>
      </c>
      <c r="I9" t="s">
        <v>64</v>
      </c>
      <c r="J9">
        <v>0</v>
      </c>
    </row>
    <row r="10" spans="2:12" x14ac:dyDescent="0.3">
      <c r="B10" s="1">
        <v>45597</v>
      </c>
      <c r="C10" t="s">
        <v>6</v>
      </c>
      <c r="D10">
        <v>-6000</v>
      </c>
      <c r="I10" t="s">
        <v>65</v>
      </c>
      <c r="J10">
        <v>0</v>
      </c>
    </row>
    <row r="11" spans="2:12" x14ac:dyDescent="0.3">
      <c r="B11" s="1">
        <v>45597</v>
      </c>
      <c r="C11" t="s">
        <v>8</v>
      </c>
      <c r="D11">
        <v>-7800</v>
      </c>
      <c r="I11" t="s">
        <v>66</v>
      </c>
      <c r="J11">
        <v>10</v>
      </c>
    </row>
    <row r="12" spans="2:12" x14ac:dyDescent="0.3">
      <c r="B12" s="1">
        <v>45598</v>
      </c>
      <c r="C12" t="s">
        <v>9</v>
      </c>
      <c r="D12">
        <v>-20000</v>
      </c>
      <c r="I12" t="s">
        <v>67</v>
      </c>
      <c r="J12">
        <f>200</f>
        <v>200</v>
      </c>
    </row>
    <row r="13" spans="2:12" x14ac:dyDescent="0.3">
      <c r="B13" s="1">
        <v>45600</v>
      </c>
      <c r="C13" t="s">
        <v>10</v>
      </c>
      <c r="D13">
        <v>-12000</v>
      </c>
      <c r="I13" t="s">
        <v>68</v>
      </c>
      <c r="J13">
        <v>0</v>
      </c>
    </row>
    <row r="14" spans="2:12" x14ac:dyDescent="0.3">
      <c r="B14" s="1">
        <v>45600</v>
      </c>
      <c r="C14" t="s">
        <v>11</v>
      </c>
      <c r="D14">
        <v>-1440</v>
      </c>
      <c r="I14" t="s">
        <v>88</v>
      </c>
      <c r="J14">
        <f>4</f>
        <v>4</v>
      </c>
    </row>
    <row r="15" spans="2:12" x14ac:dyDescent="0.3">
      <c r="B15" s="1">
        <v>45602</v>
      </c>
      <c r="C15" s="5" t="s">
        <v>77</v>
      </c>
      <c r="D15" s="5">
        <v>-285</v>
      </c>
    </row>
    <row r="16" spans="2:12" x14ac:dyDescent="0.3">
      <c r="B16" s="1">
        <v>45602</v>
      </c>
      <c r="C16" t="s">
        <v>12</v>
      </c>
      <c r="D16">
        <f>36750+12900</f>
        <v>49650</v>
      </c>
    </row>
    <row r="17" spans="2:11" x14ac:dyDescent="0.3">
      <c r="B17" s="1">
        <v>45608</v>
      </c>
      <c r="C17" t="s">
        <v>21</v>
      </c>
      <c r="D17">
        <v>-27170</v>
      </c>
      <c r="I17" t="s">
        <v>17</v>
      </c>
      <c r="J17">
        <v>1</v>
      </c>
    </row>
    <row r="18" spans="2:11" x14ac:dyDescent="0.3">
      <c r="B18" s="1">
        <v>45609</v>
      </c>
      <c r="C18" t="s">
        <v>23</v>
      </c>
      <c r="D18">
        <v>-10000</v>
      </c>
      <c r="I18" t="s">
        <v>18</v>
      </c>
      <c r="J18">
        <v>1</v>
      </c>
    </row>
    <row r="19" spans="2:11" x14ac:dyDescent="0.3">
      <c r="B19" s="1">
        <v>45609</v>
      </c>
      <c r="C19" t="s">
        <v>46</v>
      </c>
      <c r="D19">
        <v>-121500</v>
      </c>
      <c r="I19" t="s">
        <v>19</v>
      </c>
      <c r="J19">
        <v>3</v>
      </c>
    </row>
    <row r="20" spans="2:11" x14ac:dyDescent="0.3">
      <c r="B20" s="1">
        <v>45609</v>
      </c>
      <c r="C20" t="s">
        <v>25</v>
      </c>
      <c r="D20">
        <v>182500</v>
      </c>
      <c r="I20" t="s">
        <v>20</v>
      </c>
      <c r="J20">
        <v>1</v>
      </c>
    </row>
    <row r="21" spans="2:11" x14ac:dyDescent="0.3">
      <c r="B21" s="1">
        <v>45610</v>
      </c>
      <c r="C21" t="s">
        <v>24</v>
      </c>
      <c r="D21">
        <v>-10180</v>
      </c>
      <c r="I21" s="6" t="s">
        <v>78</v>
      </c>
      <c r="J21" s="6">
        <v>10</v>
      </c>
      <c r="K21" t="s">
        <v>85</v>
      </c>
    </row>
    <row r="22" spans="2:11" x14ac:dyDescent="0.3">
      <c r="B22" s="1">
        <v>45611</v>
      </c>
      <c r="C22" t="s">
        <v>47</v>
      </c>
      <c r="D22">
        <v>-35000</v>
      </c>
      <c r="I22" t="s">
        <v>82</v>
      </c>
      <c r="J22">
        <v>3</v>
      </c>
      <c r="K22" t="s">
        <v>108</v>
      </c>
    </row>
    <row r="23" spans="2:11" x14ac:dyDescent="0.3">
      <c r="B23" s="1">
        <v>45612</v>
      </c>
      <c r="C23" t="s">
        <v>56</v>
      </c>
      <c r="D23">
        <v>-120300</v>
      </c>
      <c r="I23" t="s">
        <v>83</v>
      </c>
      <c r="J23">
        <v>2</v>
      </c>
      <c r="K23" t="s">
        <v>108</v>
      </c>
    </row>
    <row r="24" spans="2:11" x14ac:dyDescent="0.3">
      <c r="B24" s="1">
        <v>45614</v>
      </c>
      <c r="C24" t="s">
        <v>61</v>
      </c>
      <c r="D24">
        <v>27321</v>
      </c>
      <c r="I24" t="s">
        <v>84</v>
      </c>
      <c r="J24">
        <v>1</v>
      </c>
    </row>
    <row r="25" spans="2:11" x14ac:dyDescent="0.3">
      <c r="B25" s="1">
        <v>45615</v>
      </c>
      <c r="C25" t="s">
        <v>72</v>
      </c>
      <c r="D25">
        <v>12260</v>
      </c>
    </row>
    <row r="26" spans="2:11" x14ac:dyDescent="0.3">
      <c r="B26" s="1">
        <v>45618</v>
      </c>
      <c r="C26" t="s">
        <v>2</v>
      </c>
      <c r="D26">
        <v>-80000</v>
      </c>
    </row>
    <row r="27" spans="2:11" x14ac:dyDescent="0.3">
      <c r="B27" s="1">
        <v>45625</v>
      </c>
      <c r="C27" t="s">
        <v>132</v>
      </c>
      <c r="D27">
        <v>17560</v>
      </c>
    </row>
    <row r="28" spans="2:11" x14ac:dyDescent="0.3">
      <c r="B28" s="1">
        <v>45625</v>
      </c>
      <c r="C28" t="s">
        <v>72</v>
      </c>
      <c r="D28">
        <v>40960</v>
      </c>
    </row>
    <row r="29" spans="2:11" x14ac:dyDescent="0.3">
      <c r="B29" s="1">
        <v>45626</v>
      </c>
      <c r="C29" t="s">
        <v>138</v>
      </c>
      <c r="D29">
        <v>-5324</v>
      </c>
    </row>
    <row r="30" spans="2:11" x14ac:dyDescent="0.3">
      <c r="B30" s="1">
        <v>45626</v>
      </c>
      <c r="C30" t="s">
        <v>118</v>
      </c>
      <c r="D30">
        <v>-50</v>
      </c>
    </row>
    <row r="31" spans="2:11" x14ac:dyDescent="0.3">
      <c r="B31" s="1">
        <v>45626</v>
      </c>
      <c r="C31" t="s">
        <v>139</v>
      </c>
      <c r="D31">
        <v>115000</v>
      </c>
    </row>
    <row r="32" spans="2:11" x14ac:dyDescent="0.3">
      <c r="B32" s="1">
        <v>45626</v>
      </c>
      <c r="C32" t="s">
        <v>135</v>
      </c>
      <c r="D32">
        <v>-48000</v>
      </c>
    </row>
    <row r="33" spans="2:4" x14ac:dyDescent="0.3">
      <c r="B33" s="1">
        <v>45630</v>
      </c>
      <c r="C33" t="s">
        <v>163</v>
      </c>
      <c r="D33">
        <v>-120000</v>
      </c>
    </row>
    <row r="34" spans="2:4" x14ac:dyDescent="0.3">
      <c r="B34" s="1">
        <v>45631</v>
      </c>
      <c r="C34" t="s">
        <v>25</v>
      </c>
      <c r="D34">
        <v>30000</v>
      </c>
    </row>
    <row r="35" spans="2:4" x14ac:dyDescent="0.3">
      <c r="B35" s="1">
        <v>45633</v>
      </c>
      <c r="C35" t="s">
        <v>173</v>
      </c>
      <c r="D35">
        <v>149800</v>
      </c>
    </row>
    <row r="36" spans="2:4" x14ac:dyDescent="0.3">
      <c r="B36" s="1">
        <v>45633</v>
      </c>
      <c r="C36" t="s">
        <v>163</v>
      </c>
      <c r="D36">
        <v>-177735</v>
      </c>
    </row>
    <row r="37" spans="2:4" x14ac:dyDescent="0.3">
      <c r="B37" s="1">
        <v>45633</v>
      </c>
      <c r="C37" t="s">
        <v>178</v>
      </c>
      <c r="D37">
        <v>-600</v>
      </c>
    </row>
    <row r="38" spans="2:4" x14ac:dyDescent="0.3">
      <c r="B38" s="1">
        <v>45633</v>
      </c>
      <c r="C38" t="s">
        <v>179</v>
      </c>
      <c r="D38">
        <v>-10</v>
      </c>
    </row>
    <row r="39" spans="2:4" x14ac:dyDescent="0.3">
      <c r="B39" s="1">
        <v>45647</v>
      </c>
      <c r="C39" t="s">
        <v>231</v>
      </c>
      <c r="D39">
        <v>7000</v>
      </c>
    </row>
    <row r="40" spans="2:4" x14ac:dyDescent="0.3">
      <c r="B40" s="1">
        <v>45647</v>
      </c>
      <c r="C40" t="s">
        <v>232</v>
      </c>
      <c r="D40">
        <v>15000</v>
      </c>
    </row>
    <row r="41" spans="2:4" x14ac:dyDescent="0.3">
      <c r="B41" s="1">
        <v>45649</v>
      </c>
      <c r="C41" t="s">
        <v>232</v>
      </c>
      <c r="D41">
        <v>13900</v>
      </c>
    </row>
    <row r="42" spans="2:4" x14ac:dyDescent="0.3">
      <c r="B42" s="1">
        <v>45650</v>
      </c>
      <c r="C42" t="s">
        <v>232</v>
      </c>
      <c r="D42">
        <v>18000</v>
      </c>
    </row>
    <row r="43" spans="2:4" x14ac:dyDescent="0.3">
      <c r="B43" s="1">
        <v>45650</v>
      </c>
      <c r="C43" t="s">
        <v>231</v>
      </c>
      <c r="D43">
        <v>57000</v>
      </c>
    </row>
    <row r="44" spans="2:4" x14ac:dyDescent="0.3">
      <c r="B44" s="1">
        <v>45650</v>
      </c>
      <c r="C44" t="s">
        <v>239</v>
      </c>
      <c r="D44">
        <v>-55000</v>
      </c>
    </row>
    <row r="45" spans="2:4" x14ac:dyDescent="0.3">
      <c r="B45" s="1">
        <v>45650</v>
      </c>
      <c r="C45" t="s">
        <v>240</v>
      </c>
      <c r="D45">
        <v>-450</v>
      </c>
    </row>
    <row r="46" spans="2:4" x14ac:dyDescent="0.3">
      <c r="B46" s="1">
        <v>45650</v>
      </c>
      <c r="C46" t="s">
        <v>253</v>
      </c>
      <c r="D46">
        <v>-226</v>
      </c>
    </row>
    <row r="47" spans="2:4" x14ac:dyDescent="0.3">
      <c r="B47" s="1">
        <v>45650</v>
      </c>
      <c r="C47" t="s">
        <v>135</v>
      </c>
      <c r="D47">
        <v>-60000</v>
      </c>
    </row>
    <row r="48" spans="2:4" x14ac:dyDescent="0.3">
      <c r="B48" s="1">
        <v>45654</v>
      </c>
      <c r="C48" t="s">
        <v>232</v>
      </c>
      <c r="D48">
        <v>85000</v>
      </c>
    </row>
    <row r="49" spans="2:5" x14ac:dyDescent="0.3">
      <c r="B49" s="1">
        <v>45654</v>
      </c>
      <c r="C49" t="s">
        <v>135</v>
      </c>
      <c r="D49">
        <v>-81216</v>
      </c>
    </row>
    <row r="50" spans="2:5" x14ac:dyDescent="0.3">
      <c r="B50" s="1"/>
      <c r="C50" t="s">
        <v>271</v>
      </c>
      <c r="D50">
        <v>0</v>
      </c>
    </row>
    <row r="51" spans="2:5" x14ac:dyDescent="0.3">
      <c r="B51" s="1">
        <v>45660</v>
      </c>
      <c r="C51" t="s">
        <v>232</v>
      </c>
      <c r="D51">
        <v>217000</v>
      </c>
      <c r="E51" t="s">
        <v>141</v>
      </c>
    </row>
    <row r="52" spans="2:5" x14ac:dyDescent="0.3">
      <c r="B52" s="1">
        <v>45660</v>
      </c>
      <c r="C52" t="s">
        <v>272</v>
      </c>
      <c r="D52">
        <v>1000</v>
      </c>
      <c r="E52" t="s">
        <v>141</v>
      </c>
    </row>
    <row r="53" spans="2:5" x14ac:dyDescent="0.3">
      <c r="B53" s="1">
        <v>45661</v>
      </c>
      <c r="C53" t="s">
        <v>273</v>
      </c>
      <c r="D53">
        <v>-20000</v>
      </c>
      <c r="E53" t="s">
        <v>141</v>
      </c>
    </row>
    <row r="54" spans="2:5" x14ac:dyDescent="0.3">
      <c r="B54" s="1">
        <v>45661</v>
      </c>
      <c r="C54" t="s">
        <v>232</v>
      </c>
      <c r="D54">
        <v>150000</v>
      </c>
      <c r="E54" t="s">
        <v>141</v>
      </c>
    </row>
    <row r="55" spans="2:5" x14ac:dyDescent="0.3">
      <c r="B55" s="1">
        <v>45661</v>
      </c>
      <c r="C55" t="s">
        <v>274</v>
      </c>
      <c r="D55">
        <v>-335000</v>
      </c>
      <c r="E55" t="s">
        <v>141</v>
      </c>
    </row>
    <row r="56" spans="2:5" x14ac:dyDescent="0.3">
      <c r="B56" s="1">
        <v>45664</v>
      </c>
      <c r="C56" t="s">
        <v>293</v>
      </c>
      <c r="D56">
        <v>100000</v>
      </c>
      <c r="E56" t="s">
        <v>141</v>
      </c>
    </row>
    <row r="57" spans="2:5" x14ac:dyDescent="0.3">
      <c r="B57" s="1">
        <v>45665</v>
      </c>
      <c r="C57" t="s">
        <v>232</v>
      </c>
      <c r="D57">
        <v>78480</v>
      </c>
      <c r="E57" t="s">
        <v>141</v>
      </c>
    </row>
    <row r="58" spans="2:5" x14ac:dyDescent="0.3">
      <c r="B58" s="1">
        <v>45665</v>
      </c>
      <c r="C58" t="s">
        <v>311</v>
      </c>
      <c r="D58">
        <v>54855</v>
      </c>
      <c r="E58" t="s">
        <v>141</v>
      </c>
    </row>
    <row r="59" spans="2:5" x14ac:dyDescent="0.3">
      <c r="B59" s="1">
        <v>45667</v>
      </c>
      <c r="C59" t="s">
        <v>334</v>
      </c>
      <c r="D59">
        <v>4512</v>
      </c>
      <c r="E59" t="s">
        <v>141</v>
      </c>
    </row>
    <row r="60" spans="2:5" x14ac:dyDescent="0.3">
      <c r="B60" s="54">
        <v>45667</v>
      </c>
      <c r="C60" s="22" t="s">
        <v>339</v>
      </c>
      <c r="D60" s="22">
        <v>19922</v>
      </c>
      <c r="E60" t="s">
        <v>141</v>
      </c>
    </row>
    <row r="61" spans="2:5" x14ac:dyDescent="0.3">
      <c r="B61" s="1">
        <v>45668</v>
      </c>
      <c r="C61" t="s">
        <v>336</v>
      </c>
      <c r="D61">
        <v>-7472</v>
      </c>
      <c r="E61" t="s">
        <v>141</v>
      </c>
    </row>
    <row r="62" spans="2:5" x14ac:dyDescent="0.3">
      <c r="B62" s="1">
        <v>45671</v>
      </c>
      <c r="C62" t="s">
        <v>335</v>
      </c>
      <c r="D62">
        <v>-10250</v>
      </c>
      <c r="E62" t="s">
        <v>141</v>
      </c>
    </row>
    <row r="63" spans="2:5" x14ac:dyDescent="0.3">
      <c r="B63" s="1">
        <v>45673</v>
      </c>
      <c r="C63" t="s">
        <v>333</v>
      </c>
      <c r="D63">
        <v>-150000</v>
      </c>
      <c r="E63" t="s">
        <v>141</v>
      </c>
    </row>
    <row r="64" spans="2:5" x14ac:dyDescent="0.3">
      <c r="B64" s="1">
        <v>45673</v>
      </c>
      <c r="C64" t="s">
        <v>333</v>
      </c>
      <c r="D64">
        <v>-17000</v>
      </c>
      <c r="E64" t="s">
        <v>141</v>
      </c>
    </row>
    <row r="65" spans="2:5" x14ac:dyDescent="0.3">
      <c r="B65" s="1">
        <v>45677</v>
      </c>
      <c r="C65" t="s">
        <v>337</v>
      </c>
      <c r="D65">
        <v>-18000</v>
      </c>
      <c r="E65" t="s">
        <v>141</v>
      </c>
    </row>
    <row r="66" spans="2:5" x14ac:dyDescent="0.3">
      <c r="B66" s="1">
        <v>45679</v>
      </c>
      <c r="C66" t="s">
        <v>340</v>
      </c>
      <c r="D66">
        <v>56925</v>
      </c>
      <c r="E66" t="s">
        <v>141</v>
      </c>
    </row>
    <row r="67" spans="2:5" x14ac:dyDescent="0.3">
      <c r="B67" s="1"/>
      <c r="C67" t="s">
        <v>341</v>
      </c>
      <c r="D67">
        <f>500+700</f>
        <v>1200</v>
      </c>
      <c r="E67" t="s">
        <v>141</v>
      </c>
    </row>
    <row r="68" spans="2:5" x14ac:dyDescent="0.3">
      <c r="B68" s="1">
        <v>45680</v>
      </c>
      <c r="C68" t="s">
        <v>135</v>
      </c>
      <c r="D68">
        <v>-73640</v>
      </c>
      <c r="E68" t="s">
        <v>141</v>
      </c>
    </row>
    <row r="69" spans="2:5" x14ac:dyDescent="0.3">
      <c r="B69" s="1">
        <v>45681</v>
      </c>
      <c r="C69" t="s">
        <v>342</v>
      </c>
      <c r="D69">
        <v>12600</v>
      </c>
      <c r="E69" t="s">
        <v>141</v>
      </c>
    </row>
    <row r="70" spans="2:5" x14ac:dyDescent="0.3">
      <c r="B70" s="1">
        <v>45681</v>
      </c>
      <c r="C70" t="s">
        <v>25</v>
      </c>
      <c r="D70">
        <v>70000</v>
      </c>
      <c r="E70" t="s">
        <v>141</v>
      </c>
    </row>
    <row r="71" spans="2:5" x14ac:dyDescent="0.3">
      <c r="B71" s="1">
        <v>45681</v>
      </c>
      <c r="C71" t="s">
        <v>346</v>
      </c>
      <c r="D71">
        <v>3250</v>
      </c>
      <c r="E71" t="s">
        <v>141</v>
      </c>
    </row>
    <row r="72" spans="2:5" x14ac:dyDescent="0.3">
      <c r="B72" s="1">
        <v>45682</v>
      </c>
      <c r="C72" t="s">
        <v>354</v>
      </c>
      <c r="D72">
        <v>-140000</v>
      </c>
      <c r="E72" t="s">
        <v>141</v>
      </c>
    </row>
    <row r="73" spans="2:5" x14ac:dyDescent="0.3">
      <c r="B73" s="1">
        <v>45686</v>
      </c>
      <c r="C73" t="s">
        <v>272</v>
      </c>
      <c r="D73">
        <v>8650</v>
      </c>
      <c r="E73" t="s">
        <v>141</v>
      </c>
    </row>
    <row r="74" spans="2:5" x14ac:dyDescent="0.3">
      <c r="B74" s="1">
        <v>45691</v>
      </c>
      <c r="C74" t="s">
        <v>364</v>
      </c>
      <c r="D74">
        <v>3205</v>
      </c>
      <c r="E74" t="s">
        <v>141</v>
      </c>
    </row>
    <row r="75" spans="2:5" x14ac:dyDescent="0.3">
      <c r="B75" s="1">
        <v>45691</v>
      </c>
      <c r="C75" t="s">
        <v>365</v>
      </c>
      <c r="D75">
        <v>12100</v>
      </c>
      <c r="E75" t="s">
        <v>141</v>
      </c>
    </row>
    <row r="76" spans="2:5" x14ac:dyDescent="0.3">
      <c r="B76" s="1">
        <v>45691</v>
      </c>
      <c r="C76" t="s">
        <v>366</v>
      </c>
      <c r="D76">
        <v>-20000</v>
      </c>
      <c r="E76" t="s">
        <v>141</v>
      </c>
    </row>
    <row r="77" spans="2:5" x14ac:dyDescent="0.3">
      <c r="B77" s="1">
        <v>45696</v>
      </c>
      <c r="C77" t="s">
        <v>368</v>
      </c>
      <c r="D77">
        <v>500</v>
      </c>
      <c r="E77" t="s">
        <v>141</v>
      </c>
    </row>
    <row r="78" spans="2:5" x14ac:dyDescent="0.3">
      <c r="B78" s="1">
        <v>45696</v>
      </c>
      <c r="C78" t="s">
        <v>369</v>
      </c>
      <c r="D78">
        <v>24880</v>
      </c>
      <c r="E78" t="s">
        <v>141</v>
      </c>
    </row>
    <row r="79" spans="2:5" x14ac:dyDescent="0.3">
      <c r="B79" s="1">
        <v>45696</v>
      </c>
      <c r="C79" t="s">
        <v>370</v>
      </c>
      <c r="D79">
        <v>-25000</v>
      </c>
      <c r="E79" t="s">
        <v>141</v>
      </c>
    </row>
    <row r="80" spans="2:5" x14ac:dyDescent="0.3">
      <c r="B80" s="62"/>
      <c r="C80" s="6" t="s">
        <v>416</v>
      </c>
      <c r="D80" s="6">
        <v>28665</v>
      </c>
    </row>
    <row r="81" spans="2:7" x14ac:dyDescent="0.3">
      <c r="B81" s="1"/>
      <c r="C81" t="s">
        <v>414</v>
      </c>
      <c r="D81">
        <v>-2819.79</v>
      </c>
      <c r="F81">
        <v>1710.17</v>
      </c>
      <c r="G81">
        <f>D81+F81</f>
        <v>-1109.6199999999999</v>
      </c>
    </row>
    <row r="82" spans="2:7" x14ac:dyDescent="0.3">
      <c r="B82" s="1"/>
      <c r="C82" t="s">
        <v>368</v>
      </c>
      <c r="D82">
        <v>700</v>
      </c>
      <c r="E82" t="s">
        <v>141</v>
      </c>
    </row>
    <row r="83" spans="2:7" x14ac:dyDescent="0.3">
      <c r="B83" s="1"/>
      <c r="C83" t="s">
        <v>415</v>
      </c>
      <c r="D83">
        <v>-29262</v>
      </c>
      <c r="E83" t="s">
        <v>141</v>
      </c>
    </row>
    <row r="84" spans="2:7" x14ac:dyDescent="0.3">
      <c r="B84" s="1"/>
      <c r="C84" t="s">
        <v>368</v>
      </c>
      <c r="D84">
        <v>500</v>
      </c>
      <c r="E84" t="s">
        <v>141</v>
      </c>
    </row>
    <row r="85" spans="2:7" x14ac:dyDescent="0.3">
      <c r="B85" s="1"/>
      <c r="C85" t="s">
        <v>368</v>
      </c>
      <c r="D85">
        <v>500</v>
      </c>
      <c r="E85" t="s">
        <v>141</v>
      </c>
    </row>
    <row r="86" spans="2:7" x14ac:dyDescent="0.3">
      <c r="B86" s="62"/>
      <c r="C86" s="6" t="s">
        <v>369</v>
      </c>
      <c r="D86" s="6">
        <v>34200</v>
      </c>
    </row>
    <row r="87" spans="2:7" x14ac:dyDescent="0.3">
      <c r="B87" s="1">
        <v>45714</v>
      </c>
      <c r="C87" t="s">
        <v>415</v>
      </c>
      <c r="D87">
        <v>-35200</v>
      </c>
      <c r="E87" t="s">
        <v>141</v>
      </c>
    </row>
    <row r="88" spans="2:7" x14ac:dyDescent="0.3">
      <c r="B88" s="1">
        <v>45714</v>
      </c>
      <c r="C88" t="s">
        <v>417</v>
      </c>
      <c r="D88">
        <v>107000</v>
      </c>
    </row>
    <row r="89" spans="2:7" x14ac:dyDescent="0.3">
      <c r="B89" s="1">
        <v>45716</v>
      </c>
      <c r="C89" t="s">
        <v>423</v>
      </c>
      <c r="D89">
        <v>-85600</v>
      </c>
    </row>
    <row r="90" spans="2:7" x14ac:dyDescent="0.3">
      <c r="B90" s="1">
        <v>45734</v>
      </c>
      <c r="C90" s="110" t="s">
        <v>437</v>
      </c>
      <c r="D90" s="109">
        <v>-20000</v>
      </c>
    </row>
    <row r="91" spans="2:7" x14ac:dyDescent="0.3">
      <c r="B91" s="1">
        <v>45764</v>
      </c>
      <c r="C91" s="108" t="s">
        <v>438</v>
      </c>
      <c r="D91" s="109">
        <v>39000</v>
      </c>
    </row>
    <row r="92" spans="2:7" x14ac:dyDescent="0.3">
      <c r="B92" s="1">
        <v>45764</v>
      </c>
      <c r="C92" s="108" t="s">
        <v>439</v>
      </c>
      <c r="D92" s="109">
        <v>-19000</v>
      </c>
    </row>
    <row r="93" spans="2:7" x14ac:dyDescent="0.3">
      <c r="B93" s="1">
        <v>45764</v>
      </c>
      <c r="C93" s="110" t="s">
        <v>437</v>
      </c>
      <c r="D93" s="109">
        <v>-20000</v>
      </c>
    </row>
    <row r="94" spans="2:7" x14ac:dyDescent="0.3">
      <c r="B94" s="1"/>
      <c r="C94" s="110"/>
      <c r="D94" s="4"/>
    </row>
    <row r="95" spans="2:7" x14ac:dyDescent="0.3">
      <c r="C95" s="3" t="s">
        <v>7</v>
      </c>
      <c r="D95" s="4">
        <f>SUM(D3:D93)</f>
        <v>1400.2099999999919</v>
      </c>
    </row>
    <row r="96" spans="2:7" x14ac:dyDescent="0.3">
      <c r="C96" s="3"/>
      <c r="D96" s="4"/>
    </row>
    <row r="97" spans="2:4" x14ac:dyDescent="0.3">
      <c r="C97" s="3"/>
      <c r="D97" s="4"/>
    </row>
    <row r="98" spans="2:4" x14ac:dyDescent="0.3">
      <c r="C98" s="3"/>
      <c r="D98" s="4"/>
    </row>
    <row r="99" spans="2:4" x14ac:dyDescent="0.3">
      <c r="C99" s="3"/>
      <c r="D99" s="4"/>
    </row>
    <row r="100" spans="2:4" x14ac:dyDescent="0.3">
      <c r="C100" s="64" t="s">
        <v>48</v>
      </c>
      <c r="D100" s="63"/>
    </row>
    <row r="101" spans="2:4" x14ac:dyDescent="0.3">
      <c r="B101" s="63"/>
      <c r="C101" s="63" t="s">
        <v>49</v>
      </c>
      <c r="D101" s="63">
        <v>2240</v>
      </c>
    </row>
    <row r="102" spans="2:4" x14ac:dyDescent="0.3">
      <c r="B102" s="65">
        <v>45610</v>
      </c>
      <c r="C102" s="63" t="s">
        <v>50</v>
      </c>
      <c r="D102" s="63">
        <v>71250</v>
      </c>
    </row>
    <row r="103" spans="2:4" x14ac:dyDescent="0.3">
      <c r="B103" s="65">
        <v>45610</v>
      </c>
      <c r="C103" s="63" t="s">
        <v>57</v>
      </c>
      <c r="D103" s="63">
        <v>-71250</v>
      </c>
    </row>
    <row r="104" spans="2:4" x14ac:dyDescent="0.3">
      <c r="B104" s="65">
        <v>45610</v>
      </c>
      <c r="C104" s="63" t="s">
        <v>51</v>
      </c>
      <c r="D104" s="63">
        <v>35000</v>
      </c>
    </row>
    <row r="105" spans="2:4" x14ac:dyDescent="0.3">
      <c r="B105" s="65">
        <v>45611</v>
      </c>
      <c r="C105" s="63" t="s">
        <v>52</v>
      </c>
      <c r="D105" s="63">
        <v>-32200</v>
      </c>
    </row>
    <row r="106" spans="2:4" x14ac:dyDescent="0.3">
      <c r="B106" s="65">
        <v>45612</v>
      </c>
      <c r="C106" s="63" t="s">
        <v>53</v>
      </c>
      <c r="D106" s="63">
        <v>-600</v>
      </c>
    </row>
    <row r="107" spans="2:4" x14ac:dyDescent="0.3">
      <c r="B107" s="65">
        <v>45612</v>
      </c>
      <c r="C107" s="63" t="s">
        <v>59</v>
      </c>
      <c r="D107" s="63">
        <v>2500</v>
      </c>
    </row>
    <row r="108" spans="2:4" x14ac:dyDescent="0.3">
      <c r="B108" s="65">
        <v>45614</v>
      </c>
      <c r="C108" s="63" t="s">
        <v>60</v>
      </c>
      <c r="D108" s="63">
        <v>-1605</v>
      </c>
    </row>
    <row r="109" spans="2:4" x14ac:dyDescent="0.3">
      <c r="B109" s="65">
        <v>45614</v>
      </c>
      <c r="C109" s="63" t="s">
        <v>69</v>
      </c>
      <c r="D109" s="63">
        <v>82500</v>
      </c>
    </row>
    <row r="110" spans="2:4" x14ac:dyDescent="0.3">
      <c r="B110" s="65">
        <v>45614</v>
      </c>
      <c r="C110" s="63" t="s">
        <v>70</v>
      </c>
      <c r="D110" s="63">
        <v>29000</v>
      </c>
    </row>
    <row r="111" spans="2:4" x14ac:dyDescent="0.3">
      <c r="B111" s="65">
        <v>45615</v>
      </c>
      <c r="C111" s="63" t="s">
        <v>71</v>
      </c>
      <c r="D111" s="63">
        <v>-100</v>
      </c>
    </row>
    <row r="112" spans="2:4" x14ac:dyDescent="0.3">
      <c r="B112" s="65">
        <v>45615</v>
      </c>
      <c r="C112" s="63" t="s">
        <v>73</v>
      </c>
      <c r="D112" s="63">
        <v>-200</v>
      </c>
    </row>
    <row r="113" spans="2:4" x14ac:dyDescent="0.3">
      <c r="B113" s="65">
        <v>45615</v>
      </c>
      <c r="C113" s="63" t="s">
        <v>74</v>
      </c>
      <c r="D113" s="63">
        <v>1560</v>
      </c>
    </row>
    <row r="114" spans="2:4" x14ac:dyDescent="0.3">
      <c r="B114" s="65">
        <v>45615</v>
      </c>
      <c r="C114" s="63" t="s">
        <v>75</v>
      </c>
      <c r="D114" s="63">
        <v>-11020</v>
      </c>
    </row>
    <row r="115" spans="2:4" x14ac:dyDescent="0.3">
      <c r="B115" s="65">
        <v>45615</v>
      </c>
      <c r="C115" s="63" t="s">
        <v>76</v>
      </c>
      <c r="D115" s="63">
        <v>8210</v>
      </c>
    </row>
    <row r="116" spans="2:4" x14ac:dyDescent="0.3">
      <c r="B116" s="65">
        <v>45615</v>
      </c>
      <c r="C116" s="63" t="s">
        <v>2</v>
      </c>
      <c r="D116" s="63">
        <v>-100000</v>
      </c>
    </row>
    <row r="117" spans="2:4" x14ac:dyDescent="0.3">
      <c r="B117" s="65">
        <v>45616</v>
      </c>
      <c r="C117" s="63" t="s">
        <v>87</v>
      </c>
      <c r="D117" s="63">
        <v>7300</v>
      </c>
    </row>
    <row r="118" spans="2:4" x14ac:dyDescent="0.3">
      <c r="B118" s="65">
        <v>45616</v>
      </c>
      <c r="C118" s="63" t="s">
        <v>86</v>
      </c>
      <c r="D118" s="63">
        <v>-52.5</v>
      </c>
    </row>
    <row r="119" spans="2:4" x14ac:dyDescent="0.3">
      <c r="B119" s="65">
        <v>45617</v>
      </c>
      <c r="C119" s="63" t="s">
        <v>2</v>
      </c>
      <c r="D119" s="63">
        <v>-21500</v>
      </c>
    </row>
    <row r="120" spans="2:4" x14ac:dyDescent="0.3">
      <c r="B120" s="65">
        <v>45617</v>
      </c>
      <c r="C120" s="63" t="s">
        <v>89</v>
      </c>
      <c r="D120" s="63">
        <v>-27320</v>
      </c>
    </row>
    <row r="121" spans="2:4" x14ac:dyDescent="0.3">
      <c r="B121" s="65">
        <v>45617</v>
      </c>
      <c r="C121" s="63" t="s">
        <v>90</v>
      </c>
      <c r="D121" s="63">
        <v>-25</v>
      </c>
    </row>
    <row r="122" spans="2:4" x14ac:dyDescent="0.3">
      <c r="B122" s="65">
        <v>45617</v>
      </c>
      <c r="C122" s="63" t="s">
        <v>91</v>
      </c>
      <c r="D122" s="63">
        <v>-5000</v>
      </c>
    </row>
    <row r="123" spans="2:4" x14ac:dyDescent="0.3">
      <c r="B123" s="65">
        <v>45617</v>
      </c>
      <c r="C123" s="63" t="s">
        <v>92</v>
      </c>
      <c r="D123" s="63">
        <v>-70</v>
      </c>
    </row>
    <row r="124" spans="2:4" x14ac:dyDescent="0.3">
      <c r="B124" s="65">
        <v>45617</v>
      </c>
      <c r="C124" s="63" t="s">
        <v>93</v>
      </c>
      <c r="D124" s="63">
        <v>102010</v>
      </c>
    </row>
    <row r="125" spans="2:4" x14ac:dyDescent="0.3">
      <c r="B125" s="65">
        <v>45617</v>
      </c>
      <c r="C125" s="63" t="s">
        <v>94</v>
      </c>
      <c r="D125" s="63">
        <v>44370</v>
      </c>
    </row>
    <row r="126" spans="2:4" x14ac:dyDescent="0.3">
      <c r="B126" s="65">
        <v>45617</v>
      </c>
      <c r="C126" s="63" t="s">
        <v>95</v>
      </c>
      <c r="D126" s="63">
        <v>1650</v>
      </c>
    </row>
    <row r="127" spans="2:4" x14ac:dyDescent="0.3">
      <c r="B127" s="65">
        <v>45618</v>
      </c>
      <c r="C127" s="63" t="s">
        <v>87</v>
      </c>
      <c r="D127" s="63">
        <v>10185</v>
      </c>
    </row>
    <row r="128" spans="2:4" x14ac:dyDescent="0.3">
      <c r="B128" s="65">
        <v>45618</v>
      </c>
      <c r="C128" s="63" t="s">
        <v>96</v>
      </c>
      <c r="D128" s="63">
        <v>-20</v>
      </c>
    </row>
    <row r="129" spans="2:4" x14ac:dyDescent="0.3">
      <c r="B129" s="65">
        <v>45618</v>
      </c>
      <c r="C129" s="63" t="s">
        <v>87</v>
      </c>
      <c r="D129" s="63">
        <v>29000</v>
      </c>
    </row>
    <row r="130" spans="2:4" x14ac:dyDescent="0.3">
      <c r="B130" s="65">
        <v>45618</v>
      </c>
      <c r="C130" s="63" t="s">
        <v>97</v>
      </c>
      <c r="D130" s="63">
        <v>-60000</v>
      </c>
    </row>
    <row r="131" spans="2:4" x14ac:dyDescent="0.3">
      <c r="B131" s="65">
        <v>45618</v>
      </c>
      <c r="C131" s="63" t="s">
        <v>98</v>
      </c>
      <c r="D131" s="63">
        <v>-55</v>
      </c>
    </row>
    <row r="132" spans="2:4" x14ac:dyDescent="0.3">
      <c r="B132" s="65">
        <v>45618</v>
      </c>
      <c r="C132" s="63" t="s">
        <v>99</v>
      </c>
      <c r="D132" s="63">
        <v>-80</v>
      </c>
    </row>
    <row r="133" spans="2:4" x14ac:dyDescent="0.3">
      <c r="B133" s="65">
        <v>45618</v>
      </c>
      <c r="C133" s="63" t="s">
        <v>100</v>
      </c>
      <c r="D133" s="63">
        <v>3000</v>
      </c>
    </row>
    <row r="134" spans="2:4" x14ac:dyDescent="0.3">
      <c r="B134" s="65">
        <v>45618</v>
      </c>
      <c r="C134" s="63" t="s">
        <v>102</v>
      </c>
      <c r="D134" s="63">
        <f>1460*2</f>
        <v>2920</v>
      </c>
    </row>
    <row r="135" spans="2:4" x14ac:dyDescent="0.3">
      <c r="B135" s="65">
        <v>45621</v>
      </c>
      <c r="C135" s="63" t="s">
        <v>103</v>
      </c>
      <c r="D135" s="63">
        <f>32*345</f>
        <v>11040</v>
      </c>
    </row>
    <row r="136" spans="2:4" x14ac:dyDescent="0.3">
      <c r="B136" s="65">
        <v>45621</v>
      </c>
      <c r="C136" s="63" t="s">
        <v>2</v>
      </c>
      <c r="D136" s="63">
        <v>-88700</v>
      </c>
    </row>
    <row r="137" spans="2:4" x14ac:dyDescent="0.3">
      <c r="B137" s="65">
        <v>45621</v>
      </c>
      <c r="C137" s="63" t="s">
        <v>104</v>
      </c>
      <c r="D137" s="63">
        <v>80000</v>
      </c>
    </row>
    <row r="138" spans="2:4" x14ac:dyDescent="0.3">
      <c r="B138" s="65">
        <v>45621</v>
      </c>
      <c r="C138" s="63" t="s">
        <v>105</v>
      </c>
      <c r="D138" s="63">
        <v>18600</v>
      </c>
    </row>
    <row r="139" spans="2:4" x14ac:dyDescent="0.3">
      <c r="B139" s="65">
        <v>45621</v>
      </c>
      <c r="C139" s="63" t="s">
        <v>105</v>
      </c>
      <c r="D139" s="63">
        <v>25335</v>
      </c>
    </row>
    <row r="140" spans="2:4" x14ac:dyDescent="0.3">
      <c r="B140" s="65">
        <v>45621</v>
      </c>
      <c r="C140" s="63" t="s">
        <v>106</v>
      </c>
      <c r="D140" s="63">
        <v>-1800</v>
      </c>
    </row>
    <row r="141" spans="2:4" x14ac:dyDescent="0.3">
      <c r="B141" s="65">
        <v>45621</v>
      </c>
      <c r="C141" s="63" t="s">
        <v>107</v>
      </c>
      <c r="D141" s="63">
        <v>-100</v>
      </c>
    </row>
    <row r="142" spans="2:4" x14ac:dyDescent="0.3">
      <c r="B142" s="65">
        <v>45621</v>
      </c>
      <c r="C142" s="63" t="s">
        <v>96</v>
      </c>
      <c r="D142" s="63">
        <v>-85</v>
      </c>
    </row>
    <row r="143" spans="2:4" x14ac:dyDescent="0.3">
      <c r="B143" s="65">
        <v>45621</v>
      </c>
      <c r="C143" s="63" t="s">
        <v>73</v>
      </c>
      <c r="D143" s="63">
        <v>-200</v>
      </c>
    </row>
    <row r="144" spans="2:4" x14ac:dyDescent="0.3">
      <c r="B144" s="65">
        <v>45621</v>
      </c>
      <c r="C144" s="63" t="s">
        <v>118</v>
      </c>
      <c r="D144" s="63">
        <v>-350</v>
      </c>
    </row>
    <row r="145" spans="2:4" x14ac:dyDescent="0.3">
      <c r="B145" s="65">
        <v>45621</v>
      </c>
      <c r="C145" s="63" t="s">
        <v>119</v>
      </c>
      <c r="D145" s="63">
        <v>16000</v>
      </c>
    </row>
    <row r="146" spans="2:4" x14ac:dyDescent="0.3">
      <c r="B146" s="65">
        <v>45621</v>
      </c>
      <c r="C146" s="63" t="s">
        <v>2</v>
      </c>
      <c r="D146" s="63">
        <v>-120500</v>
      </c>
    </row>
    <row r="147" spans="2:4" x14ac:dyDescent="0.3">
      <c r="B147" s="65">
        <v>45622</v>
      </c>
      <c r="C147" s="63" t="s">
        <v>120</v>
      </c>
      <c r="D147" s="63">
        <v>-24500</v>
      </c>
    </row>
    <row r="148" spans="2:4" x14ac:dyDescent="0.3">
      <c r="B148" s="65">
        <v>45622</v>
      </c>
      <c r="C148" s="63" t="s">
        <v>121</v>
      </c>
      <c r="D148" s="63">
        <f>12*1585</f>
        <v>19020</v>
      </c>
    </row>
    <row r="149" spans="2:4" x14ac:dyDescent="0.3">
      <c r="B149" s="65">
        <v>45623</v>
      </c>
      <c r="C149" s="63" t="s">
        <v>92</v>
      </c>
      <c r="D149" s="63">
        <v>-10</v>
      </c>
    </row>
    <row r="150" spans="2:4" x14ac:dyDescent="0.3">
      <c r="B150" s="65">
        <v>45623</v>
      </c>
      <c r="C150" s="63" t="s">
        <v>118</v>
      </c>
      <c r="D150" s="63">
        <v>-2000</v>
      </c>
    </row>
    <row r="151" spans="2:4" x14ac:dyDescent="0.3">
      <c r="B151" s="65">
        <v>45623</v>
      </c>
      <c r="C151" s="63" t="s">
        <v>122</v>
      </c>
      <c r="D151" s="63">
        <f>15*1560</f>
        <v>23400</v>
      </c>
    </row>
    <row r="152" spans="2:4" x14ac:dyDescent="0.3">
      <c r="B152" s="65">
        <v>45623</v>
      </c>
      <c r="C152" s="63" t="s">
        <v>94</v>
      </c>
      <c r="D152" s="63">
        <v>20000</v>
      </c>
    </row>
    <row r="153" spans="2:4" x14ac:dyDescent="0.3">
      <c r="B153" s="65">
        <v>45624</v>
      </c>
      <c r="C153" s="63" t="s">
        <v>123</v>
      </c>
      <c r="D153" s="63">
        <v>-20000</v>
      </c>
    </row>
    <row r="154" spans="2:4" x14ac:dyDescent="0.3">
      <c r="B154" s="65">
        <v>45624</v>
      </c>
      <c r="C154" s="63" t="s">
        <v>102</v>
      </c>
      <c r="D154" s="63">
        <v>1490</v>
      </c>
    </row>
    <row r="155" spans="2:4" x14ac:dyDescent="0.3">
      <c r="B155" s="65">
        <v>45624</v>
      </c>
      <c r="C155" s="63" t="s">
        <v>102</v>
      </c>
      <c r="D155" s="63">
        <f>15*1490</f>
        <v>22350</v>
      </c>
    </row>
    <row r="156" spans="2:4" x14ac:dyDescent="0.3">
      <c r="B156" s="65">
        <v>45624</v>
      </c>
      <c r="C156" s="63" t="s">
        <v>133</v>
      </c>
      <c r="D156" s="63">
        <v>12570</v>
      </c>
    </row>
    <row r="157" spans="2:4" x14ac:dyDescent="0.3">
      <c r="B157" s="65">
        <v>45624</v>
      </c>
      <c r="C157" s="63" t="s">
        <v>134</v>
      </c>
      <c r="D157" s="63">
        <f>15*1530</f>
        <v>22950</v>
      </c>
    </row>
    <row r="158" spans="2:4" x14ac:dyDescent="0.3">
      <c r="B158" s="65">
        <v>45624</v>
      </c>
      <c r="C158" s="63" t="s">
        <v>102</v>
      </c>
      <c r="D158" s="63">
        <f>10*1490</f>
        <v>14900</v>
      </c>
    </row>
    <row r="159" spans="2:4" x14ac:dyDescent="0.3">
      <c r="B159" s="65">
        <v>45624</v>
      </c>
      <c r="C159" s="63" t="s">
        <v>135</v>
      </c>
      <c r="D159" s="63">
        <v>-120000</v>
      </c>
    </row>
    <row r="160" spans="2:4" x14ac:dyDescent="0.3">
      <c r="B160" s="65">
        <v>45624</v>
      </c>
      <c r="C160" s="63" t="s">
        <v>136</v>
      </c>
      <c r="D160" s="63">
        <f>50*1530</f>
        <v>76500</v>
      </c>
    </row>
    <row r="161" spans="1:4" x14ac:dyDescent="0.3">
      <c r="B161" s="65">
        <v>45625</v>
      </c>
      <c r="C161" s="63" t="s">
        <v>137</v>
      </c>
      <c r="D161" s="63">
        <v>21230</v>
      </c>
    </row>
    <row r="162" spans="1:4" x14ac:dyDescent="0.3">
      <c r="B162" s="65">
        <v>45625</v>
      </c>
      <c r="C162" s="63" t="s">
        <v>134</v>
      </c>
      <c r="D162" s="63">
        <f>1530*10</f>
        <v>15300</v>
      </c>
    </row>
    <row r="163" spans="1:4" x14ac:dyDescent="0.3">
      <c r="B163" s="65">
        <v>45626</v>
      </c>
      <c r="C163" s="63" t="s">
        <v>140</v>
      </c>
      <c r="D163" s="63">
        <v>-280</v>
      </c>
    </row>
    <row r="164" spans="1:4" x14ac:dyDescent="0.3">
      <c r="B164" s="65">
        <v>45626</v>
      </c>
      <c r="C164" s="63" t="s">
        <v>164</v>
      </c>
      <c r="D164" s="63">
        <v>-115000</v>
      </c>
    </row>
    <row r="165" spans="1:4" x14ac:dyDescent="0.3">
      <c r="B165" s="65">
        <v>45626</v>
      </c>
    </row>
    <row r="166" spans="1:4" x14ac:dyDescent="0.3">
      <c r="B166" s="1"/>
    </row>
    <row r="167" spans="1:4" x14ac:dyDescent="0.3">
      <c r="B167" s="1"/>
    </row>
    <row r="168" spans="1:4" x14ac:dyDescent="0.3">
      <c r="B168" s="1"/>
      <c r="C168" s="3" t="s">
        <v>7</v>
      </c>
      <c r="D168" s="3">
        <f>SUM(D101:D164)</f>
        <v>8757.5</v>
      </c>
    </row>
    <row r="169" spans="1:4" x14ac:dyDescent="0.3">
      <c r="C169" s="3"/>
      <c r="D169" s="3"/>
    </row>
    <row r="170" spans="1:4" x14ac:dyDescent="0.3">
      <c r="A170" t="s">
        <v>58</v>
      </c>
      <c r="C170" s="3"/>
      <c r="D170" s="3"/>
    </row>
    <row r="171" spans="1:4" x14ac:dyDescent="0.3">
      <c r="A171" t="s">
        <v>58</v>
      </c>
      <c r="C171" s="3"/>
      <c r="D171" s="3"/>
    </row>
    <row r="174" spans="1:4" x14ac:dyDescent="0.3">
      <c r="C174" s="3" t="s">
        <v>54</v>
      </c>
      <c r="D174" s="4"/>
    </row>
    <row r="175" spans="1:4" x14ac:dyDescent="0.3">
      <c r="B175" s="1">
        <v>45591</v>
      </c>
      <c r="C175" s="3" t="s">
        <v>55</v>
      </c>
    </row>
    <row r="176" spans="1:4" x14ac:dyDescent="0.3">
      <c r="B176" s="1">
        <v>45591</v>
      </c>
    </row>
    <row r="178" spans="2:10" x14ac:dyDescent="0.3">
      <c r="B178" s="1"/>
    </row>
    <row r="179" spans="2:10" x14ac:dyDescent="0.3">
      <c r="B179" s="1"/>
    </row>
    <row r="180" spans="2:10" x14ac:dyDescent="0.3">
      <c r="B180" s="1"/>
      <c r="D180" s="19"/>
    </row>
    <row r="181" spans="2:10" x14ac:dyDescent="0.3">
      <c r="B181" s="1"/>
    </row>
    <row r="182" spans="2:10" x14ac:dyDescent="0.3">
      <c r="B182" s="1"/>
    </row>
    <row r="183" spans="2:10" x14ac:dyDescent="0.3">
      <c r="B183" s="1"/>
    </row>
    <row r="184" spans="2:10" x14ac:dyDescent="0.3">
      <c r="B184" s="1"/>
    </row>
    <row r="185" spans="2:10" x14ac:dyDescent="0.3">
      <c r="B185" s="1"/>
    </row>
    <row r="186" spans="2:10" x14ac:dyDescent="0.3">
      <c r="B186" s="1"/>
    </row>
    <row r="187" spans="2:10" x14ac:dyDescent="0.3">
      <c r="B187" s="1"/>
      <c r="C187" t="s">
        <v>29</v>
      </c>
      <c r="D187" s="5">
        <f>SUM(D177:D186)</f>
        <v>0</v>
      </c>
    </row>
    <row r="189" spans="2:10" x14ac:dyDescent="0.3">
      <c r="E189" t="s">
        <v>296</v>
      </c>
      <c r="I189" t="s">
        <v>302</v>
      </c>
    </row>
    <row r="190" spans="2:10" x14ac:dyDescent="0.3">
      <c r="E190">
        <v>360</v>
      </c>
      <c r="F190">
        <f>D194*E190</f>
        <v>21600</v>
      </c>
      <c r="G190">
        <v>3.6739999999999999</v>
      </c>
      <c r="H190">
        <f>E190*G190</f>
        <v>1322.6399999999999</v>
      </c>
      <c r="I190">
        <v>7.11</v>
      </c>
      <c r="J190">
        <f>H190+I190</f>
        <v>1329.7499999999998</v>
      </c>
    </row>
    <row r="191" spans="2:10" x14ac:dyDescent="0.3">
      <c r="E191">
        <v>90</v>
      </c>
      <c r="F191">
        <f>D195*E191</f>
        <v>14850</v>
      </c>
      <c r="G191">
        <v>3.6739999999999999</v>
      </c>
      <c r="H191">
        <f>E191*G191</f>
        <v>330.65999999999997</v>
      </c>
      <c r="I191">
        <v>7.11</v>
      </c>
      <c r="J191">
        <f>H191+I191</f>
        <v>337.77</v>
      </c>
    </row>
    <row r="194" spans="3:6" x14ac:dyDescent="0.3">
      <c r="C194" t="s">
        <v>294</v>
      </c>
      <c r="D194">
        <v>60</v>
      </c>
      <c r="E194">
        <v>270</v>
      </c>
    </row>
    <row r="195" spans="3:6" x14ac:dyDescent="0.3">
      <c r="C195" t="s">
        <v>295</v>
      </c>
      <c r="D195">
        <v>165</v>
      </c>
      <c r="E195">
        <v>110</v>
      </c>
    </row>
    <row r="196" spans="3:6" x14ac:dyDescent="0.3">
      <c r="D196" s="53">
        <f>SUM(D194:D195)</f>
        <v>225</v>
      </c>
      <c r="E196">
        <v>400</v>
      </c>
    </row>
    <row r="197" spans="3:6" x14ac:dyDescent="0.3">
      <c r="E197">
        <v>820</v>
      </c>
    </row>
    <row r="198" spans="3:6" x14ac:dyDescent="0.3">
      <c r="C198" t="s">
        <v>297</v>
      </c>
    </row>
    <row r="199" spans="3:6" x14ac:dyDescent="0.3">
      <c r="C199" t="s">
        <v>298</v>
      </c>
      <c r="E199" s="53">
        <f>SUM(E194:E198)</f>
        <v>1600</v>
      </c>
      <c r="F199">
        <f>E199/225</f>
        <v>7.1111111111111107</v>
      </c>
    </row>
    <row r="200" spans="3:6" x14ac:dyDescent="0.3">
      <c r="C200" t="s">
        <v>299</v>
      </c>
      <c r="E200">
        <v>1220</v>
      </c>
    </row>
    <row r="201" spans="3:6" x14ac:dyDescent="0.3">
      <c r="C201" t="s">
        <v>300</v>
      </c>
    </row>
    <row r="204" spans="3:6" x14ac:dyDescent="0.3">
      <c r="C204" t="s">
        <v>301</v>
      </c>
    </row>
    <row r="350" spans="5:6" x14ac:dyDescent="0.3">
      <c r="E350" s="48"/>
      <c r="F350" s="48"/>
    </row>
    <row r="351" spans="5:6" x14ac:dyDescent="0.3">
      <c r="E351" s="48"/>
      <c r="F351" s="48">
        <v>30500</v>
      </c>
    </row>
    <row r="352" spans="5:6" x14ac:dyDescent="0.3">
      <c r="E352" s="48"/>
      <c r="F352" s="48">
        <v>-500</v>
      </c>
    </row>
    <row r="353" spans="2:6" x14ac:dyDescent="0.3">
      <c r="E353" s="48"/>
      <c r="F353" s="48">
        <v>-500</v>
      </c>
    </row>
    <row r="354" spans="2:6" x14ac:dyDescent="0.3">
      <c r="C354" s="47" t="s">
        <v>169</v>
      </c>
      <c r="D354" s="48"/>
      <c r="E354" s="48"/>
      <c r="F354" s="48">
        <v>13500</v>
      </c>
    </row>
    <row r="355" spans="2:6" x14ac:dyDescent="0.3">
      <c r="B355" s="23"/>
      <c r="C355" s="25" t="s">
        <v>112</v>
      </c>
      <c r="D355" s="48"/>
      <c r="E355" s="48"/>
      <c r="F355" s="48">
        <v>100000</v>
      </c>
    </row>
    <row r="356" spans="2:6" x14ac:dyDescent="0.3">
      <c r="B356" s="23">
        <v>45621</v>
      </c>
      <c r="C356" s="25" t="s">
        <v>161</v>
      </c>
      <c r="D356" s="48"/>
      <c r="E356" s="48"/>
      <c r="F356" s="48">
        <v>50000</v>
      </c>
    </row>
    <row r="357" spans="2:6" x14ac:dyDescent="0.3">
      <c r="B357" s="23">
        <v>45622</v>
      </c>
      <c r="C357" s="25" t="s">
        <v>161</v>
      </c>
      <c r="D357" s="48"/>
      <c r="E357" s="48"/>
      <c r="F357" s="48">
        <v>-160000</v>
      </c>
    </row>
    <row r="358" spans="2:6" x14ac:dyDescent="0.3">
      <c r="B358" s="23">
        <v>45629</v>
      </c>
      <c r="C358" s="25" t="s">
        <v>162</v>
      </c>
      <c r="D358" s="48"/>
      <c r="E358" s="48"/>
      <c r="F358" s="48">
        <v>6000</v>
      </c>
    </row>
    <row r="359" spans="2:6" x14ac:dyDescent="0.3">
      <c r="B359" s="23">
        <v>45630</v>
      </c>
      <c r="C359" s="25" t="s">
        <v>180</v>
      </c>
      <c r="D359" s="48"/>
      <c r="E359" s="48"/>
      <c r="F359" s="48">
        <v>-400</v>
      </c>
    </row>
    <row r="360" spans="2:6" x14ac:dyDescent="0.3">
      <c r="B360" s="23">
        <v>45637</v>
      </c>
      <c r="C360" s="25" t="s">
        <v>180</v>
      </c>
      <c r="D360" s="48"/>
      <c r="E360" s="48"/>
      <c r="F360" s="48">
        <v>1000000</v>
      </c>
    </row>
    <row r="361" spans="2:6" x14ac:dyDescent="0.3">
      <c r="B361" s="23">
        <v>45638</v>
      </c>
      <c r="C361" s="25" t="s">
        <v>217</v>
      </c>
      <c r="D361" s="48"/>
      <c r="E361" s="48"/>
      <c r="F361" s="48">
        <v>114000</v>
      </c>
    </row>
    <row r="362" spans="2:6" x14ac:dyDescent="0.3">
      <c r="B362" s="23">
        <v>45639</v>
      </c>
      <c r="C362" s="25" t="s">
        <v>227</v>
      </c>
      <c r="D362" s="48"/>
      <c r="E362" s="48"/>
      <c r="F362" s="48">
        <v>-114000</v>
      </c>
    </row>
    <row r="363" spans="2:6" x14ac:dyDescent="0.3">
      <c r="B363" s="23">
        <v>45647</v>
      </c>
      <c r="C363" s="25" t="s">
        <v>228</v>
      </c>
      <c r="D363" s="48"/>
      <c r="E363" s="48"/>
      <c r="F363" s="48">
        <v>-1035000</v>
      </c>
    </row>
    <row r="364" spans="2:6" x14ac:dyDescent="0.3">
      <c r="B364" s="23">
        <v>45647</v>
      </c>
      <c r="C364" s="25" t="s">
        <v>233</v>
      </c>
      <c r="D364" s="48"/>
      <c r="E364" s="48"/>
      <c r="F364" s="48">
        <v>100000</v>
      </c>
    </row>
    <row r="365" spans="2:6" x14ac:dyDescent="0.3">
      <c r="B365" s="23">
        <v>45649</v>
      </c>
      <c r="C365" s="25" t="s">
        <v>234</v>
      </c>
      <c r="D365" s="48"/>
      <c r="E365" s="48"/>
      <c r="F365" s="48">
        <v>-63800</v>
      </c>
    </row>
    <row r="366" spans="2:6" x14ac:dyDescent="0.3">
      <c r="B366" s="23">
        <v>45649</v>
      </c>
      <c r="C366" s="25" t="s">
        <v>235</v>
      </c>
      <c r="D366" s="48"/>
      <c r="E366" s="48"/>
      <c r="F366" s="48">
        <v>-40000</v>
      </c>
    </row>
    <row r="367" spans="2:6" x14ac:dyDescent="0.3">
      <c r="B367" s="23">
        <v>45649</v>
      </c>
      <c r="C367" s="25" t="s">
        <v>236</v>
      </c>
      <c r="D367" s="48"/>
      <c r="E367" s="48"/>
      <c r="F367" s="48">
        <v>372000</v>
      </c>
    </row>
    <row r="368" spans="2:6" x14ac:dyDescent="0.3">
      <c r="B368" s="23">
        <v>45649</v>
      </c>
      <c r="C368" s="25" t="s">
        <v>238</v>
      </c>
      <c r="D368" s="48"/>
      <c r="E368" s="48"/>
      <c r="F368" s="48">
        <v>-352000</v>
      </c>
    </row>
    <row r="369" spans="2:7" x14ac:dyDescent="0.3">
      <c r="B369" s="23">
        <v>45650</v>
      </c>
      <c r="C369" s="25" t="s">
        <v>249</v>
      </c>
      <c r="D369" s="48"/>
      <c r="E369" s="48"/>
      <c r="F369" s="48">
        <v>104000</v>
      </c>
    </row>
    <row r="370" spans="2:7" ht="28.8" x14ac:dyDescent="0.3">
      <c r="B370" s="23">
        <v>45652</v>
      </c>
      <c r="C370" s="25" t="s">
        <v>251</v>
      </c>
      <c r="D370" s="48"/>
      <c r="E370" s="48"/>
      <c r="F370" s="48">
        <v>-1000</v>
      </c>
    </row>
    <row r="371" spans="2:7" x14ac:dyDescent="0.3">
      <c r="B371" s="23">
        <v>45654</v>
      </c>
      <c r="C371" s="25" t="s">
        <v>255</v>
      </c>
      <c r="D371" s="48"/>
      <c r="E371" s="48"/>
      <c r="F371" s="48">
        <v>60000</v>
      </c>
    </row>
    <row r="372" spans="2:7" x14ac:dyDescent="0.3">
      <c r="B372" s="23">
        <v>45656</v>
      </c>
      <c r="C372" s="25" t="s">
        <v>256</v>
      </c>
      <c r="D372" s="48"/>
      <c r="E372" s="48"/>
      <c r="F372" s="48">
        <v>-60000</v>
      </c>
    </row>
    <row r="373" spans="2:7" x14ac:dyDescent="0.3">
      <c r="B373" s="23">
        <v>45656</v>
      </c>
      <c r="C373" s="25" t="s">
        <v>258</v>
      </c>
      <c r="D373" s="48"/>
      <c r="E373" s="48"/>
      <c r="F373" s="48">
        <v>-40000</v>
      </c>
    </row>
    <row r="374" spans="2:7" x14ac:dyDescent="0.3">
      <c r="B374" s="23">
        <v>45656</v>
      </c>
      <c r="C374" s="25" t="s">
        <v>259</v>
      </c>
      <c r="D374" s="48"/>
      <c r="E374" s="48"/>
      <c r="F374" s="48">
        <v>-30000</v>
      </c>
    </row>
    <row r="375" spans="2:7" x14ac:dyDescent="0.3">
      <c r="B375" s="23">
        <v>45656</v>
      </c>
      <c r="C375" s="25" t="s">
        <v>266</v>
      </c>
      <c r="D375" s="48"/>
      <c r="E375" s="48"/>
      <c r="F375" s="48">
        <v>-52800</v>
      </c>
    </row>
    <row r="376" spans="2:7" x14ac:dyDescent="0.3">
      <c r="B376" s="23">
        <v>45658</v>
      </c>
      <c r="C376" s="25" t="s">
        <v>267</v>
      </c>
      <c r="D376" s="48"/>
      <c r="E376" s="48"/>
      <c r="F376" s="48">
        <v>374000</v>
      </c>
    </row>
    <row r="377" spans="2:7" x14ac:dyDescent="0.3">
      <c r="B377" s="23">
        <v>45658</v>
      </c>
      <c r="C377" s="25" t="s">
        <v>268</v>
      </c>
      <c r="D377" s="48"/>
      <c r="E377" s="48"/>
      <c r="F377" s="48">
        <v>-374000</v>
      </c>
    </row>
    <row r="378" spans="2:7" x14ac:dyDescent="0.3">
      <c r="B378" s="23">
        <v>45659</v>
      </c>
      <c r="C378" s="25" t="s">
        <v>269</v>
      </c>
      <c r="D378" s="48"/>
      <c r="E378" s="48"/>
      <c r="F378" s="48">
        <v>160000</v>
      </c>
    </row>
    <row r="379" spans="2:7" x14ac:dyDescent="0.3">
      <c r="B379" s="23">
        <v>45662</v>
      </c>
      <c r="C379" s="25" t="s">
        <v>350</v>
      </c>
      <c r="D379" s="48"/>
      <c r="E379" s="52"/>
      <c r="F379" s="52">
        <v>-500</v>
      </c>
      <c r="G379" t="s">
        <v>318</v>
      </c>
    </row>
    <row r="380" spans="2:7" x14ac:dyDescent="0.3">
      <c r="B380" s="23">
        <v>45663</v>
      </c>
      <c r="C380" s="25" t="s">
        <v>277</v>
      </c>
      <c r="D380" s="48"/>
      <c r="E380" s="48"/>
      <c r="F380" s="48">
        <v>-700</v>
      </c>
      <c r="G380" t="s">
        <v>184</v>
      </c>
    </row>
    <row r="381" spans="2:7" x14ac:dyDescent="0.3">
      <c r="B381" s="23">
        <v>45663</v>
      </c>
      <c r="C381" s="25" t="s">
        <v>278</v>
      </c>
      <c r="D381" s="48"/>
      <c r="E381" s="52"/>
      <c r="F381" s="52">
        <v>-1100</v>
      </c>
      <c r="G381" t="s">
        <v>318</v>
      </c>
    </row>
    <row r="382" spans="2:7" x14ac:dyDescent="0.3">
      <c r="B382" s="23">
        <v>45663</v>
      </c>
      <c r="C382" s="25" t="s">
        <v>317</v>
      </c>
      <c r="D382" s="48"/>
      <c r="E382" s="48"/>
      <c r="F382" s="48">
        <v>-1000</v>
      </c>
    </row>
    <row r="383" spans="2:7" x14ac:dyDescent="0.3">
      <c r="B383" s="23">
        <v>45665</v>
      </c>
      <c r="C383" s="51" t="s">
        <v>320</v>
      </c>
      <c r="D383" s="52"/>
      <c r="E383" s="48"/>
      <c r="F383" s="48">
        <v>23000</v>
      </c>
    </row>
    <row r="384" spans="2:7" x14ac:dyDescent="0.3">
      <c r="B384" s="23">
        <v>45665</v>
      </c>
      <c r="C384" s="25" t="s">
        <v>319</v>
      </c>
      <c r="D384" s="48"/>
      <c r="E384" s="52"/>
      <c r="F384" s="52">
        <v>-23000</v>
      </c>
      <c r="G384" t="s">
        <v>326</v>
      </c>
    </row>
    <row r="385" spans="2:6" x14ac:dyDescent="0.3">
      <c r="B385" s="23">
        <v>45665</v>
      </c>
      <c r="C385" s="51" t="s">
        <v>320</v>
      </c>
      <c r="D385" s="52"/>
      <c r="E385" s="48"/>
      <c r="F385" s="48">
        <v>25000</v>
      </c>
    </row>
    <row r="386" spans="2:6" x14ac:dyDescent="0.3">
      <c r="B386" s="23">
        <v>45666</v>
      </c>
      <c r="C386" s="25" t="s">
        <v>322</v>
      </c>
      <c r="D386" s="48"/>
      <c r="E386" s="48"/>
      <c r="F386" s="48">
        <v>78000</v>
      </c>
    </row>
    <row r="387" spans="2:6" x14ac:dyDescent="0.3">
      <c r="B387" s="23">
        <v>45667</v>
      </c>
      <c r="C387" s="25" t="s">
        <v>324</v>
      </c>
      <c r="D387" s="48"/>
      <c r="E387" s="48"/>
      <c r="F387" s="48">
        <v>-80000</v>
      </c>
    </row>
    <row r="388" spans="2:6" x14ac:dyDescent="0.3">
      <c r="B388" s="23">
        <v>45667</v>
      </c>
      <c r="C388" s="51" t="s">
        <v>325</v>
      </c>
      <c r="D388" s="52"/>
      <c r="E388" s="48"/>
      <c r="F388" s="48">
        <v>-84500</v>
      </c>
    </row>
    <row r="389" spans="2:6" x14ac:dyDescent="0.3">
      <c r="B389" s="50">
        <v>45667</v>
      </c>
      <c r="C389" s="25" t="s">
        <v>330</v>
      </c>
      <c r="D389" s="48"/>
      <c r="E389" s="48"/>
      <c r="F389" s="48">
        <v>-66000</v>
      </c>
    </row>
    <row r="390" spans="2:6" x14ac:dyDescent="0.3">
      <c r="B390" s="23">
        <v>45668</v>
      </c>
      <c r="C390" s="25" t="s">
        <v>331</v>
      </c>
      <c r="D390" s="48"/>
      <c r="E390" s="48"/>
      <c r="F390" s="48">
        <v>56000</v>
      </c>
    </row>
    <row r="391" spans="2:6" x14ac:dyDescent="0.3">
      <c r="B391" s="23">
        <v>45668</v>
      </c>
      <c r="C391" s="25" t="s">
        <v>332</v>
      </c>
      <c r="D391" s="48"/>
      <c r="E391" s="48"/>
      <c r="F391" s="48">
        <v>-56000</v>
      </c>
    </row>
    <row r="392" spans="2:6" x14ac:dyDescent="0.3">
      <c r="B392" s="23">
        <v>45670</v>
      </c>
      <c r="C392" s="25" t="s">
        <v>349</v>
      </c>
      <c r="D392" s="48"/>
      <c r="E392" s="48"/>
      <c r="F392" s="48">
        <v>-30000</v>
      </c>
    </row>
    <row r="393" spans="2:6" x14ac:dyDescent="0.3">
      <c r="B393" s="23">
        <v>45682</v>
      </c>
      <c r="C393" s="25" t="s">
        <v>351</v>
      </c>
      <c r="D393" s="48"/>
      <c r="E393" s="48"/>
      <c r="F393" s="48">
        <v>-2000</v>
      </c>
    </row>
    <row r="394" spans="2:6" x14ac:dyDescent="0.3">
      <c r="B394" s="23">
        <v>45682</v>
      </c>
      <c r="C394" s="25" t="s">
        <v>362</v>
      </c>
      <c r="D394" s="48"/>
      <c r="E394" s="48"/>
      <c r="F394" s="48">
        <v>100000</v>
      </c>
    </row>
    <row r="395" spans="2:6" x14ac:dyDescent="0.3">
      <c r="B395" s="23">
        <v>45689</v>
      </c>
      <c r="C395" s="25" t="s">
        <v>363</v>
      </c>
      <c r="D395" s="48"/>
      <c r="E395" s="48"/>
      <c r="F395" s="48">
        <v>100000</v>
      </c>
    </row>
    <row r="396" spans="2:6" x14ac:dyDescent="0.3">
      <c r="B396" s="23">
        <v>45689</v>
      </c>
      <c r="C396" s="25" t="s">
        <v>411</v>
      </c>
      <c r="D396" s="48"/>
      <c r="E396" s="48"/>
      <c r="F396" s="48">
        <v>52000</v>
      </c>
    </row>
    <row r="397" spans="2:6" x14ac:dyDescent="0.3">
      <c r="B397" s="23">
        <v>45694</v>
      </c>
      <c r="C397" s="25" t="s">
        <v>413</v>
      </c>
      <c r="D397" s="48"/>
      <c r="E397" s="48"/>
      <c r="F397" s="48">
        <v>-5000</v>
      </c>
    </row>
    <row r="398" spans="2:6" x14ac:dyDescent="0.3">
      <c r="B398" s="23">
        <v>45710</v>
      </c>
      <c r="C398" s="25" t="s">
        <v>330</v>
      </c>
      <c r="D398" s="48"/>
      <c r="E398" s="48"/>
      <c r="F398" s="48">
        <v>-2000</v>
      </c>
    </row>
    <row r="399" spans="2:6" x14ac:dyDescent="0.3">
      <c r="B399" s="23">
        <v>45712</v>
      </c>
      <c r="C399" s="25" t="s">
        <v>330</v>
      </c>
      <c r="D399" s="48"/>
      <c r="E399" s="48"/>
      <c r="F399" s="48">
        <v>-65000</v>
      </c>
    </row>
    <row r="400" spans="2:6" x14ac:dyDescent="0.3">
      <c r="B400" s="23">
        <v>45713</v>
      </c>
      <c r="C400" s="25" t="s">
        <v>330</v>
      </c>
      <c r="D400" s="48"/>
      <c r="E400" s="48"/>
      <c r="F400" s="48">
        <v>-177200</v>
      </c>
    </row>
    <row r="401" spans="2:6" x14ac:dyDescent="0.3">
      <c r="B401" s="23">
        <v>45714</v>
      </c>
      <c r="C401" s="25" t="s">
        <v>419</v>
      </c>
      <c r="D401" s="48"/>
      <c r="E401" s="48"/>
      <c r="F401" s="49">
        <f>SUM(F351:F400)</f>
        <v>0</v>
      </c>
    </row>
    <row r="402" spans="2:6" x14ac:dyDescent="0.3">
      <c r="B402" s="23">
        <v>45714</v>
      </c>
      <c r="C402" s="25" t="s">
        <v>420</v>
      </c>
      <c r="D402" s="48"/>
    </row>
    <row r="403" spans="2:6" x14ac:dyDescent="0.3">
      <c r="B403" s="23">
        <v>45714</v>
      </c>
      <c r="C403" s="25" t="s">
        <v>421</v>
      </c>
      <c r="D403" s="48"/>
    </row>
    <row r="404" spans="2:6" x14ac:dyDescent="0.3">
      <c r="B404" s="23">
        <v>45714</v>
      </c>
      <c r="C404" s="25" t="s">
        <v>422</v>
      </c>
      <c r="D404" s="48"/>
    </row>
    <row r="405" spans="2:6" x14ac:dyDescent="0.3">
      <c r="B405" s="23">
        <v>45715</v>
      </c>
      <c r="C405" s="25"/>
      <c r="D405" s="48"/>
    </row>
    <row r="406" spans="2:6" x14ac:dyDescent="0.3">
      <c r="B406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48576"/>
  <sheetViews>
    <sheetView zoomScale="90" zoomScaleNormal="90" workbookViewId="0">
      <selection activeCell="H246" sqref="H246"/>
    </sheetView>
  </sheetViews>
  <sheetFormatPr defaultRowHeight="14.4" x14ac:dyDescent="0.3"/>
  <cols>
    <col min="1" max="1" width="12.44140625" bestFit="1" customWidth="1"/>
    <col min="2" max="3" width="10.5546875" bestFit="1" customWidth="1"/>
    <col min="4" max="4" width="44.77734375" bestFit="1" customWidth="1"/>
    <col min="5" max="5" width="4.77734375" customWidth="1"/>
    <col min="7" max="7" width="10.5546875" customWidth="1"/>
    <col min="8" max="8" width="14.21875" bestFit="1" customWidth="1"/>
  </cols>
  <sheetData>
    <row r="2" spans="1:4" x14ac:dyDescent="0.3">
      <c r="D2" t="s">
        <v>130</v>
      </c>
    </row>
    <row r="3" spans="1:4" x14ac:dyDescent="0.3">
      <c r="B3" s="1">
        <v>45541</v>
      </c>
      <c r="C3" t="s">
        <v>129</v>
      </c>
      <c r="D3" t="s">
        <v>124</v>
      </c>
    </row>
    <row r="4" spans="1:4" x14ac:dyDescent="0.3">
      <c r="B4" s="1">
        <v>45541</v>
      </c>
      <c r="C4" t="s">
        <v>129</v>
      </c>
      <c r="D4" t="s">
        <v>125</v>
      </c>
    </row>
    <row r="5" spans="1:4" x14ac:dyDescent="0.3">
      <c r="B5" s="1">
        <v>45616</v>
      </c>
      <c r="C5" t="s">
        <v>129</v>
      </c>
      <c r="D5" t="s">
        <v>126</v>
      </c>
    </row>
    <row r="6" spans="1:4" x14ac:dyDescent="0.3">
      <c r="B6" s="1">
        <v>45623</v>
      </c>
      <c r="C6" t="s">
        <v>129</v>
      </c>
      <c r="D6" t="s">
        <v>127</v>
      </c>
    </row>
    <row r="7" spans="1:4" x14ac:dyDescent="0.3">
      <c r="B7" s="1">
        <v>45623</v>
      </c>
      <c r="C7" t="s">
        <v>129</v>
      </c>
      <c r="D7" t="s">
        <v>128</v>
      </c>
    </row>
    <row r="8" spans="1:4" x14ac:dyDescent="0.3">
      <c r="B8" s="1"/>
    </row>
    <row r="9" spans="1:4" x14ac:dyDescent="0.3">
      <c r="B9" s="1"/>
      <c r="C9" s="1">
        <v>45591</v>
      </c>
      <c r="D9" s="3" t="s">
        <v>345</v>
      </c>
    </row>
    <row r="10" spans="1:4" x14ac:dyDescent="0.3">
      <c r="C10" s="1">
        <v>45591</v>
      </c>
      <c r="D10" s="3" t="s">
        <v>55</v>
      </c>
    </row>
    <row r="12" spans="1:4" x14ac:dyDescent="0.3">
      <c r="A12" t="s">
        <v>262</v>
      </c>
      <c r="B12" s="1">
        <v>45657</v>
      </c>
      <c r="D12" t="s">
        <v>260</v>
      </c>
    </row>
    <row r="13" spans="1:4" x14ac:dyDescent="0.3">
      <c r="A13" t="s">
        <v>262</v>
      </c>
      <c r="B13" s="1">
        <v>45657</v>
      </c>
      <c r="D13" t="s">
        <v>261</v>
      </c>
    </row>
    <row r="14" spans="1:4" x14ac:dyDescent="0.3">
      <c r="A14" t="s">
        <v>262</v>
      </c>
      <c r="B14" s="1">
        <v>45661</v>
      </c>
      <c r="D14" t="s">
        <v>270</v>
      </c>
    </row>
    <row r="15" spans="1:4" x14ac:dyDescent="0.3">
      <c r="B15" s="1"/>
    </row>
    <row r="16" spans="1:4" x14ac:dyDescent="0.3">
      <c r="B16" s="1"/>
      <c r="D16" s="22"/>
    </row>
    <row r="17" spans="2:4" x14ac:dyDescent="0.3">
      <c r="B17" s="1">
        <v>45681</v>
      </c>
      <c r="D17" s="22" t="s">
        <v>343</v>
      </c>
    </row>
    <row r="18" spans="2:4" x14ac:dyDescent="0.3">
      <c r="B18" s="1">
        <v>45681</v>
      </c>
      <c r="D18" s="22" t="s">
        <v>344</v>
      </c>
    </row>
    <row r="19" spans="2:4" x14ac:dyDescent="0.3">
      <c r="B19" s="1"/>
      <c r="D19" s="22"/>
    </row>
    <row r="20" spans="2:4" x14ac:dyDescent="0.3">
      <c r="B20" s="1"/>
      <c r="D20" s="22"/>
    </row>
    <row r="21" spans="2:4" x14ac:dyDescent="0.3">
      <c r="B21" s="1"/>
      <c r="D21" s="22"/>
    </row>
    <row r="22" spans="2:4" x14ac:dyDescent="0.3">
      <c r="B22" s="1"/>
      <c r="D22" s="22"/>
    </row>
    <row r="23" spans="2:4" x14ac:dyDescent="0.3">
      <c r="B23" s="1"/>
      <c r="D23" s="22"/>
    </row>
    <row r="24" spans="2:4" x14ac:dyDescent="0.3">
      <c r="B24" s="1"/>
      <c r="D24" s="22"/>
    </row>
    <row r="25" spans="2:4" x14ac:dyDescent="0.3">
      <c r="B25" s="1"/>
      <c r="D25" s="22"/>
    </row>
    <row r="26" spans="2:4" x14ac:dyDescent="0.3">
      <c r="B26" s="1"/>
      <c r="D26" s="22"/>
    </row>
    <row r="27" spans="2:4" x14ac:dyDescent="0.3">
      <c r="B27" s="1"/>
      <c r="D27" s="22"/>
    </row>
    <row r="28" spans="2:4" x14ac:dyDescent="0.3">
      <c r="B28" s="1"/>
      <c r="D28" s="22"/>
    </row>
    <row r="29" spans="2:4" x14ac:dyDescent="0.3">
      <c r="B29" s="1"/>
      <c r="D29" s="22"/>
    </row>
    <row r="30" spans="2:4" x14ac:dyDescent="0.3">
      <c r="B30" s="1"/>
      <c r="D30" s="22"/>
    </row>
    <row r="31" spans="2:4" x14ac:dyDescent="0.3">
      <c r="B31" s="1"/>
      <c r="D31" s="22"/>
    </row>
    <row r="36" spans="1:9" x14ac:dyDescent="0.3">
      <c r="B36" s="1"/>
      <c r="D36" s="22"/>
    </row>
    <row r="37" spans="1:9" x14ac:dyDescent="0.3">
      <c r="B37" s="1"/>
      <c r="D37" s="22"/>
    </row>
    <row r="38" spans="1:9" x14ac:dyDescent="0.3">
      <c r="B38" s="1"/>
      <c r="D38" s="22"/>
    </row>
    <row r="39" spans="1:9" x14ac:dyDescent="0.3">
      <c r="B39" s="1"/>
    </row>
    <row r="40" spans="1:9" x14ac:dyDescent="0.3">
      <c r="A40" s="63" t="s">
        <v>264</v>
      </c>
      <c r="B40" s="65">
        <v>45649</v>
      </c>
      <c r="C40" s="63"/>
      <c r="D40" s="63" t="s">
        <v>263</v>
      </c>
      <c r="E40" s="63"/>
      <c r="F40" s="63"/>
      <c r="G40" s="63"/>
      <c r="H40" s="63"/>
      <c r="I40" s="63"/>
    </row>
    <row r="41" spans="1:9" x14ac:dyDescent="0.3">
      <c r="A41" s="63"/>
      <c r="B41" s="63"/>
      <c r="C41" s="63"/>
      <c r="D41" s="63"/>
      <c r="E41" s="63"/>
      <c r="F41" s="63"/>
      <c r="G41" s="63"/>
      <c r="H41" s="63"/>
      <c r="I41" s="63"/>
    </row>
    <row r="42" spans="1:9" x14ac:dyDescent="0.3">
      <c r="A42" s="63"/>
      <c r="B42" s="63"/>
      <c r="C42" s="63"/>
      <c r="D42" s="66" t="s">
        <v>131</v>
      </c>
      <c r="E42" s="63"/>
      <c r="F42" s="63"/>
      <c r="G42" s="63"/>
      <c r="H42" s="63"/>
      <c r="I42" s="63"/>
    </row>
    <row r="43" spans="1:9" x14ac:dyDescent="0.3">
      <c r="A43" s="63"/>
      <c r="B43" s="63"/>
      <c r="C43" s="63"/>
      <c r="D43" s="63"/>
      <c r="E43" s="63"/>
      <c r="F43" s="63"/>
      <c r="G43" s="63"/>
      <c r="H43" s="63"/>
      <c r="I43" s="63"/>
    </row>
    <row r="44" spans="1:9" x14ac:dyDescent="0.3">
      <c r="A44" s="63"/>
      <c r="B44" s="63"/>
      <c r="C44" s="63"/>
      <c r="D44" s="63" t="s">
        <v>114</v>
      </c>
      <c r="E44" s="63" t="s">
        <v>113</v>
      </c>
      <c r="F44" s="63" t="s">
        <v>115</v>
      </c>
      <c r="G44" s="63" t="s">
        <v>29</v>
      </c>
      <c r="H44" s="63"/>
      <c r="I44" s="63"/>
    </row>
    <row r="45" spans="1:9" x14ac:dyDescent="0.3">
      <c r="A45" s="63"/>
      <c r="B45" s="63"/>
      <c r="C45" s="63"/>
      <c r="D45" s="63" t="s">
        <v>79</v>
      </c>
      <c r="E45" s="63">
        <v>5</v>
      </c>
      <c r="F45" s="63">
        <v>383000</v>
      </c>
      <c r="G45" s="63">
        <f>E45*F45</f>
        <v>1915000</v>
      </c>
      <c r="H45" s="63"/>
      <c r="I45" s="63"/>
    </row>
    <row r="46" spans="1:9" x14ac:dyDescent="0.3">
      <c r="A46" s="63"/>
      <c r="B46" s="63"/>
      <c r="C46" s="63"/>
      <c r="D46" s="63" t="s">
        <v>79</v>
      </c>
      <c r="E46" s="63">
        <v>2</v>
      </c>
      <c r="F46" s="63">
        <v>382000</v>
      </c>
      <c r="G46" s="63">
        <f>E46*F46</f>
        <v>764000</v>
      </c>
      <c r="H46" s="63"/>
      <c r="I46" s="63"/>
    </row>
    <row r="47" spans="1:9" x14ac:dyDescent="0.3">
      <c r="A47" s="63"/>
      <c r="B47" s="63"/>
      <c r="C47" s="63"/>
      <c r="D47" s="63"/>
      <c r="E47" s="63"/>
      <c r="F47" s="63"/>
      <c r="G47" s="63"/>
      <c r="H47" s="63"/>
      <c r="I47" s="63"/>
    </row>
    <row r="48" spans="1:9" x14ac:dyDescent="0.3">
      <c r="A48" s="63"/>
      <c r="B48" s="63"/>
      <c r="C48" s="63"/>
      <c r="D48" s="63" t="s">
        <v>80</v>
      </c>
      <c r="E48" s="63"/>
      <c r="F48" s="63"/>
      <c r="G48" s="63">
        <v>-100000</v>
      </c>
      <c r="H48" s="63"/>
      <c r="I48" s="63"/>
    </row>
    <row r="49" spans="1:9" x14ac:dyDescent="0.3">
      <c r="A49" s="63"/>
      <c r="B49" s="63"/>
      <c r="C49" s="63"/>
      <c r="D49" s="63" t="s">
        <v>80</v>
      </c>
      <c r="E49" s="63"/>
      <c r="F49" s="63"/>
      <c r="G49" s="63">
        <v>-500000</v>
      </c>
      <c r="H49" s="63"/>
      <c r="I49" s="63"/>
    </row>
    <row r="50" spans="1:9" x14ac:dyDescent="0.3">
      <c r="A50" s="63"/>
      <c r="B50" s="63"/>
      <c r="C50" s="63"/>
      <c r="D50" s="63" t="s">
        <v>80</v>
      </c>
      <c r="E50" s="63"/>
      <c r="F50" s="63"/>
      <c r="G50" s="63">
        <v>-200000</v>
      </c>
      <c r="H50" s="63"/>
      <c r="I50" s="63"/>
    </row>
    <row r="51" spans="1:9" x14ac:dyDescent="0.3">
      <c r="A51" s="63"/>
      <c r="B51" s="63"/>
      <c r="C51" s="63"/>
      <c r="D51" s="63" t="s">
        <v>80</v>
      </c>
      <c r="E51" s="63"/>
      <c r="F51" s="63"/>
      <c r="G51" s="63">
        <v>-200000</v>
      </c>
      <c r="H51" s="63"/>
      <c r="I51" s="63"/>
    </row>
    <row r="52" spans="1:9" x14ac:dyDescent="0.3">
      <c r="A52" s="63"/>
      <c r="B52" s="63"/>
      <c r="C52" s="63"/>
      <c r="D52" s="63" t="s">
        <v>80</v>
      </c>
      <c r="E52" s="63"/>
      <c r="F52" s="63"/>
      <c r="G52" s="63">
        <v>-200000</v>
      </c>
      <c r="H52" s="63"/>
      <c r="I52" s="63"/>
    </row>
    <row r="53" spans="1:9" x14ac:dyDescent="0.3">
      <c r="A53" s="63"/>
      <c r="B53" s="63"/>
      <c r="C53" s="63"/>
      <c r="D53" s="63" t="s">
        <v>80</v>
      </c>
      <c r="E53" s="63"/>
      <c r="F53" s="63"/>
      <c r="G53" s="63">
        <v>-64000</v>
      </c>
      <c r="H53" s="63"/>
      <c r="I53" s="63"/>
    </row>
    <row r="54" spans="1:9" x14ac:dyDescent="0.3">
      <c r="A54" s="63"/>
      <c r="B54" s="63"/>
      <c r="C54" s="63"/>
      <c r="D54" s="63" t="s">
        <v>80</v>
      </c>
      <c r="E54" s="63"/>
      <c r="F54" s="63"/>
      <c r="G54" s="63">
        <v>-200000</v>
      </c>
      <c r="H54" s="63"/>
      <c r="I54" s="63"/>
    </row>
    <row r="55" spans="1:9" x14ac:dyDescent="0.3">
      <c r="A55" s="63"/>
      <c r="B55" s="63"/>
      <c r="C55" s="63"/>
      <c r="D55" s="63" t="s">
        <v>80</v>
      </c>
      <c r="E55" s="63"/>
      <c r="F55" s="63"/>
      <c r="G55" s="63">
        <v>-14000</v>
      </c>
      <c r="H55" s="63"/>
      <c r="I55" s="63"/>
    </row>
    <row r="56" spans="1:9" x14ac:dyDescent="0.3">
      <c r="A56" s="63"/>
      <c r="B56" s="63"/>
      <c r="C56" s="65">
        <v>45615</v>
      </c>
      <c r="D56" s="63" t="s">
        <v>80</v>
      </c>
      <c r="E56" s="63"/>
      <c r="F56" s="63"/>
      <c r="G56" s="63">
        <v>-100000</v>
      </c>
      <c r="H56" s="63"/>
      <c r="I56" s="63"/>
    </row>
    <row r="57" spans="1:9" x14ac:dyDescent="0.3">
      <c r="A57" s="63"/>
      <c r="B57" s="63"/>
      <c r="C57" s="63"/>
      <c r="D57" s="63" t="s">
        <v>80</v>
      </c>
      <c r="E57" s="63"/>
      <c r="F57" s="63"/>
      <c r="G57" s="63">
        <v>-70000</v>
      </c>
      <c r="H57" s="63"/>
      <c r="I57" s="63"/>
    </row>
    <row r="58" spans="1:9" x14ac:dyDescent="0.3">
      <c r="A58" s="63"/>
      <c r="B58" s="63"/>
      <c r="C58" s="63"/>
      <c r="D58" s="63" t="s">
        <v>81</v>
      </c>
      <c r="E58" s="63"/>
      <c r="F58" s="63"/>
      <c r="G58" s="63">
        <v>-100000</v>
      </c>
      <c r="H58" s="63"/>
      <c r="I58" s="63"/>
    </row>
    <row r="59" spans="1:9" x14ac:dyDescent="0.3">
      <c r="A59" s="63"/>
      <c r="B59" s="63"/>
      <c r="C59" s="65">
        <v>45619</v>
      </c>
      <c r="D59" s="63" t="s">
        <v>80</v>
      </c>
      <c r="E59" s="63"/>
      <c r="F59" s="63"/>
      <c r="G59" s="63">
        <v>-250000</v>
      </c>
      <c r="H59" s="63"/>
      <c r="I59" s="63"/>
    </row>
    <row r="60" spans="1:9" x14ac:dyDescent="0.3">
      <c r="A60" s="63"/>
      <c r="B60" s="63"/>
      <c r="C60" s="65">
        <v>45619</v>
      </c>
      <c r="D60" s="67" t="s">
        <v>112</v>
      </c>
      <c r="E60" s="63"/>
      <c r="F60" s="63"/>
      <c r="G60" s="63">
        <v>-129000</v>
      </c>
      <c r="H60" s="63"/>
      <c r="I60" s="63"/>
    </row>
    <row r="61" spans="1:9" x14ac:dyDescent="0.3">
      <c r="A61" s="63"/>
      <c r="B61" s="63"/>
      <c r="C61" s="65">
        <v>45623</v>
      </c>
      <c r="D61" s="63" t="s">
        <v>81</v>
      </c>
      <c r="E61" s="63"/>
      <c r="F61" s="63"/>
      <c r="G61" s="63">
        <v>-50000</v>
      </c>
      <c r="H61" s="63"/>
      <c r="I61" s="63"/>
    </row>
    <row r="62" spans="1:9" x14ac:dyDescent="0.3">
      <c r="A62" s="63"/>
      <c r="B62" s="63"/>
      <c r="C62" s="65"/>
      <c r="D62" s="63" t="s">
        <v>265</v>
      </c>
      <c r="E62" s="63"/>
      <c r="F62" s="63"/>
      <c r="G62" s="63">
        <v>-338650</v>
      </c>
      <c r="H62" s="63"/>
      <c r="I62" s="63"/>
    </row>
    <row r="63" spans="1:9" x14ac:dyDescent="0.3">
      <c r="A63" s="63"/>
      <c r="B63" s="63"/>
      <c r="C63" s="63"/>
      <c r="D63" s="66" t="s">
        <v>116</v>
      </c>
      <c r="E63" s="66"/>
      <c r="F63" s="66"/>
      <c r="G63" s="66">
        <f>SUM(G45:G62)</f>
        <v>163350</v>
      </c>
      <c r="H63" s="63"/>
      <c r="I63" s="63"/>
    </row>
    <row r="64" spans="1:9" x14ac:dyDescent="0.3">
      <c r="A64" s="63"/>
      <c r="B64" s="63"/>
      <c r="C64" s="63"/>
      <c r="D64" s="66"/>
      <c r="E64" s="66"/>
      <c r="F64" s="66"/>
      <c r="G64" s="66"/>
      <c r="H64" s="63"/>
      <c r="I64" s="63"/>
    </row>
    <row r="65" spans="1:9" x14ac:dyDescent="0.3">
      <c r="A65" s="63"/>
      <c r="B65" s="63"/>
      <c r="C65" s="63"/>
      <c r="D65" s="66"/>
      <c r="E65" s="66"/>
      <c r="F65" s="66"/>
      <c r="G65" s="66"/>
      <c r="H65" s="63"/>
      <c r="I65" s="63"/>
    </row>
    <row r="66" spans="1:9" x14ac:dyDescent="0.3">
      <c r="A66" s="63"/>
      <c r="B66" s="63"/>
      <c r="C66" s="63"/>
      <c r="D66" s="66" t="s">
        <v>117</v>
      </c>
      <c r="E66" s="66"/>
      <c r="F66" s="66"/>
      <c r="G66" s="66"/>
      <c r="H66" s="63"/>
      <c r="I66" s="63"/>
    </row>
    <row r="67" spans="1:9" x14ac:dyDescent="0.3">
      <c r="A67" s="63"/>
      <c r="B67" s="63"/>
      <c r="C67" s="68"/>
      <c r="D67" s="69"/>
      <c r="E67" s="69"/>
      <c r="F67" s="70"/>
      <c r="G67" s="70"/>
      <c r="H67" s="63"/>
      <c r="I67" s="63"/>
    </row>
    <row r="68" spans="1:9" ht="28.8" x14ac:dyDescent="0.3">
      <c r="A68" s="63" t="s">
        <v>177</v>
      </c>
      <c r="B68" s="63"/>
      <c r="C68" s="71">
        <v>45619</v>
      </c>
      <c r="D68" s="67" t="s">
        <v>101</v>
      </c>
      <c r="E68" s="63"/>
      <c r="F68" s="72"/>
      <c r="G68" s="72">
        <v>259500</v>
      </c>
      <c r="H68" s="73">
        <f>G68/77.5</f>
        <v>3348.3870967741937</v>
      </c>
      <c r="I68" s="63"/>
    </row>
    <row r="69" spans="1:9" ht="28.8" x14ac:dyDescent="0.3">
      <c r="A69" s="63" t="s">
        <v>177</v>
      </c>
      <c r="B69" s="63"/>
      <c r="C69" s="71">
        <v>45621</v>
      </c>
      <c r="D69" s="67" t="s">
        <v>109</v>
      </c>
      <c r="E69" s="63"/>
      <c r="F69" s="72"/>
      <c r="G69" s="72">
        <v>276000</v>
      </c>
      <c r="H69" s="73">
        <f t="shared" ref="H69:H87" si="0">G69/77.5</f>
        <v>3561.2903225806454</v>
      </c>
      <c r="I69" s="63"/>
    </row>
    <row r="70" spans="1:9" ht="28.8" x14ac:dyDescent="0.3">
      <c r="A70" s="63" t="s">
        <v>177</v>
      </c>
      <c r="B70" s="63"/>
      <c r="C70" s="71">
        <v>45621</v>
      </c>
      <c r="D70" s="67" t="s">
        <v>110</v>
      </c>
      <c r="E70" s="63"/>
      <c r="F70" s="72"/>
      <c r="G70" s="72">
        <v>295000</v>
      </c>
      <c r="H70" s="73">
        <f t="shared" si="0"/>
        <v>3806.4516129032259</v>
      </c>
      <c r="I70" s="63"/>
    </row>
    <row r="71" spans="1:9" ht="28.8" x14ac:dyDescent="0.3">
      <c r="A71" s="63" t="s">
        <v>177</v>
      </c>
      <c r="B71" s="63"/>
      <c r="C71" s="71">
        <v>45628</v>
      </c>
      <c r="D71" s="67" t="s">
        <v>111</v>
      </c>
      <c r="E71" s="63"/>
      <c r="F71" s="72"/>
      <c r="G71" s="72">
        <v>250000</v>
      </c>
      <c r="H71" s="73">
        <f t="shared" si="0"/>
        <v>3225.8064516129034</v>
      </c>
      <c r="I71" s="63"/>
    </row>
    <row r="72" spans="1:9" ht="28.8" x14ac:dyDescent="0.3">
      <c r="A72" s="63" t="s">
        <v>177</v>
      </c>
      <c r="B72" s="63"/>
      <c r="C72" s="71">
        <v>45629</v>
      </c>
      <c r="D72" s="67" t="s">
        <v>159</v>
      </c>
      <c r="E72" s="63"/>
      <c r="F72" s="72"/>
      <c r="G72" s="72">
        <v>262000</v>
      </c>
      <c r="H72" s="73">
        <f t="shared" si="0"/>
        <v>3380.6451612903224</v>
      </c>
      <c r="I72" s="63"/>
    </row>
    <row r="73" spans="1:9" ht="28.8" x14ac:dyDescent="0.3">
      <c r="A73" s="63" t="s">
        <v>177</v>
      </c>
      <c r="B73" s="63"/>
      <c r="C73" s="71">
        <v>45629</v>
      </c>
      <c r="D73" s="67" t="s">
        <v>160</v>
      </c>
      <c r="E73" s="63"/>
      <c r="F73" s="72"/>
      <c r="G73" s="72">
        <v>262000</v>
      </c>
      <c r="H73" s="73">
        <f t="shared" si="0"/>
        <v>3380.6451612903224</v>
      </c>
      <c r="I73" s="63"/>
    </row>
    <row r="74" spans="1:9" x14ac:dyDescent="0.3">
      <c r="A74" s="63" t="s">
        <v>177</v>
      </c>
      <c r="B74" s="63">
        <v>14</v>
      </c>
      <c r="C74" s="71">
        <v>45629</v>
      </c>
      <c r="D74" s="67" t="s">
        <v>166</v>
      </c>
      <c r="E74" s="63"/>
      <c r="F74" s="72"/>
      <c r="G74" s="72">
        <v>104000</v>
      </c>
      <c r="H74" s="73">
        <f t="shared" si="0"/>
        <v>1341.9354838709678</v>
      </c>
      <c r="I74" s="63"/>
    </row>
    <row r="75" spans="1:9" x14ac:dyDescent="0.3">
      <c r="A75" s="63" t="s">
        <v>177</v>
      </c>
      <c r="B75" s="63">
        <v>14</v>
      </c>
      <c r="C75" s="71">
        <v>45629</v>
      </c>
      <c r="D75" s="67" t="s">
        <v>167</v>
      </c>
      <c r="E75" s="63"/>
      <c r="F75" s="72"/>
      <c r="G75" s="72">
        <v>104000</v>
      </c>
      <c r="H75" s="73">
        <f t="shared" si="0"/>
        <v>1341.9354838709678</v>
      </c>
      <c r="I75" s="63"/>
    </row>
    <row r="76" spans="1:9" ht="28.8" x14ac:dyDescent="0.3">
      <c r="A76" s="63" t="s">
        <v>177</v>
      </c>
      <c r="B76" s="63"/>
      <c r="C76" s="71">
        <v>45630</v>
      </c>
      <c r="D76" s="67" t="s">
        <v>165</v>
      </c>
      <c r="E76" s="63"/>
      <c r="F76" s="72"/>
      <c r="G76" s="72">
        <v>262000</v>
      </c>
      <c r="H76" s="73">
        <f t="shared" si="0"/>
        <v>3380.6451612903224</v>
      </c>
      <c r="I76" s="63"/>
    </row>
    <row r="77" spans="1:9" ht="28.8" x14ac:dyDescent="0.3">
      <c r="A77" s="63" t="s">
        <v>177</v>
      </c>
      <c r="B77" s="63"/>
      <c r="C77" s="71">
        <v>45631</v>
      </c>
      <c r="D77" s="67" t="s">
        <v>172</v>
      </c>
      <c r="E77" s="63"/>
      <c r="F77" s="72"/>
      <c r="G77" s="72">
        <v>290000</v>
      </c>
      <c r="H77" s="73">
        <f t="shared" si="0"/>
        <v>3741.9354838709678</v>
      </c>
      <c r="I77" s="63"/>
    </row>
    <row r="78" spans="1:9" x14ac:dyDescent="0.3">
      <c r="A78" s="63" t="s">
        <v>177</v>
      </c>
      <c r="B78" s="63">
        <v>14</v>
      </c>
      <c r="C78" s="71">
        <v>45633</v>
      </c>
      <c r="D78" s="67" t="s">
        <v>174</v>
      </c>
      <c r="E78" s="63"/>
      <c r="F78" s="72"/>
      <c r="G78" s="72">
        <v>103000</v>
      </c>
      <c r="H78" s="73">
        <f t="shared" si="0"/>
        <v>1329.0322580645161</v>
      </c>
      <c r="I78" s="63"/>
    </row>
    <row r="79" spans="1:9" x14ac:dyDescent="0.3">
      <c r="A79" s="63" t="s">
        <v>177</v>
      </c>
      <c r="B79" s="63">
        <v>14</v>
      </c>
      <c r="C79" s="71">
        <v>45633</v>
      </c>
      <c r="D79" s="67" t="s">
        <v>175</v>
      </c>
      <c r="E79" s="63"/>
      <c r="F79" s="72"/>
      <c r="G79" s="72">
        <v>103000</v>
      </c>
      <c r="H79" s="73">
        <f t="shared" si="0"/>
        <v>1329.0322580645161</v>
      </c>
      <c r="I79" s="63"/>
    </row>
    <row r="80" spans="1:9" x14ac:dyDescent="0.3">
      <c r="A80" s="63" t="s">
        <v>177</v>
      </c>
      <c r="B80" s="63"/>
      <c r="C80" s="71">
        <v>45636</v>
      </c>
      <c r="D80" s="67" t="s">
        <v>176</v>
      </c>
      <c r="E80" s="63"/>
      <c r="F80" s="72"/>
      <c r="G80" s="72">
        <v>374000</v>
      </c>
      <c r="H80" s="73">
        <f t="shared" si="0"/>
        <v>4825.8064516129034</v>
      </c>
      <c r="I80" s="63"/>
    </row>
    <row r="81" spans="1:9" x14ac:dyDescent="0.3">
      <c r="A81" s="63" t="s">
        <v>177</v>
      </c>
      <c r="B81" s="63"/>
      <c r="C81" s="71">
        <v>45638</v>
      </c>
      <c r="D81" s="67" t="s">
        <v>195</v>
      </c>
      <c r="E81" s="63"/>
      <c r="F81" s="72"/>
      <c r="G81" s="72">
        <v>370000</v>
      </c>
      <c r="H81" s="73">
        <f t="shared" si="0"/>
        <v>4774.1935483870966</v>
      </c>
      <c r="I81" s="63"/>
    </row>
    <row r="82" spans="1:9" x14ac:dyDescent="0.3">
      <c r="A82" s="63" t="s">
        <v>177</v>
      </c>
      <c r="B82" s="63"/>
      <c r="C82" s="71">
        <v>45638</v>
      </c>
      <c r="D82" s="67" t="s">
        <v>176</v>
      </c>
      <c r="E82" s="63"/>
      <c r="F82" s="72"/>
      <c r="G82" s="72">
        <v>370000</v>
      </c>
      <c r="H82" s="73">
        <f t="shared" si="0"/>
        <v>4774.1935483870966</v>
      </c>
      <c r="I82" s="63"/>
    </row>
    <row r="83" spans="1:9" x14ac:dyDescent="0.3">
      <c r="A83" s="63" t="s">
        <v>177</v>
      </c>
      <c r="B83" s="63"/>
      <c r="C83" s="71">
        <v>45638</v>
      </c>
      <c r="D83" s="67" t="s">
        <v>196</v>
      </c>
      <c r="E83" s="63"/>
      <c r="F83" s="72"/>
      <c r="G83" s="72">
        <v>370000</v>
      </c>
      <c r="H83" s="73">
        <f t="shared" si="0"/>
        <v>4774.1935483870966</v>
      </c>
      <c r="I83" s="63"/>
    </row>
    <row r="84" spans="1:9" x14ac:dyDescent="0.3">
      <c r="A84" s="63" t="s">
        <v>177</v>
      </c>
      <c r="B84" s="63"/>
      <c r="C84" s="71">
        <v>45647</v>
      </c>
      <c r="D84" s="67" t="s">
        <v>223</v>
      </c>
      <c r="E84" s="63"/>
      <c r="F84" s="72"/>
      <c r="G84" s="72">
        <v>102000</v>
      </c>
      <c r="H84" s="73">
        <f t="shared" si="0"/>
        <v>1316.1290322580646</v>
      </c>
      <c r="I84" s="63"/>
    </row>
    <row r="85" spans="1:9" x14ac:dyDescent="0.3">
      <c r="A85" s="63" t="s">
        <v>177</v>
      </c>
      <c r="B85" s="63"/>
      <c r="C85" s="71">
        <v>45647</v>
      </c>
      <c r="D85" s="67" t="s">
        <v>224</v>
      </c>
      <c r="E85" s="63"/>
      <c r="F85" s="72"/>
      <c r="G85" s="72">
        <v>102000</v>
      </c>
      <c r="H85" s="73">
        <f t="shared" si="0"/>
        <v>1316.1290322580646</v>
      </c>
      <c r="I85" s="63"/>
    </row>
    <row r="86" spans="1:9" x14ac:dyDescent="0.3">
      <c r="A86" s="63" t="s">
        <v>177</v>
      </c>
      <c r="B86" s="63"/>
      <c r="C86" s="71">
        <v>45647</v>
      </c>
      <c r="D86" s="67" t="s">
        <v>229</v>
      </c>
      <c r="E86" s="63"/>
      <c r="F86" s="72"/>
      <c r="G86" s="72">
        <v>225000</v>
      </c>
      <c r="H86" s="73">
        <f t="shared" si="0"/>
        <v>2903.2258064516127</v>
      </c>
      <c r="I86" s="63"/>
    </row>
    <row r="87" spans="1:9" x14ac:dyDescent="0.3">
      <c r="A87" s="63" t="s">
        <v>177</v>
      </c>
      <c r="B87" s="63"/>
      <c r="C87" s="71">
        <v>45647</v>
      </c>
      <c r="D87" s="67" t="s">
        <v>230</v>
      </c>
      <c r="E87" s="63"/>
      <c r="F87" s="72"/>
      <c r="G87" s="72">
        <v>173000</v>
      </c>
      <c r="H87" s="73">
        <f t="shared" si="0"/>
        <v>2232.2580645161293</v>
      </c>
      <c r="I87" s="63"/>
    </row>
    <row r="88" spans="1:9" x14ac:dyDescent="0.3">
      <c r="A88" s="63" t="s">
        <v>177</v>
      </c>
      <c r="B88" s="63"/>
      <c r="C88" s="71">
        <v>45650</v>
      </c>
      <c r="D88" s="67" t="s">
        <v>242</v>
      </c>
      <c r="E88" s="63"/>
      <c r="F88" s="72"/>
      <c r="G88" s="72">
        <f>4*102000</f>
        <v>408000</v>
      </c>
      <c r="H88" s="73">
        <f>G88/78</f>
        <v>5230.7692307692305</v>
      </c>
      <c r="I88" s="63"/>
    </row>
    <row r="89" spans="1:9" x14ac:dyDescent="0.3">
      <c r="A89" s="63" t="s">
        <v>177</v>
      </c>
      <c r="B89" s="63"/>
      <c r="C89" s="71">
        <v>45657</v>
      </c>
      <c r="D89" s="67" t="s">
        <v>254</v>
      </c>
      <c r="E89" s="63"/>
      <c r="F89" s="72"/>
      <c r="G89" s="72">
        <v>372000</v>
      </c>
      <c r="H89" s="73">
        <f>G89/78</f>
        <v>4769.2307692307695</v>
      </c>
      <c r="I89" s="63"/>
    </row>
    <row r="90" spans="1:9" x14ac:dyDescent="0.3">
      <c r="A90" s="63" t="s">
        <v>177</v>
      </c>
      <c r="B90" s="63"/>
      <c r="C90" s="71">
        <v>45657</v>
      </c>
      <c r="D90" s="67" t="s">
        <v>254</v>
      </c>
      <c r="E90" s="63"/>
      <c r="F90" s="72"/>
      <c r="G90" s="72">
        <v>372000</v>
      </c>
      <c r="H90" s="73">
        <f>G90/78</f>
        <v>4769.2307692307695</v>
      </c>
      <c r="I90" s="63"/>
    </row>
    <row r="91" spans="1:9" x14ac:dyDescent="0.3">
      <c r="A91" s="63" t="s">
        <v>177</v>
      </c>
      <c r="B91" s="63"/>
      <c r="C91" s="71">
        <v>45663</v>
      </c>
      <c r="D91" s="67" t="s">
        <v>275</v>
      </c>
      <c r="E91" s="63"/>
      <c r="F91" s="72"/>
      <c r="G91" s="72">
        <v>374000</v>
      </c>
      <c r="H91" s="73">
        <f t="shared" ref="H91:H100" si="1">G91/78</f>
        <v>4794.8717948717949</v>
      </c>
      <c r="I91" s="63"/>
    </row>
    <row r="92" spans="1:9" x14ac:dyDescent="0.3">
      <c r="A92" s="63" t="s">
        <v>177</v>
      </c>
      <c r="B92" s="63"/>
      <c r="C92" s="71">
        <v>45663</v>
      </c>
      <c r="D92" s="67" t="s">
        <v>276</v>
      </c>
      <c r="E92" s="63"/>
      <c r="F92" s="72"/>
      <c r="G92" s="72">
        <v>374000</v>
      </c>
      <c r="H92" s="73">
        <f t="shared" si="1"/>
        <v>4794.8717948717949</v>
      </c>
      <c r="I92" s="63"/>
    </row>
    <row r="93" spans="1:9" x14ac:dyDescent="0.3">
      <c r="A93" s="63" t="s">
        <v>177</v>
      </c>
      <c r="B93" s="63"/>
      <c r="C93" s="71">
        <v>45663</v>
      </c>
      <c r="D93" s="67" t="s">
        <v>279</v>
      </c>
      <c r="E93" s="63"/>
      <c r="F93" s="72"/>
      <c r="G93" s="72">
        <v>374000</v>
      </c>
      <c r="H93" s="73">
        <f t="shared" si="1"/>
        <v>4794.8717948717949</v>
      </c>
      <c r="I93" s="63"/>
    </row>
    <row r="94" spans="1:9" x14ac:dyDescent="0.3">
      <c r="A94" s="63" t="s">
        <v>177</v>
      </c>
      <c r="B94" s="63"/>
      <c r="C94" s="71">
        <v>45663</v>
      </c>
      <c r="D94" s="67" t="s">
        <v>279</v>
      </c>
      <c r="E94" s="63"/>
      <c r="F94" s="72"/>
      <c r="G94" s="72">
        <v>374000</v>
      </c>
      <c r="H94" s="73">
        <f t="shared" si="1"/>
        <v>4794.8717948717949</v>
      </c>
      <c r="I94" s="63"/>
    </row>
    <row r="95" spans="1:9" x14ac:dyDescent="0.3">
      <c r="A95" s="63" t="s">
        <v>177</v>
      </c>
      <c r="B95" s="63"/>
      <c r="C95" s="71">
        <v>45664</v>
      </c>
      <c r="D95" s="67" t="s">
        <v>291</v>
      </c>
      <c r="E95" s="63"/>
      <c r="F95" s="72"/>
      <c r="G95" s="72">
        <v>198000</v>
      </c>
      <c r="H95" s="73">
        <f t="shared" si="1"/>
        <v>2538.4615384615386</v>
      </c>
      <c r="I95" s="63"/>
    </row>
    <row r="96" spans="1:9" x14ac:dyDescent="0.3">
      <c r="A96" s="63" t="s">
        <v>177</v>
      </c>
      <c r="B96" s="63"/>
      <c r="C96" s="71">
        <v>45664</v>
      </c>
      <c r="D96" s="67" t="s">
        <v>316</v>
      </c>
      <c r="E96" s="63"/>
      <c r="F96" s="72"/>
      <c r="G96" s="72">
        <v>160000</v>
      </c>
      <c r="H96" s="73">
        <f t="shared" si="1"/>
        <v>2051.2820512820513</v>
      </c>
      <c r="I96" s="63"/>
    </row>
    <row r="97" spans="1:9" x14ac:dyDescent="0.3">
      <c r="A97" s="63" t="s">
        <v>177</v>
      </c>
      <c r="B97" s="63"/>
      <c r="C97" s="71">
        <v>45666</v>
      </c>
      <c r="D97" s="67" t="s">
        <v>279</v>
      </c>
      <c r="E97" s="63"/>
      <c r="F97" s="72"/>
      <c r="G97" s="72">
        <v>378000</v>
      </c>
      <c r="H97" s="73">
        <f t="shared" si="1"/>
        <v>4846.1538461538457</v>
      </c>
      <c r="I97" s="63"/>
    </row>
    <row r="98" spans="1:9" x14ac:dyDescent="0.3">
      <c r="A98" s="63" t="s">
        <v>177</v>
      </c>
      <c r="B98" s="63"/>
      <c r="C98" s="71">
        <v>45666</v>
      </c>
      <c r="D98" s="67" t="s">
        <v>279</v>
      </c>
      <c r="E98" s="63"/>
      <c r="F98" s="72"/>
      <c r="G98" s="72">
        <v>378000</v>
      </c>
      <c r="H98" s="73">
        <f t="shared" si="1"/>
        <v>4846.1538461538457</v>
      </c>
      <c r="I98" s="63"/>
    </row>
    <row r="99" spans="1:9" x14ac:dyDescent="0.3">
      <c r="A99" s="63" t="s">
        <v>177</v>
      </c>
      <c r="B99" s="63"/>
      <c r="C99" s="71">
        <v>45667</v>
      </c>
      <c r="D99" s="67" t="s">
        <v>275</v>
      </c>
      <c r="E99" s="63"/>
      <c r="F99" s="72"/>
      <c r="G99" s="72">
        <v>378000</v>
      </c>
      <c r="H99" s="73">
        <f t="shared" si="1"/>
        <v>4846.1538461538457</v>
      </c>
      <c r="I99" s="63"/>
    </row>
    <row r="100" spans="1:9" x14ac:dyDescent="0.3">
      <c r="A100" s="63" t="s">
        <v>177</v>
      </c>
      <c r="B100" s="63"/>
      <c r="C100" s="71">
        <v>45667</v>
      </c>
      <c r="D100" s="67" t="s">
        <v>279</v>
      </c>
      <c r="E100" s="63"/>
      <c r="F100" s="72"/>
      <c r="G100" s="72">
        <v>378000</v>
      </c>
      <c r="H100" s="73">
        <f t="shared" si="1"/>
        <v>4846.1538461538457</v>
      </c>
      <c r="I100" s="63"/>
    </row>
    <row r="101" spans="1:9" x14ac:dyDescent="0.3">
      <c r="A101" s="63" t="s">
        <v>177</v>
      </c>
      <c r="B101" s="63"/>
      <c r="C101" s="71">
        <v>45680</v>
      </c>
      <c r="D101" s="67" t="s">
        <v>279</v>
      </c>
      <c r="E101" s="63"/>
      <c r="F101" s="72"/>
      <c r="G101" s="72">
        <v>378000</v>
      </c>
      <c r="H101" s="73">
        <f>G101/79</f>
        <v>4784.8101265822788</v>
      </c>
      <c r="I101" s="63"/>
    </row>
    <row r="102" spans="1:9" x14ac:dyDescent="0.3">
      <c r="A102" s="63" t="s">
        <v>177</v>
      </c>
      <c r="B102" s="63"/>
      <c r="C102" s="71">
        <v>45682</v>
      </c>
      <c r="D102" s="67" t="s">
        <v>347</v>
      </c>
      <c r="E102" s="63"/>
      <c r="F102" s="72"/>
      <c r="G102" s="72">
        <v>175000</v>
      </c>
      <c r="H102" s="73">
        <f>G102/79</f>
        <v>2215.1898734177216</v>
      </c>
      <c r="I102" s="63"/>
    </row>
    <row r="103" spans="1:9" x14ac:dyDescent="0.3">
      <c r="A103" s="63" t="s">
        <v>177</v>
      </c>
      <c r="B103" s="63"/>
      <c r="C103" s="71">
        <v>45684</v>
      </c>
      <c r="D103" s="67" t="s">
        <v>275</v>
      </c>
      <c r="E103" s="63"/>
      <c r="F103" s="72"/>
      <c r="G103" s="72">
        <v>377000</v>
      </c>
      <c r="H103" s="73">
        <f>G103/79.5</f>
        <v>4742.1383647798739</v>
      </c>
      <c r="I103" s="63"/>
    </row>
    <row r="104" spans="1:9" x14ac:dyDescent="0.3">
      <c r="A104" s="63" t="s">
        <v>177</v>
      </c>
      <c r="B104" s="63"/>
      <c r="C104" s="71">
        <v>45685</v>
      </c>
      <c r="D104" s="67" t="s">
        <v>356</v>
      </c>
      <c r="E104" s="63"/>
      <c r="F104" s="72"/>
      <c r="G104" s="72">
        <v>377000</v>
      </c>
      <c r="H104" s="73">
        <f>G104/79.5</f>
        <v>4742.1383647798739</v>
      </c>
      <c r="I104" s="63"/>
    </row>
    <row r="105" spans="1:9" x14ac:dyDescent="0.3">
      <c r="A105" s="63"/>
      <c r="B105" s="63"/>
      <c r="C105" s="71"/>
      <c r="D105" s="67"/>
      <c r="E105" s="63"/>
      <c r="F105" s="72"/>
      <c r="G105" s="72"/>
      <c r="H105" s="73"/>
      <c r="I105" s="63"/>
    </row>
    <row r="106" spans="1:9" x14ac:dyDescent="0.3">
      <c r="A106" s="63"/>
      <c r="B106" s="63"/>
      <c r="C106" s="71"/>
      <c r="D106" s="63"/>
      <c r="E106" s="63"/>
      <c r="F106" s="72"/>
      <c r="G106" s="72"/>
      <c r="H106" s="73"/>
      <c r="I106" s="63"/>
    </row>
    <row r="107" spans="1:9" x14ac:dyDescent="0.3">
      <c r="A107" s="63"/>
      <c r="B107" s="63"/>
      <c r="C107" s="74"/>
      <c r="D107" s="75"/>
      <c r="E107" s="76"/>
      <c r="F107" s="77"/>
      <c r="G107" s="78">
        <f>SUM(G68:G106)</f>
        <v>10481500</v>
      </c>
      <c r="H107" s="63"/>
      <c r="I107" s="63"/>
    </row>
    <row r="108" spans="1:9" x14ac:dyDescent="0.3">
      <c r="A108" s="63"/>
      <c r="B108" s="63"/>
      <c r="C108" s="65"/>
      <c r="D108" s="67"/>
      <c r="E108" s="63"/>
      <c r="F108" s="63"/>
      <c r="G108" s="63"/>
      <c r="H108" s="63"/>
      <c r="I108" s="63"/>
    </row>
    <row r="109" spans="1:9" x14ac:dyDescent="0.3">
      <c r="A109" s="63"/>
      <c r="B109" s="63"/>
      <c r="C109" s="79"/>
      <c r="D109" s="80" t="s">
        <v>169</v>
      </c>
      <c r="E109" s="81"/>
      <c r="F109" s="81"/>
      <c r="G109" s="81"/>
      <c r="H109" s="63"/>
      <c r="I109" s="63"/>
    </row>
    <row r="110" spans="1:9" x14ac:dyDescent="0.3">
      <c r="A110" s="63"/>
      <c r="B110" s="63"/>
      <c r="C110" s="79">
        <v>45621</v>
      </c>
      <c r="D110" s="82" t="s">
        <v>112</v>
      </c>
      <c r="E110" s="81"/>
      <c r="F110" s="81"/>
      <c r="G110" s="81">
        <v>30500</v>
      </c>
      <c r="H110" s="63"/>
      <c r="I110" s="63"/>
    </row>
    <row r="111" spans="1:9" x14ac:dyDescent="0.3">
      <c r="A111" s="63"/>
      <c r="B111" s="63"/>
      <c r="C111" s="79">
        <v>45622</v>
      </c>
      <c r="D111" s="82" t="s">
        <v>161</v>
      </c>
      <c r="E111" s="81"/>
      <c r="F111" s="81"/>
      <c r="G111" s="81">
        <v>-500</v>
      </c>
      <c r="H111" s="63"/>
      <c r="I111" s="63"/>
    </row>
    <row r="112" spans="1:9" x14ac:dyDescent="0.3">
      <c r="A112" s="63"/>
      <c r="B112" s="63"/>
      <c r="C112" s="79">
        <v>45629</v>
      </c>
      <c r="D112" s="82" t="s">
        <v>161</v>
      </c>
      <c r="E112" s="81"/>
      <c r="F112" s="81"/>
      <c r="G112" s="81">
        <v>-500</v>
      </c>
      <c r="H112" s="63"/>
      <c r="I112" s="63"/>
    </row>
    <row r="113" spans="1:9" x14ac:dyDescent="0.3">
      <c r="A113" s="63"/>
      <c r="B113" s="63"/>
      <c r="C113" s="79">
        <v>45630</v>
      </c>
      <c r="D113" s="82" t="s">
        <v>162</v>
      </c>
      <c r="E113" s="81"/>
      <c r="F113" s="81"/>
      <c r="G113" s="81">
        <v>13500</v>
      </c>
      <c r="H113" s="63"/>
      <c r="I113" s="63"/>
    </row>
    <row r="114" spans="1:9" x14ac:dyDescent="0.3">
      <c r="A114" s="63"/>
      <c r="B114" s="63"/>
      <c r="C114" s="79">
        <v>45637</v>
      </c>
      <c r="D114" s="82" t="s">
        <v>180</v>
      </c>
      <c r="E114" s="81"/>
      <c r="F114" s="81"/>
      <c r="G114" s="81">
        <v>100000</v>
      </c>
      <c r="H114" s="63"/>
      <c r="I114" s="63"/>
    </row>
    <row r="115" spans="1:9" x14ac:dyDescent="0.3">
      <c r="A115" s="63"/>
      <c r="B115" s="63"/>
      <c r="C115" s="79">
        <v>45638</v>
      </c>
      <c r="D115" s="82" t="s">
        <v>180</v>
      </c>
      <c r="E115" s="81"/>
      <c r="F115" s="81"/>
      <c r="G115" s="81">
        <v>50000</v>
      </c>
      <c r="H115" s="63"/>
      <c r="I115" s="63"/>
    </row>
    <row r="116" spans="1:9" x14ac:dyDescent="0.3">
      <c r="A116" s="63"/>
      <c r="B116" s="63"/>
      <c r="C116" s="79">
        <v>45639</v>
      </c>
      <c r="D116" s="82" t="s">
        <v>217</v>
      </c>
      <c r="E116" s="81"/>
      <c r="F116" s="81"/>
      <c r="G116" s="81">
        <v>-160000</v>
      </c>
      <c r="H116" s="63"/>
      <c r="I116" s="63"/>
    </row>
    <row r="117" spans="1:9" x14ac:dyDescent="0.3">
      <c r="A117" s="63"/>
      <c r="B117" s="63"/>
      <c r="C117" s="79">
        <v>45647</v>
      </c>
      <c r="D117" s="82" t="s">
        <v>227</v>
      </c>
      <c r="E117" s="81"/>
      <c r="F117" s="81"/>
      <c r="G117" s="81">
        <v>6000</v>
      </c>
      <c r="H117" s="63"/>
      <c r="I117" s="63"/>
    </row>
    <row r="118" spans="1:9" x14ac:dyDescent="0.3">
      <c r="A118" s="63"/>
      <c r="B118" s="63"/>
      <c r="C118" s="79">
        <v>45647</v>
      </c>
      <c r="D118" s="82" t="s">
        <v>228</v>
      </c>
      <c r="E118" s="81"/>
      <c r="F118" s="81"/>
      <c r="G118" s="81">
        <v>-400</v>
      </c>
      <c r="H118" s="63"/>
      <c r="I118" s="63"/>
    </row>
    <row r="119" spans="1:9" x14ac:dyDescent="0.3">
      <c r="A119" s="63"/>
      <c r="B119" s="63"/>
      <c r="C119" s="79">
        <v>45649</v>
      </c>
      <c r="D119" s="82" t="s">
        <v>233</v>
      </c>
      <c r="E119" s="81"/>
      <c r="F119" s="81"/>
      <c r="G119" s="81">
        <v>1000000</v>
      </c>
      <c r="H119" s="63"/>
      <c r="I119" s="63"/>
    </row>
    <row r="120" spans="1:9" x14ac:dyDescent="0.3">
      <c r="A120" s="63"/>
      <c r="B120" s="63"/>
      <c r="C120" s="79">
        <v>45649</v>
      </c>
      <c r="D120" s="82" t="s">
        <v>234</v>
      </c>
      <c r="E120" s="81"/>
      <c r="F120" s="81"/>
      <c r="G120" s="81">
        <v>114000</v>
      </c>
      <c r="H120" s="63"/>
      <c r="I120" s="63"/>
    </row>
    <row r="121" spans="1:9" x14ac:dyDescent="0.3">
      <c r="A121" s="63"/>
      <c r="B121" s="63"/>
      <c r="C121" s="79">
        <v>45649</v>
      </c>
      <c r="D121" s="82" t="s">
        <v>235</v>
      </c>
      <c r="E121" s="81"/>
      <c r="F121" s="81"/>
      <c r="G121" s="81">
        <v>-114000</v>
      </c>
      <c r="H121" s="63"/>
      <c r="I121" s="63"/>
    </row>
    <row r="122" spans="1:9" x14ac:dyDescent="0.3">
      <c r="A122" s="63"/>
      <c r="B122" s="63"/>
      <c r="C122" s="79">
        <v>45649</v>
      </c>
      <c r="D122" s="82" t="s">
        <v>236</v>
      </c>
      <c r="E122" s="81"/>
      <c r="F122" s="81"/>
      <c r="G122" s="81">
        <v>-1035000</v>
      </c>
      <c r="H122" s="63"/>
      <c r="I122" s="63"/>
    </row>
    <row r="123" spans="1:9" x14ac:dyDescent="0.3">
      <c r="A123" s="63"/>
      <c r="B123" s="63"/>
      <c r="C123" s="79">
        <v>45650</v>
      </c>
      <c r="D123" s="82" t="s">
        <v>238</v>
      </c>
      <c r="E123" s="81"/>
      <c r="F123" s="81"/>
      <c r="G123" s="81">
        <v>100000</v>
      </c>
      <c r="H123" s="63"/>
      <c r="I123" s="63"/>
    </row>
    <row r="124" spans="1:9" x14ac:dyDescent="0.3">
      <c r="A124" s="63"/>
      <c r="B124" s="63"/>
      <c r="C124" s="79">
        <v>45652</v>
      </c>
      <c r="D124" s="82" t="s">
        <v>249</v>
      </c>
      <c r="E124" s="81"/>
      <c r="F124" s="81"/>
      <c r="G124" s="81">
        <v>-63800</v>
      </c>
      <c r="H124" s="63"/>
      <c r="I124" s="63"/>
    </row>
    <row r="125" spans="1:9" x14ac:dyDescent="0.3">
      <c r="A125" s="63"/>
      <c r="B125" s="63"/>
      <c r="C125" s="79">
        <v>45654</v>
      </c>
      <c r="D125" s="82" t="s">
        <v>251</v>
      </c>
      <c r="E125" s="81"/>
      <c r="F125" s="81"/>
      <c r="G125" s="81">
        <v>-40000</v>
      </c>
      <c r="H125" s="63"/>
      <c r="I125" s="63"/>
    </row>
    <row r="126" spans="1:9" x14ac:dyDescent="0.3">
      <c r="A126" s="63"/>
      <c r="B126" s="63"/>
      <c r="C126" s="79">
        <v>45656</v>
      </c>
      <c r="D126" s="82" t="s">
        <v>255</v>
      </c>
      <c r="E126" s="81"/>
      <c r="F126" s="81"/>
      <c r="G126" s="81">
        <v>372000</v>
      </c>
      <c r="H126" s="63"/>
      <c r="I126" s="63"/>
    </row>
    <row r="127" spans="1:9" x14ac:dyDescent="0.3">
      <c r="A127" s="63"/>
      <c r="B127" s="63"/>
      <c r="C127" s="79">
        <v>45656</v>
      </c>
      <c r="D127" s="82" t="s">
        <v>256</v>
      </c>
      <c r="E127" s="81"/>
      <c r="F127" s="81"/>
      <c r="G127" s="81">
        <v>-352000</v>
      </c>
      <c r="H127" s="63"/>
      <c r="I127" s="63"/>
    </row>
    <row r="128" spans="1:9" x14ac:dyDescent="0.3">
      <c r="A128" s="63"/>
      <c r="B128" s="63"/>
      <c r="C128" s="79">
        <v>45656</v>
      </c>
      <c r="D128" s="82" t="s">
        <v>258</v>
      </c>
      <c r="E128" s="81"/>
      <c r="F128" s="81"/>
      <c r="G128" s="81">
        <v>104000</v>
      </c>
      <c r="H128" s="63"/>
      <c r="I128" s="63"/>
    </row>
    <row r="129" spans="1:9" x14ac:dyDescent="0.3">
      <c r="A129" s="63"/>
      <c r="B129" s="63"/>
      <c r="C129" s="79">
        <v>45656</v>
      </c>
      <c r="D129" s="82" t="s">
        <v>259</v>
      </c>
      <c r="E129" s="81"/>
      <c r="F129" s="81"/>
      <c r="G129" s="81">
        <v>-1000</v>
      </c>
      <c r="H129" s="63"/>
      <c r="I129" s="63"/>
    </row>
    <row r="130" spans="1:9" x14ac:dyDescent="0.3">
      <c r="A130" s="63"/>
      <c r="B130" s="63"/>
      <c r="C130" s="79">
        <v>45658</v>
      </c>
      <c r="D130" s="82" t="s">
        <v>266</v>
      </c>
      <c r="E130" s="81"/>
      <c r="F130" s="81"/>
      <c r="G130" s="81">
        <v>60000</v>
      </c>
      <c r="H130" s="63"/>
      <c r="I130" s="63"/>
    </row>
    <row r="131" spans="1:9" x14ac:dyDescent="0.3">
      <c r="A131" s="63"/>
      <c r="B131" s="63"/>
      <c r="C131" s="79">
        <v>45658</v>
      </c>
      <c r="D131" s="82" t="s">
        <v>267</v>
      </c>
      <c r="E131" s="81"/>
      <c r="F131" s="81"/>
      <c r="G131" s="81">
        <v>-60000</v>
      </c>
      <c r="H131" s="63"/>
      <c r="I131" s="63"/>
    </row>
    <row r="132" spans="1:9" x14ac:dyDescent="0.3">
      <c r="A132" s="63"/>
      <c r="B132" s="63"/>
      <c r="C132" s="79">
        <v>45659</v>
      </c>
      <c r="D132" s="82" t="s">
        <v>268</v>
      </c>
      <c r="E132" s="81"/>
      <c r="F132" s="81"/>
      <c r="G132" s="81">
        <v>-40000</v>
      </c>
      <c r="H132" s="63"/>
      <c r="I132" s="63"/>
    </row>
    <row r="133" spans="1:9" x14ac:dyDescent="0.3">
      <c r="A133" s="63"/>
      <c r="B133" s="63"/>
      <c r="C133" s="79">
        <v>45662</v>
      </c>
      <c r="D133" s="82" t="s">
        <v>269</v>
      </c>
      <c r="E133" s="81"/>
      <c r="F133" s="81"/>
      <c r="G133" s="81">
        <v>-30000</v>
      </c>
      <c r="H133" s="63"/>
      <c r="I133" s="63"/>
    </row>
    <row r="134" spans="1:9" x14ac:dyDescent="0.3">
      <c r="A134" s="63"/>
      <c r="B134" s="63"/>
      <c r="C134" s="79">
        <v>45663</v>
      </c>
      <c r="D134" s="82" t="s">
        <v>350</v>
      </c>
      <c r="E134" s="81"/>
      <c r="F134" s="81"/>
      <c r="G134" s="81">
        <v>-52800</v>
      </c>
      <c r="H134" s="63"/>
      <c r="I134" s="63"/>
    </row>
    <row r="135" spans="1:9" x14ac:dyDescent="0.3">
      <c r="A135" s="63"/>
      <c r="B135" s="63"/>
      <c r="C135" s="79">
        <v>45663</v>
      </c>
      <c r="D135" s="82" t="s">
        <v>277</v>
      </c>
      <c r="E135" s="81"/>
      <c r="F135" s="81"/>
      <c r="G135" s="81">
        <v>374000</v>
      </c>
      <c r="H135" s="63"/>
      <c r="I135" s="63"/>
    </row>
    <row r="136" spans="1:9" x14ac:dyDescent="0.3">
      <c r="A136" s="63"/>
      <c r="B136" s="63"/>
      <c r="C136" s="79">
        <v>45663</v>
      </c>
      <c r="D136" s="82" t="s">
        <v>278</v>
      </c>
      <c r="E136" s="81"/>
      <c r="F136" s="81"/>
      <c r="G136" s="81">
        <v>-374000</v>
      </c>
      <c r="H136" s="63"/>
      <c r="I136" s="63"/>
    </row>
    <row r="137" spans="1:9" x14ac:dyDescent="0.3">
      <c r="A137" s="63"/>
      <c r="B137" s="63"/>
      <c r="C137" s="79">
        <v>45665</v>
      </c>
      <c r="D137" s="82" t="s">
        <v>317</v>
      </c>
      <c r="E137" s="81"/>
      <c r="F137" s="81"/>
      <c r="G137" s="81">
        <v>160000</v>
      </c>
      <c r="H137" s="63"/>
      <c r="I137" s="63"/>
    </row>
    <row r="138" spans="1:9" ht="15" customHeight="1" x14ac:dyDescent="0.3">
      <c r="A138" s="63"/>
      <c r="B138" s="63"/>
      <c r="C138" s="79">
        <v>45665</v>
      </c>
      <c r="D138" s="82" t="s">
        <v>320</v>
      </c>
      <c r="E138" s="81"/>
      <c r="F138" s="81"/>
      <c r="G138" s="81">
        <v>-500</v>
      </c>
      <c r="H138" s="63" t="s">
        <v>318</v>
      </c>
      <c r="I138" s="63"/>
    </row>
    <row r="139" spans="1:9" ht="15" customHeight="1" x14ac:dyDescent="0.3">
      <c r="A139" s="63"/>
      <c r="B139" s="63"/>
      <c r="C139" s="79">
        <v>45665</v>
      </c>
      <c r="D139" s="82" t="s">
        <v>319</v>
      </c>
      <c r="E139" s="81"/>
      <c r="F139" s="81"/>
      <c r="G139" s="81">
        <v>-700</v>
      </c>
      <c r="H139" s="63" t="s">
        <v>184</v>
      </c>
      <c r="I139" s="63"/>
    </row>
    <row r="140" spans="1:9" ht="15" customHeight="1" x14ac:dyDescent="0.3">
      <c r="A140" s="63"/>
      <c r="B140" s="63"/>
      <c r="C140" s="79">
        <v>45666</v>
      </c>
      <c r="D140" s="82" t="s">
        <v>320</v>
      </c>
      <c r="E140" s="81"/>
      <c r="F140" s="81"/>
      <c r="G140" s="81">
        <v>-1100</v>
      </c>
      <c r="H140" s="63" t="s">
        <v>318</v>
      </c>
      <c r="I140" s="63"/>
    </row>
    <row r="141" spans="1:9" ht="15" customHeight="1" x14ac:dyDescent="0.3">
      <c r="A141" s="63"/>
      <c r="B141" s="63"/>
      <c r="C141" s="79">
        <v>45667</v>
      </c>
      <c r="D141" s="82" t="s">
        <v>322</v>
      </c>
      <c r="E141" s="81"/>
      <c r="F141" s="81"/>
      <c r="G141" s="81">
        <v>-1000</v>
      </c>
      <c r="H141" s="63"/>
      <c r="I141" s="63"/>
    </row>
    <row r="142" spans="1:9" ht="15" customHeight="1" x14ac:dyDescent="0.3">
      <c r="A142" s="63"/>
      <c r="B142" s="63"/>
      <c r="C142" s="79">
        <v>45667</v>
      </c>
      <c r="D142" s="82" t="s">
        <v>324</v>
      </c>
      <c r="E142" s="81"/>
      <c r="F142" s="81"/>
      <c r="G142" s="81">
        <v>23000</v>
      </c>
      <c r="H142" s="63"/>
      <c r="I142" s="63"/>
    </row>
    <row r="143" spans="1:9" ht="15" customHeight="1" x14ac:dyDescent="0.3">
      <c r="A143" s="63"/>
      <c r="B143" s="63"/>
      <c r="C143" s="79">
        <v>45667</v>
      </c>
      <c r="D143" s="82" t="s">
        <v>325</v>
      </c>
      <c r="E143" s="81"/>
      <c r="F143" s="81"/>
      <c r="G143" s="81">
        <v>-23000</v>
      </c>
      <c r="H143" s="63" t="s">
        <v>326</v>
      </c>
      <c r="I143" s="63"/>
    </row>
    <row r="144" spans="1:9" ht="15" customHeight="1" x14ac:dyDescent="0.3">
      <c r="A144" s="63"/>
      <c r="B144" s="63"/>
      <c r="C144" s="79">
        <v>45668</v>
      </c>
      <c r="D144" s="82" t="s">
        <v>330</v>
      </c>
      <c r="E144" s="81"/>
      <c r="F144" s="81"/>
      <c r="G144" s="81">
        <v>25000</v>
      </c>
      <c r="H144" s="63"/>
      <c r="I144" s="63"/>
    </row>
    <row r="145" spans="1:9" ht="15" customHeight="1" x14ac:dyDescent="0.3">
      <c r="A145" s="63"/>
      <c r="B145" s="63"/>
      <c r="C145" s="79">
        <v>45668</v>
      </c>
      <c r="D145" s="82" t="s">
        <v>331</v>
      </c>
      <c r="E145" s="81"/>
      <c r="F145" s="81"/>
      <c r="G145" s="81">
        <v>78000</v>
      </c>
      <c r="H145" s="63"/>
      <c r="I145" s="63"/>
    </row>
    <row r="146" spans="1:9" ht="15" customHeight="1" x14ac:dyDescent="0.3">
      <c r="A146" s="63"/>
      <c r="B146" s="63"/>
      <c r="C146" s="79">
        <v>45670</v>
      </c>
      <c r="D146" s="82" t="s">
        <v>332</v>
      </c>
      <c r="E146" s="81"/>
      <c r="F146" s="81"/>
      <c r="G146" s="81">
        <v>-80000</v>
      </c>
      <c r="H146" s="63"/>
      <c r="I146" s="63"/>
    </row>
    <row r="147" spans="1:9" ht="15" customHeight="1" x14ac:dyDescent="0.3">
      <c r="A147" s="63"/>
      <c r="B147" s="63"/>
      <c r="C147" s="79">
        <v>45682</v>
      </c>
      <c r="D147" s="82" t="s">
        <v>349</v>
      </c>
      <c r="E147" s="81"/>
      <c r="F147" s="81"/>
      <c r="G147" s="81">
        <v>-84500</v>
      </c>
      <c r="H147" s="63"/>
      <c r="I147" s="63"/>
    </row>
    <row r="148" spans="1:9" ht="15" customHeight="1" x14ac:dyDescent="0.3">
      <c r="A148" s="63"/>
      <c r="B148" s="63"/>
      <c r="C148" s="79">
        <v>45682</v>
      </c>
      <c r="D148" s="82" t="s">
        <v>351</v>
      </c>
      <c r="E148" s="81"/>
      <c r="F148" s="81"/>
      <c r="G148" s="81">
        <v>-66000</v>
      </c>
      <c r="H148" s="63"/>
      <c r="I148" s="63"/>
    </row>
    <row r="149" spans="1:9" ht="15" customHeight="1" x14ac:dyDescent="0.3">
      <c r="A149" s="63"/>
      <c r="B149" s="63"/>
      <c r="C149" s="79">
        <v>45689</v>
      </c>
      <c r="D149" s="82" t="s">
        <v>362</v>
      </c>
      <c r="E149" s="81"/>
      <c r="F149" s="81"/>
      <c r="G149" s="81">
        <v>56000</v>
      </c>
      <c r="H149" s="63"/>
      <c r="I149" s="63"/>
    </row>
    <row r="150" spans="1:9" ht="15" customHeight="1" x14ac:dyDescent="0.3">
      <c r="A150" s="63"/>
      <c r="B150" s="63"/>
      <c r="C150" s="79">
        <v>45689</v>
      </c>
      <c r="D150" s="82" t="s">
        <v>363</v>
      </c>
      <c r="E150" s="81"/>
      <c r="F150" s="81"/>
      <c r="G150" s="81">
        <v>-56000</v>
      </c>
      <c r="H150" s="63"/>
      <c r="I150" s="63"/>
    </row>
    <row r="151" spans="1:9" ht="15" customHeight="1" x14ac:dyDescent="0.3">
      <c r="A151" s="63"/>
      <c r="B151" s="63"/>
      <c r="C151" s="79">
        <v>45694</v>
      </c>
      <c r="D151" s="82" t="s">
        <v>411</v>
      </c>
      <c r="E151" s="81"/>
      <c r="F151" s="81"/>
      <c r="G151" s="81">
        <v>-30000</v>
      </c>
      <c r="H151" s="63"/>
      <c r="I151" s="63"/>
    </row>
    <row r="152" spans="1:9" ht="15" customHeight="1" x14ac:dyDescent="0.3">
      <c r="A152" s="63"/>
      <c r="B152" s="63"/>
      <c r="C152" s="79">
        <v>45710</v>
      </c>
      <c r="D152" s="82" t="s">
        <v>413</v>
      </c>
      <c r="E152" s="81"/>
      <c r="F152" s="81"/>
      <c r="G152" s="81">
        <v>-2000</v>
      </c>
      <c r="H152" s="63"/>
      <c r="I152" s="63"/>
    </row>
    <row r="153" spans="1:9" x14ac:dyDescent="0.3">
      <c r="A153" s="63"/>
      <c r="B153" s="63"/>
      <c r="C153" s="79">
        <v>45712</v>
      </c>
      <c r="D153" s="82" t="s">
        <v>330</v>
      </c>
      <c r="E153" s="81"/>
      <c r="F153" s="81"/>
      <c r="G153" s="81">
        <v>100000</v>
      </c>
      <c r="H153" s="63"/>
      <c r="I153" s="63"/>
    </row>
    <row r="154" spans="1:9" x14ac:dyDescent="0.3">
      <c r="A154" s="63"/>
      <c r="B154" s="63"/>
      <c r="C154" s="79"/>
      <c r="D154" s="82"/>
      <c r="E154" s="81"/>
      <c r="F154" s="81"/>
      <c r="G154" s="83">
        <f>SUM(G110:G153)</f>
        <v>97200</v>
      </c>
      <c r="H154" s="63"/>
      <c r="I154" s="63"/>
    </row>
    <row r="155" spans="1:9" x14ac:dyDescent="0.3">
      <c r="A155" s="63"/>
      <c r="B155" s="63"/>
      <c r="C155" s="65"/>
      <c r="D155" s="67"/>
      <c r="E155" s="63"/>
      <c r="F155" s="63"/>
      <c r="G155" s="66"/>
      <c r="H155" s="63"/>
      <c r="I155" s="63"/>
    </row>
    <row r="156" spans="1:9" x14ac:dyDescent="0.3">
      <c r="A156" s="63"/>
      <c r="B156" s="63"/>
      <c r="C156" s="65"/>
      <c r="D156" s="67"/>
      <c r="E156" s="63"/>
      <c r="F156" s="63"/>
      <c r="G156" s="66"/>
      <c r="H156" s="63"/>
      <c r="I156" s="63"/>
    </row>
    <row r="157" spans="1:9" x14ac:dyDescent="0.3">
      <c r="A157" s="63"/>
      <c r="B157" s="63"/>
      <c r="C157" s="65"/>
      <c r="D157" s="67"/>
      <c r="E157" s="63"/>
      <c r="F157" s="63"/>
      <c r="G157" s="66"/>
      <c r="H157" s="63"/>
      <c r="I157" s="63"/>
    </row>
    <row r="158" spans="1:9" x14ac:dyDescent="0.3">
      <c r="A158" s="63"/>
      <c r="B158" s="63"/>
      <c r="C158" s="79"/>
      <c r="D158" s="80" t="s">
        <v>170</v>
      </c>
      <c r="E158" s="81"/>
      <c r="F158" s="81"/>
      <c r="G158" s="81"/>
      <c r="H158" s="63"/>
      <c r="I158" s="63"/>
    </row>
    <row r="159" spans="1:9" x14ac:dyDescent="0.3">
      <c r="A159" s="63"/>
      <c r="B159" s="63"/>
      <c r="C159" s="79">
        <v>45621</v>
      </c>
      <c r="D159" s="82" t="s">
        <v>357</v>
      </c>
      <c r="E159" s="81"/>
      <c r="F159" s="81"/>
      <c r="G159" s="81">
        <v>1000</v>
      </c>
      <c r="H159" s="63"/>
      <c r="I159" s="63"/>
    </row>
    <row r="160" spans="1:9" x14ac:dyDescent="0.3">
      <c r="A160" s="63"/>
      <c r="B160" s="63"/>
      <c r="C160" s="79">
        <v>45621</v>
      </c>
      <c r="D160" s="82" t="s">
        <v>357</v>
      </c>
      <c r="E160" s="81"/>
      <c r="F160" s="81"/>
      <c r="G160" s="81">
        <v>228000</v>
      </c>
      <c r="H160" s="63"/>
      <c r="I160" s="63"/>
    </row>
    <row r="161" spans="1:9" x14ac:dyDescent="0.3">
      <c r="A161" s="63"/>
      <c r="B161" s="63"/>
      <c r="C161" s="79">
        <v>45622</v>
      </c>
      <c r="D161" s="82" t="s">
        <v>357</v>
      </c>
      <c r="E161" s="81"/>
      <c r="F161" s="81"/>
      <c r="G161" s="81">
        <v>240000</v>
      </c>
      <c r="H161" s="63"/>
      <c r="I161" s="63"/>
    </row>
    <row r="162" spans="1:9" x14ac:dyDescent="0.3">
      <c r="A162" s="63"/>
      <c r="B162" s="63"/>
      <c r="C162" s="79">
        <v>45622</v>
      </c>
      <c r="D162" s="82" t="s">
        <v>357</v>
      </c>
      <c r="E162" s="81"/>
      <c r="F162" s="81"/>
      <c r="G162" s="81">
        <v>5000</v>
      </c>
      <c r="H162" s="63"/>
      <c r="I162" s="63"/>
    </row>
    <row r="163" spans="1:9" x14ac:dyDescent="0.3">
      <c r="A163" s="63"/>
      <c r="B163" s="63"/>
      <c r="C163" s="79">
        <v>45622</v>
      </c>
      <c r="D163" s="82" t="s">
        <v>357</v>
      </c>
      <c r="E163" s="81"/>
      <c r="F163" s="81"/>
      <c r="G163" s="81">
        <v>240000</v>
      </c>
      <c r="H163" s="63"/>
      <c r="I163" s="63"/>
    </row>
    <row r="164" spans="1:9" x14ac:dyDescent="0.3">
      <c r="A164" s="63"/>
      <c r="B164" s="63"/>
      <c r="C164" s="79">
        <v>45623</v>
      </c>
      <c r="D164" s="82" t="s">
        <v>357</v>
      </c>
      <c r="E164" s="81"/>
      <c r="F164" s="81"/>
      <c r="G164" s="81">
        <v>100000</v>
      </c>
      <c r="H164" s="63"/>
      <c r="I164" s="63"/>
    </row>
    <row r="165" spans="1:9" x14ac:dyDescent="0.3">
      <c r="A165" s="63"/>
      <c r="B165" s="63"/>
      <c r="C165" s="79">
        <v>45623</v>
      </c>
      <c r="D165" s="82" t="s">
        <v>357</v>
      </c>
      <c r="E165" s="81"/>
      <c r="F165" s="81"/>
      <c r="G165" s="81">
        <v>200000</v>
      </c>
      <c r="H165" s="63"/>
      <c r="I165" s="63"/>
    </row>
    <row r="166" spans="1:9" x14ac:dyDescent="0.3">
      <c r="A166" s="63"/>
      <c r="B166" s="63"/>
      <c r="C166" s="79">
        <v>45624</v>
      </c>
      <c r="D166" s="82" t="s">
        <v>357</v>
      </c>
      <c r="E166" s="81"/>
      <c r="F166" s="81"/>
      <c r="G166" s="81">
        <v>26000</v>
      </c>
      <c r="H166" s="63"/>
      <c r="I166" s="63"/>
    </row>
    <row r="167" spans="1:9" x14ac:dyDescent="0.3">
      <c r="A167" s="63"/>
      <c r="B167" s="63"/>
      <c r="C167" s="79">
        <v>45629</v>
      </c>
      <c r="D167" s="82" t="s">
        <v>357</v>
      </c>
      <c r="E167" s="81"/>
      <c r="F167" s="81"/>
      <c r="G167" s="81">
        <v>350000</v>
      </c>
      <c r="H167" s="63"/>
      <c r="I167" s="63"/>
    </row>
    <row r="168" spans="1:9" x14ac:dyDescent="0.3">
      <c r="A168" s="63"/>
      <c r="B168" s="63"/>
      <c r="C168" s="79">
        <v>45629</v>
      </c>
      <c r="D168" s="82" t="s">
        <v>357</v>
      </c>
      <c r="E168" s="81"/>
      <c r="F168" s="81"/>
      <c r="G168" s="81">
        <v>90500</v>
      </c>
      <c r="H168" s="63"/>
      <c r="I168" s="63"/>
    </row>
    <row r="169" spans="1:9" x14ac:dyDescent="0.3">
      <c r="A169" s="63"/>
      <c r="B169" s="63"/>
      <c r="C169" s="79">
        <v>45629</v>
      </c>
      <c r="D169" s="82" t="s">
        <v>357</v>
      </c>
      <c r="E169" s="81"/>
      <c r="F169" s="81"/>
      <c r="G169" s="81">
        <v>100000</v>
      </c>
      <c r="H169" s="63"/>
      <c r="I169" s="63"/>
    </row>
    <row r="170" spans="1:9" x14ac:dyDescent="0.3">
      <c r="A170" s="63"/>
      <c r="B170" s="63"/>
      <c r="C170" s="79">
        <v>45630</v>
      </c>
      <c r="D170" s="82" t="s">
        <v>357</v>
      </c>
      <c r="E170" s="81"/>
      <c r="F170" s="81"/>
      <c r="G170" s="81">
        <v>10000</v>
      </c>
      <c r="H170" s="63"/>
      <c r="I170" s="63"/>
    </row>
    <row r="171" spans="1:9" x14ac:dyDescent="0.3">
      <c r="A171" s="63"/>
      <c r="B171" s="63"/>
      <c r="C171" s="79">
        <v>45631</v>
      </c>
      <c r="D171" s="82" t="s">
        <v>357</v>
      </c>
      <c r="E171" s="81"/>
      <c r="F171" s="81"/>
      <c r="G171" s="81">
        <v>100000</v>
      </c>
      <c r="H171" s="63"/>
      <c r="I171" s="63"/>
    </row>
    <row r="172" spans="1:9" x14ac:dyDescent="0.3">
      <c r="A172" s="63"/>
      <c r="B172" s="63"/>
      <c r="C172" s="79">
        <v>45631</v>
      </c>
      <c r="D172" s="84" t="s">
        <v>168</v>
      </c>
      <c r="E172" s="81"/>
      <c r="F172" s="81"/>
      <c r="G172" s="85">
        <v>-100000</v>
      </c>
      <c r="H172" s="63"/>
      <c r="I172" s="63"/>
    </row>
    <row r="173" spans="1:9" x14ac:dyDescent="0.3">
      <c r="A173" s="63"/>
      <c r="B173" s="63"/>
      <c r="C173" s="79">
        <v>45631</v>
      </c>
      <c r="D173" s="82" t="s">
        <v>357</v>
      </c>
      <c r="E173" s="81"/>
      <c r="F173" s="81"/>
      <c r="G173" s="81">
        <v>252000</v>
      </c>
      <c r="H173" s="63"/>
      <c r="I173" s="63"/>
    </row>
    <row r="174" spans="1:9" x14ac:dyDescent="0.3">
      <c r="A174" s="63"/>
      <c r="B174" s="63"/>
      <c r="C174" s="79">
        <v>45631</v>
      </c>
      <c r="D174" s="82" t="s">
        <v>357</v>
      </c>
      <c r="E174" s="81"/>
      <c r="F174" s="81"/>
      <c r="G174" s="81">
        <v>290000</v>
      </c>
      <c r="H174" s="63"/>
      <c r="I174" s="63"/>
    </row>
    <row r="175" spans="1:9" x14ac:dyDescent="0.3">
      <c r="A175" s="63"/>
      <c r="B175" s="63"/>
      <c r="C175" s="79">
        <v>45631</v>
      </c>
      <c r="D175" s="82" t="s">
        <v>357</v>
      </c>
      <c r="E175" s="81"/>
      <c r="F175" s="81"/>
      <c r="G175" s="81">
        <v>104000</v>
      </c>
      <c r="H175" s="63"/>
      <c r="I175" s="63"/>
    </row>
    <row r="176" spans="1:9" x14ac:dyDescent="0.3">
      <c r="A176" s="63"/>
      <c r="B176" s="63"/>
      <c r="C176" s="79">
        <v>45632</v>
      </c>
      <c r="D176" s="82" t="s">
        <v>357</v>
      </c>
      <c r="E176" s="81"/>
      <c r="F176" s="81"/>
      <c r="G176" s="81">
        <v>74000</v>
      </c>
      <c r="H176" s="63"/>
      <c r="I176" s="63"/>
    </row>
    <row r="177" spans="1:9" x14ac:dyDescent="0.3">
      <c r="A177" s="63"/>
      <c r="B177" s="63"/>
      <c r="C177" s="79">
        <v>45635</v>
      </c>
      <c r="D177" s="82" t="s">
        <v>357</v>
      </c>
      <c r="E177" s="81"/>
      <c r="F177" s="81"/>
      <c r="G177" s="81">
        <v>150000</v>
      </c>
      <c r="H177" s="63"/>
      <c r="I177" s="63"/>
    </row>
    <row r="178" spans="1:9" x14ac:dyDescent="0.3">
      <c r="A178" s="63"/>
      <c r="B178" s="63"/>
      <c r="C178" s="79">
        <v>45636</v>
      </c>
      <c r="D178" s="82" t="s">
        <v>357</v>
      </c>
      <c r="E178" s="81"/>
      <c r="F178" s="81"/>
      <c r="G178" s="81">
        <v>100000</v>
      </c>
      <c r="H178" s="63"/>
      <c r="I178" s="63"/>
    </row>
    <row r="179" spans="1:9" x14ac:dyDescent="0.3">
      <c r="A179" s="63"/>
      <c r="B179" s="63"/>
      <c r="C179" s="79">
        <v>45636</v>
      </c>
      <c r="D179" s="82" t="s">
        <v>357</v>
      </c>
      <c r="E179" s="81"/>
      <c r="F179" s="81"/>
      <c r="G179" s="81">
        <v>125000</v>
      </c>
      <c r="H179" s="63"/>
      <c r="I179" s="63"/>
    </row>
    <row r="180" spans="1:9" x14ac:dyDescent="0.3">
      <c r="A180" s="63"/>
      <c r="B180" s="63"/>
      <c r="C180" s="79">
        <v>45637</v>
      </c>
      <c r="D180" s="82" t="s">
        <v>357</v>
      </c>
      <c r="E180" s="81"/>
      <c r="F180" s="81"/>
      <c r="G180" s="81">
        <v>149000</v>
      </c>
      <c r="H180" s="63"/>
      <c r="I180" s="63"/>
    </row>
    <row r="181" spans="1:9" x14ac:dyDescent="0.3">
      <c r="A181" s="63"/>
      <c r="B181" s="63"/>
      <c r="C181" s="79">
        <v>45638</v>
      </c>
      <c r="D181" s="82" t="s">
        <v>357</v>
      </c>
      <c r="E181" s="81"/>
      <c r="F181" s="81"/>
      <c r="G181" s="81">
        <v>100000</v>
      </c>
      <c r="H181" s="63"/>
      <c r="I181" s="63"/>
    </row>
    <row r="182" spans="1:9" x14ac:dyDescent="0.3">
      <c r="A182" s="63"/>
      <c r="B182" s="63"/>
      <c r="C182" s="79">
        <v>45638</v>
      </c>
      <c r="D182" s="82" t="s">
        <v>357</v>
      </c>
      <c r="E182" s="81"/>
      <c r="F182" s="81"/>
      <c r="G182" s="81">
        <v>270000</v>
      </c>
      <c r="H182" s="63"/>
      <c r="I182" s="63"/>
    </row>
    <row r="183" spans="1:9" x14ac:dyDescent="0.3">
      <c r="A183" s="63"/>
      <c r="B183" s="63"/>
      <c r="C183" s="79">
        <v>45639</v>
      </c>
      <c r="D183" s="84" t="s">
        <v>216</v>
      </c>
      <c r="E183" s="81"/>
      <c r="F183" s="81"/>
      <c r="G183" s="85">
        <v>-40000</v>
      </c>
      <c r="H183" s="63"/>
      <c r="I183" s="63"/>
    </row>
    <row r="184" spans="1:9" x14ac:dyDescent="0.3">
      <c r="A184" s="63"/>
      <c r="B184" s="63"/>
      <c r="C184" s="79">
        <v>45640</v>
      </c>
      <c r="D184" s="82" t="s">
        <v>357</v>
      </c>
      <c r="E184" s="81"/>
      <c r="F184" s="81"/>
      <c r="G184" s="81">
        <v>170000</v>
      </c>
      <c r="H184" s="63"/>
      <c r="I184" s="63"/>
    </row>
    <row r="185" spans="1:9" x14ac:dyDescent="0.3">
      <c r="A185" s="63"/>
      <c r="B185" s="63"/>
      <c r="C185" s="79">
        <v>45640</v>
      </c>
      <c r="D185" s="82" t="s">
        <v>357</v>
      </c>
      <c r="E185" s="81"/>
      <c r="F185" s="81"/>
      <c r="G185" s="81">
        <v>170000</v>
      </c>
      <c r="H185" s="63"/>
      <c r="I185" s="63"/>
    </row>
    <row r="186" spans="1:9" x14ac:dyDescent="0.3">
      <c r="A186" s="63"/>
      <c r="B186" s="63"/>
      <c r="C186" s="79">
        <v>45640</v>
      </c>
      <c r="D186" s="82" t="s">
        <v>219</v>
      </c>
      <c r="E186" s="81"/>
      <c r="F186" s="81"/>
      <c r="G186" s="85">
        <v>-40000</v>
      </c>
      <c r="H186" s="63"/>
      <c r="I186" s="63"/>
    </row>
    <row r="187" spans="1:9" x14ac:dyDescent="0.3">
      <c r="A187" s="63"/>
      <c r="B187" s="63"/>
      <c r="C187" s="79">
        <v>45640</v>
      </c>
      <c r="D187" s="82" t="s">
        <v>220</v>
      </c>
      <c r="E187" s="81"/>
      <c r="F187" s="81"/>
      <c r="G187" s="85">
        <v>-40000</v>
      </c>
      <c r="H187" s="63"/>
      <c r="I187" s="63"/>
    </row>
    <row r="188" spans="1:9" x14ac:dyDescent="0.3">
      <c r="A188" s="63"/>
      <c r="B188" s="63"/>
      <c r="C188" s="79">
        <v>45642</v>
      </c>
      <c r="D188" s="82" t="s">
        <v>357</v>
      </c>
      <c r="E188" s="81"/>
      <c r="F188" s="81"/>
      <c r="G188" s="81">
        <v>100000</v>
      </c>
      <c r="H188" s="63"/>
      <c r="I188" s="63"/>
    </row>
    <row r="189" spans="1:9" x14ac:dyDescent="0.3">
      <c r="A189" s="63"/>
      <c r="B189" s="63"/>
      <c r="C189" s="79">
        <v>45642</v>
      </c>
      <c r="D189" s="82" t="s">
        <v>357</v>
      </c>
      <c r="E189" s="81"/>
      <c r="F189" s="81"/>
      <c r="G189" s="81">
        <v>50000</v>
      </c>
      <c r="H189" s="63"/>
      <c r="I189" s="63"/>
    </row>
    <row r="190" spans="1:9" x14ac:dyDescent="0.3">
      <c r="A190" s="63"/>
      <c r="B190" s="63"/>
      <c r="C190" s="79">
        <v>45642</v>
      </c>
      <c r="D190" s="82" t="s">
        <v>357</v>
      </c>
      <c r="E190" s="81"/>
      <c r="F190" s="81"/>
      <c r="G190" s="81">
        <v>100000</v>
      </c>
      <c r="H190" s="63"/>
      <c r="I190" s="63"/>
    </row>
    <row r="191" spans="1:9" x14ac:dyDescent="0.3">
      <c r="A191" s="63"/>
      <c r="B191" s="63"/>
      <c r="C191" s="79">
        <v>45642</v>
      </c>
      <c r="D191" s="82" t="s">
        <v>357</v>
      </c>
      <c r="E191" s="81"/>
      <c r="F191" s="81"/>
      <c r="G191" s="81">
        <v>50000</v>
      </c>
      <c r="H191" s="63"/>
      <c r="I191" s="63"/>
    </row>
    <row r="192" spans="1:9" x14ac:dyDescent="0.3">
      <c r="A192" s="63"/>
      <c r="B192" s="63"/>
      <c r="C192" s="79">
        <v>45643</v>
      </c>
      <c r="D192" s="82" t="s">
        <v>357</v>
      </c>
      <c r="E192" s="81"/>
      <c r="F192" s="81"/>
      <c r="G192" s="86">
        <v>100000</v>
      </c>
      <c r="H192" s="63"/>
      <c r="I192" s="63"/>
    </row>
    <row r="193" spans="1:9" x14ac:dyDescent="0.3">
      <c r="A193" s="63"/>
      <c r="B193" s="63"/>
      <c r="C193" s="79">
        <v>45643</v>
      </c>
      <c r="D193" s="82" t="s">
        <v>357</v>
      </c>
      <c r="E193" s="81"/>
      <c r="F193" s="81"/>
      <c r="G193" s="86">
        <v>100000</v>
      </c>
      <c r="H193" s="63"/>
      <c r="I193" s="63"/>
    </row>
    <row r="194" spans="1:9" x14ac:dyDescent="0.3">
      <c r="A194" s="63"/>
      <c r="B194" s="63"/>
      <c r="C194" s="79">
        <v>45644</v>
      </c>
      <c r="D194" s="82" t="s">
        <v>221</v>
      </c>
      <c r="E194" s="81"/>
      <c r="F194" s="81"/>
      <c r="G194" s="87">
        <v>-1000000</v>
      </c>
      <c r="H194" s="63"/>
      <c r="I194" s="63"/>
    </row>
    <row r="195" spans="1:9" x14ac:dyDescent="0.3">
      <c r="A195" s="63"/>
      <c r="B195" s="63"/>
      <c r="C195" s="79">
        <v>45647</v>
      </c>
      <c r="D195" s="82" t="s">
        <v>225</v>
      </c>
      <c r="E195" s="81"/>
      <c r="F195" s="81"/>
      <c r="G195" s="85">
        <v>-50000</v>
      </c>
      <c r="H195" s="63"/>
      <c r="I195" s="63"/>
    </row>
    <row r="196" spans="1:9" x14ac:dyDescent="0.3">
      <c r="A196" s="63"/>
      <c r="B196" s="63"/>
      <c r="C196" s="79">
        <v>45647</v>
      </c>
      <c r="D196" s="82" t="s">
        <v>357</v>
      </c>
      <c r="E196" s="81"/>
      <c r="F196" s="81"/>
      <c r="G196" s="88">
        <v>100000</v>
      </c>
      <c r="H196" s="63"/>
      <c r="I196" s="63"/>
    </row>
    <row r="197" spans="1:9" x14ac:dyDescent="0.3">
      <c r="A197" s="63"/>
      <c r="B197" s="63"/>
      <c r="C197" s="79">
        <v>45649</v>
      </c>
      <c r="D197" s="82" t="s">
        <v>233</v>
      </c>
      <c r="E197" s="81"/>
      <c r="F197" s="81"/>
      <c r="G197" s="87">
        <v>-1000000</v>
      </c>
      <c r="H197" s="63"/>
      <c r="I197" s="63"/>
    </row>
    <row r="198" spans="1:9" x14ac:dyDescent="0.3">
      <c r="A198" s="63"/>
      <c r="B198" s="63"/>
      <c r="C198" s="79">
        <v>45649</v>
      </c>
      <c r="D198" s="82" t="s">
        <v>357</v>
      </c>
      <c r="E198" s="81"/>
      <c r="F198" s="81"/>
      <c r="G198" s="89">
        <v>26000</v>
      </c>
      <c r="H198" s="63"/>
      <c r="I198" s="63"/>
    </row>
    <row r="199" spans="1:9" x14ac:dyDescent="0.3">
      <c r="A199" s="63"/>
      <c r="B199" s="63"/>
      <c r="C199" s="79">
        <v>45649</v>
      </c>
      <c r="D199" s="82" t="s">
        <v>357</v>
      </c>
      <c r="E199" s="81"/>
      <c r="F199" s="81"/>
      <c r="G199" s="89">
        <v>104000</v>
      </c>
      <c r="H199" s="63"/>
      <c r="I199" s="63"/>
    </row>
    <row r="200" spans="1:9" x14ac:dyDescent="0.3">
      <c r="A200" s="63"/>
      <c r="B200" s="63"/>
      <c r="C200" s="79">
        <v>45649</v>
      </c>
      <c r="D200" s="82" t="s">
        <v>357</v>
      </c>
      <c r="E200" s="81"/>
      <c r="F200" s="81"/>
      <c r="G200" s="89">
        <v>150000</v>
      </c>
      <c r="H200" s="63"/>
      <c r="I200" s="63"/>
    </row>
    <row r="201" spans="1:9" x14ac:dyDescent="0.3">
      <c r="A201" s="63"/>
      <c r="B201" s="63"/>
      <c r="C201" s="79">
        <v>45650</v>
      </c>
      <c r="D201" s="82" t="s">
        <v>241</v>
      </c>
      <c r="E201" s="81"/>
      <c r="F201" s="81"/>
      <c r="G201" s="87">
        <v>-1000000</v>
      </c>
      <c r="H201" s="63"/>
      <c r="I201" s="63"/>
    </row>
    <row r="202" spans="1:9" x14ac:dyDescent="0.3">
      <c r="A202" s="63"/>
      <c r="B202" s="63"/>
      <c r="C202" s="79">
        <v>45650</v>
      </c>
      <c r="D202" s="82" t="s">
        <v>237</v>
      </c>
      <c r="E202" s="81"/>
      <c r="F202" s="81"/>
      <c r="G202" s="87">
        <v>-111144</v>
      </c>
      <c r="H202" s="63"/>
      <c r="I202" s="63"/>
    </row>
    <row r="203" spans="1:9" x14ac:dyDescent="0.3">
      <c r="A203" s="63"/>
      <c r="B203" s="63"/>
      <c r="C203" s="79">
        <v>45650</v>
      </c>
      <c r="D203" s="82" t="s">
        <v>357</v>
      </c>
      <c r="E203" s="81"/>
      <c r="F203" s="81"/>
      <c r="G203" s="89">
        <v>150000</v>
      </c>
      <c r="H203" s="63"/>
      <c r="I203" s="63"/>
    </row>
    <row r="204" spans="1:9" x14ac:dyDescent="0.3">
      <c r="A204" s="63"/>
      <c r="B204" s="63"/>
      <c r="C204" s="79">
        <v>45651</v>
      </c>
      <c r="D204" s="82" t="s">
        <v>241</v>
      </c>
      <c r="E204" s="81"/>
      <c r="F204" s="81"/>
      <c r="G204" s="87">
        <f>-250000-154000</f>
        <v>-404000</v>
      </c>
      <c r="H204" s="63"/>
      <c r="I204" s="63"/>
    </row>
    <row r="205" spans="1:9" x14ac:dyDescent="0.3">
      <c r="A205" s="63"/>
      <c r="B205" s="63"/>
      <c r="C205" s="79">
        <v>45652</v>
      </c>
      <c r="D205" s="82" t="s">
        <v>243</v>
      </c>
      <c r="E205" s="81"/>
      <c r="F205" s="81"/>
      <c r="G205" s="87">
        <v>-42400</v>
      </c>
      <c r="H205" s="63"/>
      <c r="I205" s="63"/>
    </row>
    <row r="206" spans="1:9" x14ac:dyDescent="0.3">
      <c r="A206" s="63"/>
      <c r="B206" s="63"/>
      <c r="C206" s="79">
        <v>45652</v>
      </c>
      <c r="D206" s="82" t="s">
        <v>357</v>
      </c>
      <c r="E206" s="81"/>
      <c r="F206" s="81"/>
      <c r="G206" s="89">
        <v>98000</v>
      </c>
      <c r="H206" s="63"/>
      <c r="I206" s="63"/>
    </row>
    <row r="207" spans="1:9" x14ac:dyDescent="0.3">
      <c r="A207" s="63"/>
      <c r="B207" s="63"/>
      <c r="C207" s="79">
        <v>45652</v>
      </c>
      <c r="D207" s="82" t="s">
        <v>357</v>
      </c>
      <c r="E207" s="81"/>
      <c r="F207" s="81"/>
      <c r="G207" s="89">
        <v>200000</v>
      </c>
      <c r="H207" s="63"/>
      <c r="I207" s="63"/>
    </row>
    <row r="208" spans="1:9" x14ac:dyDescent="0.3">
      <c r="A208" s="63"/>
      <c r="B208" s="63"/>
      <c r="C208" s="79">
        <v>45653</v>
      </c>
      <c r="D208" s="82" t="s">
        <v>250</v>
      </c>
      <c r="E208" s="81"/>
      <c r="F208" s="81"/>
      <c r="G208" s="89">
        <v>-250000</v>
      </c>
      <c r="H208" s="63"/>
      <c r="I208" s="63"/>
    </row>
    <row r="209" spans="1:9" x14ac:dyDescent="0.3">
      <c r="A209" s="63"/>
      <c r="B209" s="63"/>
      <c r="C209" s="79">
        <v>45654</v>
      </c>
      <c r="D209" s="82" t="s">
        <v>358</v>
      </c>
      <c r="E209" s="81"/>
      <c r="F209" s="81"/>
      <c r="G209" s="89">
        <v>40000</v>
      </c>
      <c r="H209" s="63"/>
      <c r="I209" s="63"/>
    </row>
    <row r="210" spans="1:9" x14ac:dyDescent="0.3">
      <c r="A210" s="63"/>
      <c r="B210" s="63"/>
      <c r="C210" s="79">
        <v>45654</v>
      </c>
      <c r="D210" s="82" t="s">
        <v>252</v>
      </c>
      <c r="E210" s="81"/>
      <c r="F210" s="81"/>
      <c r="G210" s="89">
        <v>-40000</v>
      </c>
      <c r="H210" s="63"/>
      <c r="I210" s="63"/>
    </row>
    <row r="211" spans="1:9" x14ac:dyDescent="0.3">
      <c r="A211" s="63"/>
      <c r="B211" s="63"/>
      <c r="C211" s="79">
        <v>45656</v>
      </c>
      <c r="D211" s="82" t="s">
        <v>257</v>
      </c>
      <c r="E211" s="81"/>
      <c r="F211" s="81"/>
      <c r="G211" s="89">
        <v>-40000</v>
      </c>
      <c r="H211" s="63"/>
      <c r="I211" s="63"/>
    </row>
    <row r="212" spans="1:9" x14ac:dyDescent="0.3">
      <c r="A212" s="63"/>
      <c r="B212" s="63"/>
      <c r="C212" s="79"/>
      <c r="D212" s="82" t="s">
        <v>360</v>
      </c>
      <c r="E212" s="81"/>
      <c r="F212" s="81"/>
      <c r="G212" s="89">
        <v>-854956</v>
      </c>
      <c r="H212" s="63"/>
      <c r="I212" s="63"/>
    </row>
    <row r="213" spans="1:9" x14ac:dyDescent="0.3">
      <c r="A213" s="63"/>
      <c r="B213" s="63"/>
      <c r="C213" s="79"/>
      <c r="D213" s="82"/>
      <c r="E213" s="81"/>
      <c r="F213" s="81"/>
      <c r="G213" s="89"/>
      <c r="H213" s="63"/>
      <c r="I213" s="63"/>
    </row>
    <row r="214" spans="1:9" x14ac:dyDescent="0.3">
      <c r="A214" s="63"/>
      <c r="B214" s="63"/>
      <c r="C214" s="79"/>
      <c r="D214" s="82"/>
      <c r="E214" s="81"/>
      <c r="F214" s="81"/>
      <c r="G214" s="88"/>
      <c r="H214" s="63"/>
      <c r="I214" s="63"/>
    </row>
    <row r="215" spans="1:9" x14ac:dyDescent="0.3">
      <c r="A215" s="63"/>
      <c r="B215" s="63"/>
      <c r="C215" s="81"/>
      <c r="D215" s="81"/>
      <c r="E215" s="81"/>
      <c r="F215" s="81"/>
      <c r="G215" s="83">
        <f>SUM(G159:G214)</f>
        <v>0</v>
      </c>
      <c r="H215" s="73">
        <f>G215/79</f>
        <v>0</v>
      </c>
      <c r="I215" s="63"/>
    </row>
    <row r="216" spans="1:9" x14ac:dyDescent="0.3">
      <c r="A216" s="63"/>
      <c r="B216" s="63"/>
      <c r="C216" s="81"/>
      <c r="D216" s="81"/>
      <c r="E216" s="81"/>
      <c r="F216" s="81"/>
      <c r="G216" s="81"/>
      <c r="H216" s="63"/>
      <c r="I216" s="63"/>
    </row>
    <row r="217" spans="1:9" x14ac:dyDescent="0.3">
      <c r="A217" s="63"/>
      <c r="B217" s="63"/>
      <c r="C217" s="63"/>
      <c r="D217" s="63"/>
      <c r="E217" s="63"/>
      <c r="F217" s="63"/>
      <c r="G217" s="63"/>
      <c r="H217" s="63"/>
      <c r="I217" s="63"/>
    </row>
    <row r="218" spans="1:9" x14ac:dyDescent="0.3">
      <c r="A218" s="63"/>
      <c r="B218" s="63"/>
      <c r="C218" s="63"/>
      <c r="D218" s="64" t="s">
        <v>329</v>
      </c>
      <c r="E218" s="63"/>
      <c r="F218" s="63"/>
      <c r="G218" s="63"/>
      <c r="H218" s="63"/>
      <c r="I218" s="63"/>
    </row>
    <row r="219" spans="1:9" x14ac:dyDescent="0.3">
      <c r="A219" s="63"/>
      <c r="B219" s="63"/>
      <c r="C219" s="79"/>
      <c r="D219" s="80" t="s">
        <v>170</v>
      </c>
      <c r="E219" s="81"/>
      <c r="F219" s="81"/>
      <c r="G219" s="81"/>
      <c r="H219" s="63"/>
      <c r="I219" s="63"/>
    </row>
    <row r="220" spans="1:9" x14ac:dyDescent="0.3">
      <c r="A220" s="63"/>
      <c r="B220" s="63"/>
      <c r="C220" s="79"/>
      <c r="D220" s="82" t="s">
        <v>285</v>
      </c>
      <c r="E220" s="81"/>
      <c r="F220" s="81"/>
      <c r="G220" s="81">
        <v>-163350</v>
      </c>
      <c r="H220" s="63"/>
      <c r="I220" s="63"/>
    </row>
    <row r="221" spans="1:9" x14ac:dyDescent="0.3">
      <c r="A221" s="63"/>
      <c r="B221" s="63"/>
      <c r="C221" s="79">
        <v>45663</v>
      </c>
      <c r="D221" s="82" t="s">
        <v>314</v>
      </c>
      <c r="E221" s="81"/>
      <c r="F221" s="81"/>
      <c r="G221" s="81">
        <v>374000</v>
      </c>
      <c r="H221" s="63" t="s">
        <v>141</v>
      </c>
      <c r="I221" s="63"/>
    </row>
    <row r="222" spans="1:9" x14ac:dyDescent="0.3">
      <c r="A222" s="63"/>
      <c r="B222" s="63"/>
      <c r="C222" s="79">
        <v>45663</v>
      </c>
      <c r="D222" s="82" t="s">
        <v>313</v>
      </c>
      <c r="E222" s="81"/>
      <c r="F222" s="81"/>
      <c r="G222" s="81">
        <v>99000</v>
      </c>
      <c r="H222" s="63" t="s">
        <v>141</v>
      </c>
      <c r="I222" s="63"/>
    </row>
    <row r="223" spans="1:9" x14ac:dyDescent="0.3">
      <c r="A223" s="63"/>
      <c r="B223" s="63"/>
      <c r="C223" s="79">
        <v>45663</v>
      </c>
      <c r="D223" s="82" t="s">
        <v>313</v>
      </c>
      <c r="E223" s="81"/>
      <c r="F223" s="81"/>
      <c r="G223" s="81">
        <v>270000</v>
      </c>
      <c r="H223" s="63" t="s">
        <v>141</v>
      </c>
      <c r="I223" s="63"/>
    </row>
    <row r="224" spans="1:9" x14ac:dyDescent="0.3">
      <c r="A224" s="63"/>
      <c r="B224" s="63"/>
      <c r="C224" s="79">
        <v>45663</v>
      </c>
      <c r="D224" s="82" t="s">
        <v>312</v>
      </c>
      <c r="E224" s="81"/>
      <c r="F224" s="81"/>
      <c r="G224" s="81">
        <v>224000</v>
      </c>
      <c r="H224" s="63" t="s">
        <v>141</v>
      </c>
      <c r="I224" s="63"/>
    </row>
    <row r="225" spans="1:9" x14ac:dyDescent="0.3">
      <c r="A225" s="63"/>
      <c r="B225" s="63"/>
      <c r="C225" s="79">
        <v>45664</v>
      </c>
      <c r="D225" s="82" t="s">
        <v>315</v>
      </c>
      <c r="E225" s="81"/>
      <c r="F225" s="81"/>
      <c r="G225" s="81">
        <v>274891.51</v>
      </c>
      <c r="H225" s="63" t="s">
        <v>141</v>
      </c>
      <c r="I225" s="63"/>
    </row>
    <row r="226" spans="1:9" x14ac:dyDescent="0.3">
      <c r="A226" s="63"/>
      <c r="B226" s="63"/>
      <c r="C226" s="79">
        <v>45664</v>
      </c>
      <c r="D226" s="82" t="s">
        <v>312</v>
      </c>
      <c r="E226" s="81"/>
      <c r="F226" s="81"/>
      <c r="G226" s="81">
        <v>150000</v>
      </c>
      <c r="H226" s="63" t="s">
        <v>141</v>
      </c>
      <c r="I226" s="63"/>
    </row>
    <row r="227" spans="1:9" x14ac:dyDescent="0.3">
      <c r="A227" s="63"/>
      <c r="B227" s="63"/>
      <c r="C227" s="79">
        <v>45664</v>
      </c>
      <c r="D227" s="82" t="s">
        <v>313</v>
      </c>
      <c r="E227" s="81"/>
      <c r="F227" s="81"/>
      <c r="G227" s="81">
        <v>103000</v>
      </c>
      <c r="H227" s="63" t="s">
        <v>141</v>
      </c>
      <c r="I227" s="63"/>
    </row>
    <row r="228" spans="1:9" x14ac:dyDescent="0.3">
      <c r="A228" s="63"/>
      <c r="B228" s="63"/>
      <c r="C228" s="79">
        <v>45667</v>
      </c>
      <c r="D228" s="82" t="s">
        <v>321</v>
      </c>
      <c r="E228" s="81"/>
      <c r="F228" s="81"/>
      <c r="G228" s="81">
        <v>150000</v>
      </c>
      <c r="H228" s="63" t="s">
        <v>141</v>
      </c>
      <c r="I228" s="63"/>
    </row>
    <row r="229" spans="1:9" x14ac:dyDescent="0.3">
      <c r="A229" s="63"/>
      <c r="B229" s="63"/>
      <c r="C229" s="79">
        <v>45668</v>
      </c>
      <c r="D229" s="82" t="s">
        <v>313</v>
      </c>
      <c r="E229" s="81"/>
      <c r="F229" s="81"/>
      <c r="G229" s="81">
        <v>200000</v>
      </c>
      <c r="H229" s="63" t="s">
        <v>141</v>
      </c>
      <c r="I229" s="63"/>
    </row>
    <row r="230" spans="1:9" x14ac:dyDescent="0.3">
      <c r="A230" s="63"/>
      <c r="B230" s="63"/>
      <c r="C230" s="79">
        <v>45668</v>
      </c>
      <c r="D230" s="82" t="s">
        <v>313</v>
      </c>
      <c r="E230" s="81"/>
      <c r="F230" s="81"/>
      <c r="G230" s="81">
        <v>250000</v>
      </c>
      <c r="H230" s="63" t="s">
        <v>141</v>
      </c>
      <c r="I230" s="63"/>
    </row>
    <row r="231" spans="1:9" x14ac:dyDescent="0.3">
      <c r="A231" s="63"/>
      <c r="B231" s="63"/>
      <c r="C231" s="79">
        <v>45668</v>
      </c>
      <c r="D231" s="82" t="s">
        <v>312</v>
      </c>
      <c r="E231" s="81"/>
      <c r="F231" s="81"/>
      <c r="G231" s="81">
        <v>200000</v>
      </c>
      <c r="H231" s="63" t="s">
        <v>141</v>
      </c>
      <c r="I231" s="63"/>
    </row>
    <row r="232" spans="1:9" x14ac:dyDescent="0.3">
      <c r="A232" s="63"/>
      <c r="B232" s="63"/>
      <c r="C232" s="79">
        <v>45668</v>
      </c>
      <c r="D232" s="82" t="s">
        <v>312</v>
      </c>
      <c r="E232" s="81"/>
      <c r="F232" s="81"/>
      <c r="G232" s="81">
        <v>100000</v>
      </c>
      <c r="H232" s="63" t="s">
        <v>141</v>
      </c>
      <c r="I232" s="63"/>
    </row>
    <row r="233" spans="1:9" x14ac:dyDescent="0.3">
      <c r="A233" s="63"/>
      <c r="B233" s="63"/>
      <c r="C233" s="79">
        <v>45668</v>
      </c>
      <c r="D233" s="82" t="s">
        <v>313</v>
      </c>
      <c r="E233" s="81"/>
      <c r="F233" s="81"/>
      <c r="G233" s="81">
        <v>110000</v>
      </c>
      <c r="H233" s="63" t="s">
        <v>141</v>
      </c>
      <c r="I233" s="63"/>
    </row>
    <row r="234" spans="1:9" x14ac:dyDescent="0.3">
      <c r="A234" s="63"/>
      <c r="B234" s="63"/>
      <c r="C234" s="79">
        <v>45670</v>
      </c>
      <c r="D234" s="82" t="s">
        <v>313</v>
      </c>
      <c r="E234" s="81"/>
      <c r="F234" s="81"/>
      <c r="G234" s="81">
        <v>254000</v>
      </c>
      <c r="H234" s="63" t="s">
        <v>141</v>
      </c>
      <c r="I234" s="63"/>
    </row>
    <row r="235" spans="1:9" x14ac:dyDescent="0.3">
      <c r="A235" s="63"/>
      <c r="B235" s="63"/>
      <c r="C235" s="79">
        <v>45670</v>
      </c>
      <c r="D235" s="82" t="s">
        <v>313</v>
      </c>
      <c r="E235" s="81"/>
      <c r="F235" s="81"/>
      <c r="G235" s="81">
        <v>115000</v>
      </c>
      <c r="H235" s="63" t="s">
        <v>141</v>
      </c>
      <c r="I235" s="63"/>
    </row>
    <row r="236" spans="1:9" x14ac:dyDescent="0.3">
      <c r="A236" s="63"/>
      <c r="B236" s="63"/>
      <c r="C236" s="79">
        <v>45672</v>
      </c>
      <c r="D236" s="82" t="s">
        <v>313</v>
      </c>
      <c r="E236" s="81"/>
      <c r="F236" s="81"/>
      <c r="G236" s="81">
        <v>205100</v>
      </c>
      <c r="H236" s="63" t="s">
        <v>141</v>
      </c>
      <c r="I236" s="63"/>
    </row>
    <row r="237" spans="1:9" x14ac:dyDescent="0.3">
      <c r="A237" s="63"/>
      <c r="B237" s="63"/>
      <c r="C237" s="79">
        <v>45677</v>
      </c>
      <c r="D237" s="82" t="s">
        <v>338</v>
      </c>
      <c r="E237" s="81"/>
      <c r="F237" s="81"/>
      <c r="G237" s="81">
        <v>-30000</v>
      </c>
      <c r="H237" s="63" t="s">
        <v>141</v>
      </c>
      <c r="I237" s="63"/>
    </row>
    <row r="238" spans="1:9" x14ac:dyDescent="0.3">
      <c r="A238" s="63"/>
      <c r="B238" s="63"/>
      <c r="C238" s="79">
        <v>45682</v>
      </c>
      <c r="D238" s="82" t="s">
        <v>348</v>
      </c>
      <c r="E238" s="81"/>
      <c r="F238" s="81"/>
      <c r="G238" s="81">
        <v>175000</v>
      </c>
      <c r="H238" s="63"/>
      <c r="I238" s="63"/>
    </row>
    <row r="239" spans="1:9" x14ac:dyDescent="0.3">
      <c r="A239" s="63"/>
      <c r="B239" s="63"/>
      <c r="C239" s="79">
        <v>45684</v>
      </c>
      <c r="D239" s="82" t="s">
        <v>313</v>
      </c>
      <c r="E239" s="81"/>
      <c r="F239" s="81"/>
      <c r="G239" s="81">
        <v>96000</v>
      </c>
      <c r="H239" s="63"/>
      <c r="I239" s="63"/>
    </row>
    <row r="240" spans="1:9" x14ac:dyDescent="0.3">
      <c r="A240" s="63"/>
      <c r="B240" s="63"/>
      <c r="C240" s="79">
        <v>45684</v>
      </c>
      <c r="D240" s="82" t="s">
        <v>313</v>
      </c>
      <c r="E240" s="81"/>
      <c r="F240" s="81"/>
      <c r="G240" s="81">
        <v>132000</v>
      </c>
      <c r="H240" s="63"/>
      <c r="I240" s="63"/>
    </row>
    <row r="241" spans="1:9" x14ac:dyDescent="0.3">
      <c r="A241" s="63"/>
      <c r="B241" s="63"/>
      <c r="C241" s="79">
        <v>45684</v>
      </c>
      <c r="D241" s="82" t="s">
        <v>313</v>
      </c>
      <c r="E241" s="81"/>
      <c r="F241" s="81"/>
      <c r="G241" s="81">
        <v>150000</v>
      </c>
      <c r="H241" s="63"/>
      <c r="I241" s="63"/>
    </row>
    <row r="242" spans="1:9" x14ac:dyDescent="0.3">
      <c r="A242" s="63"/>
      <c r="B242" s="63"/>
      <c r="C242" s="79">
        <v>45686</v>
      </c>
      <c r="D242" s="82" t="s">
        <v>312</v>
      </c>
      <c r="E242" s="81"/>
      <c r="F242" s="81"/>
      <c r="G242" s="81">
        <v>200000</v>
      </c>
      <c r="H242" s="63"/>
      <c r="I242" s="63"/>
    </row>
    <row r="243" spans="1:9" x14ac:dyDescent="0.3">
      <c r="A243" s="63"/>
      <c r="B243" s="63"/>
      <c r="C243" s="79">
        <v>45686</v>
      </c>
      <c r="D243" s="82" t="s">
        <v>312</v>
      </c>
      <c r="E243" s="81"/>
      <c r="F243" s="81"/>
      <c r="G243" s="81">
        <v>177000</v>
      </c>
      <c r="H243" s="63"/>
      <c r="I243" s="63"/>
    </row>
    <row r="244" spans="1:9" x14ac:dyDescent="0.3">
      <c r="A244" s="63"/>
      <c r="B244" s="63"/>
      <c r="C244" s="79">
        <v>45686</v>
      </c>
      <c r="D244" s="82" t="s">
        <v>359</v>
      </c>
      <c r="E244" s="81"/>
      <c r="F244" s="81"/>
      <c r="G244" s="81">
        <v>200000</v>
      </c>
      <c r="H244" s="63"/>
      <c r="I244" s="63"/>
    </row>
    <row r="245" spans="1:9" x14ac:dyDescent="0.3">
      <c r="A245" s="63"/>
      <c r="B245" s="63"/>
      <c r="C245" s="79">
        <v>45689</v>
      </c>
      <c r="D245" s="82" t="s">
        <v>359</v>
      </c>
      <c r="E245" s="81"/>
      <c r="F245" s="81"/>
      <c r="G245" s="81">
        <v>121000</v>
      </c>
      <c r="H245" s="63"/>
      <c r="I245" s="63"/>
    </row>
    <row r="246" spans="1:9" x14ac:dyDescent="0.3">
      <c r="A246" s="63"/>
      <c r="B246" s="63"/>
      <c r="C246" s="79">
        <v>45703</v>
      </c>
      <c r="D246" s="82" t="s">
        <v>407</v>
      </c>
      <c r="E246" s="81"/>
      <c r="F246" s="81"/>
      <c r="G246" s="81">
        <v>-4136641.51</v>
      </c>
      <c r="H246" s="63"/>
      <c r="I246" s="63"/>
    </row>
    <row r="247" spans="1:9" x14ac:dyDescent="0.3">
      <c r="A247" s="63"/>
      <c r="B247" s="63"/>
      <c r="C247" s="79">
        <v>45707</v>
      </c>
      <c r="D247" s="82" t="s">
        <v>408</v>
      </c>
      <c r="E247" s="81"/>
      <c r="F247" s="81"/>
      <c r="G247" s="81">
        <v>254000</v>
      </c>
      <c r="H247" s="63"/>
      <c r="I247" s="63"/>
    </row>
    <row r="248" spans="1:9" x14ac:dyDescent="0.3">
      <c r="A248" s="63"/>
      <c r="B248" s="63"/>
      <c r="C248" s="79">
        <v>45708</v>
      </c>
      <c r="D248" s="82" t="s">
        <v>408</v>
      </c>
      <c r="E248" s="81"/>
      <c r="F248" s="81"/>
      <c r="G248" s="81">
        <v>253000</v>
      </c>
      <c r="H248" s="63"/>
      <c r="I248" s="63"/>
    </row>
    <row r="249" spans="1:9" x14ac:dyDescent="0.3">
      <c r="A249" s="63"/>
      <c r="B249" s="63"/>
      <c r="C249" s="79">
        <v>45709</v>
      </c>
      <c r="D249" s="82" t="s">
        <v>409</v>
      </c>
      <c r="E249" s="81"/>
      <c r="F249" s="81"/>
      <c r="G249" s="81">
        <v>-60000</v>
      </c>
      <c r="H249" s="63"/>
      <c r="I249" s="63"/>
    </row>
    <row r="250" spans="1:9" x14ac:dyDescent="0.3">
      <c r="A250" s="63"/>
      <c r="B250" s="63"/>
      <c r="C250" s="79">
        <v>45709</v>
      </c>
      <c r="D250" s="82" t="s">
        <v>410</v>
      </c>
      <c r="E250" s="81"/>
      <c r="F250" s="81"/>
      <c r="G250" s="81">
        <v>-467000</v>
      </c>
      <c r="H250" s="63"/>
      <c r="I250" s="63"/>
    </row>
    <row r="251" spans="1:9" x14ac:dyDescent="0.3">
      <c r="A251" s="63"/>
      <c r="B251" s="63"/>
      <c r="C251" s="79"/>
      <c r="D251" s="82"/>
      <c r="E251" s="81"/>
      <c r="F251" s="81"/>
      <c r="G251" s="81"/>
      <c r="H251" s="63"/>
      <c r="I251" s="63"/>
    </row>
    <row r="252" spans="1:9" x14ac:dyDescent="0.3">
      <c r="A252" s="63"/>
      <c r="B252" s="63"/>
      <c r="C252" s="79"/>
      <c r="D252" s="82"/>
      <c r="E252" s="81"/>
      <c r="F252" s="81"/>
      <c r="G252" s="81"/>
      <c r="H252" s="63"/>
      <c r="I252" s="63"/>
    </row>
    <row r="253" spans="1:9" x14ac:dyDescent="0.3">
      <c r="A253" s="63"/>
      <c r="B253" s="63"/>
      <c r="C253" s="79"/>
      <c r="D253" s="82"/>
      <c r="E253" s="81"/>
      <c r="F253" s="81"/>
      <c r="G253" s="81"/>
      <c r="H253" s="63"/>
      <c r="I253" s="63"/>
    </row>
    <row r="254" spans="1:9" x14ac:dyDescent="0.3">
      <c r="A254" s="63"/>
      <c r="B254" s="63"/>
      <c r="C254" s="79"/>
      <c r="D254" s="82"/>
      <c r="E254" s="81"/>
      <c r="F254" s="81"/>
      <c r="G254" s="83">
        <f>SUM(G220:G250)</f>
        <v>-20000</v>
      </c>
      <c r="H254" s="73">
        <f>G254/78</f>
        <v>-256.41025641025641</v>
      </c>
      <c r="I254" s="63">
        <v>53033.87</v>
      </c>
    </row>
    <row r="255" spans="1:9" x14ac:dyDescent="0.3">
      <c r="A255" s="63"/>
      <c r="B255" s="63"/>
      <c r="C255" s="65"/>
      <c r="D255" s="67"/>
      <c r="E255" s="63"/>
      <c r="F255" s="63"/>
      <c r="G255" s="63"/>
      <c r="H255" s="63"/>
      <c r="I255" s="63"/>
    </row>
    <row r="256" spans="1:9" x14ac:dyDescent="0.3">
      <c r="A256" s="63"/>
      <c r="B256" s="63"/>
      <c r="C256" s="65"/>
      <c r="D256" s="67"/>
      <c r="E256" s="63"/>
      <c r="F256" s="63"/>
      <c r="G256" s="63"/>
      <c r="H256" s="63"/>
      <c r="I256" s="63"/>
    </row>
    <row r="257" spans="1:9" x14ac:dyDescent="0.3">
      <c r="A257" s="63"/>
      <c r="B257" s="63"/>
      <c r="C257" s="65"/>
      <c r="D257" s="67"/>
      <c r="E257" s="63"/>
      <c r="F257" s="63"/>
      <c r="G257" s="63"/>
      <c r="H257" s="63"/>
      <c r="I257" s="63"/>
    </row>
    <row r="258" spans="1:9" x14ac:dyDescent="0.3">
      <c r="A258" s="63"/>
      <c r="B258" s="63"/>
      <c r="C258" s="63"/>
      <c r="D258" s="63"/>
      <c r="E258" s="63"/>
      <c r="F258" s="63"/>
      <c r="G258" s="63"/>
      <c r="H258" s="63"/>
      <c r="I258" s="63"/>
    </row>
    <row r="259" spans="1:9" x14ac:dyDescent="0.3">
      <c r="A259" s="63"/>
      <c r="B259" s="63"/>
      <c r="C259" s="63"/>
      <c r="D259" s="63"/>
      <c r="E259" s="63"/>
      <c r="F259" s="63"/>
      <c r="G259" s="63"/>
      <c r="H259" s="63"/>
      <c r="I259" s="63"/>
    </row>
    <row r="260" spans="1:9" x14ac:dyDescent="0.3">
      <c r="A260" s="63"/>
      <c r="B260" s="63"/>
      <c r="C260" s="65">
        <v>45663</v>
      </c>
      <c r="D260" s="63" t="s">
        <v>222</v>
      </c>
      <c r="E260" s="63"/>
      <c r="F260" s="63"/>
      <c r="G260" s="63"/>
      <c r="H260" s="63"/>
      <c r="I260" s="63"/>
    </row>
    <row r="261" spans="1:9" x14ac:dyDescent="0.3">
      <c r="A261" s="63"/>
      <c r="B261" s="63"/>
      <c r="C261" s="65"/>
      <c r="D261" s="63" t="s">
        <v>355</v>
      </c>
      <c r="E261" s="63"/>
      <c r="F261" s="63"/>
      <c r="G261" s="63"/>
      <c r="H261" s="63"/>
      <c r="I261" s="63"/>
    </row>
    <row r="262" spans="1:9" x14ac:dyDescent="0.3">
      <c r="A262" s="63"/>
      <c r="B262" s="63"/>
      <c r="C262" s="65"/>
      <c r="D262" s="63"/>
      <c r="E262" s="63"/>
      <c r="F262" s="63"/>
      <c r="G262" s="63"/>
      <c r="H262" s="63"/>
      <c r="I262" s="63"/>
    </row>
    <row r="263" spans="1:9" x14ac:dyDescent="0.3">
      <c r="A263" s="63"/>
      <c r="B263" s="63"/>
      <c r="C263" s="63"/>
      <c r="D263" s="63"/>
      <c r="E263" s="63"/>
      <c r="F263" s="63"/>
      <c r="G263" s="63"/>
      <c r="H263" s="63"/>
      <c r="I263" s="63"/>
    </row>
    <row r="264" spans="1:9" x14ac:dyDescent="0.3">
      <c r="A264" s="63"/>
      <c r="B264" s="63"/>
      <c r="C264" s="63"/>
      <c r="D264" s="63"/>
      <c r="E264" s="63"/>
      <c r="F264" s="63"/>
      <c r="G264" s="63"/>
      <c r="H264" s="63"/>
      <c r="I264" s="63"/>
    </row>
    <row r="265" spans="1:9" x14ac:dyDescent="0.3">
      <c r="A265" s="63"/>
      <c r="B265" s="63"/>
      <c r="C265" s="63"/>
      <c r="D265" s="63"/>
      <c r="E265" s="63"/>
      <c r="F265" s="63"/>
      <c r="G265" s="63"/>
      <c r="H265" s="63"/>
      <c r="I265" s="63"/>
    </row>
    <row r="266" spans="1:9" x14ac:dyDescent="0.3">
      <c r="A266" s="63"/>
      <c r="B266" s="63"/>
      <c r="C266" s="63"/>
      <c r="D266" s="63"/>
      <c r="E266" s="63"/>
      <c r="F266" s="63"/>
      <c r="G266" s="63"/>
      <c r="H266" s="63"/>
      <c r="I266" s="63"/>
    </row>
    <row r="267" spans="1:9" x14ac:dyDescent="0.3">
      <c r="A267" s="63"/>
      <c r="B267" s="63"/>
      <c r="C267" s="63"/>
      <c r="D267" s="63"/>
      <c r="E267" s="63"/>
      <c r="F267" s="63"/>
      <c r="G267" s="63"/>
      <c r="H267" s="63"/>
      <c r="I267" s="63"/>
    </row>
    <row r="268" spans="1:9" x14ac:dyDescent="0.3">
      <c r="A268" s="63"/>
      <c r="B268" s="63"/>
      <c r="C268" s="63"/>
      <c r="D268" s="63" t="s">
        <v>226</v>
      </c>
      <c r="E268" s="63"/>
      <c r="F268" s="63"/>
      <c r="G268" s="63"/>
      <c r="H268" s="63"/>
      <c r="I268" s="63"/>
    </row>
    <row r="269" spans="1:9" x14ac:dyDescent="0.3">
      <c r="A269" s="63"/>
      <c r="B269" s="63"/>
      <c r="C269" s="63"/>
      <c r="D269" s="66" t="s">
        <v>244</v>
      </c>
      <c r="E269" s="63"/>
      <c r="F269" s="63"/>
      <c r="G269" s="63"/>
      <c r="H269" s="63"/>
      <c r="I269" s="63"/>
    </row>
    <row r="270" spans="1:9" x14ac:dyDescent="0.3">
      <c r="A270" s="63"/>
      <c r="B270" s="63"/>
      <c r="C270" s="63"/>
      <c r="D270" s="63" t="s">
        <v>29</v>
      </c>
      <c r="E270" s="63"/>
      <c r="F270" s="63">
        <v>6000</v>
      </c>
      <c r="G270" s="63"/>
      <c r="H270" s="63"/>
      <c r="I270" s="63"/>
    </row>
    <row r="271" spans="1:9" x14ac:dyDescent="0.3">
      <c r="A271" s="63"/>
      <c r="B271" s="63"/>
      <c r="C271" s="63"/>
      <c r="D271" s="63" t="s">
        <v>245</v>
      </c>
      <c r="E271" s="63"/>
      <c r="F271" s="63">
        <v>-6000</v>
      </c>
      <c r="G271" s="63"/>
      <c r="H271" s="63"/>
      <c r="I271" s="63"/>
    </row>
    <row r="272" spans="1:9" x14ac:dyDescent="0.3">
      <c r="A272" s="63"/>
      <c r="B272" s="63"/>
      <c r="C272" s="65">
        <v>45650</v>
      </c>
      <c r="D272" s="63" t="s">
        <v>248</v>
      </c>
      <c r="E272" s="63"/>
      <c r="F272" s="63">
        <f>102000*4</f>
        <v>408000</v>
      </c>
      <c r="G272" s="63"/>
      <c r="H272" s="63"/>
      <c r="I272" s="63"/>
    </row>
    <row r="273" spans="1:9" x14ac:dyDescent="0.3">
      <c r="A273" s="63"/>
      <c r="B273" s="63"/>
      <c r="C273" s="65">
        <v>45650</v>
      </c>
      <c r="D273" s="63" t="s">
        <v>247</v>
      </c>
      <c r="E273" s="63"/>
      <c r="F273" s="63">
        <v>-100000</v>
      </c>
      <c r="G273" s="63"/>
      <c r="H273" s="63"/>
      <c r="I273" s="63"/>
    </row>
    <row r="274" spans="1:9" x14ac:dyDescent="0.3">
      <c r="A274" s="63"/>
      <c r="B274" s="63"/>
      <c r="C274" s="65">
        <v>45652</v>
      </c>
      <c r="D274" s="63" t="s">
        <v>246</v>
      </c>
      <c r="E274" s="63"/>
      <c r="F274" s="63">
        <v>-200000</v>
      </c>
      <c r="G274" s="63"/>
      <c r="H274" s="63"/>
      <c r="I274" s="63"/>
    </row>
    <row r="275" spans="1:9" x14ac:dyDescent="0.3">
      <c r="A275" s="63"/>
      <c r="B275" s="63"/>
      <c r="C275" s="65">
        <v>45656</v>
      </c>
      <c r="D275" s="63" t="s">
        <v>247</v>
      </c>
      <c r="E275" s="63"/>
      <c r="F275" s="63">
        <v>-104000</v>
      </c>
      <c r="G275" s="63"/>
      <c r="H275" s="63"/>
      <c r="I275" s="63"/>
    </row>
    <row r="276" spans="1:9" x14ac:dyDescent="0.3">
      <c r="A276" s="63"/>
      <c r="B276" s="63"/>
      <c r="C276" s="65">
        <v>45664</v>
      </c>
      <c r="D276" s="63" t="s">
        <v>292</v>
      </c>
      <c r="E276" s="63"/>
      <c r="F276" s="63">
        <v>198000</v>
      </c>
      <c r="G276" s="63"/>
      <c r="H276" s="63"/>
      <c r="I276" s="63"/>
    </row>
    <row r="277" spans="1:9" x14ac:dyDescent="0.3">
      <c r="A277" s="63"/>
      <c r="B277" s="63"/>
      <c r="C277" s="65">
        <v>45664</v>
      </c>
      <c r="D277" s="63" t="s">
        <v>18</v>
      </c>
      <c r="E277" s="63"/>
      <c r="F277" s="63">
        <v>160000</v>
      </c>
      <c r="G277" s="63"/>
      <c r="H277" s="63"/>
      <c r="I277" s="63"/>
    </row>
    <row r="278" spans="1:9" x14ac:dyDescent="0.3">
      <c r="A278" s="63"/>
      <c r="B278" s="63"/>
      <c r="C278" s="65">
        <v>45665</v>
      </c>
      <c r="D278" s="63" t="s">
        <v>247</v>
      </c>
      <c r="E278" s="63"/>
      <c r="F278" s="63">
        <v>-160000</v>
      </c>
      <c r="G278" s="63"/>
      <c r="H278" s="63"/>
      <c r="I278" s="63"/>
    </row>
    <row r="279" spans="1:9" x14ac:dyDescent="0.3">
      <c r="A279" s="63"/>
      <c r="B279" s="63"/>
      <c r="C279" s="65">
        <v>45667</v>
      </c>
      <c r="D279" s="63" t="s">
        <v>80</v>
      </c>
      <c r="E279" s="63"/>
      <c r="F279" s="63">
        <v>-150000</v>
      </c>
      <c r="G279" s="63"/>
      <c r="H279" s="63"/>
      <c r="I279" s="63"/>
    </row>
    <row r="280" spans="1:9" x14ac:dyDescent="0.3">
      <c r="A280" s="63"/>
      <c r="B280" s="63"/>
      <c r="C280" s="65">
        <v>45667</v>
      </c>
      <c r="D280" s="63" t="s">
        <v>323</v>
      </c>
      <c r="E280" s="63"/>
      <c r="F280" s="63">
        <v>-23000</v>
      </c>
      <c r="G280" s="63"/>
      <c r="H280" s="63"/>
      <c r="I280" s="63"/>
    </row>
    <row r="281" spans="1:9" x14ac:dyDescent="0.3">
      <c r="A281" s="63"/>
      <c r="B281" s="63"/>
      <c r="C281" s="65">
        <v>45668</v>
      </c>
      <c r="D281" s="63" t="s">
        <v>328</v>
      </c>
      <c r="E281" s="63"/>
      <c r="F281" s="63">
        <v>-25000</v>
      </c>
      <c r="G281" s="63"/>
      <c r="H281" s="63"/>
      <c r="I281" s="63"/>
    </row>
    <row r="282" spans="1:9" x14ac:dyDescent="0.3">
      <c r="A282" s="63"/>
      <c r="B282" s="63"/>
      <c r="C282" s="65">
        <v>45685</v>
      </c>
      <c r="D282" s="63" t="s">
        <v>283</v>
      </c>
      <c r="E282" s="63"/>
      <c r="F282" s="63">
        <v>377000</v>
      </c>
      <c r="G282" s="63"/>
      <c r="H282" s="63"/>
      <c r="I282" s="63"/>
    </row>
    <row r="283" spans="1:9" x14ac:dyDescent="0.3">
      <c r="A283" s="63"/>
      <c r="B283" s="63"/>
      <c r="C283" s="65">
        <v>45686</v>
      </c>
      <c r="D283" s="63" t="s">
        <v>80</v>
      </c>
      <c r="E283" s="63"/>
      <c r="F283" s="63">
        <v>-200000</v>
      </c>
      <c r="G283" s="63"/>
      <c r="H283" s="63"/>
      <c r="I283" s="63"/>
    </row>
    <row r="284" spans="1:9" x14ac:dyDescent="0.3">
      <c r="A284" s="63"/>
      <c r="B284" s="63"/>
      <c r="C284" s="65">
        <v>45689</v>
      </c>
      <c r="D284" s="63" t="s">
        <v>361</v>
      </c>
      <c r="E284" s="63"/>
      <c r="F284" s="63">
        <v>-56000</v>
      </c>
      <c r="G284" s="63"/>
      <c r="H284" s="63"/>
      <c r="I284" s="63"/>
    </row>
    <row r="285" spans="1:9" x14ac:dyDescent="0.3">
      <c r="A285" s="63"/>
      <c r="B285" s="63"/>
      <c r="C285" s="65">
        <v>45689</v>
      </c>
      <c r="D285" s="63" t="s">
        <v>80</v>
      </c>
      <c r="E285" s="63"/>
      <c r="F285" s="63">
        <v>-121000</v>
      </c>
      <c r="G285" s="63"/>
      <c r="H285" s="63"/>
      <c r="I285" s="63"/>
    </row>
    <row r="286" spans="1:9" x14ac:dyDescent="0.3">
      <c r="A286" s="63"/>
      <c r="B286" s="63"/>
      <c r="C286" s="65"/>
      <c r="D286" s="63"/>
      <c r="E286" s="63"/>
      <c r="F286" s="63"/>
      <c r="G286" s="63"/>
      <c r="H286" s="63"/>
      <c r="I286" s="63"/>
    </row>
    <row r="287" spans="1:9" x14ac:dyDescent="0.3">
      <c r="A287" s="63"/>
      <c r="B287" s="63"/>
      <c r="C287" s="65"/>
      <c r="D287" s="64" t="s">
        <v>29</v>
      </c>
      <c r="E287" s="64"/>
      <c r="F287" s="64">
        <f>SUM(F270:F286)</f>
        <v>4000</v>
      </c>
      <c r="G287" s="63"/>
      <c r="H287" s="63"/>
      <c r="I287" s="63"/>
    </row>
    <row r="288" spans="1:9" x14ac:dyDescent="0.3">
      <c r="A288" s="63"/>
      <c r="B288" s="63"/>
      <c r="C288" s="65"/>
      <c r="D288" s="63"/>
      <c r="E288" s="63"/>
      <c r="F288" s="63"/>
      <c r="G288" s="63"/>
      <c r="H288" s="63"/>
      <c r="I288" s="63"/>
    </row>
    <row r="289" spans="1:9" x14ac:dyDescent="0.3">
      <c r="A289" s="63"/>
      <c r="B289" s="63"/>
      <c r="C289" s="65"/>
      <c r="D289" s="63"/>
      <c r="E289" s="63"/>
      <c r="F289" s="63"/>
      <c r="G289" s="63"/>
      <c r="H289" s="63"/>
      <c r="I289" s="63"/>
    </row>
    <row r="290" spans="1:9" x14ac:dyDescent="0.3">
      <c r="A290" s="63"/>
      <c r="B290" s="63"/>
      <c r="C290" s="63"/>
      <c r="D290" s="63"/>
      <c r="E290" s="63"/>
      <c r="F290" s="63"/>
      <c r="G290" s="63"/>
      <c r="H290" s="63"/>
      <c r="I290" s="63"/>
    </row>
    <row r="291" spans="1:9" x14ac:dyDescent="0.3">
      <c r="A291" s="63"/>
      <c r="B291" s="63"/>
      <c r="C291" s="63"/>
      <c r="D291" s="63"/>
      <c r="E291" s="63"/>
      <c r="F291" s="63"/>
      <c r="G291" s="63"/>
      <c r="H291" s="63"/>
      <c r="I291" s="63"/>
    </row>
    <row r="292" spans="1:9" x14ac:dyDescent="0.3">
      <c r="A292" s="63"/>
      <c r="B292" s="63"/>
      <c r="C292" s="63"/>
      <c r="D292" s="63" t="s">
        <v>226</v>
      </c>
      <c r="E292" s="63"/>
      <c r="F292" s="63"/>
      <c r="G292" s="63"/>
      <c r="H292" s="63"/>
      <c r="I292" s="63"/>
    </row>
    <row r="293" spans="1:9" x14ac:dyDescent="0.3">
      <c r="A293" s="63"/>
      <c r="B293" s="63"/>
      <c r="C293" s="63"/>
      <c r="D293" s="66" t="s">
        <v>280</v>
      </c>
      <c r="E293" s="63"/>
      <c r="F293" s="63"/>
      <c r="G293" s="63"/>
      <c r="H293" s="63"/>
      <c r="I293" s="63"/>
    </row>
    <row r="294" spans="1:9" x14ac:dyDescent="0.3">
      <c r="A294" s="63"/>
      <c r="B294" s="63"/>
      <c r="C294" s="65">
        <v>45663</v>
      </c>
      <c r="D294" s="63" t="s">
        <v>281</v>
      </c>
      <c r="E294" s="63"/>
      <c r="F294" s="63">
        <v>374000</v>
      </c>
      <c r="G294" s="63"/>
      <c r="H294" s="63"/>
      <c r="I294" s="63"/>
    </row>
    <row r="295" spans="1:9" x14ac:dyDescent="0.3">
      <c r="A295" s="63"/>
      <c r="B295" s="63"/>
      <c r="C295" s="65">
        <v>45663</v>
      </c>
      <c r="D295" s="82" t="s">
        <v>312</v>
      </c>
      <c r="E295" s="63"/>
      <c r="F295" s="63">
        <v>-224000</v>
      </c>
      <c r="G295" s="63"/>
      <c r="H295" s="63"/>
      <c r="I295" s="63"/>
    </row>
    <row r="296" spans="1:9" x14ac:dyDescent="0.3">
      <c r="A296" s="63"/>
      <c r="B296" s="63"/>
      <c r="C296" s="65">
        <v>45664</v>
      </c>
      <c r="D296" s="82" t="s">
        <v>312</v>
      </c>
      <c r="E296" s="63"/>
      <c r="F296" s="63">
        <v>-150000</v>
      </c>
      <c r="G296" s="63"/>
      <c r="H296" s="63"/>
      <c r="I296" s="63"/>
    </row>
    <row r="297" spans="1:9" x14ac:dyDescent="0.3">
      <c r="A297" s="63"/>
      <c r="B297" s="63"/>
      <c r="C297" s="65">
        <v>45667</v>
      </c>
      <c r="D297" s="63" t="s">
        <v>283</v>
      </c>
      <c r="E297" s="63"/>
      <c r="F297" s="63">
        <v>378000</v>
      </c>
      <c r="G297" s="63"/>
      <c r="H297" s="63"/>
      <c r="I297" s="63"/>
    </row>
    <row r="298" spans="1:9" x14ac:dyDescent="0.3">
      <c r="A298" s="63"/>
      <c r="B298" s="63"/>
      <c r="C298" s="65">
        <v>45668</v>
      </c>
      <c r="D298" s="82" t="s">
        <v>312</v>
      </c>
      <c r="E298" s="63"/>
      <c r="F298" s="63">
        <v>-200000</v>
      </c>
      <c r="G298" s="63"/>
      <c r="H298" s="63"/>
      <c r="I298" s="63"/>
    </row>
    <row r="299" spans="1:9" x14ac:dyDescent="0.3">
      <c r="A299" s="63"/>
      <c r="B299" s="63"/>
      <c r="C299" s="65">
        <v>45668</v>
      </c>
      <c r="D299" s="82" t="s">
        <v>312</v>
      </c>
      <c r="E299" s="63"/>
      <c r="F299" s="63">
        <v>-100000</v>
      </c>
      <c r="G299" s="63"/>
      <c r="H299" s="63"/>
      <c r="I299" s="63"/>
    </row>
    <row r="300" spans="1:9" x14ac:dyDescent="0.3">
      <c r="A300" s="63"/>
      <c r="B300" s="63"/>
      <c r="C300" s="65">
        <v>45668</v>
      </c>
      <c r="D300" s="67" t="s">
        <v>105</v>
      </c>
      <c r="E300" s="63"/>
      <c r="F300" s="63">
        <v>-78000</v>
      </c>
      <c r="G300" s="63"/>
      <c r="H300" s="63"/>
      <c r="I300" s="63"/>
    </row>
    <row r="301" spans="1:9" x14ac:dyDescent="0.3">
      <c r="A301" s="63"/>
      <c r="B301" s="63"/>
      <c r="C301" s="65">
        <v>45685</v>
      </c>
      <c r="D301" s="63" t="s">
        <v>283</v>
      </c>
      <c r="E301" s="63"/>
      <c r="F301" s="63">
        <v>377000</v>
      </c>
      <c r="G301" s="63"/>
      <c r="H301" s="63"/>
      <c r="I301" s="63"/>
    </row>
    <row r="302" spans="1:9" x14ac:dyDescent="0.3">
      <c r="A302" s="63"/>
      <c r="B302" s="63"/>
      <c r="C302" s="65">
        <v>45686</v>
      </c>
      <c r="D302" s="67" t="s">
        <v>312</v>
      </c>
      <c r="E302" s="63"/>
      <c r="F302" s="63">
        <v>-200000</v>
      </c>
      <c r="G302" s="63"/>
      <c r="H302" s="63"/>
      <c r="I302" s="63"/>
    </row>
    <row r="303" spans="1:9" x14ac:dyDescent="0.3">
      <c r="A303" s="63"/>
      <c r="B303" s="63"/>
      <c r="C303" s="65">
        <v>45686</v>
      </c>
      <c r="D303" s="67" t="s">
        <v>312</v>
      </c>
      <c r="E303" s="63"/>
      <c r="F303" s="63">
        <v>-177000</v>
      </c>
      <c r="G303" s="63"/>
      <c r="H303" s="63"/>
      <c r="I303" s="63"/>
    </row>
    <row r="304" spans="1:9" x14ac:dyDescent="0.3">
      <c r="A304" s="63"/>
      <c r="B304" s="63"/>
      <c r="C304" s="65"/>
      <c r="D304" s="63"/>
      <c r="E304" s="63"/>
      <c r="F304" s="63"/>
      <c r="G304" s="63"/>
      <c r="H304" s="63"/>
      <c r="I304" s="63"/>
    </row>
    <row r="305" spans="1:9" x14ac:dyDescent="0.3">
      <c r="A305" s="63"/>
      <c r="B305" s="63"/>
      <c r="C305" s="65"/>
      <c r="D305" s="63"/>
      <c r="E305" s="63"/>
      <c r="F305" s="63"/>
      <c r="G305" s="63"/>
      <c r="H305" s="63"/>
      <c r="I305" s="63"/>
    </row>
    <row r="306" spans="1:9" x14ac:dyDescent="0.3">
      <c r="A306" s="63"/>
      <c r="B306" s="63"/>
      <c r="C306" s="65"/>
      <c r="D306" s="67"/>
      <c r="E306" s="63"/>
      <c r="F306" s="63"/>
      <c r="G306" s="63"/>
      <c r="H306" s="63"/>
      <c r="I306" s="63"/>
    </row>
    <row r="307" spans="1:9" x14ac:dyDescent="0.3">
      <c r="A307" s="63"/>
      <c r="B307" s="63"/>
      <c r="C307" s="65"/>
      <c r="D307" s="90" t="s">
        <v>29</v>
      </c>
      <c r="E307" s="66"/>
      <c r="F307" s="66">
        <f>SUM(F294:F306)</f>
        <v>0</v>
      </c>
      <c r="G307" s="63"/>
      <c r="H307" s="63"/>
      <c r="I307" s="63"/>
    </row>
    <row r="308" spans="1:9" x14ac:dyDescent="0.3">
      <c r="A308" s="63"/>
      <c r="B308" s="63"/>
      <c r="C308" s="65"/>
      <c r="D308" s="67"/>
      <c r="E308" s="63"/>
      <c r="F308" s="63"/>
      <c r="G308" s="63"/>
      <c r="H308" s="63"/>
      <c r="I308" s="63"/>
    </row>
    <row r="309" spans="1:9" x14ac:dyDescent="0.3">
      <c r="A309" s="63"/>
      <c r="B309" s="63"/>
      <c r="C309" s="65"/>
      <c r="D309" s="63"/>
      <c r="E309" s="63"/>
      <c r="F309" s="63"/>
      <c r="G309" s="63"/>
      <c r="H309" s="63"/>
      <c r="I309" s="63"/>
    </row>
    <row r="310" spans="1:9" x14ac:dyDescent="0.3">
      <c r="A310" s="63"/>
      <c r="B310" s="63"/>
      <c r="C310" s="65"/>
      <c r="D310" s="63" t="s">
        <v>226</v>
      </c>
      <c r="E310" s="63"/>
      <c r="F310" s="63"/>
      <c r="G310" s="63"/>
      <c r="H310" s="63"/>
      <c r="I310" s="63"/>
    </row>
    <row r="311" spans="1:9" x14ac:dyDescent="0.3">
      <c r="A311" s="63"/>
      <c r="B311" s="63"/>
      <c r="C311" s="65"/>
      <c r="D311" s="66" t="s">
        <v>282</v>
      </c>
      <c r="E311" s="63"/>
      <c r="F311" s="63"/>
      <c r="G311" s="63"/>
      <c r="H311" s="63"/>
      <c r="I311" s="63"/>
    </row>
    <row r="312" spans="1:9" x14ac:dyDescent="0.3">
      <c r="A312" s="63"/>
      <c r="B312" s="63"/>
      <c r="C312" s="79">
        <v>45663</v>
      </c>
      <c r="D312" s="81" t="s">
        <v>283</v>
      </c>
      <c r="E312" s="81"/>
      <c r="F312" s="81">
        <v>374000</v>
      </c>
      <c r="G312" s="63"/>
      <c r="H312" s="63"/>
      <c r="I312" s="63"/>
    </row>
    <row r="313" spans="1:9" x14ac:dyDescent="0.3">
      <c r="A313" s="63"/>
      <c r="B313" s="63"/>
      <c r="C313" s="79">
        <v>45663</v>
      </c>
      <c r="D313" s="81" t="s">
        <v>283</v>
      </c>
      <c r="E313" s="81"/>
      <c r="F313" s="81">
        <v>373000</v>
      </c>
      <c r="G313" s="63"/>
      <c r="H313" s="63"/>
      <c r="I313" s="63"/>
    </row>
    <row r="314" spans="1:9" x14ac:dyDescent="0.3">
      <c r="A314" s="63"/>
      <c r="B314" s="63"/>
      <c r="C314" s="79">
        <v>45663</v>
      </c>
      <c r="D314" s="81" t="s">
        <v>284</v>
      </c>
      <c r="E314" s="81"/>
      <c r="F314" s="81">
        <v>-99000</v>
      </c>
      <c r="G314" s="63"/>
      <c r="H314" s="63"/>
      <c r="I314" s="63"/>
    </row>
    <row r="315" spans="1:9" x14ac:dyDescent="0.3">
      <c r="A315" s="63"/>
      <c r="B315" s="63"/>
      <c r="C315" s="79">
        <v>45663</v>
      </c>
      <c r="D315" s="81" t="s">
        <v>284</v>
      </c>
      <c r="E315" s="81"/>
      <c r="F315" s="81">
        <v>-270000</v>
      </c>
      <c r="G315" s="63"/>
      <c r="H315" s="63"/>
      <c r="I315" s="63"/>
    </row>
    <row r="316" spans="1:9" x14ac:dyDescent="0.3">
      <c r="A316" s="63"/>
      <c r="B316" s="63"/>
      <c r="C316" s="79">
        <v>45664</v>
      </c>
      <c r="D316" s="82" t="s">
        <v>315</v>
      </c>
      <c r="E316" s="81"/>
      <c r="F316" s="81">
        <v>-274891.51</v>
      </c>
      <c r="G316" s="63"/>
      <c r="H316" s="63"/>
      <c r="I316" s="63"/>
    </row>
    <row r="317" spans="1:9" x14ac:dyDescent="0.3">
      <c r="A317" s="63"/>
      <c r="B317" s="63"/>
      <c r="C317" s="79">
        <v>45664</v>
      </c>
      <c r="D317" s="81" t="s">
        <v>284</v>
      </c>
      <c r="E317" s="81"/>
      <c r="F317" s="81">
        <v>-103000</v>
      </c>
      <c r="G317" s="63"/>
      <c r="H317" s="63"/>
      <c r="I317" s="63"/>
    </row>
    <row r="318" spans="1:9" x14ac:dyDescent="0.3">
      <c r="A318" s="63"/>
      <c r="B318" s="63"/>
      <c r="C318" s="79">
        <v>45666</v>
      </c>
      <c r="D318" s="81" t="s">
        <v>283</v>
      </c>
      <c r="E318" s="81"/>
      <c r="F318" s="81">
        <v>378000</v>
      </c>
      <c r="G318" s="63"/>
      <c r="H318" s="63"/>
      <c r="I318" s="63"/>
    </row>
    <row r="319" spans="1:9" x14ac:dyDescent="0.3">
      <c r="A319" s="63"/>
      <c r="B319" s="63"/>
      <c r="C319" s="79">
        <v>45666</v>
      </c>
      <c r="D319" s="81" t="s">
        <v>283</v>
      </c>
      <c r="E319" s="81"/>
      <c r="F319" s="81">
        <v>378000</v>
      </c>
      <c r="G319" s="63"/>
      <c r="H319" s="63"/>
      <c r="I319" s="63"/>
    </row>
    <row r="320" spans="1:9" x14ac:dyDescent="0.3">
      <c r="A320" s="63"/>
      <c r="B320" s="63"/>
      <c r="C320" s="79">
        <v>45667</v>
      </c>
      <c r="D320" s="81" t="s">
        <v>283</v>
      </c>
      <c r="E320" s="81"/>
      <c r="F320" s="81">
        <v>378000</v>
      </c>
      <c r="G320" s="63"/>
      <c r="H320" s="63"/>
      <c r="I320" s="63"/>
    </row>
    <row r="321" spans="1:9" x14ac:dyDescent="0.3">
      <c r="A321" s="63"/>
      <c r="B321" s="63"/>
      <c r="C321" s="79">
        <v>45668</v>
      </c>
      <c r="D321" s="81" t="s">
        <v>327</v>
      </c>
      <c r="E321" s="81"/>
      <c r="F321" s="81">
        <v>-200000</v>
      </c>
      <c r="G321" s="63"/>
      <c r="H321" s="63"/>
      <c r="I321" s="63"/>
    </row>
    <row r="322" spans="1:9" x14ac:dyDescent="0.3">
      <c r="A322" s="63"/>
      <c r="B322" s="63"/>
      <c r="C322" s="79">
        <v>45668</v>
      </c>
      <c r="D322" s="81" t="s">
        <v>327</v>
      </c>
      <c r="E322" s="81"/>
      <c r="F322" s="81">
        <v>-250000</v>
      </c>
      <c r="G322" s="63"/>
      <c r="H322" s="63"/>
      <c r="I322" s="63"/>
    </row>
    <row r="323" spans="1:9" x14ac:dyDescent="0.3">
      <c r="A323" s="63"/>
      <c r="B323" s="63"/>
      <c r="C323" s="79">
        <v>45668</v>
      </c>
      <c r="D323" s="81" t="s">
        <v>327</v>
      </c>
      <c r="E323" s="81"/>
      <c r="F323" s="81">
        <v>-110000</v>
      </c>
      <c r="G323" s="63"/>
      <c r="H323" s="63"/>
      <c r="I323" s="63"/>
    </row>
    <row r="324" spans="1:9" x14ac:dyDescent="0.3">
      <c r="A324" s="63"/>
      <c r="B324" s="63"/>
      <c r="C324" s="79">
        <v>45670</v>
      </c>
      <c r="D324" s="81" t="s">
        <v>327</v>
      </c>
      <c r="E324" s="81"/>
      <c r="F324" s="81">
        <v>-254000</v>
      </c>
      <c r="G324" s="63"/>
      <c r="H324" s="63"/>
      <c r="I324" s="63"/>
    </row>
    <row r="325" spans="1:9" x14ac:dyDescent="0.3">
      <c r="A325" s="63"/>
      <c r="B325" s="63"/>
      <c r="C325" s="79">
        <v>45670</v>
      </c>
      <c r="D325" s="81" t="s">
        <v>327</v>
      </c>
      <c r="E325" s="81"/>
      <c r="F325" s="81">
        <v>-115000</v>
      </c>
      <c r="G325" s="63"/>
      <c r="H325" s="63"/>
      <c r="I325" s="63"/>
    </row>
    <row r="326" spans="1:9" x14ac:dyDescent="0.3">
      <c r="A326" s="63"/>
      <c r="B326" s="63"/>
      <c r="C326" s="79">
        <v>45672</v>
      </c>
      <c r="D326" s="81" t="s">
        <v>327</v>
      </c>
      <c r="E326" s="81"/>
      <c r="F326" s="81">
        <v>-205100</v>
      </c>
      <c r="G326" s="63"/>
      <c r="H326" s="63"/>
      <c r="I326" s="63"/>
    </row>
    <row r="327" spans="1:9" x14ac:dyDescent="0.3">
      <c r="A327" s="63"/>
      <c r="B327" s="63"/>
      <c r="C327" s="81"/>
      <c r="D327" s="81"/>
      <c r="E327" s="81"/>
      <c r="F327" s="81">
        <v>-8.49</v>
      </c>
      <c r="G327" s="63"/>
      <c r="H327" s="63"/>
      <c r="I327" s="63"/>
    </row>
    <row r="328" spans="1:9" x14ac:dyDescent="0.3">
      <c r="A328" s="63"/>
      <c r="B328" s="63"/>
      <c r="C328" s="79">
        <v>45681</v>
      </c>
      <c r="D328" s="81" t="s">
        <v>283</v>
      </c>
      <c r="E328" s="81"/>
      <c r="F328" s="81">
        <v>378000</v>
      </c>
      <c r="G328" s="63"/>
      <c r="H328" s="63"/>
      <c r="I328" s="63"/>
    </row>
    <row r="329" spans="1:9" x14ac:dyDescent="0.3">
      <c r="A329" s="63"/>
      <c r="B329" s="63"/>
      <c r="C329" s="79">
        <v>45684</v>
      </c>
      <c r="D329" s="81" t="s">
        <v>327</v>
      </c>
      <c r="E329" s="81"/>
      <c r="F329" s="81">
        <v>-96000</v>
      </c>
      <c r="G329" s="63"/>
      <c r="H329" s="63"/>
      <c r="I329" s="63"/>
    </row>
    <row r="330" spans="1:9" x14ac:dyDescent="0.3">
      <c r="A330" s="63"/>
      <c r="B330" s="63"/>
      <c r="C330" s="79">
        <v>45684</v>
      </c>
      <c r="D330" s="81" t="s">
        <v>327</v>
      </c>
      <c r="E330" s="81"/>
      <c r="F330" s="81">
        <v>-132000</v>
      </c>
      <c r="G330" s="63"/>
      <c r="H330" s="63"/>
      <c r="I330" s="63"/>
    </row>
    <row r="331" spans="1:9" x14ac:dyDescent="0.3">
      <c r="A331" s="63"/>
      <c r="B331" s="63"/>
      <c r="C331" s="79">
        <v>45684</v>
      </c>
      <c r="D331" s="81" t="s">
        <v>327</v>
      </c>
      <c r="E331" s="81"/>
      <c r="F331" s="81">
        <v>-150000</v>
      </c>
      <c r="G331" s="63"/>
      <c r="H331" s="63"/>
      <c r="I331" s="63"/>
    </row>
    <row r="332" spans="1:9" x14ac:dyDescent="0.3">
      <c r="A332" s="63"/>
      <c r="B332" s="63"/>
      <c r="C332" s="79"/>
      <c r="D332" s="81"/>
      <c r="E332" s="81"/>
      <c r="F332" s="81"/>
      <c r="G332" s="63"/>
      <c r="H332" s="63"/>
      <c r="I332" s="63"/>
    </row>
    <row r="333" spans="1:9" x14ac:dyDescent="0.3">
      <c r="A333" s="63"/>
      <c r="B333" s="63"/>
      <c r="C333" s="79"/>
      <c r="D333" s="81"/>
      <c r="E333" s="81"/>
      <c r="F333" s="81"/>
      <c r="G333" s="63"/>
      <c r="H333" s="63"/>
      <c r="I333" s="63"/>
    </row>
    <row r="334" spans="1:9" x14ac:dyDescent="0.3">
      <c r="A334" s="63"/>
      <c r="B334" s="63"/>
      <c r="C334" s="79"/>
      <c r="D334" s="81"/>
      <c r="E334" s="81"/>
      <c r="F334" s="81"/>
      <c r="G334" s="63"/>
      <c r="H334" s="63"/>
      <c r="I334" s="63"/>
    </row>
    <row r="335" spans="1:9" x14ac:dyDescent="0.3">
      <c r="A335" s="63"/>
      <c r="B335" s="63"/>
      <c r="C335" s="81"/>
      <c r="D335" s="91" t="s">
        <v>29</v>
      </c>
      <c r="E335" s="81"/>
      <c r="F335" s="83">
        <f>SUM(F312:F334)</f>
        <v>0</v>
      </c>
      <c r="G335" s="63"/>
      <c r="H335" s="63"/>
      <c r="I335" s="63"/>
    </row>
    <row r="336" spans="1:9" x14ac:dyDescent="0.3">
      <c r="A336" s="63"/>
      <c r="B336" s="63"/>
      <c r="C336" s="63"/>
      <c r="D336" s="63"/>
      <c r="E336" s="63"/>
      <c r="F336" s="63"/>
      <c r="G336" s="63"/>
      <c r="H336" s="63"/>
      <c r="I336" s="63"/>
    </row>
    <row r="337" spans="1:9" x14ac:dyDescent="0.3">
      <c r="A337" s="63"/>
      <c r="B337" s="63"/>
      <c r="C337" s="63"/>
      <c r="D337" s="63"/>
      <c r="E337" s="63"/>
      <c r="F337" s="63"/>
      <c r="G337" s="63"/>
      <c r="H337" s="63"/>
      <c r="I337" s="63"/>
    </row>
    <row r="338" spans="1:9" x14ac:dyDescent="0.3">
      <c r="A338" s="63"/>
      <c r="B338" s="63"/>
      <c r="C338" s="63"/>
      <c r="D338" s="63"/>
      <c r="E338" s="63"/>
      <c r="F338" s="63"/>
      <c r="G338" s="63"/>
      <c r="H338" s="63"/>
      <c r="I338" s="63"/>
    </row>
    <row r="339" spans="1:9" x14ac:dyDescent="0.3">
      <c r="A339" s="63"/>
      <c r="B339" s="63"/>
      <c r="C339" s="63"/>
      <c r="D339" s="63"/>
      <c r="E339" s="63"/>
      <c r="F339" s="63"/>
      <c r="G339" s="63"/>
      <c r="H339" s="63"/>
      <c r="I339" s="63"/>
    </row>
    <row r="340" spans="1:9" x14ac:dyDescent="0.3">
      <c r="A340" s="63"/>
      <c r="B340" s="63"/>
      <c r="C340" s="63"/>
      <c r="D340" s="63"/>
      <c r="E340" s="63"/>
      <c r="F340" s="63"/>
      <c r="G340" s="63"/>
      <c r="H340" s="63"/>
      <c r="I340" s="63"/>
    </row>
    <row r="341" spans="1:9" x14ac:dyDescent="0.3">
      <c r="A341" s="63"/>
      <c r="B341" s="63"/>
      <c r="C341" s="63"/>
      <c r="D341" s="63" t="s">
        <v>412</v>
      </c>
      <c r="E341" s="63"/>
      <c r="F341" s="63"/>
      <c r="G341" s="63"/>
      <c r="H341" s="63"/>
      <c r="I341" s="63"/>
    </row>
    <row r="1048576" spans="1:1" x14ac:dyDescent="0.3">
      <c r="A1048576" t="s">
        <v>177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7"/>
  <sheetViews>
    <sheetView topLeftCell="A55" workbookViewId="0">
      <selection activeCell="C52" sqref="C52"/>
    </sheetView>
  </sheetViews>
  <sheetFormatPr defaultRowHeight="14.4" x14ac:dyDescent="0.3"/>
  <cols>
    <col min="2" max="2" width="12.44140625" customWidth="1"/>
    <col min="3" max="3" width="29.77734375" customWidth="1"/>
    <col min="4" max="4" width="15.109375" customWidth="1"/>
    <col min="5" max="5" width="15.5546875" customWidth="1"/>
    <col min="6" max="6" width="10.21875" bestFit="1" customWidth="1"/>
  </cols>
  <sheetData>
    <row r="1" spans="2:5" ht="15" thickBot="1" x14ac:dyDescent="0.35"/>
    <row r="2" spans="2:5" x14ac:dyDescent="0.3">
      <c r="B2" s="138" t="s">
        <v>43</v>
      </c>
      <c r="C2" s="139"/>
    </row>
    <row r="3" spans="2:5" ht="15" thickBot="1" x14ac:dyDescent="0.35">
      <c r="B3" s="140"/>
      <c r="C3" s="141"/>
    </row>
    <row r="4" spans="2:5" x14ac:dyDescent="0.3">
      <c r="B4" s="3" t="s">
        <v>26</v>
      </c>
      <c r="C4" s="3" t="s">
        <v>27</v>
      </c>
      <c r="D4" s="3" t="s">
        <v>28</v>
      </c>
      <c r="E4" s="3" t="s">
        <v>29</v>
      </c>
    </row>
    <row r="6" spans="2:5" x14ac:dyDescent="0.3">
      <c r="B6" s="1">
        <v>45498</v>
      </c>
      <c r="C6" t="s">
        <v>30</v>
      </c>
      <c r="D6">
        <v>200.86</v>
      </c>
      <c r="E6">
        <f>E5+D6</f>
        <v>200.86</v>
      </c>
    </row>
    <row r="7" spans="2:5" x14ac:dyDescent="0.3">
      <c r="B7" s="1">
        <v>45531</v>
      </c>
      <c r="C7" t="s">
        <v>31</v>
      </c>
      <c r="D7">
        <v>12011.8</v>
      </c>
      <c r="E7">
        <f t="shared" ref="E7:E38" si="0">E6+D7</f>
        <v>12212.66</v>
      </c>
    </row>
    <row r="8" spans="2:5" x14ac:dyDescent="0.3">
      <c r="B8" s="1">
        <v>45544</v>
      </c>
      <c r="C8" t="s">
        <v>32</v>
      </c>
      <c r="D8">
        <v>874.8</v>
      </c>
      <c r="E8">
        <f t="shared" si="0"/>
        <v>13087.46</v>
      </c>
    </row>
    <row r="9" spans="2:5" x14ac:dyDescent="0.3">
      <c r="B9" s="1">
        <v>45545</v>
      </c>
      <c r="C9" t="s">
        <v>33</v>
      </c>
      <c r="D9">
        <v>3508.71</v>
      </c>
      <c r="E9">
        <f t="shared" si="0"/>
        <v>16596.169999999998</v>
      </c>
    </row>
    <row r="10" spans="2:5" x14ac:dyDescent="0.3">
      <c r="B10" s="1">
        <v>45555</v>
      </c>
      <c r="C10" t="s">
        <v>34</v>
      </c>
      <c r="D10">
        <v>6208.52</v>
      </c>
      <c r="E10">
        <f t="shared" si="0"/>
        <v>22804.69</v>
      </c>
    </row>
    <row r="11" spans="2:5" x14ac:dyDescent="0.3">
      <c r="B11" s="1">
        <v>45555</v>
      </c>
      <c r="C11" t="s">
        <v>35</v>
      </c>
      <c r="D11">
        <v>781.2</v>
      </c>
      <c r="E11">
        <f t="shared" si="0"/>
        <v>23585.89</v>
      </c>
    </row>
    <row r="12" spans="2:5" x14ac:dyDescent="0.3">
      <c r="B12" s="1">
        <v>45565</v>
      </c>
      <c r="C12" t="s">
        <v>36</v>
      </c>
      <c r="D12">
        <v>4209.74</v>
      </c>
      <c r="E12">
        <f t="shared" si="0"/>
        <v>27795.629999999997</v>
      </c>
    </row>
    <row r="13" spans="2:5" x14ac:dyDescent="0.3">
      <c r="B13" s="1">
        <v>45568</v>
      </c>
      <c r="C13" t="s">
        <v>37</v>
      </c>
      <c r="D13">
        <v>4092.09</v>
      </c>
      <c r="E13">
        <f t="shared" si="0"/>
        <v>31887.719999999998</v>
      </c>
    </row>
    <row r="14" spans="2:5" x14ac:dyDescent="0.3">
      <c r="B14" s="1">
        <v>45574</v>
      </c>
      <c r="C14" t="s">
        <v>38</v>
      </c>
      <c r="D14">
        <v>2764.62</v>
      </c>
      <c r="E14">
        <f t="shared" si="0"/>
        <v>34652.339999999997</v>
      </c>
    </row>
    <row r="15" spans="2:5" x14ac:dyDescent="0.3">
      <c r="B15" s="1">
        <v>45582</v>
      </c>
      <c r="C15" t="s">
        <v>39</v>
      </c>
      <c r="D15">
        <v>3838.76</v>
      </c>
      <c r="E15">
        <f t="shared" si="0"/>
        <v>38491.1</v>
      </c>
    </row>
    <row r="16" spans="2:5" x14ac:dyDescent="0.3">
      <c r="B16" s="1">
        <v>45583</v>
      </c>
      <c r="C16" t="s">
        <v>40</v>
      </c>
      <c r="D16">
        <v>1727.09</v>
      </c>
      <c r="E16">
        <f t="shared" si="0"/>
        <v>40218.189999999995</v>
      </c>
    </row>
    <row r="17" spans="2:6" x14ac:dyDescent="0.3">
      <c r="B17" s="1">
        <v>45589</v>
      </c>
      <c r="C17" t="s">
        <v>41</v>
      </c>
      <c r="D17">
        <v>1165.6500000000001</v>
      </c>
      <c r="E17">
        <f t="shared" si="0"/>
        <v>41383.839999999997</v>
      </c>
    </row>
    <row r="18" spans="2:6" x14ac:dyDescent="0.3">
      <c r="B18" s="1">
        <v>45601</v>
      </c>
      <c r="C18" t="s">
        <v>42</v>
      </c>
      <c r="D18">
        <v>-10000</v>
      </c>
      <c r="E18">
        <f t="shared" si="0"/>
        <v>31383.839999999997</v>
      </c>
      <c r="F18" t="s">
        <v>352</v>
      </c>
    </row>
    <row r="19" spans="2:6" x14ac:dyDescent="0.3">
      <c r="B19" s="1">
        <v>45632</v>
      </c>
      <c r="C19" t="s">
        <v>171</v>
      </c>
      <c r="D19">
        <v>3348.01</v>
      </c>
      <c r="E19">
        <f t="shared" si="0"/>
        <v>34731.85</v>
      </c>
    </row>
    <row r="20" spans="2:6" x14ac:dyDescent="0.3">
      <c r="B20" s="1">
        <v>45639</v>
      </c>
      <c r="C20" t="s">
        <v>309</v>
      </c>
      <c r="D20">
        <v>2131</v>
      </c>
      <c r="E20">
        <f t="shared" si="0"/>
        <v>36862.85</v>
      </c>
    </row>
    <row r="21" spans="2:6" x14ac:dyDescent="0.3">
      <c r="B21" s="1">
        <v>45649</v>
      </c>
      <c r="C21" t="s">
        <v>403</v>
      </c>
      <c r="D21">
        <v>3726.56</v>
      </c>
      <c r="E21">
        <f t="shared" si="0"/>
        <v>40589.409999999996</v>
      </c>
    </row>
    <row r="22" spans="2:6" x14ac:dyDescent="0.3">
      <c r="B22" s="1">
        <v>45665</v>
      </c>
      <c r="C22" t="s">
        <v>310</v>
      </c>
      <c r="D22">
        <v>2695.82</v>
      </c>
      <c r="E22">
        <f t="shared" si="0"/>
        <v>43285.229999999996</v>
      </c>
      <c r="F22" t="s">
        <v>353</v>
      </c>
    </row>
    <row r="23" spans="2:6" x14ac:dyDescent="0.3">
      <c r="B23" s="1">
        <v>45665</v>
      </c>
      <c r="C23" t="s">
        <v>404</v>
      </c>
      <c r="D23">
        <v>3694.74</v>
      </c>
      <c r="E23">
        <f t="shared" si="0"/>
        <v>46979.969999999994</v>
      </c>
    </row>
    <row r="24" spans="2:6" x14ac:dyDescent="0.3">
      <c r="B24" s="1">
        <v>45695</v>
      </c>
      <c r="C24" t="s">
        <v>42</v>
      </c>
      <c r="D24">
        <v>-20000</v>
      </c>
      <c r="E24">
        <f t="shared" si="0"/>
        <v>26979.969999999994</v>
      </c>
      <c r="F24" t="s">
        <v>405</v>
      </c>
    </row>
    <row r="25" spans="2:6" x14ac:dyDescent="0.3">
      <c r="B25" s="62">
        <v>45704</v>
      </c>
      <c r="C25" s="6" t="s">
        <v>406</v>
      </c>
      <c r="D25" s="6">
        <v>137.5</v>
      </c>
      <c r="E25">
        <f t="shared" si="0"/>
        <v>27117.469999999994</v>
      </c>
    </row>
    <row r="26" spans="2:6" x14ac:dyDescent="0.3">
      <c r="B26" s="1">
        <v>45705</v>
      </c>
      <c r="C26" t="s">
        <v>42</v>
      </c>
      <c r="D26" s="20">
        <v>-11383.84</v>
      </c>
      <c r="E26">
        <f t="shared" si="0"/>
        <v>15733.629999999994</v>
      </c>
      <c r="F26" t="s">
        <v>405</v>
      </c>
    </row>
    <row r="27" spans="2:6" x14ac:dyDescent="0.3">
      <c r="B27" s="1">
        <v>45705</v>
      </c>
      <c r="C27" t="s">
        <v>42</v>
      </c>
      <c r="D27" s="20">
        <v>-3616.16</v>
      </c>
      <c r="E27">
        <f t="shared" si="0"/>
        <v>12117.469999999994</v>
      </c>
    </row>
    <row r="28" spans="2:6" x14ac:dyDescent="0.3">
      <c r="B28" s="1">
        <v>45713</v>
      </c>
      <c r="C28" t="s">
        <v>42</v>
      </c>
      <c r="D28" s="20">
        <v>-4000</v>
      </c>
      <c r="E28">
        <f t="shared" si="0"/>
        <v>8117.4699999999939</v>
      </c>
      <c r="F28" t="s">
        <v>434</v>
      </c>
    </row>
    <row r="29" spans="2:6" x14ac:dyDescent="0.3">
      <c r="B29" s="1">
        <v>45714</v>
      </c>
      <c r="C29" t="s">
        <v>418</v>
      </c>
      <c r="D29" s="20">
        <v>2408.9499999999998</v>
      </c>
      <c r="E29">
        <f t="shared" si="0"/>
        <v>10526.419999999995</v>
      </c>
    </row>
    <row r="30" spans="2:6" x14ac:dyDescent="0.3">
      <c r="B30" s="1">
        <v>45735</v>
      </c>
      <c r="C30" t="s">
        <v>435</v>
      </c>
      <c r="D30" s="20">
        <v>2166.4499999999998</v>
      </c>
      <c r="E30">
        <f t="shared" si="0"/>
        <v>12692.869999999995</v>
      </c>
    </row>
    <row r="31" spans="2:6" x14ac:dyDescent="0.3">
      <c r="B31" s="1">
        <v>45754</v>
      </c>
      <c r="C31" t="s">
        <v>436</v>
      </c>
      <c r="D31" s="20">
        <v>5584.7</v>
      </c>
      <c r="E31">
        <f t="shared" si="0"/>
        <v>18277.569999999996</v>
      </c>
    </row>
    <row r="32" spans="2:6" x14ac:dyDescent="0.3">
      <c r="B32" s="1">
        <v>94</v>
      </c>
      <c r="C32" t="s">
        <v>42</v>
      </c>
      <c r="D32" s="20">
        <v>-8000</v>
      </c>
      <c r="E32">
        <f t="shared" si="0"/>
        <v>10277.569999999996</v>
      </c>
    </row>
    <row r="33" spans="2:7" x14ac:dyDescent="0.3">
      <c r="B33" s="1">
        <v>45776</v>
      </c>
      <c r="C33" t="s">
        <v>450</v>
      </c>
      <c r="D33" s="20">
        <v>1836.18</v>
      </c>
      <c r="E33">
        <f t="shared" si="0"/>
        <v>12113.749999999996</v>
      </c>
      <c r="G33">
        <v>12117.47</v>
      </c>
    </row>
    <row r="34" spans="2:7" x14ac:dyDescent="0.3">
      <c r="B34" s="1">
        <v>45802</v>
      </c>
      <c r="C34" t="s">
        <v>505</v>
      </c>
      <c r="D34" s="20">
        <v>2249.41</v>
      </c>
      <c r="E34">
        <f t="shared" si="0"/>
        <v>14363.159999999996</v>
      </c>
    </row>
    <row r="35" spans="2:7" x14ac:dyDescent="0.3">
      <c r="B35" s="1">
        <v>45763</v>
      </c>
      <c r="C35" t="s">
        <v>510</v>
      </c>
      <c r="D35" s="20">
        <v>3419.83</v>
      </c>
      <c r="E35">
        <f t="shared" si="0"/>
        <v>17782.989999999998</v>
      </c>
    </row>
    <row r="36" spans="2:7" x14ac:dyDescent="0.3">
      <c r="B36" s="1">
        <v>45798</v>
      </c>
      <c r="C36" t="s">
        <v>511</v>
      </c>
      <c r="D36" s="20">
        <v>1989.94</v>
      </c>
      <c r="E36">
        <f t="shared" si="0"/>
        <v>19772.929999999997</v>
      </c>
    </row>
    <row r="37" spans="2:7" x14ac:dyDescent="0.3">
      <c r="B37" s="1">
        <v>45866</v>
      </c>
      <c r="C37" t="s">
        <v>42</v>
      </c>
      <c r="D37" s="20">
        <v>-5000</v>
      </c>
      <c r="E37">
        <f t="shared" si="0"/>
        <v>14772.929999999997</v>
      </c>
    </row>
    <row r="38" spans="2:7" x14ac:dyDescent="0.3">
      <c r="B38" s="1">
        <v>45866</v>
      </c>
      <c r="C38" t="s">
        <v>562</v>
      </c>
      <c r="D38" s="20">
        <v>1273</v>
      </c>
      <c r="E38">
        <f t="shared" si="0"/>
        <v>16045.929999999997</v>
      </c>
    </row>
    <row r="39" spans="2:7" ht="15" thickBot="1" x14ac:dyDescent="0.35"/>
    <row r="40" spans="2:7" x14ac:dyDescent="0.3">
      <c r="B40" s="138" t="s">
        <v>44</v>
      </c>
      <c r="C40" s="139"/>
    </row>
    <row r="41" spans="2:7" x14ac:dyDescent="0.3">
      <c r="B41" s="142"/>
      <c r="C41" s="143"/>
    </row>
    <row r="42" spans="2:7" x14ac:dyDescent="0.3">
      <c r="B42" s="40" t="s">
        <v>26</v>
      </c>
      <c r="C42" s="40" t="s">
        <v>27</v>
      </c>
      <c r="D42" s="40" t="s">
        <v>28</v>
      </c>
      <c r="E42" s="40" t="s">
        <v>29</v>
      </c>
    </row>
    <row r="43" spans="2:7" x14ac:dyDescent="0.3">
      <c r="B43" s="48"/>
      <c r="C43" s="48"/>
      <c r="D43" s="124"/>
      <c r="E43" s="124"/>
    </row>
    <row r="44" spans="2:7" x14ac:dyDescent="0.3">
      <c r="B44" s="23">
        <v>45607</v>
      </c>
      <c r="C44" s="48" t="s">
        <v>45</v>
      </c>
      <c r="D44" s="124">
        <v>2392.9499999999998</v>
      </c>
      <c r="E44" s="124">
        <f>E43+D44</f>
        <v>2392.9499999999998</v>
      </c>
    </row>
    <row r="45" spans="2:7" x14ac:dyDescent="0.3">
      <c r="B45" s="23">
        <v>45607</v>
      </c>
      <c r="C45" s="48" t="s">
        <v>42</v>
      </c>
      <c r="D45" s="124">
        <v>-2392.9499999999998</v>
      </c>
      <c r="E45" s="124">
        <f t="shared" ref="E45:E77" si="1">E44+D45</f>
        <v>0</v>
      </c>
    </row>
    <row r="46" spans="2:7" x14ac:dyDescent="0.3">
      <c r="B46" s="23">
        <v>45614</v>
      </c>
      <c r="C46" s="48" t="s">
        <v>308</v>
      </c>
      <c r="D46" s="124">
        <v>5049</v>
      </c>
      <c r="E46" s="124">
        <f t="shared" si="1"/>
        <v>5049</v>
      </c>
    </row>
    <row r="47" spans="2:7" x14ac:dyDescent="0.3">
      <c r="B47" s="23">
        <v>45614</v>
      </c>
      <c r="C47" s="48" t="s">
        <v>42</v>
      </c>
      <c r="D47" s="124">
        <v>-5049</v>
      </c>
      <c r="E47" s="124">
        <f t="shared" si="1"/>
        <v>0</v>
      </c>
    </row>
    <row r="48" spans="2:7" x14ac:dyDescent="0.3">
      <c r="B48" s="23">
        <v>45622</v>
      </c>
      <c r="C48" s="48" t="s">
        <v>307</v>
      </c>
      <c r="D48" s="124">
        <v>2648</v>
      </c>
      <c r="E48" s="124">
        <f t="shared" si="1"/>
        <v>2648</v>
      </c>
    </row>
    <row r="49" spans="1:6" x14ac:dyDescent="0.3">
      <c r="B49" s="23">
        <v>45622</v>
      </c>
      <c r="C49" s="48" t="s">
        <v>42</v>
      </c>
      <c r="D49" s="124">
        <v>-2648</v>
      </c>
      <c r="E49" s="124">
        <f t="shared" si="1"/>
        <v>0</v>
      </c>
    </row>
    <row r="50" spans="1:6" x14ac:dyDescent="0.3">
      <c r="B50" s="23"/>
      <c r="C50" s="48"/>
      <c r="D50" s="124"/>
      <c r="E50" s="124"/>
    </row>
    <row r="51" spans="1:6" x14ac:dyDescent="0.3">
      <c r="B51" s="48"/>
      <c r="C51" s="48"/>
      <c r="D51" s="124"/>
      <c r="E51" s="124">
        <f>E45+D51</f>
        <v>0</v>
      </c>
    </row>
    <row r="52" spans="1:6" x14ac:dyDescent="0.3">
      <c r="A52" t="s">
        <v>304</v>
      </c>
      <c r="B52" s="23">
        <v>45628</v>
      </c>
      <c r="C52" s="48" t="s">
        <v>305</v>
      </c>
      <c r="D52" s="124">
        <v>8778.5</v>
      </c>
      <c r="E52" s="124">
        <f t="shared" si="1"/>
        <v>8778.5</v>
      </c>
      <c r="F52" t="s">
        <v>141</v>
      </c>
    </row>
    <row r="53" spans="1:6" x14ac:dyDescent="0.3">
      <c r="A53" t="s">
        <v>304</v>
      </c>
      <c r="B53" s="23">
        <v>45642</v>
      </c>
      <c r="C53" s="48" t="s">
        <v>303</v>
      </c>
      <c r="D53" s="124">
        <v>13185.56</v>
      </c>
      <c r="E53" s="124">
        <f t="shared" si="1"/>
        <v>21964.059999999998</v>
      </c>
    </row>
    <row r="54" spans="1:6" x14ac:dyDescent="0.3">
      <c r="B54" s="23">
        <v>45657</v>
      </c>
      <c r="C54" s="48" t="s">
        <v>306</v>
      </c>
      <c r="D54" s="124">
        <v>-21964</v>
      </c>
      <c r="E54" s="124">
        <f t="shared" si="1"/>
        <v>5.9999999997671694E-2</v>
      </c>
    </row>
    <row r="55" spans="1:6" x14ac:dyDescent="0.3">
      <c r="B55" s="48"/>
      <c r="C55" s="48"/>
      <c r="D55" s="124"/>
      <c r="E55" s="124"/>
    </row>
    <row r="56" spans="1:6" x14ac:dyDescent="0.3">
      <c r="A56" t="s">
        <v>304</v>
      </c>
      <c r="B56" s="23">
        <v>45695</v>
      </c>
      <c r="C56" s="48" t="s">
        <v>367</v>
      </c>
      <c r="D56" s="124">
        <v>6864</v>
      </c>
      <c r="E56" s="124">
        <f t="shared" si="1"/>
        <v>6864</v>
      </c>
    </row>
    <row r="57" spans="1:6" x14ac:dyDescent="0.3">
      <c r="A57" t="s">
        <v>304</v>
      </c>
      <c r="B57" s="23">
        <v>45695</v>
      </c>
      <c r="C57" s="48" t="s">
        <v>42</v>
      </c>
      <c r="D57" s="124">
        <v>-6864</v>
      </c>
      <c r="E57" s="124">
        <f t="shared" si="1"/>
        <v>0</v>
      </c>
    </row>
    <row r="58" spans="1:6" x14ac:dyDescent="0.3">
      <c r="B58" s="23"/>
      <c r="C58" s="48"/>
      <c r="D58" s="124"/>
      <c r="E58" s="124"/>
    </row>
    <row r="59" spans="1:6" x14ac:dyDescent="0.3">
      <c r="B59" s="23"/>
      <c r="C59" s="48"/>
      <c r="D59" s="124"/>
      <c r="E59" s="124"/>
    </row>
    <row r="60" spans="1:6" x14ac:dyDescent="0.3">
      <c r="A60" t="s">
        <v>304</v>
      </c>
      <c r="B60" s="23">
        <v>45698</v>
      </c>
      <c r="C60" s="48" t="s">
        <v>402</v>
      </c>
      <c r="D60" s="124">
        <v>7673.95</v>
      </c>
      <c r="E60" s="124">
        <f t="shared" si="1"/>
        <v>7673.95</v>
      </c>
    </row>
    <row r="61" spans="1:6" x14ac:dyDescent="0.3">
      <c r="B61" s="23">
        <v>45702</v>
      </c>
      <c r="C61" s="48" t="s">
        <v>42</v>
      </c>
      <c r="D61" s="124">
        <v>-7673.95</v>
      </c>
      <c r="E61" s="124">
        <f t="shared" si="1"/>
        <v>0</v>
      </c>
    </row>
    <row r="62" spans="1:6" x14ac:dyDescent="0.3">
      <c r="B62" s="48"/>
      <c r="C62" s="48"/>
      <c r="D62" s="124"/>
      <c r="E62" s="124">
        <f t="shared" si="1"/>
        <v>0</v>
      </c>
    </row>
    <row r="63" spans="1:6" x14ac:dyDescent="0.3">
      <c r="A63" t="s">
        <v>304</v>
      </c>
      <c r="B63" s="23">
        <v>45712</v>
      </c>
      <c r="C63" s="48" t="s">
        <v>402</v>
      </c>
      <c r="D63" s="124">
        <v>12219.99</v>
      </c>
      <c r="E63" s="124">
        <f t="shared" si="1"/>
        <v>12219.99</v>
      </c>
    </row>
    <row r="64" spans="1:6" x14ac:dyDescent="0.3">
      <c r="B64" s="23">
        <v>45719</v>
      </c>
      <c r="C64" s="48" t="s">
        <v>42</v>
      </c>
      <c r="D64" s="124">
        <v>-12219.99</v>
      </c>
      <c r="E64" s="124">
        <f t="shared" si="1"/>
        <v>0</v>
      </c>
    </row>
    <row r="65" spans="2:13" x14ac:dyDescent="0.3">
      <c r="B65" s="48"/>
      <c r="C65" s="48"/>
      <c r="D65" s="124"/>
      <c r="E65" s="124">
        <f t="shared" si="1"/>
        <v>0</v>
      </c>
    </row>
    <row r="66" spans="2:13" x14ac:dyDescent="0.3">
      <c r="B66" s="106">
        <v>45730</v>
      </c>
      <c r="C66" s="48" t="s">
        <v>402</v>
      </c>
      <c r="D66" s="124">
        <v>10728</v>
      </c>
      <c r="E66" s="124">
        <f t="shared" si="1"/>
        <v>10728</v>
      </c>
    </row>
    <row r="67" spans="2:13" x14ac:dyDescent="0.3">
      <c r="B67" s="23">
        <v>45750</v>
      </c>
      <c r="C67" s="48" t="s">
        <v>42</v>
      </c>
      <c r="D67" s="124">
        <v>-10728</v>
      </c>
      <c r="E67" s="124">
        <f t="shared" si="1"/>
        <v>0</v>
      </c>
    </row>
    <row r="68" spans="2:13" x14ac:dyDescent="0.3">
      <c r="B68" s="23"/>
      <c r="C68" s="48"/>
      <c r="D68" s="124"/>
      <c r="E68" s="124">
        <f t="shared" si="1"/>
        <v>0</v>
      </c>
    </row>
    <row r="69" spans="2:13" x14ac:dyDescent="0.3">
      <c r="B69" s="23" t="s">
        <v>508</v>
      </c>
      <c r="C69" s="48" t="s">
        <v>509</v>
      </c>
      <c r="D69" s="124">
        <v>10459.66</v>
      </c>
      <c r="E69" s="124">
        <f t="shared" si="1"/>
        <v>10459.66</v>
      </c>
    </row>
    <row r="70" spans="2:13" x14ac:dyDescent="0.3">
      <c r="B70" s="48" t="s">
        <v>506</v>
      </c>
      <c r="C70" s="48" t="s">
        <v>507</v>
      </c>
      <c r="D70" s="124">
        <v>9971.17</v>
      </c>
      <c r="E70" s="124">
        <f t="shared" si="1"/>
        <v>20430.830000000002</v>
      </c>
    </row>
    <row r="71" spans="2:13" x14ac:dyDescent="0.3">
      <c r="B71" s="48" t="s">
        <v>452</v>
      </c>
      <c r="C71" s="48" t="s">
        <v>451</v>
      </c>
      <c r="D71" s="124">
        <v>13493</v>
      </c>
      <c r="E71" s="124">
        <f t="shared" si="1"/>
        <v>33923.83</v>
      </c>
    </row>
    <row r="72" spans="2:13" x14ac:dyDescent="0.3">
      <c r="B72" s="48" t="s">
        <v>522</v>
      </c>
      <c r="C72" s="48" t="s">
        <v>42</v>
      </c>
      <c r="D72" s="124">
        <v>-15000</v>
      </c>
      <c r="E72" s="124">
        <f t="shared" si="1"/>
        <v>18923.830000000002</v>
      </c>
    </row>
    <row r="73" spans="2:13" x14ac:dyDescent="0.3">
      <c r="B73" s="48" t="s">
        <v>561</v>
      </c>
      <c r="C73" t="s">
        <v>560</v>
      </c>
      <c r="D73" s="124">
        <v>7117.66</v>
      </c>
      <c r="E73" s="124">
        <f t="shared" si="1"/>
        <v>26041.49</v>
      </c>
    </row>
    <row r="74" spans="2:13" x14ac:dyDescent="0.3">
      <c r="B74" s="48" t="s">
        <v>563</v>
      </c>
      <c r="C74" s="48" t="s">
        <v>564</v>
      </c>
      <c r="D74" s="124">
        <v>7263.83</v>
      </c>
      <c r="E74" s="124">
        <f t="shared" si="1"/>
        <v>33305.32</v>
      </c>
    </row>
    <row r="75" spans="2:13" x14ac:dyDescent="0.3">
      <c r="B75" s="48" t="s">
        <v>566</v>
      </c>
      <c r="C75" s="48" t="s">
        <v>565</v>
      </c>
      <c r="D75" s="124">
        <v>6018.92</v>
      </c>
      <c r="E75" s="124">
        <f t="shared" si="1"/>
        <v>39324.239999999998</v>
      </c>
    </row>
    <row r="76" spans="2:13" x14ac:dyDescent="0.3">
      <c r="B76" s="48" t="s">
        <v>567</v>
      </c>
      <c r="C76" s="48" t="s">
        <v>42</v>
      </c>
      <c r="D76" s="124">
        <v>-18969.21</v>
      </c>
      <c r="E76" s="124">
        <f t="shared" si="1"/>
        <v>20355.03</v>
      </c>
      <c r="M76" t="s">
        <v>453</v>
      </c>
    </row>
    <row r="77" spans="2:13" x14ac:dyDescent="0.3">
      <c r="E77" s="124">
        <f t="shared" si="1"/>
        <v>20355.03</v>
      </c>
    </row>
  </sheetData>
  <mergeCells count="2">
    <mergeCell ref="B2:C3"/>
    <mergeCell ref="B40:C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64"/>
  <sheetViews>
    <sheetView topLeftCell="A7" zoomScale="84" zoomScaleNormal="84" workbookViewId="0">
      <selection activeCell="E76" sqref="E76"/>
    </sheetView>
  </sheetViews>
  <sheetFormatPr defaultRowHeight="14.4" x14ac:dyDescent="0.3"/>
  <cols>
    <col min="2" max="2" width="19.44140625" bestFit="1" customWidth="1"/>
    <col min="3" max="3" width="9.21875" bestFit="1" customWidth="1"/>
    <col min="4" max="4" width="30.21875" bestFit="1" customWidth="1"/>
    <col min="5" max="5" width="22.77734375" customWidth="1"/>
    <col min="6" max="6" width="11.21875" bestFit="1" customWidth="1"/>
    <col min="14" max="14" width="9.21875" bestFit="1" customWidth="1"/>
    <col min="15" max="15" width="31.21875" customWidth="1"/>
    <col min="16" max="16" width="8.77734375" bestFit="1" customWidth="1"/>
    <col min="17" max="17" width="11.21875" bestFit="1" customWidth="1"/>
  </cols>
  <sheetData>
    <row r="3" spans="3:17" x14ac:dyDescent="0.3">
      <c r="C3" s="8"/>
      <c r="D3" s="8"/>
      <c r="E3" s="8"/>
      <c r="F3" s="8"/>
    </row>
    <row r="4" spans="3:17" x14ac:dyDescent="0.3">
      <c r="C4" s="8"/>
      <c r="D4" s="8"/>
      <c r="E4" s="8"/>
      <c r="F4" s="8"/>
      <c r="N4" s="8"/>
      <c r="O4" s="8" t="s">
        <v>156</v>
      </c>
      <c r="P4" s="8"/>
      <c r="Q4" s="21">
        <v>862704</v>
      </c>
    </row>
    <row r="5" spans="3:17" x14ac:dyDescent="0.3">
      <c r="C5" s="8"/>
      <c r="D5" s="8" t="s">
        <v>371</v>
      </c>
      <c r="E5" s="8"/>
      <c r="F5" s="9">
        <v>899001</v>
      </c>
      <c r="N5" s="10"/>
      <c r="O5" s="8"/>
      <c r="P5" s="9"/>
      <c r="Q5" s="9"/>
    </row>
    <row r="6" spans="3:17" x14ac:dyDescent="0.3">
      <c r="C6" s="10"/>
      <c r="D6" s="8" t="s">
        <v>372</v>
      </c>
      <c r="E6" s="9"/>
      <c r="F6" s="9">
        <v>-291967</v>
      </c>
      <c r="N6" s="10"/>
      <c r="O6" s="11" t="s">
        <v>142</v>
      </c>
      <c r="P6" s="9"/>
      <c r="Q6" s="9">
        <v>137692</v>
      </c>
    </row>
    <row r="7" spans="3:17" x14ac:dyDescent="0.3">
      <c r="C7" s="10"/>
      <c r="D7" s="8"/>
      <c r="E7" s="9"/>
      <c r="F7" s="9"/>
      <c r="N7" s="10"/>
      <c r="O7" s="8"/>
      <c r="P7" s="9"/>
      <c r="Q7" s="9"/>
    </row>
    <row r="8" spans="3:17" x14ac:dyDescent="0.3">
      <c r="C8" s="10"/>
      <c r="D8" s="11" t="s">
        <v>142</v>
      </c>
      <c r="E8" s="9"/>
      <c r="F8" s="9">
        <v>530815</v>
      </c>
      <c r="N8" s="10" t="s">
        <v>143</v>
      </c>
      <c r="O8" s="11"/>
      <c r="P8" s="9"/>
      <c r="Q8" s="9"/>
    </row>
    <row r="9" spans="3:17" x14ac:dyDescent="0.3">
      <c r="C9" s="10"/>
      <c r="D9" s="8"/>
      <c r="E9" s="9"/>
      <c r="F9" s="9"/>
      <c r="N9" s="10"/>
      <c r="O9" s="11" t="s">
        <v>152</v>
      </c>
      <c r="P9" s="9"/>
      <c r="Q9" s="9">
        <v>2010</v>
      </c>
    </row>
    <row r="10" spans="3:17" x14ac:dyDescent="0.3">
      <c r="C10" s="10" t="s">
        <v>143</v>
      </c>
      <c r="D10" s="11" t="s">
        <v>373</v>
      </c>
      <c r="E10" s="9"/>
      <c r="F10" s="9">
        <v>65225.34</v>
      </c>
      <c r="N10" s="10"/>
      <c r="O10" s="11" t="s">
        <v>153</v>
      </c>
      <c r="P10" s="9"/>
      <c r="Q10" s="9">
        <v>1500</v>
      </c>
    </row>
    <row r="11" spans="3:17" x14ac:dyDescent="0.3">
      <c r="C11" s="10"/>
      <c r="D11" s="11" t="s">
        <v>374</v>
      </c>
      <c r="E11" s="9"/>
      <c r="F11" s="9">
        <v>35995.79</v>
      </c>
      <c r="N11" s="10"/>
      <c r="O11" s="11" t="s">
        <v>154</v>
      </c>
      <c r="P11" s="9"/>
      <c r="Q11" s="21">
        <v>100615</v>
      </c>
    </row>
    <row r="12" spans="3:17" x14ac:dyDescent="0.3">
      <c r="C12" s="10"/>
      <c r="D12" s="11" t="s">
        <v>375</v>
      </c>
      <c r="E12" s="9">
        <v>85522.81</v>
      </c>
      <c r="F12" s="12">
        <f>E12*2.5</f>
        <v>213807.02499999999</v>
      </c>
      <c r="N12" s="10"/>
      <c r="O12" s="11"/>
      <c r="P12" s="9"/>
      <c r="Q12" s="9"/>
    </row>
    <row r="13" spans="3:17" ht="26.4" x14ac:dyDescent="0.3">
      <c r="C13" s="10"/>
      <c r="D13" s="13" t="s">
        <v>144</v>
      </c>
      <c r="E13" s="12">
        <v>3501</v>
      </c>
      <c r="F13" s="12">
        <f>E13*2.55</f>
        <v>8927.5499999999993</v>
      </c>
      <c r="N13" s="10"/>
      <c r="O13" s="11" t="s">
        <v>158</v>
      </c>
      <c r="P13" s="9">
        <v>13702.04</v>
      </c>
      <c r="Q13" s="9">
        <f>P13*2.11</f>
        <v>28911.304400000001</v>
      </c>
    </row>
    <row r="14" spans="3:17" ht="15" thickBot="1" x14ac:dyDescent="0.35">
      <c r="C14" s="10"/>
      <c r="D14" s="11"/>
      <c r="E14" s="9"/>
      <c r="F14" s="14">
        <f>SUM(F5:F13)</f>
        <v>1461804.7050000001</v>
      </c>
      <c r="N14" s="10"/>
      <c r="O14" s="11" t="s">
        <v>157</v>
      </c>
      <c r="P14" s="9">
        <v>61305.9</v>
      </c>
      <c r="Q14" s="12">
        <f>P14*2.45</f>
        <v>150199.45500000002</v>
      </c>
    </row>
    <row r="15" spans="3:17" ht="26.4" x14ac:dyDescent="0.3">
      <c r="C15" s="10"/>
      <c r="D15" s="11"/>
      <c r="E15" s="9"/>
      <c r="F15" s="9"/>
      <c r="N15" s="10"/>
      <c r="O15" s="13" t="s">
        <v>144</v>
      </c>
      <c r="P15" s="12">
        <v>3501</v>
      </c>
      <c r="Q15" s="12">
        <f>P15*2.55</f>
        <v>8927.5499999999993</v>
      </c>
    </row>
    <row r="16" spans="3:17" ht="15" thickBot="1" x14ac:dyDescent="0.35">
      <c r="C16" s="10"/>
      <c r="D16" s="11"/>
      <c r="E16" s="9"/>
      <c r="F16" s="9"/>
      <c r="N16" s="10"/>
      <c r="O16" s="11"/>
      <c r="P16" s="9"/>
      <c r="Q16" s="14">
        <f>SUM(Q4:Q15)</f>
        <v>1292559.3094000001</v>
      </c>
    </row>
    <row r="17" spans="3:17" x14ac:dyDescent="0.3">
      <c r="C17" s="10" t="s">
        <v>145</v>
      </c>
      <c r="D17" s="11" t="s">
        <v>376</v>
      </c>
      <c r="E17" s="9"/>
      <c r="F17" s="9">
        <v>132947</v>
      </c>
      <c r="N17" s="10"/>
      <c r="O17" s="11"/>
      <c r="P17" s="9"/>
      <c r="Q17" s="9"/>
    </row>
    <row r="18" spans="3:17" x14ac:dyDescent="0.3">
      <c r="C18" s="10"/>
      <c r="D18" s="11" t="s">
        <v>146</v>
      </c>
      <c r="E18" s="9"/>
      <c r="F18" s="9">
        <v>12213.3</v>
      </c>
      <c r="N18" s="10"/>
      <c r="O18" s="11"/>
      <c r="P18" s="9"/>
      <c r="Q18" s="9"/>
    </row>
    <row r="19" spans="3:17" x14ac:dyDescent="0.3">
      <c r="C19" s="8"/>
      <c r="D19" s="11" t="s">
        <v>377</v>
      </c>
      <c r="E19" s="9"/>
      <c r="F19" s="9">
        <v>6118.27</v>
      </c>
      <c r="N19" s="10" t="s">
        <v>145</v>
      </c>
      <c r="O19" s="11"/>
      <c r="P19" s="9"/>
      <c r="Q19" s="9"/>
    </row>
    <row r="20" spans="3:17" x14ac:dyDescent="0.3">
      <c r="C20" s="8"/>
      <c r="D20" s="11" t="s">
        <v>147</v>
      </c>
      <c r="E20" s="9"/>
      <c r="F20" s="9">
        <v>175000</v>
      </c>
      <c r="N20" s="10"/>
      <c r="O20" s="11" t="s">
        <v>155</v>
      </c>
      <c r="P20" s="9"/>
      <c r="Q20" s="20">
        <v>524354.63</v>
      </c>
    </row>
    <row r="21" spans="3:17" x14ac:dyDescent="0.3">
      <c r="C21" s="8"/>
      <c r="D21" s="11" t="s">
        <v>148</v>
      </c>
      <c r="E21" s="9"/>
      <c r="F21" s="9">
        <v>41625.050000000003</v>
      </c>
      <c r="N21" s="10"/>
      <c r="O21" s="11"/>
      <c r="P21" s="9"/>
      <c r="Q21" s="9"/>
    </row>
    <row r="22" spans="3:17" x14ac:dyDescent="0.3">
      <c r="C22" s="8"/>
      <c r="D22" s="11" t="s">
        <v>149</v>
      </c>
      <c r="E22" s="9">
        <v>84000</v>
      </c>
      <c r="F22" s="9">
        <f>E22*2.45</f>
        <v>205800.00000000003</v>
      </c>
      <c r="N22" s="10"/>
      <c r="O22" s="11" t="s">
        <v>146</v>
      </c>
      <c r="P22" s="9"/>
      <c r="Q22" s="20">
        <v>12213.3</v>
      </c>
    </row>
    <row r="23" spans="3:17" x14ac:dyDescent="0.3">
      <c r="C23" s="8"/>
      <c r="D23" s="11" t="s">
        <v>150</v>
      </c>
      <c r="E23" s="9"/>
      <c r="F23" s="9">
        <v>60000</v>
      </c>
      <c r="N23" s="8"/>
      <c r="O23" s="11" t="s">
        <v>147</v>
      </c>
      <c r="P23" s="9"/>
      <c r="Q23" s="20">
        <v>449269.73</v>
      </c>
    </row>
    <row r="24" spans="3:17" ht="15" thickBot="1" x14ac:dyDescent="0.35">
      <c r="C24" s="8"/>
      <c r="D24" s="8"/>
      <c r="E24" s="8"/>
      <c r="F24" s="14">
        <f>SUM(F17:F23)</f>
        <v>633703.62</v>
      </c>
      <c r="N24" s="8"/>
      <c r="O24" s="11" t="s">
        <v>148</v>
      </c>
      <c r="P24" s="9"/>
      <c r="Q24" s="19">
        <v>36725</v>
      </c>
    </row>
    <row r="25" spans="3:17" x14ac:dyDescent="0.3">
      <c r="C25" s="8"/>
      <c r="D25" s="8"/>
      <c r="E25" s="8"/>
      <c r="F25" s="8"/>
      <c r="N25" s="8"/>
      <c r="O25" s="11" t="s">
        <v>149</v>
      </c>
      <c r="P25" s="9">
        <v>54000</v>
      </c>
      <c r="Q25" s="9">
        <f>P25*2.41</f>
        <v>130140.00000000001</v>
      </c>
    </row>
    <row r="26" spans="3:17" x14ac:dyDescent="0.3">
      <c r="C26" s="8"/>
      <c r="D26" s="15" t="s">
        <v>151</v>
      </c>
      <c r="E26" s="16"/>
      <c r="F26" s="17">
        <f>F14-F24</f>
        <v>828101.08500000008</v>
      </c>
      <c r="N26" s="8"/>
      <c r="O26" s="11" t="s">
        <v>150</v>
      </c>
      <c r="P26" s="9"/>
      <c r="Q26" s="20">
        <v>59463.28</v>
      </c>
    </row>
    <row r="27" spans="3:17" ht="15" thickBot="1" x14ac:dyDescent="0.35">
      <c r="C27" s="8"/>
      <c r="D27" s="8"/>
      <c r="E27" s="8"/>
      <c r="F27" s="8"/>
      <c r="N27" s="8"/>
      <c r="O27" s="8"/>
      <c r="P27" s="8"/>
      <c r="Q27" s="14">
        <f>SUM(Q19:Q26)</f>
        <v>1212165.9400000002</v>
      </c>
    </row>
    <row r="28" spans="3:17" x14ac:dyDescent="0.3">
      <c r="C28" s="8"/>
      <c r="D28" s="8" t="s">
        <v>378</v>
      </c>
      <c r="E28" s="8"/>
      <c r="F28" s="18">
        <f>F26/2</f>
        <v>414050.54250000004</v>
      </c>
      <c r="N28" s="8"/>
      <c r="O28" s="8"/>
      <c r="P28" s="8"/>
      <c r="Q28" s="8"/>
    </row>
    <row r="29" spans="3:17" x14ac:dyDescent="0.3">
      <c r="C29" s="8"/>
      <c r="D29" s="8" t="s">
        <v>379</v>
      </c>
      <c r="E29" s="8"/>
      <c r="F29" s="18">
        <f>F26/2</f>
        <v>414050.54250000004</v>
      </c>
      <c r="N29" s="8"/>
      <c r="O29" s="15" t="s">
        <v>151</v>
      </c>
      <c r="P29" s="16"/>
      <c r="Q29" s="17">
        <f>Q16-Q27</f>
        <v>80393.369399999967</v>
      </c>
    </row>
    <row r="30" spans="3:17" x14ac:dyDescent="0.3">
      <c r="C30" s="55"/>
      <c r="D30" s="55"/>
      <c r="E30" s="55"/>
      <c r="F30" s="55"/>
      <c r="N30" s="8"/>
      <c r="O30" s="8"/>
      <c r="P30" s="8"/>
      <c r="Q30" s="8"/>
    </row>
    <row r="31" spans="3:17" x14ac:dyDescent="0.3">
      <c r="C31" s="8"/>
      <c r="D31" s="8"/>
      <c r="E31" s="8"/>
      <c r="F31" s="8"/>
      <c r="N31" s="8"/>
      <c r="O31" s="8"/>
      <c r="P31" s="8"/>
      <c r="Q31" s="18"/>
    </row>
    <row r="32" spans="3:17" x14ac:dyDescent="0.3">
      <c r="C32" s="8"/>
      <c r="D32" s="56" t="s">
        <v>380</v>
      </c>
      <c r="E32" s="8"/>
      <c r="F32" s="8"/>
      <c r="N32" s="8"/>
      <c r="O32" s="8"/>
      <c r="P32" s="8"/>
      <c r="Q32" s="18"/>
    </row>
    <row r="33" spans="3:17" x14ac:dyDescent="0.3">
      <c r="C33" s="8"/>
      <c r="D33" s="8" t="s">
        <v>381</v>
      </c>
      <c r="E33" s="8"/>
      <c r="F33" s="57">
        <v>974562</v>
      </c>
      <c r="N33" s="8"/>
      <c r="O33" s="8"/>
      <c r="P33" s="8"/>
      <c r="Q33" s="8"/>
    </row>
    <row r="34" spans="3:17" x14ac:dyDescent="0.3">
      <c r="C34" s="8"/>
      <c r="D34" s="58" t="s">
        <v>382</v>
      </c>
      <c r="E34" s="8"/>
      <c r="F34" s="59">
        <v>-206740.98</v>
      </c>
    </row>
    <row r="35" spans="3:17" x14ac:dyDescent="0.3">
      <c r="C35" s="8"/>
      <c r="D35" s="8" t="s">
        <v>383</v>
      </c>
      <c r="E35" s="8"/>
      <c r="F35" s="9">
        <v>184535</v>
      </c>
    </row>
    <row r="36" spans="3:17" x14ac:dyDescent="0.3">
      <c r="C36" s="8"/>
      <c r="D36" s="8"/>
      <c r="E36" s="8"/>
      <c r="F36" s="59"/>
    </row>
    <row r="37" spans="3:17" x14ac:dyDescent="0.3">
      <c r="C37" s="10" t="s">
        <v>143</v>
      </c>
      <c r="D37" s="8"/>
      <c r="E37" s="8"/>
      <c r="F37" s="59"/>
    </row>
    <row r="38" spans="3:17" x14ac:dyDescent="0.3">
      <c r="C38" s="10"/>
      <c r="D38" s="8" t="s">
        <v>384</v>
      </c>
      <c r="E38" s="8"/>
      <c r="F38" s="59">
        <v>2000</v>
      </c>
    </row>
    <row r="39" spans="3:17" x14ac:dyDescent="0.3">
      <c r="C39" s="8"/>
      <c r="D39" s="8" t="s">
        <v>385</v>
      </c>
      <c r="E39" s="8"/>
      <c r="F39" s="59">
        <v>450</v>
      </c>
    </row>
    <row r="40" spans="3:17" x14ac:dyDescent="0.3">
      <c r="C40" s="8"/>
      <c r="D40" s="8" t="s">
        <v>386</v>
      </c>
      <c r="E40" s="8"/>
      <c r="F40" s="9">
        <v>14158.11</v>
      </c>
    </row>
    <row r="41" spans="3:17" x14ac:dyDescent="0.3">
      <c r="C41" s="8"/>
      <c r="D41" s="8" t="s">
        <v>387</v>
      </c>
      <c r="E41" s="8"/>
      <c r="F41" s="57">
        <v>9730</v>
      </c>
    </row>
    <row r="42" spans="3:17" x14ac:dyDescent="0.3">
      <c r="C42" s="8"/>
      <c r="D42" s="8" t="s">
        <v>388</v>
      </c>
      <c r="E42" s="8"/>
      <c r="F42" s="57">
        <v>12800</v>
      </c>
    </row>
    <row r="43" spans="3:17" x14ac:dyDescent="0.3">
      <c r="C43" s="8"/>
      <c r="D43" s="8" t="s">
        <v>389</v>
      </c>
      <c r="E43" s="8"/>
      <c r="F43" s="57">
        <v>35982</v>
      </c>
    </row>
    <row r="44" spans="3:17" x14ac:dyDescent="0.3">
      <c r="C44" s="8"/>
      <c r="D44" s="8" t="s">
        <v>390</v>
      </c>
      <c r="E44" s="8"/>
      <c r="F44" s="57">
        <v>3205</v>
      </c>
    </row>
    <row r="45" spans="3:17" x14ac:dyDescent="0.3">
      <c r="C45" s="8"/>
      <c r="D45" s="8" t="s">
        <v>391</v>
      </c>
      <c r="E45" s="60">
        <v>69626.87</v>
      </c>
      <c r="F45" s="57">
        <f>E45*2.33</f>
        <v>162230.60709999999</v>
      </c>
    </row>
    <row r="46" spans="3:17" x14ac:dyDescent="0.3">
      <c r="C46" s="8"/>
      <c r="D46" s="8" t="s">
        <v>392</v>
      </c>
      <c r="E46" s="60">
        <v>79794.11</v>
      </c>
      <c r="F46" s="57">
        <f>E46*2.19</f>
        <v>174749.10089999999</v>
      </c>
    </row>
    <row r="47" spans="3:17" x14ac:dyDescent="0.3">
      <c r="C47" s="8"/>
      <c r="D47" s="8"/>
      <c r="E47" s="8"/>
      <c r="F47" s="59"/>
    </row>
    <row r="48" spans="3:17" x14ac:dyDescent="0.3">
      <c r="C48" s="8"/>
      <c r="D48" s="8"/>
      <c r="E48" s="8"/>
      <c r="F48" s="57">
        <f>SUM(F33:F47)</f>
        <v>1367660.838</v>
      </c>
    </row>
    <row r="49" spans="2:6" x14ac:dyDescent="0.3">
      <c r="C49" s="8"/>
      <c r="D49" s="8"/>
      <c r="E49" s="8"/>
      <c r="F49" s="59"/>
    </row>
    <row r="50" spans="2:6" x14ac:dyDescent="0.3">
      <c r="C50" s="10" t="s">
        <v>145</v>
      </c>
      <c r="D50" s="8"/>
      <c r="E50" s="8"/>
      <c r="F50" s="59"/>
    </row>
    <row r="51" spans="2:6" x14ac:dyDescent="0.3">
      <c r="C51" s="8"/>
      <c r="D51" s="8" t="s">
        <v>393</v>
      </c>
      <c r="E51" s="8"/>
      <c r="F51" s="57">
        <v>36725</v>
      </c>
    </row>
    <row r="52" spans="2:6" x14ac:dyDescent="0.3">
      <c r="C52" s="8"/>
      <c r="D52" s="8" t="s">
        <v>394</v>
      </c>
      <c r="E52" s="8"/>
      <c r="F52" s="9">
        <v>525951.87</v>
      </c>
    </row>
    <row r="53" spans="2:6" x14ac:dyDescent="0.3">
      <c r="C53" s="8"/>
      <c r="D53" s="8" t="s">
        <v>395</v>
      </c>
      <c r="E53" s="8"/>
      <c r="F53" s="9">
        <v>12213.3</v>
      </c>
    </row>
    <row r="54" spans="2:6" x14ac:dyDescent="0.3">
      <c r="C54" s="8"/>
      <c r="D54" s="8" t="s">
        <v>396</v>
      </c>
      <c r="E54" s="8"/>
      <c r="F54" s="9">
        <v>73928.28</v>
      </c>
    </row>
    <row r="55" spans="2:6" x14ac:dyDescent="0.3">
      <c r="C55" s="8"/>
      <c r="D55" s="8" t="s">
        <v>397</v>
      </c>
      <c r="E55" s="59">
        <v>288</v>
      </c>
      <c r="F55" s="59">
        <f>E55*2.33</f>
        <v>671.04</v>
      </c>
    </row>
    <row r="56" spans="2:6" x14ac:dyDescent="0.3">
      <c r="C56" s="8"/>
      <c r="D56" s="8" t="s">
        <v>398</v>
      </c>
      <c r="E56" s="59"/>
      <c r="F56" s="57">
        <f>453332-206740.98</f>
        <v>246591.02</v>
      </c>
    </row>
    <row r="57" spans="2:6" x14ac:dyDescent="0.3">
      <c r="C57" s="8"/>
      <c r="D57" s="8" t="s">
        <v>399</v>
      </c>
      <c r="E57" s="59"/>
      <c r="F57" s="59">
        <v>59949</v>
      </c>
    </row>
    <row r="58" spans="2:6" x14ac:dyDescent="0.3">
      <c r="C58" s="8"/>
      <c r="D58" s="8" t="s">
        <v>400</v>
      </c>
      <c r="E58" s="59">
        <v>12868</v>
      </c>
      <c r="F58" s="59">
        <f>E58*2.33</f>
        <v>29982.440000000002</v>
      </c>
    </row>
    <row r="59" spans="2:6" x14ac:dyDescent="0.3">
      <c r="C59" s="8"/>
      <c r="D59" s="8"/>
      <c r="E59" s="59"/>
      <c r="F59" s="57">
        <f>SUM(F51:F58)</f>
        <v>986011.95000000019</v>
      </c>
    </row>
    <row r="60" spans="2:6" x14ac:dyDescent="0.3">
      <c r="C60" s="8"/>
      <c r="D60" s="8"/>
      <c r="E60" s="8"/>
      <c r="F60" s="8"/>
    </row>
    <row r="61" spans="2:6" x14ac:dyDescent="0.3">
      <c r="C61" s="8"/>
      <c r="D61" s="15" t="s">
        <v>151</v>
      </c>
      <c r="E61" s="16"/>
      <c r="F61" s="17">
        <f>F48-F59</f>
        <v>381648.8879999998</v>
      </c>
    </row>
    <row r="62" spans="2:6" x14ac:dyDescent="0.3">
      <c r="C62" s="8"/>
      <c r="D62" s="8"/>
      <c r="E62" s="8"/>
      <c r="F62" s="8"/>
    </row>
    <row r="63" spans="2:6" x14ac:dyDescent="0.3">
      <c r="B63" t="s">
        <v>401</v>
      </c>
      <c r="C63" s="8"/>
      <c r="D63" s="8" t="s">
        <v>378</v>
      </c>
      <c r="E63" s="8"/>
      <c r="F63" s="61">
        <f>F61/2</f>
        <v>190824.4439999999</v>
      </c>
    </row>
    <row r="64" spans="2:6" x14ac:dyDescent="0.3">
      <c r="B64" t="s">
        <v>401</v>
      </c>
      <c r="D64" s="8" t="s">
        <v>379</v>
      </c>
      <c r="F64" s="61">
        <f>F61/2</f>
        <v>190824.4439999999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J33"/>
  <sheetViews>
    <sheetView topLeftCell="A7" workbookViewId="0">
      <selection activeCell="E26" sqref="E26"/>
    </sheetView>
  </sheetViews>
  <sheetFormatPr defaultRowHeight="14.4" x14ac:dyDescent="0.3"/>
  <cols>
    <col min="3" max="3" width="11.21875" customWidth="1"/>
    <col min="4" max="4" width="17.44140625" bestFit="1" customWidth="1"/>
    <col min="5" max="5" width="29.77734375" customWidth="1"/>
    <col min="6" max="6" width="12.44140625" bestFit="1" customWidth="1"/>
    <col min="7" max="7" width="9.44140625" customWidth="1"/>
    <col min="9" max="9" width="10.44140625" customWidth="1"/>
    <col min="10" max="10" width="44.77734375" customWidth="1"/>
  </cols>
  <sheetData>
    <row r="4" spans="1:10" ht="15" thickBot="1" x14ac:dyDescent="0.35"/>
    <row r="5" spans="1:10" ht="15" thickBot="1" x14ac:dyDescent="0.35">
      <c r="C5" s="29" t="s">
        <v>26</v>
      </c>
      <c r="D5" s="30" t="s">
        <v>181</v>
      </c>
      <c r="E5" s="31" t="s">
        <v>182</v>
      </c>
      <c r="F5" s="30" t="s">
        <v>183</v>
      </c>
      <c r="G5" s="31" t="s">
        <v>184</v>
      </c>
      <c r="H5" s="30" t="s">
        <v>185</v>
      </c>
      <c r="I5" s="31" t="s">
        <v>186</v>
      </c>
      <c r="J5" s="30" t="s">
        <v>187</v>
      </c>
    </row>
    <row r="6" spans="1:10" x14ac:dyDescent="0.3">
      <c r="C6" s="1"/>
    </row>
    <row r="7" spans="1:10" ht="28.8" x14ac:dyDescent="0.3">
      <c r="A7" t="s">
        <v>218</v>
      </c>
      <c r="C7" s="32">
        <v>45616</v>
      </c>
      <c r="D7" s="33" t="s">
        <v>188</v>
      </c>
      <c r="E7" s="34" t="s">
        <v>101</v>
      </c>
      <c r="F7" s="35">
        <f>240000/77.5</f>
        <v>3096.7741935483873</v>
      </c>
      <c r="G7" s="33">
        <v>30</v>
      </c>
      <c r="H7" s="36">
        <f>259500/77.5</f>
        <v>3348.3870967741937</v>
      </c>
      <c r="I7" s="36">
        <f>H7-F7-G7</f>
        <v>221.61290322580635</v>
      </c>
      <c r="J7" s="37" t="s">
        <v>191</v>
      </c>
    </row>
    <row r="8" spans="1:10" ht="28.8" x14ac:dyDescent="0.3">
      <c r="A8" t="s">
        <v>218</v>
      </c>
      <c r="C8" s="23">
        <v>45616</v>
      </c>
      <c r="D8" s="24" t="s">
        <v>188</v>
      </c>
      <c r="E8" s="25" t="s">
        <v>109</v>
      </c>
      <c r="F8" s="26">
        <f>245000/77.5</f>
        <v>3161.2903225806454</v>
      </c>
      <c r="G8" s="46">
        <f>(20000/77.5)+30</f>
        <v>288.06451612903226</v>
      </c>
      <c r="H8" s="27">
        <f>276000/77.5</f>
        <v>3561.2903225806454</v>
      </c>
      <c r="I8" s="27">
        <f t="shared" ref="I8:I14" si="0">H8-F8-G8</f>
        <v>111.93548387096774</v>
      </c>
      <c r="J8" s="45" t="s">
        <v>213</v>
      </c>
    </row>
    <row r="9" spans="1:10" ht="28.8" x14ac:dyDescent="0.3">
      <c r="A9" t="s">
        <v>218</v>
      </c>
      <c r="C9" s="32">
        <v>45616</v>
      </c>
      <c r="D9" s="33" t="s">
        <v>188</v>
      </c>
      <c r="E9" s="34" t="s">
        <v>110</v>
      </c>
      <c r="F9" s="35">
        <f>260000/77.5</f>
        <v>3354.8387096774195</v>
      </c>
      <c r="G9" s="33">
        <f>(20000/77.5)+30</f>
        <v>288.06451612903226</v>
      </c>
      <c r="H9" s="36">
        <f>295000/77.5</f>
        <v>3806.4516129032259</v>
      </c>
      <c r="I9" s="36">
        <f t="shared" si="0"/>
        <v>163.54838709677409</v>
      </c>
      <c r="J9" s="37" t="s">
        <v>213</v>
      </c>
    </row>
    <row r="10" spans="1:10" ht="28.8" x14ac:dyDescent="0.3">
      <c r="A10" t="s">
        <v>218</v>
      </c>
      <c r="C10" s="23">
        <v>45616</v>
      </c>
      <c r="D10" s="24" t="s">
        <v>188</v>
      </c>
      <c r="E10" s="25" t="s">
        <v>111</v>
      </c>
      <c r="F10" s="26">
        <f>240000/77.5</f>
        <v>3096.7741935483873</v>
      </c>
      <c r="G10" s="24">
        <v>30</v>
      </c>
      <c r="H10" s="27">
        <f>250000/77.5</f>
        <v>3225.8064516129034</v>
      </c>
      <c r="I10" s="27">
        <f t="shared" si="0"/>
        <v>99.0322580645161</v>
      </c>
      <c r="J10" s="28" t="s">
        <v>191</v>
      </c>
    </row>
    <row r="11" spans="1:10" ht="28.8" x14ac:dyDescent="0.3">
      <c r="A11" t="s">
        <v>218</v>
      </c>
      <c r="C11" s="32">
        <v>45616</v>
      </c>
      <c r="D11" s="33" t="s">
        <v>188</v>
      </c>
      <c r="E11" s="34" t="s">
        <v>159</v>
      </c>
      <c r="F11" s="35">
        <f>245000/77.5</f>
        <v>3161.2903225806454</v>
      </c>
      <c r="G11" s="33">
        <f>(20000/77.5)+30</f>
        <v>288.06451612903226</v>
      </c>
      <c r="H11" s="36">
        <f>262000/77.5</f>
        <v>3380.6451612903224</v>
      </c>
      <c r="I11" s="36">
        <f t="shared" si="0"/>
        <v>-68.70967741935516</v>
      </c>
      <c r="J11" s="37" t="s">
        <v>214</v>
      </c>
    </row>
    <row r="12" spans="1:10" ht="28.8" x14ac:dyDescent="0.3">
      <c r="A12" t="s">
        <v>218</v>
      </c>
      <c r="C12" s="23">
        <v>45628</v>
      </c>
      <c r="D12" s="24" t="s">
        <v>188</v>
      </c>
      <c r="E12" s="25" t="s">
        <v>160</v>
      </c>
      <c r="F12" s="26">
        <f>245000/77.5</f>
        <v>3161.2903225806454</v>
      </c>
      <c r="G12" s="46">
        <f>(20000/77.5)+30</f>
        <v>288.06451612903226</v>
      </c>
      <c r="H12" s="27">
        <f>262000/77.5</f>
        <v>3380.6451612903224</v>
      </c>
      <c r="I12" s="27">
        <f t="shared" si="0"/>
        <v>-68.70967741935516</v>
      </c>
      <c r="J12" s="45" t="s">
        <v>214</v>
      </c>
    </row>
    <row r="13" spans="1:10" ht="28.8" x14ac:dyDescent="0.3">
      <c r="A13" t="s">
        <v>218</v>
      </c>
      <c r="C13" s="32">
        <v>45628</v>
      </c>
      <c r="D13" s="33" t="s">
        <v>188</v>
      </c>
      <c r="E13" s="34" t="s">
        <v>165</v>
      </c>
      <c r="F13" s="35">
        <f>245000/77.5</f>
        <v>3161.2903225806454</v>
      </c>
      <c r="G13" s="33">
        <f>(20000/77.5)+30</f>
        <v>288.06451612903226</v>
      </c>
      <c r="H13" s="36">
        <f>262000/77.5</f>
        <v>3380.6451612903224</v>
      </c>
      <c r="I13" s="36">
        <f t="shared" si="0"/>
        <v>-68.70967741935516</v>
      </c>
      <c r="J13" s="37" t="s">
        <v>214</v>
      </c>
    </row>
    <row r="14" spans="1:10" ht="28.8" x14ac:dyDescent="0.3">
      <c r="A14" t="s">
        <v>218</v>
      </c>
      <c r="C14" s="23">
        <v>45628</v>
      </c>
      <c r="D14" s="24" t="s">
        <v>188</v>
      </c>
      <c r="E14" s="25" t="s">
        <v>172</v>
      </c>
      <c r="F14" s="26">
        <f>260000/77.5</f>
        <v>3354.8387096774195</v>
      </c>
      <c r="G14" s="46">
        <f>(20000/77.5)+30</f>
        <v>288.06451612903226</v>
      </c>
      <c r="H14" s="27">
        <f>290000/77.5</f>
        <v>3741.9354838709678</v>
      </c>
      <c r="I14" s="27">
        <f t="shared" si="0"/>
        <v>99.032258064516043</v>
      </c>
      <c r="J14" s="45" t="s">
        <v>214</v>
      </c>
    </row>
    <row r="16" spans="1:10" x14ac:dyDescent="0.3">
      <c r="C16" s="32">
        <v>45615</v>
      </c>
      <c r="D16" s="33" t="s">
        <v>189</v>
      </c>
      <c r="E16" s="34" t="s">
        <v>193</v>
      </c>
      <c r="F16" s="33">
        <v>4425</v>
      </c>
      <c r="G16" s="35">
        <f>20000/77.5</f>
        <v>258.06451612903226</v>
      </c>
      <c r="H16" s="36">
        <f>374000/77.5</f>
        <v>4825.8064516129034</v>
      </c>
      <c r="I16" s="36">
        <f t="shared" ref="I16:I19" si="1">H16-F16-G16</f>
        <v>142.74193548387115</v>
      </c>
      <c r="J16" s="37" t="s">
        <v>215</v>
      </c>
    </row>
    <row r="17" spans="1:10" x14ac:dyDescent="0.3">
      <c r="C17" s="23">
        <v>45615</v>
      </c>
      <c r="D17" s="24" t="s">
        <v>189</v>
      </c>
      <c r="E17" s="25" t="s">
        <v>195</v>
      </c>
      <c r="F17" s="24">
        <v>4425</v>
      </c>
      <c r="G17" s="26">
        <f t="shared" ref="G17:G19" si="2">20000/77.5</f>
        <v>258.06451612903226</v>
      </c>
      <c r="H17" s="27">
        <f>370000/77.5</f>
        <v>4774.1935483870966</v>
      </c>
      <c r="I17" s="27">
        <f t="shared" si="1"/>
        <v>91.129032258064342</v>
      </c>
      <c r="J17" s="45" t="s">
        <v>215</v>
      </c>
    </row>
    <row r="18" spans="1:10" x14ac:dyDescent="0.3">
      <c r="C18" s="32">
        <v>45615</v>
      </c>
      <c r="D18" s="33" t="s">
        <v>189</v>
      </c>
      <c r="E18" s="34" t="s">
        <v>176</v>
      </c>
      <c r="F18" s="33">
        <v>4435</v>
      </c>
      <c r="G18" s="35">
        <f t="shared" si="2"/>
        <v>258.06451612903226</v>
      </c>
      <c r="H18" s="36">
        <f t="shared" ref="H18:H19" si="3">370000/77.5</f>
        <v>4774.1935483870966</v>
      </c>
      <c r="I18" s="36">
        <f t="shared" si="1"/>
        <v>81.129032258064342</v>
      </c>
      <c r="J18" s="37" t="s">
        <v>215</v>
      </c>
    </row>
    <row r="19" spans="1:10" x14ac:dyDescent="0.3">
      <c r="C19" s="23">
        <v>45615</v>
      </c>
      <c r="D19" s="24" t="s">
        <v>189</v>
      </c>
      <c r="E19" s="25" t="s">
        <v>196</v>
      </c>
      <c r="F19" s="24">
        <v>4435</v>
      </c>
      <c r="G19" s="26">
        <f t="shared" si="2"/>
        <v>258.06451612903226</v>
      </c>
      <c r="H19" s="27">
        <f t="shared" si="3"/>
        <v>4774.1935483870966</v>
      </c>
      <c r="I19" s="27">
        <f t="shared" si="1"/>
        <v>81.129032258064342</v>
      </c>
      <c r="J19" s="45" t="s">
        <v>215</v>
      </c>
    </row>
    <row r="20" spans="1:10" x14ac:dyDescent="0.3">
      <c r="E20" s="2"/>
    </row>
    <row r="21" spans="1:10" x14ac:dyDescent="0.3">
      <c r="A21" t="s">
        <v>218</v>
      </c>
      <c r="C21" s="32">
        <v>45615</v>
      </c>
      <c r="D21" s="33" t="s">
        <v>189</v>
      </c>
      <c r="E21" s="34" t="s">
        <v>166</v>
      </c>
      <c r="F21" s="33">
        <v>1102</v>
      </c>
      <c r="G21" s="35">
        <f>11500/77.5</f>
        <v>148.38709677419354</v>
      </c>
      <c r="H21" s="36">
        <f>104000/77.5</f>
        <v>1341.9354838709678</v>
      </c>
      <c r="I21" s="36">
        <f t="shared" ref="I21:I24" si="4">H21-F21-G21</f>
        <v>91.548387096774263</v>
      </c>
      <c r="J21" s="33" t="s">
        <v>190</v>
      </c>
    </row>
    <row r="22" spans="1:10" x14ac:dyDescent="0.3">
      <c r="A22" t="s">
        <v>218</v>
      </c>
      <c r="C22" s="23">
        <v>45615</v>
      </c>
      <c r="D22" s="24" t="s">
        <v>189</v>
      </c>
      <c r="E22" s="25" t="s">
        <v>167</v>
      </c>
      <c r="F22" s="24">
        <v>1102</v>
      </c>
      <c r="G22" s="26">
        <f t="shared" ref="G22:G24" si="5">11500/77.5</f>
        <v>148.38709677419354</v>
      </c>
      <c r="H22" s="27">
        <f t="shared" ref="H22" si="6">104000/77.5</f>
        <v>1341.9354838709678</v>
      </c>
      <c r="I22" s="27">
        <f t="shared" si="4"/>
        <v>91.548387096774263</v>
      </c>
      <c r="J22" s="24" t="s">
        <v>190</v>
      </c>
    </row>
    <row r="23" spans="1:10" x14ac:dyDescent="0.3">
      <c r="A23" t="s">
        <v>218</v>
      </c>
      <c r="C23" s="32">
        <v>45615</v>
      </c>
      <c r="D23" s="33" t="s">
        <v>189</v>
      </c>
      <c r="E23" s="34" t="s">
        <v>174</v>
      </c>
      <c r="F23" s="33">
        <v>1102</v>
      </c>
      <c r="G23" s="35">
        <f t="shared" si="5"/>
        <v>148.38709677419354</v>
      </c>
      <c r="H23" s="36">
        <f>103000/77.5</f>
        <v>1329.0322580645161</v>
      </c>
      <c r="I23" s="36">
        <f t="shared" si="4"/>
        <v>78.645161290322562</v>
      </c>
      <c r="J23" s="33" t="s">
        <v>190</v>
      </c>
    </row>
    <row r="24" spans="1:10" x14ac:dyDescent="0.3">
      <c r="A24" t="s">
        <v>218</v>
      </c>
      <c r="C24" s="23">
        <v>45615</v>
      </c>
      <c r="D24" s="24" t="s">
        <v>189</v>
      </c>
      <c r="E24" s="25" t="s">
        <v>175</v>
      </c>
      <c r="F24" s="24">
        <v>1102</v>
      </c>
      <c r="G24" s="26">
        <f t="shared" si="5"/>
        <v>148.38709677419354</v>
      </c>
      <c r="H24" s="27">
        <f>103000/77.5</f>
        <v>1329.0322580645161</v>
      </c>
      <c r="I24" s="27">
        <f t="shared" si="4"/>
        <v>78.645161290322562</v>
      </c>
      <c r="J24" s="24" t="s">
        <v>190</v>
      </c>
    </row>
    <row r="25" spans="1:10" x14ac:dyDescent="0.3">
      <c r="C25" s="32">
        <v>45615</v>
      </c>
      <c r="D25" s="33" t="s">
        <v>189</v>
      </c>
      <c r="E25" s="34" t="s">
        <v>194</v>
      </c>
      <c r="F25" s="33">
        <v>1102</v>
      </c>
      <c r="G25" s="35">
        <f>11500/77.5</f>
        <v>148.38709677419354</v>
      </c>
      <c r="H25" s="36">
        <v>0</v>
      </c>
      <c r="I25" s="36">
        <v>0</v>
      </c>
      <c r="J25" s="33" t="s">
        <v>190</v>
      </c>
    </row>
    <row r="26" spans="1:10" x14ac:dyDescent="0.3">
      <c r="C26" s="23">
        <v>45615</v>
      </c>
      <c r="D26" s="24" t="s">
        <v>189</v>
      </c>
      <c r="E26" s="25" t="s">
        <v>194</v>
      </c>
      <c r="F26" s="24">
        <v>1102</v>
      </c>
      <c r="G26" s="26">
        <f t="shared" ref="G26:G30" si="7">11500/77.5</f>
        <v>148.38709677419354</v>
      </c>
      <c r="H26" s="27">
        <v>0</v>
      </c>
      <c r="I26" s="27">
        <v>0</v>
      </c>
      <c r="J26" s="24" t="s">
        <v>190</v>
      </c>
    </row>
    <row r="27" spans="1:10" x14ac:dyDescent="0.3">
      <c r="C27" s="32">
        <v>45615</v>
      </c>
      <c r="D27" s="33" t="s">
        <v>189</v>
      </c>
      <c r="E27" s="34" t="s">
        <v>194</v>
      </c>
      <c r="F27" s="33">
        <v>1102</v>
      </c>
      <c r="G27" s="35">
        <f t="shared" si="7"/>
        <v>148.38709677419354</v>
      </c>
      <c r="H27" s="36">
        <v>0</v>
      </c>
      <c r="I27" s="36">
        <v>0</v>
      </c>
      <c r="J27" s="33" t="s">
        <v>190</v>
      </c>
    </row>
    <row r="28" spans="1:10" x14ac:dyDescent="0.3">
      <c r="C28" s="23">
        <v>45615</v>
      </c>
      <c r="D28" s="24" t="s">
        <v>189</v>
      </c>
      <c r="E28" s="25" t="s">
        <v>194</v>
      </c>
      <c r="F28" s="24">
        <v>1102</v>
      </c>
      <c r="G28" s="26">
        <f t="shared" si="7"/>
        <v>148.38709677419354</v>
      </c>
      <c r="H28" s="27">
        <v>0</v>
      </c>
      <c r="I28" s="27">
        <v>0</v>
      </c>
      <c r="J28" s="24" t="s">
        <v>190</v>
      </c>
    </row>
    <row r="29" spans="1:10" x14ac:dyDescent="0.3">
      <c r="C29" s="32">
        <v>45615</v>
      </c>
      <c r="D29" s="33" t="s">
        <v>189</v>
      </c>
      <c r="E29" s="34" t="s">
        <v>194</v>
      </c>
      <c r="F29" s="33">
        <v>1102</v>
      </c>
      <c r="G29" s="35">
        <f t="shared" si="7"/>
        <v>148.38709677419354</v>
      </c>
      <c r="H29" s="36">
        <v>0</v>
      </c>
      <c r="I29" s="36">
        <v>0</v>
      </c>
      <c r="J29" s="33" t="s">
        <v>190</v>
      </c>
    </row>
    <row r="30" spans="1:10" x14ac:dyDescent="0.3">
      <c r="C30" s="23">
        <v>45615</v>
      </c>
      <c r="D30" s="24" t="s">
        <v>189</v>
      </c>
      <c r="E30" s="25" t="s">
        <v>194</v>
      </c>
      <c r="F30" s="24">
        <v>1102</v>
      </c>
      <c r="G30" s="26">
        <f t="shared" si="7"/>
        <v>148.38709677419354</v>
      </c>
      <c r="H30" s="27">
        <v>0</v>
      </c>
      <c r="I30" s="27">
        <v>0</v>
      </c>
      <c r="J30" s="24" t="s">
        <v>190</v>
      </c>
    </row>
    <row r="31" spans="1:10" x14ac:dyDescent="0.3">
      <c r="D31" s="7"/>
    </row>
    <row r="32" spans="1:10" x14ac:dyDescent="0.3">
      <c r="D32" s="7"/>
      <c r="E32" s="38" t="s">
        <v>192</v>
      </c>
      <c r="I32" s="39">
        <f>SUM(I7:I31)</f>
        <v>1225.5483870967728</v>
      </c>
    </row>
    <row r="33" spans="4:4" x14ac:dyDescent="0.3">
      <c r="D33" s="7"/>
    </row>
  </sheetData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H25"/>
  <sheetViews>
    <sheetView workbookViewId="0">
      <selection activeCell="F27" sqref="F27"/>
    </sheetView>
  </sheetViews>
  <sheetFormatPr defaultColWidth="12.77734375" defaultRowHeight="14.4" x14ac:dyDescent="0.3"/>
  <cols>
    <col min="5" max="5" width="14.21875" bestFit="1" customWidth="1"/>
  </cols>
  <sheetData>
    <row r="3" spans="3:8" ht="15" thickBot="1" x14ac:dyDescent="0.35"/>
    <row r="4" spans="3:8" x14ac:dyDescent="0.3">
      <c r="C4" s="145" t="s">
        <v>197</v>
      </c>
      <c r="D4" s="146"/>
      <c r="E4" s="146"/>
      <c r="F4" s="146"/>
      <c r="G4" s="146"/>
      <c r="H4" s="147"/>
    </row>
    <row r="5" spans="3:8" ht="15" thickBot="1" x14ac:dyDescent="0.35">
      <c r="C5" s="148"/>
      <c r="D5" s="149"/>
      <c r="E5" s="149"/>
      <c r="F5" s="149"/>
      <c r="G5" s="149"/>
      <c r="H5" s="150"/>
    </row>
    <row r="6" spans="3:8" ht="15" thickBot="1" x14ac:dyDescent="0.35">
      <c r="C6" s="151" t="s">
        <v>199</v>
      </c>
      <c r="D6" s="152"/>
      <c r="E6" s="153"/>
    </row>
    <row r="7" spans="3:8" x14ac:dyDescent="0.3">
      <c r="C7" s="42" t="s">
        <v>198</v>
      </c>
      <c r="D7" s="42" t="s">
        <v>200</v>
      </c>
      <c r="E7" s="42" t="s">
        <v>201</v>
      </c>
      <c r="F7" s="40" t="s">
        <v>202</v>
      </c>
      <c r="G7" s="40" t="s">
        <v>203</v>
      </c>
      <c r="H7" s="40" t="s">
        <v>204</v>
      </c>
    </row>
    <row r="8" spans="3:8" x14ac:dyDescent="0.3">
      <c r="C8" s="41">
        <v>45584</v>
      </c>
      <c r="D8" s="24">
        <v>423985688</v>
      </c>
      <c r="E8" s="24" t="s">
        <v>205</v>
      </c>
      <c r="F8" s="24">
        <v>50</v>
      </c>
      <c r="G8" s="26">
        <v>0.45</v>
      </c>
      <c r="H8" s="24">
        <v>200</v>
      </c>
    </row>
    <row r="9" spans="3:8" x14ac:dyDescent="0.3">
      <c r="C9" s="41">
        <v>45594</v>
      </c>
      <c r="D9" s="24">
        <v>423993930</v>
      </c>
      <c r="E9" s="24" t="s">
        <v>205</v>
      </c>
      <c r="F9" s="24">
        <v>57.5</v>
      </c>
      <c r="G9" s="26">
        <v>0.3</v>
      </c>
      <c r="H9" s="24">
        <v>208</v>
      </c>
    </row>
    <row r="10" spans="3:8" x14ac:dyDescent="0.3">
      <c r="C10" s="41">
        <v>45594</v>
      </c>
      <c r="D10" s="24">
        <v>423993931</v>
      </c>
      <c r="E10" s="24" t="s">
        <v>206</v>
      </c>
      <c r="F10" s="24">
        <v>69</v>
      </c>
      <c r="G10" s="26">
        <v>0.3</v>
      </c>
      <c r="H10" s="24">
        <v>219</v>
      </c>
    </row>
    <row r="11" spans="3:8" x14ac:dyDescent="0.3">
      <c r="C11" s="41">
        <v>45618</v>
      </c>
      <c r="D11" s="24">
        <v>424080965</v>
      </c>
      <c r="E11" s="24" t="s">
        <v>206</v>
      </c>
      <c r="F11" s="24">
        <v>69</v>
      </c>
      <c r="G11" s="24">
        <v>0.49</v>
      </c>
      <c r="H11" s="24">
        <v>219</v>
      </c>
    </row>
    <row r="12" spans="3:8" x14ac:dyDescent="0.3">
      <c r="C12" s="7"/>
      <c r="D12" s="7"/>
      <c r="E12" s="7"/>
      <c r="F12" s="7"/>
      <c r="G12" s="7"/>
      <c r="H12" s="7"/>
    </row>
    <row r="13" spans="3:8" x14ac:dyDescent="0.3">
      <c r="C13" s="7"/>
      <c r="D13" s="7"/>
      <c r="E13" s="7"/>
      <c r="F13" s="7"/>
      <c r="G13" s="7"/>
      <c r="H13" s="7"/>
    </row>
    <row r="14" spans="3:8" x14ac:dyDescent="0.3">
      <c r="C14" s="40" t="s">
        <v>198</v>
      </c>
      <c r="D14" s="40" t="s">
        <v>200</v>
      </c>
      <c r="E14" s="40" t="s">
        <v>207</v>
      </c>
    </row>
    <row r="15" spans="3:8" x14ac:dyDescent="0.3">
      <c r="C15" s="41">
        <v>45584</v>
      </c>
      <c r="D15" s="24">
        <v>423985688</v>
      </c>
      <c r="E15" s="24">
        <v>150</v>
      </c>
    </row>
    <row r="16" spans="3:8" x14ac:dyDescent="0.3">
      <c r="C16" s="41">
        <v>45594</v>
      </c>
      <c r="D16" s="24">
        <v>423993930</v>
      </c>
      <c r="E16" s="24">
        <v>150</v>
      </c>
    </row>
    <row r="17" spans="3:6" x14ac:dyDescent="0.3">
      <c r="C17" s="41">
        <v>45594</v>
      </c>
      <c r="D17" s="24">
        <v>423993931</v>
      </c>
      <c r="E17" s="24">
        <v>150</v>
      </c>
    </row>
    <row r="18" spans="3:6" x14ac:dyDescent="0.3">
      <c r="C18" s="41">
        <v>45618</v>
      </c>
      <c r="D18" s="24">
        <v>424080965</v>
      </c>
      <c r="E18" s="24">
        <v>150</v>
      </c>
    </row>
    <row r="20" spans="3:6" x14ac:dyDescent="0.3">
      <c r="D20" s="154" t="s">
        <v>208</v>
      </c>
      <c r="E20" s="154"/>
      <c r="F20" s="7">
        <v>1446</v>
      </c>
    </row>
    <row r="21" spans="3:6" x14ac:dyDescent="0.3">
      <c r="D21" s="154" t="s">
        <v>209</v>
      </c>
      <c r="E21" s="154"/>
      <c r="F21" s="7">
        <f>F20*15/100</f>
        <v>216.9</v>
      </c>
    </row>
    <row r="22" spans="3:6" x14ac:dyDescent="0.3">
      <c r="D22" s="154" t="s">
        <v>211</v>
      </c>
      <c r="E22" s="154"/>
      <c r="F22" s="43">
        <f>SUM(F20:F21)</f>
        <v>1662.9</v>
      </c>
    </row>
    <row r="23" spans="3:6" x14ac:dyDescent="0.3">
      <c r="D23" s="154" t="s">
        <v>210</v>
      </c>
      <c r="E23" s="154"/>
      <c r="F23" s="7">
        <f>F22*15/100</f>
        <v>249.435</v>
      </c>
    </row>
    <row r="24" spans="3:6" ht="15" thickBot="1" x14ac:dyDescent="0.35">
      <c r="D24" s="144" t="s">
        <v>212</v>
      </c>
      <c r="E24" s="144"/>
      <c r="F24" s="44">
        <f>SUM(F22:F23)</f>
        <v>1912.335</v>
      </c>
    </row>
    <row r="25" spans="3:6" ht="15" thickTop="1" x14ac:dyDescent="0.3"/>
  </sheetData>
  <mergeCells count="7">
    <mergeCell ref="D24:E24"/>
    <mergeCell ref="C4:H5"/>
    <mergeCell ref="C6:E6"/>
    <mergeCell ref="D20:E20"/>
    <mergeCell ref="D21:E21"/>
    <mergeCell ref="D23:E23"/>
    <mergeCell ref="D22:E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5:H9"/>
  <sheetViews>
    <sheetView workbookViewId="0">
      <selection activeCell="F9" sqref="F9"/>
    </sheetView>
  </sheetViews>
  <sheetFormatPr defaultRowHeight="14.4" x14ac:dyDescent="0.3"/>
  <cols>
    <col min="4" max="4" width="14.21875" bestFit="1" customWidth="1"/>
  </cols>
  <sheetData>
    <row r="5" spans="4:8" x14ac:dyDescent="0.3">
      <c r="D5" t="s">
        <v>286</v>
      </c>
      <c r="E5" s="7">
        <v>4</v>
      </c>
      <c r="F5" s="7">
        <v>20000</v>
      </c>
      <c r="G5">
        <f>E5*F5</f>
        <v>80000</v>
      </c>
      <c r="H5" t="s">
        <v>141</v>
      </c>
    </row>
    <row r="6" spans="4:8" x14ac:dyDescent="0.3">
      <c r="D6" t="s">
        <v>287</v>
      </c>
      <c r="E6" s="7">
        <v>2</v>
      </c>
      <c r="F6" s="7">
        <v>15000</v>
      </c>
      <c r="G6">
        <f t="shared" ref="G6:G9" si="0">E6*F6</f>
        <v>30000</v>
      </c>
      <c r="H6" t="s">
        <v>141</v>
      </c>
    </row>
    <row r="7" spans="4:8" x14ac:dyDescent="0.3">
      <c r="D7" t="s">
        <v>288</v>
      </c>
      <c r="E7" s="7">
        <v>1</v>
      </c>
      <c r="F7" s="7">
        <v>15000</v>
      </c>
      <c r="G7">
        <f t="shared" si="0"/>
        <v>15000</v>
      </c>
      <c r="H7" t="s">
        <v>141</v>
      </c>
    </row>
    <row r="8" spans="4:8" x14ac:dyDescent="0.3">
      <c r="D8" t="s">
        <v>289</v>
      </c>
      <c r="E8" s="7">
        <v>2</v>
      </c>
      <c r="F8" s="7">
        <v>15000</v>
      </c>
      <c r="G8">
        <f t="shared" si="0"/>
        <v>30000</v>
      </c>
    </row>
    <row r="9" spans="4:8" x14ac:dyDescent="0.3">
      <c r="D9" t="s">
        <v>290</v>
      </c>
      <c r="E9" s="7">
        <v>1</v>
      </c>
      <c r="F9" s="7">
        <v>22000</v>
      </c>
      <c r="G9">
        <f t="shared" si="0"/>
        <v>22000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45"/>
  <sheetViews>
    <sheetView topLeftCell="A7" zoomScale="86" zoomScaleNormal="86" workbookViewId="0">
      <selection activeCell="E23" sqref="E23:F24"/>
    </sheetView>
  </sheetViews>
  <sheetFormatPr defaultRowHeight="14.4" x14ac:dyDescent="0.3"/>
  <cols>
    <col min="2" max="2" width="27.5546875" customWidth="1"/>
    <col min="3" max="3" width="14.33203125" style="92" customWidth="1"/>
    <col min="4" max="4" width="12.88671875" customWidth="1"/>
    <col min="5" max="5" width="27" customWidth="1"/>
    <col min="6" max="6" width="24.44140625" style="92" customWidth="1"/>
    <col min="7" max="7" width="14.33203125" bestFit="1" customWidth="1"/>
    <col min="8" max="8" width="29" customWidth="1"/>
    <col min="9" max="9" width="31.44140625" style="123" customWidth="1"/>
    <col min="10" max="10" width="11.21875" customWidth="1"/>
    <col min="11" max="11" width="10" bestFit="1" customWidth="1"/>
    <col min="12" max="12" width="14.77734375" bestFit="1" customWidth="1"/>
  </cols>
  <sheetData>
    <row r="1" spans="2:9" x14ac:dyDescent="0.3">
      <c r="B1" s="93"/>
      <c r="C1" s="94"/>
      <c r="D1" s="93"/>
      <c r="E1" s="93"/>
      <c r="F1" s="94"/>
    </row>
    <row r="2" spans="2:9" x14ac:dyDescent="0.3">
      <c r="B2" s="95" t="s">
        <v>433</v>
      </c>
      <c r="C2" s="96">
        <v>726903</v>
      </c>
      <c r="D2" s="93"/>
      <c r="E2" s="93" t="s">
        <v>490</v>
      </c>
      <c r="F2" s="94"/>
    </row>
    <row r="3" spans="2:9" x14ac:dyDescent="0.3">
      <c r="B3" s="93"/>
      <c r="C3" s="94"/>
      <c r="D3" s="93"/>
      <c r="E3" s="93"/>
      <c r="F3" s="94"/>
    </row>
    <row r="4" spans="2:9" x14ac:dyDescent="0.3">
      <c r="B4" s="97" t="s">
        <v>143</v>
      </c>
      <c r="C4" s="94"/>
      <c r="D4" s="93"/>
      <c r="E4" s="155" t="s">
        <v>427</v>
      </c>
      <c r="F4" s="155"/>
    </row>
    <row r="5" spans="2:9" x14ac:dyDescent="0.3">
      <c r="B5" s="98" t="s">
        <v>424</v>
      </c>
      <c r="C5" s="99"/>
      <c r="D5" s="93"/>
      <c r="E5" s="98" t="s">
        <v>424</v>
      </c>
      <c r="F5" s="100"/>
    </row>
    <row r="6" spans="2:9" x14ac:dyDescent="0.3">
      <c r="B6" s="102" t="s">
        <v>440</v>
      </c>
      <c r="C6" s="96">
        <v>23662.336800000001</v>
      </c>
      <c r="D6" s="93"/>
      <c r="F6" s="96"/>
    </row>
    <row r="7" spans="2:9" x14ac:dyDescent="0.3">
      <c r="B7" s="101" t="s">
        <v>497</v>
      </c>
      <c r="C7" s="96">
        <v>30520</v>
      </c>
      <c r="D7" s="93"/>
      <c r="F7" s="96"/>
      <c r="H7" t="s">
        <v>502</v>
      </c>
    </row>
    <row r="8" spans="2:9" x14ac:dyDescent="0.3">
      <c r="B8" s="101"/>
      <c r="C8" s="96"/>
      <c r="D8" s="93"/>
      <c r="E8" s="101" t="s">
        <v>441</v>
      </c>
      <c r="F8" s="96">
        <v>573</v>
      </c>
    </row>
    <row r="9" spans="2:9" x14ac:dyDescent="0.3">
      <c r="B9" s="93" t="s">
        <v>454</v>
      </c>
      <c r="C9" s="96">
        <v>11731</v>
      </c>
      <c r="D9" s="93"/>
      <c r="E9" s="102"/>
      <c r="F9" s="96"/>
      <c r="H9" t="s">
        <v>501</v>
      </c>
      <c r="I9" s="123">
        <v>726903</v>
      </c>
    </row>
    <row r="10" spans="2:9" x14ac:dyDescent="0.3">
      <c r="B10" s="121" t="s">
        <v>385</v>
      </c>
      <c r="C10" s="120">
        <v>50</v>
      </c>
      <c r="D10" s="93"/>
      <c r="E10" s="102" t="s">
        <v>448</v>
      </c>
      <c r="F10" s="96">
        <v>200</v>
      </c>
      <c r="G10" s="111"/>
      <c r="H10" t="s">
        <v>503</v>
      </c>
      <c r="I10" s="123">
        <v>23956</v>
      </c>
    </row>
    <row r="11" spans="2:9" x14ac:dyDescent="0.3">
      <c r="B11" s="101" t="s">
        <v>442</v>
      </c>
      <c r="C11" s="96">
        <v>650</v>
      </c>
      <c r="D11" s="93"/>
      <c r="E11" s="102" t="s">
        <v>429</v>
      </c>
      <c r="F11" s="96">
        <v>597</v>
      </c>
      <c r="G11" s="111"/>
    </row>
    <row r="12" spans="2:9" x14ac:dyDescent="0.3">
      <c r="B12" s="101" t="s">
        <v>455</v>
      </c>
      <c r="C12" s="96">
        <v>19071</v>
      </c>
      <c r="D12" s="93"/>
      <c r="E12" s="93"/>
      <c r="F12" s="94"/>
      <c r="G12" s="93"/>
      <c r="H12" t="s">
        <v>143</v>
      </c>
      <c r="I12" s="123">
        <v>784977.42</v>
      </c>
    </row>
    <row r="13" spans="2:9" x14ac:dyDescent="0.3">
      <c r="B13" s="101" t="s">
        <v>443</v>
      </c>
      <c r="C13" s="96">
        <v>3452</v>
      </c>
      <c r="D13" s="93"/>
      <c r="E13" s="102" t="s">
        <v>393</v>
      </c>
      <c r="F13" s="96">
        <v>95582</v>
      </c>
      <c r="I13" s="123">
        <f>SUM(I9:I12)</f>
        <v>1535836.42</v>
      </c>
    </row>
    <row r="14" spans="2:9" x14ac:dyDescent="0.3">
      <c r="B14" s="101" t="s">
        <v>498</v>
      </c>
      <c r="C14" s="96">
        <v>5200</v>
      </c>
      <c r="D14" s="93"/>
      <c r="E14" s="93"/>
      <c r="F14" s="94"/>
    </row>
    <row r="15" spans="2:9" x14ac:dyDescent="0.3">
      <c r="B15" s="101" t="s">
        <v>444</v>
      </c>
      <c r="C15" s="96">
        <v>4640</v>
      </c>
      <c r="D15" s="93"/>
      <c r="E15" s="93"/>
      <c r="F15" s="94"/>
      <c r="H15" t="s">
        <v>504</v>
      </c>
      <c r="I15" s="123">
        <v>1524146.78</v>
      </c>
    </row>
    <row r="16" spans="2:9" x14ac:dyDescent="0.3">
      <c r="B16" s="101" t="s">
        <v>456</v>
      </c>
      <c r="C16" s="96">
        <v>15000</v>
      </c>
      <c r="D16" s="93"/>
      <c r="E16" s="102" t="s">
        <v>398</v>
      </c>
      <c r="F16" s="96">
        <v>281261</v>
      </c>
    </row>
    <row r="17" spans="2:9" x14ac:dyDescent="0.3">
      <c r="B17" s="116" t="s">
        <v>387</v>
      </c>
      <c r="C17" s="117">
        <v>2330</v>
      </c>
      <c r="D17" s="93"/>
      <c r="E17" s="93"/>
      <c r="F17" s="94"/>
    </row>
    <row r="18" spans="2:9" x14ac:dyDescent="0.3">
      <c r="B18" s="101" t="s">
        <v>499</v>
      </c>
      <c r="C18" s="96">
        <v>450</v>
      </c>
      <c r="D18" s="93"/>
      <c r="E18" s="93"/>
      <c r="F18" s="94"/>
    </row>
    <row r="19" spans="2:9" x14ac:dyDescent="0.3">
      <c r="B19" s="101" t="s">
        <v>457</v>
      </c>
      <c r="C19" s="96">
        <v>2475</v>
      </c>
      <c r="D19" s="93"/>
      <c r="E19" s="102" t="s">
        <v>432</v>
      </c>
      <c r="F19" s="96">
        <v>74867</v>
      </c>
      <c r="I19" s="123">
        <f>I13-I15</f>
        <v>11689.639999999898</v>
      </c>
    </row>
    <row r="20" spans="2:9" x14ac:dyDescent="0.3">
      <c r="B20" s="101" t="s">
        <v>458</v>
      </c>
      <c r="C20" s="96">
        <v>7900.38</v>
      </c>
      <c r="D20" s="93"/>
      <c r="E20" s="102" t="s">
        <v>394</v>
      </c>
      <c r="F20" s="96">
        <v>486091</v>
      </c>
    </row>
    <row r="21" spans="2:9" x14ac:dyDescent="0.3">
      <c r="B21" s="101" t="s">
        <v>425</v>
      </c>
      <c r="C21" s="96">
        <v>3006</v>
      </c>
      <c r="D21" s="93"/>
      <c r="E21" s="102" t="s">
        <v>396</v>
      </c>
      <c r="F21" s="96">
        <v>163200</v>
      </c>
    </row>
    <row r="22" spans="2:9" x14ac:dyDescent="0.3">
      <c r="B22" s="101" t="s">
        <v>445</v>
      </c>
      <c r="C22" s="96">
        <v>3670</v>
      </c>
      <c r="D22" s="93"/>
      <c r="E22" s="93"/>
      <c r="F22" s="94"/>
    </row>
    <row r="23" spans="2:9" x14ac:dyDescent="0.3">
      <c r="B23" s="101" t="s">
        <v>426</v>
      </c>
      <c r="C23" s="96">
        <v>90040</v>
      </c>
      <c r="D23" s="93"/>
      <c r="E23" s="102" t="s">
        <v>523</v>
      </c>
      <c r="F23" s="96">
        <v>42200</v>
      </c>
    </row>
    <row r="24" spans="2:9" x14ac:dyDescent="0.3">
      <c r="B24" s="101" t="s">
        <v>459</v>
      </c>
      <c r="C24" s="96">
        <v>23750</v>
      </c>
      <c r="D24" s="93"/>
      <c r="E24" s="93" t="s">
        <v>524</v>
      </c>
      <c r="F24" s="94">
        <v>46661</v>
      </c>
    </row>
    <row r="25" spans="2:9" x14ac:dyDescent="0.3">
      <c r="B25" s="101" t="s">
        <v>446</v>
      </c>
      <c r="C25" s="96">
        <v>30482</v>
      </c>
      <c r="D25" s="93"/>
      <c r="E25" s="122"/>
      <c r="F25" s="94"/>
    </row>
    <row r="26" spans="2:9" x14ac:dyDescent="0.3">
      <c r="B26" s="102" t="s">
        <v>447</v>
      </c>
      <c r="C26" s="96">
        <v>692</v>
      </c>
      <c r="D26" s="93"/>
      <c r="E26" t="s">
        <v>488</v>
      </c>
      <c r="F26" s="94">
        <f>SUM(F8:F25)</f>
        <v>1191232</v>
      </c>
      <c r="I26" s="96">
        <v>609402</v>
      </c>
    </row>
    <row r="27" spans="2:9" x14ac:dyDescent="0.3">
      <c r="B27" s="118" t="s">
        <v>397</v>
      </c>
      <c r="C27" s="117">
        <v>2925</v>
      </c>
      <c r="D27" s="93"/>
      <c r="E27" s="93"/>
      <c r="F27" s="94"/>
    </row>
    <row r="28" spans="2:9" x14ac:dyDescent="0.3">
      <c r="B28" s="119" t="s">
        <v>395</v>
      </c>
      <c r="C28" s="120">
        <v>118.28</v>
      </c>
      <c r="D28" s="93"/>
      <c r="E28" s="93"/>
      <c r="F28" s="94"/>
    </row>
    <row r="29" spans="2:9" x14ac:dyDescent="0.3">
      <c r="B29" s="119" t="s">
        <v>428</v>
      </c>
      <c r="C29" s="120">
        <v>272</v>
      </c>
      <c r="D29" s="93"/>
      <c r="E29" s="93"/>
      <c r="F29" s="94"/>
    </row>
    <row r="30" spans="2:9" x14ac:dyDescent="0.3">
      <c r="B30" s="102"/>
      <c r="C30" s="96"/>
      <c r="D30" s="93"/>
      <c r="E30" s="93"/>
      <c r="F30" s="94"/>
    </row>
    <row r="31" spans="2:9" ht="21" x14ac:dyDescent="0.4">
      <c r="B31" s="118" t="s">
        <v>460</v>
      </c>
      <c r="C31" s="117">
        <v>160277.34</v>
      </c>
      <c r="D31" s="93"/>
      <c r="E31" s="112"/>
      <c r="F31" s="94"/>
      <c r="G31" s="113" t="s">
        <v>491</v>
      </c>
      <c r="H31" s="114">
        <v>71525</v>
      </c>
    </row>
    <row r="32" spans="2:9" ht="21" x14ac:dyDescent="0.4">
      <c r="B32" s="102" t="s">
        <v>449</v>
      </c>
      <c r="C32" s="96">
        <v>174748.86</v>
      </c>
      <c r="D32" s="93"/>
      <c r="E32" s="93"/>
      <c r="F32" s="94"/>
      <c r="G32" s="113" t="s">
        <v>492</v>
      </c>
      <c r="H32" s="113">
        <v>-45175</v>
      </c>
    </row>
    <row r="33" spans="2:12" ht="21" x14ac:dyDescent="0.4">
      <c r="B33" s="102" t="s">
        <v>461</v>
      </c>
      <c r="C33" s="96">
        <v>167864.22</v>
      </c>
      <c r="D33" s="93"/>
      <c r="E33" s="93"/>
      <c r="F33" s="94"/>
      <c r="G33" s="113" t="s">
        <v>494</v>
      </c>
      <c r="H33" s="113">
        <v>32155</v>
      </c>
    </row>
    <row r="34" spans="2:12" ht="21" x14ac:dyDescent="0.4">
      <c r="B34" s="102"/>
      <c r="C34" s="96"/>
      <c r="D34" s="93"/>
      <c r="E34" s="93"/>
      <c r="F34" s="94"/>
      <c r="G34" s="113" t="s">
        <v>493</v>
      </c>
      <c r="H34" s="113">
        <v>24808</v>
      </c>
    </row>
    <row r="35" spans="2:12" ht="21" x14ac:dyDescent="0.4">
      <c r="B35" s="103" t="s">
        <v>430</v>
      </c>
      <c r="C35" s="96">
        <v>23956</v>
      </c>
      <c r="D35" s="93"/>
      <c r="E35" s="93"/>
      <c r="F35" s="94"/>
      <c r="G35" s="113" t="s">
        <v>495</v>
      </c>
      <c r="H35" s="113">
        <v>85314</v>
      </c>
    </row>
    <row r="36" spans="2:12" ht="21" x14ac:dyDescent="0.4">
      <c r="B36" s="93"/>
      <c r="C36" s="94"/>
      <c r="D36" s="93"/>
      <c r="E36" s="93"/>
      <c r="F36" s="94"/>
      <c r="G36" s="113" t="s">
        <v>496</v>
      </c>
      <c r="H36" s="113">
        <v>98839</v>
      </c>
      <c r="J36" t="s">
        <v>500</v>
      </c>
    </row>
    <row r="37" spans="2:12" ht="21" x14ac:dyDescent="0.4">
      <c r="B37" s="93" t="s">
        <v>489</v>
      </c>
      <c r="C37" s="94">
        <f>SUM(C2:C36)</f>
        <v>1535836.4168</v>
      </c>
      <c r="D37" s="93"/>
      <c r="E37" s="93"/>
      <c r="F37" s="94"/>
      <c r="G37" s="113"/>
      <c r="H37" s="113"/>
    </row>
    <row r="38" spans="2:12" ht="21" x14ac:dyDescent="0.4">
      <c r="B38" s="93"/>
      <c r="C38" s="94"/>
      <c r="D38" s="93"/>
      <c r="E38" s="93"/>
      <c r="F38" s="94"/>
      <c r="G38" s="113"/>
      <c r="H38" s="115">
        <f>SUM(H31:H37)</f>
        <v>267466</v>
      </c>
    </row>
    <row r="39" spans="2:12" x14ac:dyDescent="0.3">
      <c r="B39" s="93"/>
      <c r="C39" s="94"/>
      <c r="D39" s="93"/>
      <c r="E39" s="93"/>
      <c r="F39" s="94"/>
    </row>
    <row r="40" spans="2:12" x14ac:dyDescent="0.3">
      <c r="B40" s="93"/>
      <c r="C40" s="100" t="s">
        <v>431</v>
      </c>
      <c r="D40" s="100">
        <f>C37-F26</f>
        <v>344604.41680000001</v>
      </c>
      <c r="E40" s="93"/>
      <c r="F40" s="94"/>
      <c r="J40" s="19">
        <v>37776</v>
      </c>
      <c r="L40" s="92">
        <f>C31+C33+J40</f>
        <v>365917.56</v>
      </c>
    </row>
    <row r="41" spans="2:12" x14ac:dyDescent="0.3">
      <c r="B41" s="93"/>
      <c r="C41" s="94"/>
      <c r="D41" s="93"/>
      <c r="E41" s="93"/>
      <c r="F41" s="94"/>
    </row>
    <row r="42" spans="2:12" ht="21" x14ac:dyDescent="0.4">
      <c r="B42" s="107"/>
      <c r="C42" s="104"/>
      <c r="D42" s="105"/>
      <c r="F42" s="94"/>
      <c r="L42" s="92">
        <f>L40-K44</f>
        <v>-77307.440000000061</v>
      </c>
    </row>
    <row r="43" spans="2:12" x14ac:dyDescent="0.3">
      <c r="B43" s="93"/>
      <c r="C43" s="94"/>
      <c r="D43" s="93"/>
      <c r="E43" s="93"/>
      <c r="F43" s="94"/>
    </row>
    <row r="44" spans="2:12" x14ac:dyDescent="0.3">
      <c r="B44" s="93"/>
      <c r="C44" s="94"/>
      <c r="D44" s="93"/>
      <c r="E44" s="93"/>
      <c r="F44" s="94"/>
      <c r="I44" s="123">
        <v>615821.30000000005</v>
      </c>
      <c r="J44" s="20">
        <v>172596.3</v>
      </c>
      <c r="K44" s="20">
        <f>I44-J44+F36</f>
        <v>443225.00000000006</v>
      </c>
    </row>
    <row r="45" spans="2:12" x14ac:dyDescent="0.3">
      <c r="B45" s="93"/>
      <c r="C45" s="94"/>
      <c r="D45" s="93"/>
      <c r="E45" s="93"/>
      <c r="F45" s="94"/>
    </row>
  </sheetData>
  <mergeCells count="1">
    <mergeCell ref="E4:F4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24F0-A7BB-4C9C-AFD6-FF3F5A95061A}">
  <dimension ref="A2:E36"/>
  <sheetViews>
    <sheetView workbookViewId="0">
      <selection activeCell="H41" sqref="H41"/>
    </sheetView>
  </sheetViews>
  <sheetFormatPr defaultRowHeight="14.4" x14ac:dyDescent="0.3"/>
  <cols>
    <col min="2" max="2" width="45.44140625" customWidth="1"/>
    <col min="5" max="5" width="26.77734375" customWidth="1"/>
  </cols>
  <sheetData>
    <row r="2" spans="1:5" x14ac:dyDescent="0.3">
      <c r="A2">
        <v>1</v>
      </c>
      <c r="B2" t="s">
        <v>462</v>
      </c>
      <c r="C2">
        <v>2</v>
      </c>
      <c r="D2">
        <v>5121.34</v>
      </c>
      <c r="E2" s="92">
        <f>C2*D2</f>
        <v>10242.68</v>
      </c>
    </row>
    <row r="3" spans="1:5" x14ac:dyDescent="0.3">
      <c r="A3">
        <f>A2+1</f>
        <v>2</v>
      </c>
      <c r="B3" t="s">
        <v>463</v>
      </c>
      <c r="C3">
        <v>1</v>
      </c>
      <c r="D3">
        <v>174.24</v>
      </c>
      <c r="E3" s="92">
        <f t="shared" ref="E3:E33" si="0">C3*D3</f>
        <v>174.24</v>
      </c>
    </row>
    <row r="4" spans="1:5" x14ac:dyDescent="0.3">
      <c r="A4">
        <f t="shared" ref="A4:A33" si="1">A3+1</f>
        <v>3</v>
      </c>
      <c r="B4" t="s">
        <v>464</v>
      </c>
      <c r="C4">
        <v>11</v>
      </c>
      <c r="D4" s="20">
        <v>1728.25</v>
      </c>
      <c r="E4" s="92">
        <f t="shared" si="0"/>
        <v>19010.75</v>
      </c>
    </row>
    <row r="5" spans="1:5" x14ac:dyDescent="0.3">
      <c r="A5">
        <f t="shared" si="1"/>
        <v>4</v>
      </c>
      <c r="B5" t="s">
        <v>465</v>
      </c>
      <c r="C5">
        <v>98</v>
      </c>
      <c r="D5">
        <v>61</v>
      </c>
      <c r="E5" s="92">
        <f t="shared" si="0"/>
        <v>5978</v>
      </c>
    </row>
    <row r="6" spans="1:5" x14ac:dyDescent="0.3">
      <c r="A6">
        <f t="shared" si="1"/>
        <v>5</v>
      </c>
      <c r="B6" t="s">
        <v>515</v>
      </c>
      <c r="C6">
        <v>11</v>
      </c>
      <c r="D6">
        <v>7000</v>
      </c>
      <c r="E6" s="92">
        <f t="shared" si="0"/>
        <v>77000</v>
      </c>
    </row>
    <row r="7" spans="1:5" x14ac:dyDescent="0.3">
      <c r="A7">
        <f t="shared" si="1"/>
        <v>6</v>
      </c>
      <c r="B7" t="s">
        <v>516</v>
      </c>
      <c r="C7">
        <v>8</v>
      </c>
      <c r="D7">
        <v>8950</v>
      </c>
      <c r="E7" s="92">
        <f t="shared" si="0"/>
        <v>71600</v>
      </c>
    </row>
    <row r="8" spans="1:5" ht="21" x14ac:dyDescent="0.3">
      <c r="A8">
        <f t="shared" si="1"/>
        <v>7</v>
      </c>
      <c r="B8" s="129" t="s">
        <v>466</v>
      </c>
      <c r="C8" s="125">
        <v>6</v>
      </c>
      <c r="D8" s="125">
        <v>6300</v>
      </c>
      <c r="E8" s="92">
        <f t="shared" si="0"/>
        <v>37800</v>
      </c>
    </row>
    <row r="9" spans="1:5" ht="21" x14ac:dyDescent="0.3">
      <c r="A9">
        <f t="shared" si="1"/>
        <v>8</v>
      </c>
      <c r="B9" s="129" t="s">
        <v>467</v>
      </c>
      <c r="C9" s="125">
        <v>12</v>
      </c>
      <c r="D9" s="125">
        <v>8900</v>
      </c>
      <c r="E9" s="92">
        <f t="shared" si="0"/>
        <v>106800</v>
      </c>
    </row>
    <row r="10" spans="1:5" x14ac:dyDescent="0.3">
      <c r="A10">
        <f t="shared" si="1"/>
        <v>9</v>
      </c>
      <c r="B10" s="125" t="s">
        <v>468</v>
      </c>
      <c r="C10" s="125">
        <v>273</v>
      </c>
      <c r="D10" s="125">
        <v>915.66</v>
      </c>
      <c r="E10" s="92">
        <f t="shared" si="0"/>
        <v>249975.18</v>
      </c>
    </row>
    <row r="11" spans="1:5" x14ac:dyDescent="0.3">
      <c r="A11">
        <f t="shared" si="1"/>
        <v>10</v>
      </c>
      <c r="B11" s="125" t="s">
        <v>469</v>
      </c>
      <c r="C11" s="125">
        <v>2</v>
      </c>
      <c r="D11" s="125">
        <v>465</v>
      </c>
      <c r="E11" s="92">
        <f t="shared" si="0"/>
        <v>930</v>
      </c>
    </row>
    <row r="12" spans="1:5" x14ac:dyDescent="0.3">
      <c r="A12">
        <f t="shared" si="1"/>
        <v>11</v>
      </c>
      <c r="B12" s="125" t="s">
        <v>470</v>
      </c>
      <c r="C12" s="125">
        <v>2</v>
      </c>
      <c r="D12" s="125">
        <v>1520</v>
      </c>
      <c r="E12" s="92">
        <f t="shared" si="0"/>
        <v>3040</v>
      </c>
    </row>
    <row r="13" spans="1:5" x14ac:dyDescent="0.3">
      <c r="A13">
        <f t="shared" si="1"/>
        <v>12</v>
      </c>
      <c r="B13" s="125" t="s">
        <v>471</v>
      </c>
      <c r="C13" s="125">
        <v>7</v>
      </c>
      <c r="D13" s="125">
        <v>1900</v>
      </c>
      <c r="E13" s="92">
        <f t="shared" si="0"/>
        <v>13300</v>
      </c>
    </row>
    <row r="14" spans="1:5" ht="21" x14ac:dyDescent="0.3">
      <c r="A14">
        <f t="shared" si="1"/>
        <v>13</v>
      </c>
      <c r="B14" s="128" t="s">
        <v>472</v>
      </c>
      <c r="C14" s="125">
        <v>2</v>
      </c>
      <c r="D14" s="125">
        <v>1254</v>
      </c>
      <c r="E14" s="92">
        <f t="shared" si="0"/>
        <v>2508</v>
      </c>
    </row>
    <row r="15" spans="1:5" ht="21" x14ac:dyDescent="0.3">
      <c r="A15">
        <f t="shared" si="1"/>
        <v>14</v>
      </c>
      <c r="B15" s="128" t="s">
        <v>473</v>
      </c>
      <c r="C15" s="125">
        <v>10</v>
      </c>
      <c r="D15" s="125">
        <v>159.6</v>
      </c>
      <c r="E15" s="92">
        <f t="shared" si="0"/>
        <v>1596</v>
      </c>
    </row>
    <row r="16" spans="1:5" x14ac:dyDescent="0.3">
      <c r="A16">
        <f t="shared" si="1"/>
        <v>15</v>
      </c>
      <c r="B16" s="125" t="s">
        <v>474</v>
      </c>
      <c r="C16" s="125">
        <v>5</v>
      </c>
      <c r="D16" s="125">
        <v>317.37</v>
      </c>
      <c r="E16" s="92">
        <f t="shared" si="0"/>
        <v>1586.85</v>
      </c>
    </row>
    <row r="17" spans="1:5" x14ac:dyDescent="0.3">
      <c r="A17">
        <f t="shared" si="1"/>
        <v>16</v>
      </c>
      <c r="B17" s="125" t="s">
        <v>475</v>
      </c>
      <c r="C17" s="125">
        <v>12</v>
      </c>
      <c r="D17" s="125">
        <v>5</v>
      </c>
      <c r="E17" s="92">
        <f t="shared" si="0"/>
        <v>60</v>
      </c>
    </row>
    <row r="18" spans="1:5" x14ac:dyDescent="0.3">
      <c r="A18">
        <f t="shared" si="1"/>
        <v>17</v>
      </c>
      <c r="B18" s="125" t="s">
        <v>476</v>
      </c>
      <c r="C18" s="125">
        <v>1</v>
      </c>
      <c r="D18" s="125">
        <v>2940.3</v>
      </c>
      <c r="E18" s="92">
        <f t="shared" si="0"/>
        <v>2940.3</v>
      </c>
    </row>
    <row r="19" spans="1:5" x14ac:dyDescent="0.3">
      <c r="A19">
        <f t="shared" si="1"/>
        <v>18</v>
      </c>
      <c r="B19" s="125" t="s">
        <v>477</v>
      </c>
      <c r="C19" s="125">
        <v>3</v>
      </c>
      <c r="D19" s="125">
        <v>2280</v>
      </c>
      <c r="E19" s="92">
        <f t="shared" si="0"/>
        <v>6840</v>
      </c>
    </row>
    <row r="20" spans="1:5" x14ac:dyDescent="0.3">
      <c r="A20">
        <f t="shared" si="1"/>
        <v>19</v>
      </c>
      <c r="B20" s="125" t="s">
        <v>478</v>
      </c>
      <c r="C20" s="125">
        <v>9</v>
      </c>
      <c r="D20" s="125">
        <v>2725</v>
      </c>
      <c r="E20" s="92">
        <f t="shared" si="0"/>
        <v>24525</v>
      </c>
    </row>
    <row r="21" spans="1:5" x14ac:dyDescent="0.3">
      <c r="A21">
        <f t="shared" si="1"/>
        <v>20</v>
      </c>
      <c r="B21" s="125" t="s">
        <v>479</v>
      </c>
      <c r="C21" s="125">
        <v>3</v>
      </c>
      <c r="D21" s="125">
        <v>5939</v>
      </c>
      <c r="E21" s="92">
        <f t="shared" si="0"/>
        <v>17817</v>
      </c>
    </row>
    <row r="22" spans="1:5" x14ac:dyDescent="0.3">
      <c r="A22">
        <f t="shared" si="1"/>
        <v>21</v>
      </c>
      <c r="B22" s="125" t="s">
        <v>480</v>
      </c>
      <c r="C22" s="125">
        <v>10</v>
      </c>
      <c r="D22" s="125">
        <v>5200</v>
      </c>
      <c r="E22" s="92">
        <f t="shared" si="0"/>
        <v>52000</v>
      </c>
    </row>
    <row r="23" spans="1:5" x14ac:dyDescent="0.3">
      <c r="A23">
        <f t="shared" si="1"/>
        <v>22</v>
      </c>
      <c r="B23" s="125" t="s">
        <v>481</v>
      </c>
      <c r="C23" s="125">
        <v>19</v>
      </c>
      <c r="D23" s="125">
        <v>4500</v>
      </c>
      <c r="E23" s="92">
        <f t="shared" si="0"/>
        <v>85500</v>
      </c>
    </row>
    <row r="24" spans="1:5" x14ac:dyDescent="0.3">
      <c r="A24">
        <f t="shared" si="1"/>
        <v>23</v>
      </c>
      <c r="B24" s="125" t="s">
        <v>482</v>
      </c>
      <c r="C24" s="125">
        <v>2</v>
      </c>
      <c r="D24" s="125">
        <v>127.15</v>
      </c>
      <c r="E24" s="92">
        <f t="shared" si="0"/>
        <v>254.3</v>
      </c>
    </row>
    <row r="25" spans="1:5" x14ac:dyDescent="0.3">
      <c r="A25">
        <f t="shared" si="1"/>
        <v>24</v>
      </c>
      <c r="B25" s="125" t="s">
        <v>483</v>
      </c>
      <c r="C25" s="125">
        <v>1</v>
      </c>
      <c r="D25" s="125">
        <v>90.87</v>
      </c>
      <c r="E25" s="92">
        <f t="shared" si="0"/>
        <v>90.87</v>
      </c>
    </row>
    <row r="26" spans="1:5" x14ac:dyDescent="0.3">
      <c r="A26">
        <f t="shared" si="1"/>
        <v>25</v>
      </c>
      <c r="B26" s="125" t="s">
        <v>514</v>
      </c>
      <c r="C26" s="125">
        <v>1</v>
      </c>
      <c r="D26" s="126">
        <v>2439.4299999999998</v>
      </c>
      <c r="E26" s="92">
        <f t="shared" si="0"/>
        <v>2439.4299999999998</v>
      </c>
    </row>
    <row r="27" spans="1:5" x14ac:dyDescent="0.3">
      <c r="A27">
        <f t="shared" si="1"/>
        <v>26</v>
      </c>
      <c r="B27" s="125" t="s">
        <v>484</v>
      </c>
      <c r="C27" s="125">
        <v>1</v>
      </c>
      <c r="D27" s="125">
        <v>659.09</v>
      </c>
      <c r="E27" s="92">
        <f t="shared" si="0"/>
        <v>659.09</v>
      </c>
    </row>
    <row r="28" spans="1:5" x14ac:dyDescent="0.3">
      <c r="A28">
        <f t="shared" si="1"/>
        <v>27</v>
      </c>
      <c r="B28" s="125" t="s">
        <v>513</v>
      </c>
      <c r="C28" s="125">
        <v>1</v>
      </c>
      <c r="D28" s="125">
        <v>177.11</v>
      </c>
      <c r="E28" s="92">
        <f t="shared" si="0"/>
        <v>177.11</v>
      </c>
    </row>
    <row r="29" spans="1:5" x14ac:dyDescent="0.3">
      <c r="A29">
        <f t="shared" si="1"/>
        <v>28</v>
      </c>
      <c r="B29" s="125" t="s">
        <v>62</v>
      </c>
      <c r="C29" s="125">
        <v>42</v>
      </c>
      <c r="D29" s="125">
        <v>1616.67</v>
      </c>
      <c r="E29" s="92">
        <f t="shared" si="0"/>
        <v>67900.14</v>
      </c>
    </row>
    <row r="30" spans="1:5" x14ac:dyDescent="0.3">
      <c r="A30">
        <f t="shared" si="1"/>
        <v>29</v>
      </c>
      <c r="B30" s="125" t="s">
        <v>512</v>
      </c>
      <c r="C30" s="125">
        <v>1</v>
      </c>
      <c r="D30" s="126">
        <v>6609.84</v>
      </c>
      <c r="E30" s="92">
        <f t="shared" si="0"/>
        <v>6609.84</v>
      </c>
    </row>
    <row r="31" spans="1:5" x14ac:dyDescent="0.3">
      <c r="A31">
        <f t="shared" si="1"/>
        <v>30</v>
      </c>
      <c r="B31" s="125" t="s">
        <v>485</v>
      </c>
      <c r="C31" s="125">
        <v>16</v>
      </c>
      <c r="D31" s="125">
        <v>3753.63</v>
      </c>
      <c r="E31" s="92">
        <f t="shared" si="0"/>
        <v>60058.080000000002</v>
      </c>
    </row>
    <row r="32" spans="1:5" x14ac:dyDescent="0.3">
      <c r="A32">
        <f t="shared" si="1"/>
        <v>31</v>
      </c>
      <c r="B32" s="125" t="s">
        <v>486</v>
      </c>
      <c r="C32" s="125">
        <v>10</v>
      </c>
      <c r="D32" s="125">
        <v>446.5</v>
      </c>
      <c r="E32" s="92">
        <f t="shared" si="0"/>
        <v>4465</v>
      </c>
    </row>
    <row r="33" spans="1:5" x14ac:dyDescent="0.3">
      <c r="A33">
        <f t="shared" si="1"/>
        <v>32</v>
      </c>
      <c r="B33" s="125" t="s">
        <v>487</v>
      </c>
      <c r="C33" s="125">
        <v>1</v>
      </c>
      <c r="D33" s="125">
        <v>1080</v>
      </c>
      <c r="E33" s="92">
        <f t="shared" si="0"/>
        <v>1080</v>
      </c>
    </row>
    <row r="34" spans="1:5" x14ac:dyDescent="0.3">
      <c r="A34" s="125"/>
      <c r="B34" s="125"/>
      <c r="C34" s="125"/>
      <c r="D34" s="125"/>
      <c r="E34" s="127"/>
    </row>
    <row r="36" spans="1:5" x14ac:dyDescent="0.3">
      <c r="E36" s="92">
        <f>SUM(E2:E35)</f>
        <v>934957.86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A414-7764-486C-8F8D-E43ABEBC00EF}">
  <dimension ref="B1:I178"/>
  <sheetViews>
    <sheetView tabSelected="1" topLeftCell="A87" zoomScale="130" zoomScaleNormal="130" workbookViewId="0">
      <selection activeCell="G131" sqref="A90:G131"/>
    </sheetView>
  </sheetViews>
  <sheetFormatPr defaultRowHeight="14.4" x14ac:dyDescent="0.3"/>
  <cols>
    <col min="2" max="2" width="28.6640625" customWidth="1"/>
    <col min="3" max="3" width="17.77734375" style="92" customWidth="1"/>
    <col min="4" max="4" width="11.6640625" customWidth="1"/>
    <col min="5" max="5" width="26.77734375" customWidth="1"/>
    <col min="6" max="6" width="20.109375" customWidth="1"/>
  </cols>
  <sheetData>
    <row r="1" spans="2:6" x14ac:dyDescent="0.3">
      <c r="B1" s="95" t="s">
        <v>433</v>
      </c>
      <c r="C1" s="96">
        <v>934957</v>
      </c>
      <c r="D1" s="93"/>
      <c r="E1" s="93" t="s">
        <v>525</v>
      </c>
      <c r="F1" s="94"/>
    </row>
    <row r="2" spans="2:6" x14ac:dyDescent="0.3">
      <c r="B2" s="93"/>
      <c r="C2" s="94"/>
      <c r="D2" s="93"/>
      <c r="E2" s="93"/>
      <c r="F2" s="94"/>
    </row>
    <row r="3" spans="2:6" x14ac:dyDescent="0.3">
      <c r="B3" s="97" t="s">
        <v>143</v>
      </c>
      <c r="C3" s="94"/>
      <c r="D3" s="93"/>
      <c r="E3" s="155" t="s">
        <v>427</v>
      </c>
      <c r="F3" s="155"/>
    </row>
    <row r="4" spans="2:6" x14ac:dyDescent="0.3">
      <c r="B4" s="98" t="s">
        <v>424</v>
      </c>
      <c r="C4" s="99"/>
      <c r="D4" s="93"/>
      <c r="E4" s="98" t="s">
        <v>424</v>
      </c>
      <c r="F4" s="100"/>
    </row>
    <row r="5" spans="2:6" x14ac:dyDescent="0.3">
      <c r="B5" s="102" t="s">
        <v>440</v>
      </c>
      <c r="C5" s="96">
        <v>23662.336800000001</v>
      </c>
      <c r="D5" s="93"/>
      <c r="F5" s="96"/>
    </row>
    <row r="6" spans="2:6" x14ac:dyDescent="0.3">
      <c r="B6" s="101" t="s">
        <v>517</v>
      </c>
      <c r="C6" s="96">
        <v>17600</v>
      </c>
      <c r="D6" s="93"/>
      <c r="E6" s="93" t="s">
        <v>454</v>
      </c>
      <c r="F6" s="96">
        <v>5840.5</v>
      </c>
    </row>
    <row r="7" spans="2:6" x14ac:dyDescent="0.3">
      <c r="B7" s="101"/>
      <c r="C7" s="96"/>
      <c r="D7" s="93"/>
      <c r="E7" s="101" t="s">
        <v>441</v>
      </c>
      <c r="F7" s="96">
        <v>573</v>
      </c>
    </row>
    <row r="8" spans="2:6" x14ac:dyDescent="0.3">
      <c r="B8" s="93" t="s">
        <v>518</v>
      </c>
      <c r="C8" s="96">
        <v>1450</v>
      </c>
      <c r="D8" s="93"/>
      <c r="E8" s="102"/>
      <c r="F8" s="96"/>
    </row>
    <row r="9" spans="2:6" x14ac:dyDescent="0.3">
      <c r="B9" s="101"/>
      <c r="C9" s="96"/>
      <c r="D9" s="93"/>
      <c r="E9" s="102" t="s">
        <v>448</v>
      </c>
      <c r="F9" s="96">
        <v>200</v>
      </c>
    </row>
    <row r="10" spans="2:6" x14ac:dyDescent="0.3">
      <c r="B10" s="101" t="s">
        <v>442</v>
      </c>
      <c r="C10" s="96">
        <v>650</v>
      </c>
      <c r="D10" s="93"/>
      <c r="E10" s="102" t="s">
        <v>429</v>
      </c>
      <c r="F10" s="96">
        <v>597</v>
      </c>
    </row>
    <row r="11" spans="2:6" x14ac:dyDescent="0.3">
      <c r="B11" s="101" t="s">
        <v>455</v>
      </c>
      <c r="C11" s="96">
        <v>19071</v>
      </c>
      <c r="D11" s="93"/>
      <c r="E11" s="93"/>
      <c r="F11" s="94"/>
    </row>
    <row r="12" spans="2:6" x14ac:dyDescent="0.3">
      <c r="B12" s="101" t="s">
        <v>443</v>
      </c>
      <c r="C12" s="96">
        <v>3452</v>
      </c>
      <c r="D12" s="93"/>
      <c r="E12" s="102" t="s">
        <v>393</v>
      </c>
      <c r="F12" s="96">
        <v>95582</v>
      </c>
    </row>
    <row r="13" spans="2:6" x14ac:dyDescent="0.3">
      <c r="B13" s="101" t="s">
        <v>498</v>
      </c>
      <c r="C13" s="96">
        <v>600</v>
      </c>
      <c r="D13" s="93"/>
      <c r="E13" s="93"/>
      <c r="F13" s="94"/>
    </row>
    <row r="14" spans="2:6" x14ac:dyDescent="0.3">
      <c r="B14" s="101" t="s">
        <v>444</v>
      </c>
      <c r="C14" s="96">
        <v>4640</v>
      </c>
      <c r="D14" s="93"/>
      <c r="E14" s="93"/>
      <c r="F14" s="94"/>
    </row>
    <row r="15" spans="2:6" x14ac:dyDescent="0.3">
      <c r="B15" s="101"/>
      <c r="C15" s="96"/>
      <c r="D15" s="93"/>
      <c r="E15" s="102" t="s">
        <v>398</v>
      </c>
      <c r="F15" s="96">
        <v>712356</v>
      </c>
    </row>
    <row r="16" spans="2:6" x14ac:dyDescent="0.3">
      <c r="B16" s="101" t="s">
        <v>387</v>
      </c>
      <c r="C16" s="96">
        <v>2330</v>
      </c>
      <c r="D16" s="93"/>
      <c r="E16" s="93"/>
      <c r="F16" s="94"/>
    </row>
    <row r="17" spans="2:6" x14ac:dyDescent="0.3">
      <c r="B17" s="101" t="s">
        <v>519</v>
      </c>
      <c r="C17" s="96">
        <v>500</v>
      </c>
      <c r="D17" s="93"/>
      <c r="E17" s="93"/>
      <c r="F17" s="94"/>
    </row>
    <row r="18" spans="2:6" x14ac:dyDescent="0.3">
      <c r="B18" s="101" t="s">
        <v>457</v>
      </c>
      <c r="C18" s="96">
        <v>475</v>
      </c>
      <c r="D18" s="93"/>
      <c r="E18" s="102" t="s">
        <v>432</v>
      </c>
      <c r="F18" s="96">
        <v>74867</v>
      </c>
    </row>
    <row r="19" spans="2:6" x14ac:dyDescent="0.3">
      <c r="B19" s="101" t="s">
        <v>458</v>
      </c>
      <c r="C19" s="96">
        <v>7900.38</v>
      </c>
      <c r="D19" s="93"/>
      <c r="E19" s="102" t="s">
        <v>394</v>
      </c>
      <c r="F19" s="96">
        <v>570804</v>
      </c>
    </row>
    <row r="20" spans="2:6" x14ac:dyDescent="0.3">
      <c r="B20" s="101" t="s">
        <v>425</v>
      </c>
      <c r="C20" s="96"/>
      <c r="D20" s="93"/>
      <c r="E20" s="102" t="s">
        <v>396</v>
      </c>
      <c r="F20" s="96">
        <v>118119</v>
      </c>
    </row>
    <row r="21" spans="2:6" x14ac:dyDescent="0.3">
      <c r="B21" s="101" t="s">
        <v>445</v>
      </c>
      <c r="C21" s="96">
        <v>3670</v>
      </c>
      <c r="D21" s="93"/>
      <c r="E21" s="93"/>
      <c r="F21" s="94"/>
    </row>
    <row r="22" spans="2:6" x14ac:dyDescent="0.3">
      <c r="B22" s="101" t="s">
        <v>426</v>
      </c>
      <c r="C22" s="96">
        <v>90040</v>
      </c>
      <c r="D22" s="93"/>
      <c r="E22" s="102" t="s">
        <v>523</v>
      </c>
      <c r="F22" s="96">
        <v>42200</v>
      </c>
    </row>
    <row r="23" spans="2:6" x14ac:dyDescent="0.3">
      <c r="B23" s="101" t="s">
        <v>459</v>
      </c>
      <c r="C23" s="96">
        <v>1180</v>
      </c>
      <c r="D23" s="93"/>
      <c r="E23" s="93" t="s">
        <v>524</v>
      </c>
      <c r="F23" s="94">
        <v>46661</v>
      </c>
    </row>
    <row r="24" spans="2:6" x14ac:dyDescent="0.3">
      <c r="B24" s="101" t="s">
        <v>446</v>
      </c>
      <c r="C24" s="96">
        <v>28982</v>
      </c>
      <c r="D24" s="93"/>
      <c r="E24" s="122"/>
      <c r="F24" s="94"/>
    </row>
    <row r="25" spans="2:6" x14ac:dyDescent="0.3">
      <c r="B25" s="102" t="s">
        <v>447</v>
      </c>
      <c r="C25" s="96">
        <v>692</v>
      </c>
      <c r="D25" s="93"/>
      <c r="E25" t="s">
        <v>488</v>
      </c>
      <c r="F25" s="94">
        <f>SUM(F7:F24)</f>
        <v>1661959</v>
      </c>
    </row>
    <row r="26" spans="2:6" x14ac:dyDescent="0.3">
      <c r="B26" s="102" t="s">
        <v>397</v>
      </c>
      <c r="C26" s="96">
        <v>2925</v>
      </c>
      <c r="D26" s="93"/>
      <c r="E26" s="93"/>
      <c r="F26" s="94"/>
    </row>
    <row r="27" spans="2:6" x14ac:dyDescent="0.3">
      <c r="B27" s="102" t="s">
        <v>395</v>
      </c>
      <c r="C27" s="96">
        <v>118.28</v>
      </c>
      <c r="D27" s="93"/>
      <c r="E27" s="93"/>
      <c r="F27" s="94"/>
    </row>
    <row r="28" spans="2:6" x14ac:dyDescent="0.3">
      <c r="B28" s="102" t="s">
        <v>428</v>
      </c>
      <c r="C28" s="96">
        <v>272</v>
      </c>
      <c r="D28" s="93"/>
      <c r="E28" s="93"/>
      <c r="F28" s="94"/>
    </row>
    <row r="29" spans="2:6" x14ac:dyDescent="0.3">
      <c r="B29" s="102"/>
      <c r="C29" s="96"/>
      <c r="D29" s="93"/>
      <c r="E29" s="93"/>
      <c r="F29" s="94"/>
    </row>
    <row r="30" spans="2:6" x14ac:dyDescent="0.3">
      <c r="B30" s="102" t="s">
        <v>521</v>
      </c>
      <c r="C30" s="96">
        <v>169226.984</v>
      </c>
      <c r="D30" s="93"/>
      <c r="E30" s="112"/>
      <c r="F30" s="94"/>
    </row>
    <row r="31" spans="2:6" x14ac:dyDescent="0.3">
      <c r="B31" s="102" t="s">
        <v>449</v>
      </c>
      <c r="C31" s="96">
        <v>174748.86</v>
      </c>
      <c r="D31" s="93"/>
      <c r="E31" s="93"/>
      <c r="F31" s="94"/>
    </row>
    <row r="32" spans="2:6" x14ac:dyDescent="0.3">
      <c r="B32" s="102" t="s">
        <v>520</v>
      </c>
      <c r="C32" s="96">
        <v>201092.42199999999</v>
      </c>
      <c r="D32" s="93"/>
      <c r="E32" s="93"/>
      <c r="F32" s="94"/>
    </row>
    <row r="33" spans="2:6" x14ac:dyDescent="0.3">
      <c r="B33" s="102"/>
      <c r="C33" s="96"/>
      <c r="D33" s="93"/>
      <c r="E33" s="93"/>
      <c r="F33" s="94"/>
    </row>
    <row r="34" spans="2:6" x14ac:dyDescent="0.3">
      <c r="B34" s="103" t="s">
        <v>430</v>
      </c>
      <c r="C34" s="96">
        <v>8021</v>
      </c>
      <c r="D34" s="93"/>
      <c r="E34" s="93"/>
      <c r="F34" s="94"/>
    </row>
    <row r="35" spans="2:6" x14ac:dyDescent="0.3">
      <c r="B35" s="93"/>
      <c r="C35" s="94"/>
      <c r="D35" s="93"/>
      <c r="E35" s="93"/>
      <c r="F35" s="94"/>
    </row>
    <row r="36" spans="2:6" x14ac:dyDescent="0.3">
      <c r="B36" s="93" t="s">
        <v>489</v>
      </c>
      <c r="C36" s="94">
        <f>SUM(C1:C35)</f>
        <v>1698256.2627999999</v>
      </c>
      <c r="D36" s="93"/>
      <c r="E36" s="93"/>
      <c r="F36" s="94"/>
    </row>
    <row r="37" spans="2:6" x14ac:dyDescent="0.3">
      <c r="B37" s="93"/>
      <c r="C37" s="94"/>
      <c r="D37" s="93"/>
      <c r="E37" s="93"/>
      <c r="F37" s="94"/>
    </row>
    <row r="38" spans="2:6" x14ac:dyDescent="0.3">
      <c r="B38" s="93"/>
      <c r="C38" s="94"/>
      <c r="D38" s="93"/>
      <c r="E38" s="93"/>
      <c r="F38" s="94"/>
    </row>
    <row r="39" spans="2:6" x14ac:dyDescent="0.3">
      <c r="B39" s="93"/>
      <c r="C39" s="100" t="s">
        <v>431</v>
      </c>
      <c r="D39" s="100">
        <f>C36-F25</f>
        <v>36297.262799999909</v>
      </c>
      <c r="E39" s="93"/>
      <c r="F39" s="94"/>
    </row>
    <row r="46" spans="2:6" x14ac:dyDescent="0.3">
      <c r="B46" s="95" t="s">
        <v>433</v>
      </c>
      <c r="C46" s="96">
        <v>919382</v>
      </c>
      <c r="D46" s="93"/>
      <c r="E46" s="93" t="s">
        <v>559</v>
      </c>
      <c r="F46" s="94"/>
    </row>
    <row r="47" spans="2:6" x14ac:dyDescent="0.3">
      <c r="B47" s="93"/>
      <c r="C47" s="94"/>
      <c r="D47" s="93"/>
      <c r="E47" s="93"/>
      <c r="F47" s="94"/>
    </row>
    <row r="48" spans="2:6" x14ac:dyDescent="0.3">
      <c r="B48" s="97" t="s">
        <v>143</v>
      </c>
      <c r="C48" s="94"/>
      <c r="D48" s="93"/>
      <c r="E48" s="155" t="s">
        <v>427</v>
      </c>
      <c r="F48" s="155"/>
    </row>
    <row r="49" spans="2:9" x14ac:dyDescent="0.3">
      <c r="B49" s="98" t="s">
        <v>424</v>
      </c>
      <c r="C49" s="99"/>
      <c r="D49" s="93"/>
      <c r="E49" s="98" t="s">
        <v>424</v>
      </c>
      <c r="F49" s="100"/>
    </row>
    <row r="50" spans="2:9" x14ac:dyDescent="0.3">
      <c r="B50" s="102" t="s">
        <v>543</v>
      </c>
      <c r="C50" s="96">
        <v>110</v>
      </c>
      <c r="D50" s="93"/>
      <c r="E50" s="93" t="s">
        <v>546</v>
      </c>
      <c r="F50" s="96">
        <v>73300</v>
      </c>
    </row>
    <row r="51" spans="2:9" x14ac:dyDescent="0.3">
      <c r="B51" s="101" t="s">
        <v>544</v>
      </c>
      <c r="C51" s="96">
        <v>2465</v>
      </c>
      <c r="D51" s="93"/>
      <c r="E51" s="101" t="s">
        <v>548</v>
      </c>
      <c r="F51" s="96">
        <v>42197</v>
      </c>
    </row>
    <row r="52" spans="2:9" x14ac:dyDescent="0.3">
      <c r="B52" s="101" t="s">
        <v>545</v>
      </c>
      <c r="C52" s="96">
        <v>1675</v>
      </c>
      <c r="D52" s="93"/>
      <c r="E52" t="s">
        <v>551</v>
      </c>
      <c r="F52" s="96">
        <v>135236</v>
      </c>
    </row>
    <row r="53" spans="2:9" x14ac:dyDescent="0.3">
      <c r="C53" s="96"/>
      <c r="D53" s="93"/>
      <c r="E53" s="102" t="s">
        <v>554</v>
      </c>
      <c r="F53" s="96">
        <v>19320</v>
      </c>
      <c r="I53">
        <v>258820</v>
      </c>
    </row>
    <row r="54" spans="2:9" x14ac:dyDescent="0.3">
      <c r="B54" s="101" t="s">
        <v>532</v>
      </c>
      <c r="C54" s="96">
        <v>650</v>
      </c>
      <c r="D54" s="93"/>
      <c r="E54" s="102" t="s">
        <v>448</v>
      </c>
      <c r="F54" s="96">
        <v>200</v>
      </c>
    </row>
    <row r="55" spans="2:9" x14ac:dyDescent="0.3">
      <c r="B55" s="101" t="s">
        <v>533</v>
      </c>
      <c r="C55" s="96">
        <v>1450</v>
      </c>
      <c r="D55" s="93"/>
      <c r="E55" s="102" t="s">
        <v>429</v>
      </c>
      <c r="F55" s="96">
        <v>597</v>
      </c>
    </row>
    <row r="56" spans="2:9" x14ac:dyDescent="0.3">
      <c r="B56" s="101" t="s">
        <v>534</v>
      </c>
      <c r="C56" s="96">
        <v>19071</v>
      </c>
      <c r="D56" s="93"/>
      <c r="E56" s="101"/>
      <c r="F56" s="94"/>
    </row>
    <row r="57" spans="2:9" x14ac:dyDescent="0.3">
      <c r="B57" s="101" t="s">
        <v>535</v>
      </c>
      <c r="C57" s="96">
        <v>3452</v>
      </c>
      <c r="D57" s="93"/>
      <c r="E57" s="102" t="s">
        <v>393</v>
      </c>
      <c r="F57" s="96">
        <v>234760</v>
      </c>
    </row>
    <row r="58" spans="2:9" x14ac:dyDescent="0.3">
      <c r="B58" s="101" t="s">
        <v>536</v>
      </c>
      <c r="C58" s="96">
        <v>2450</v>
      </c>
      <c r="D58" s="93"/>
      <c r="E58" s="102" t="s">
        <v>555</v>
      </c>
      <c r="F58" s="94">
        <v>73176</v>
      </c>
    </row>
    <row r="59" spans="2:9" x14ac:dyDescent="0.3">
      <c r="B59" s="101" t="s">
        <v>547</v>
      </c>
      <c r="C59" s="96">
        <v>13750</v>
      </c>
      <c r="D59" s="93"/>
      <c r="E59" s="93"/>
      <c r="F59" s="94"/>
    </row>
    <row r="60" spans="2:9" x14ac:dyDescent="0.3">
      <c r="B60" s="101" t="s">
        <v>537</v>
      </c>
      <c r="C60" s="96">
        <v>475</v>
      </c>
      <c r="D60" s="93"/>
      <c r="E60" s="102" t="s">
        <v>398</v>
      </c>
      <c r="F60" s="96">
        <v>718961</v>
      </c>
    </row>
    <row r="61" spans="2:9" x14ac:dyDescent="0.3">
      <c r="C61" s="96"/>
      <c r="D61" s="93"/>
      <c r="E61" s="93"/>
      <c r="F61" s="94"/>
    </row>
    <row r="62" spans="2:9" x14ac:dyDescent="0.3">
      <c r="B62" t="s">
        <v>549</v>
      </c>
      <c r="C62" s="96">
        <v>3713</v>
      </c>
      <c r="D62" s="93"/>
      <c r="E62" s="93"/>
      <c r="F62" s="94"/>
    </row>
    <row r="63" spans="2:9" x14ac:dyDescent="0.3">
      <c r="B63" s="101" t="s">
        <v>550</v>
      </c>
      <c r="C63" s="96">
        <v>101994</v>
      </c>
      <c r="D63" s="93"/>
      <c r="E63" s="102"/>
      <c r="F63" s="96"/>
    </row>
    <row r="64" spans="2:9" x14ac:dyDescent="0.3">
      <c r="C64" s="96"/>
      <c r="D64" s="93"/>
      <c r="E64" s="102" t="s">
        <v>394</v>
      </c>
      <c r="F64" s="96">
        <v>537702</v>
      </c>
    </row>
    <row r="65" spans="2:6" x14ac:dyDescent="0.3">
      <c r="B65" s="101" t="s">
        <v>552</v>
      </c>
      <c r="C65" s="96">
        <v>215451</v>
      </c>
      <c r="D65" s="93"/>
      <c r="E65" s="102" t="s">
        <v>396</v>
      </c>
      <c r="F65" s="96">
        <v>109912</v>
      </c>
    </row>
    <row r="66" spans="2:6" x14ac:dyDescent="0.3">
      <c r="B66" s="101" t="s">
        <v>538</v>
      </c>
      <c r="C66" s="96">
        <v>1180</v>
      </c>
      <c r="D66" s="93"/>
      <c r="E66" s="93"/>
      <c r="F66" s="94"/>
    </row>
    <row r="67" spans="2:6" x14ac:dyDescent="0.3">
      <c r="B67" t="s">
        <v>553</v>
      </c>
      <c r="C67" s="96">
        <v>93337.8</v>
      </c>
      <c r="D67" s="93"/>
      <c r="E67" s="102" t="s">
        <v>523</v>
      </c>
      <c r="F67" s="96">
        <v>42200</v>
      </c>
    </row>
    <row r="68" spans="2:6" x14ac:dyDescent="0.3">
      <c r="B68" s="101" t="s">
        <v>539</v>
      </c>
      <c r="C68" s="96">
        <v>18982</v>
      </c>
      <c r="D68" s="93"/>
      <c r="E68" s="93" t="s">
        <v>524</v>
      </c>
      <c r="F68" s="94">
        <v>46661</v>
      </c>
    </row>
    <row r="69" spans="2:6" x14ac:dyDescent="0.3">
      <c r="B69" s="101" t="s">
        <v>540</v>
      </c>
      <c r="C69" s="96">
        <v>692</v>
      </c>
      <c r="D69" s="93"/>
      <c r="E69" s="122"/>
      <c r="F69" s="94"/>
    </row>
    <row r="70" spans="2:6" x14ac:dyDescent="0.3">
      <c r="B70" s="102" t="s">
        <v>541</v>
      </c>
      <c r="C70" s="96">
        <v>272</v>
      </c>
      <c r="D70" s="93"/>
      <c r="E70" t="s">
        <v>488</v>
      </c>
      <c r="F70" s="94">
        <f>SUM(F52:F69)</f>
        <v>1918725</v>
      </c>
    </row>
    <row r="71" spans="2:6" x14ac:dyDescent="0.3">
      <c r="B71" s="137" t="s">
        <v>557</v>
      </c>
      <c r="C71" s="96">
        <v>4640</v>
      </c>
      <c r="D71" s="93"/>
      <c r="E71" s="93"/>
      <c r="F71" s="94"/>
    </row>
    <row r="72" spans="2:6" x14ac:dyDescent="0.3">
      <c r="B72" s="137" t="s">
        <v>558</v>
      </c>
      <c r="C72" s="96">
        <v>3670</v>
      </c>
      <c r="D72" s="93"/>
      <c r="E72" s="93"/>
      <c r="F72" s="94"/>
    </row>
    <row r="73" spans="2:6" x14ac:dyDescent="0.3">
      <c r="D73" s="93"/>
      <c r="E73" s="93"/>
      <c r="F73" s="94"/>
    </row>
    <row r="74" spans="2:6" x14ac:dyDescent="0.3">
      <c r="B74" s="102"/>
      <c r="C74" s="96"/>
      <c r="D74" s="93"/>
      <c r="E74" s="93"/>
      <c r="F74" s="94"/>
    </row>
    <row r="75" spans="2:6" x14ac:dyDescent="0.3">
      <c r="B75" s="136" t="s">
        <v>556</v>
      </c>
      <c r="C75" s="96">
        <v>168327.75899999999</v>
      </c>
      <c r="D75" s="93"/>
      <c r="E75" s="112"/>
      <c r="F75" s="94"/>
    </row>
    <row r="76" spans="2:6" x14ac:dyDescent="0.3">
      <c r="B76" s="102" t="s">
        <v>449</v>
      </c>
      <c r="C76" s="96">
        <v>174748.86</v>
      </c>
      <c r="D76" s="93"/>
      <c r="E76" s="93"/>
      <c r="F76" s="94"/>
    </row>
    <row r="77" spans="2:6" x14ac:dyDescent="0.3">
      <c r="B77" s="102" t="s">
        <v>542</v>
      </c>
      <c r="C77" s="96">
        <v>172929.59</v>
      </c>
      <c r="D77" s="93"/>
      <c r="E77" s="93"/>
      <c r="F77" s="94"/>
    </row>
    <row r="78" spans="2:6" x14ac:dyDescent="0.3">
      <c r="B78" s="102"/>
      <c r="C78" s="96"/>
      <c r="D78" s="93"/>
      <c r="E78" s="93"/>
      <c r="F78" s="94"/>
    </row>
    <row r="79" spans="2:6" x14ac:dyDescent="0.3">
      <c r="B79" s="103" t="s">
        <v>430</v>
      </c>
      <c r="C79" s="96">
        <v>104700</v>
      </c>
      <c r="D79" s="93"/>
      <c r="E79" s="93"/>
      <c r="F79" s="94"/>
    </row>
    <row r="80" spans="2:6" x14ac:dyDescent="0.3">
      <c r="B80" s="93"/>
      <c r="C80" s="94"/>
      <c r="D80" s="93"/>
      <c r="E80" s="93"/>
      <c r="F80" s="94"/>
    </row>
    <row r="81" spans="2:6" x14ac:dyDescent="0.3">
      <c r="B81" s="93" t="s">
        <v>489</v>
      </c>
      <c r="C81" s="94">
        <f>SUM(C46:C80)</f>
        <v>2029568.0090000003</v>
      </c>
      <c r="D81" s="93"/>
      <c r="E81" s="93"/>
      <c r="F81" s="94"/>
    </row>
    <row r="82" spans="2:6" x14ac:dyDescent="0.3">
      <c r="B82" s="93"/>
      <c r="C82" s="94"/>
      <c r="D82" s="93"/>
      <c r="E82" s="93"/>
      <c r="F82" s="94"/>
    </row>
    <row r="83" spans="2:6" x14ac:dyDescent="0.3">
      <c r="B83" s="93"/>
      <c r="C83" s="94"/>
      <c r="D83" s="93"/>
      <c r="E83" s="93"/>
      <c r="F83" s="94"/>
    </row>
    <row r="84" spans="2:6" x14ac:dyDescent="0.3">
      <c r="B84" s="93"/>
      <c r="C84" s="100" t="s">
        <v>431</v>
      </c>
      <c r="D84" s="100">
        <f>C81-F70</f>
        <v>110843.00900000031</v>
      </c>
      <c r="E84" s="93"/>
      <c r="F84" s="94"/>
    </row>
    <row r="92" spans="2:6" x14ac:dyDescent="0.3">
      <c r="B92" s="95" t="s">
        <v>433</v>
      </c>
      <c r="C92" s="92">
        <v>898202</v>
      </c>
      <c r="D92" s="93"/>
      <c r="E92" s="93" t="s">
        <v>587</v>
      </c>
      <c r="F92" s="94"/>
    </row>
    <row r="93" spans="2:6" x14ac:dyDescent="0.3">
      <c r="B93" s="93"/>
      <c r="C93" s="94"/>
      <c r="D93" s="93"/>
      <c r="E93" s="93"/>
      <c r="F93" s="94"/>
    </row>
    <row r="94" spans="2:6" x14ac:dyDescent="0.3">
      <c r="B94" s="97" t="s">
        <v>143</v>
      </c>
      <c r="C94" s="94"/>
      <c r="D94" s="93"/>
      <c r="E94" s="155" t="s">
        <v>427</v>
      </c>
      <c r="F94" s="155"/>
    </row>
    <row r="95" spans="2:6" x14ac:dyDescent="0.3">
      <c r="B95" s="98" t="s">
        <v>424</v>
      </c>
      <c r="C95" s="99"/>
      <c r="D95" s="93"/>
      <c r="E95" s="98" t="s">
        <v>424</v>
      </c>
      <c r="F95" s="100"/>
    </row>
    <row r="96" spans="2:6" x14ac:dyDescent="0.3">
      <c r="B96" s="102"/>
      <c r="C96" s="96"/>
      <c r="D96" s="93"/>
      <c r="E96" s="93" t="s">
        <v>583</v>
      </c>
      <c r="F96" s="96">
        <v>94553</v>
      </c>
    </row>
    <row r="97" spans="2:6" x14ac:dyDescent="0.3">
      <c r="B97" s="101" t="s">
        <v>544</v>
      </c>
      <c r="C97" s="96">
        <v>331.64</v>
      </c>
      <c r="D97" s="93"/>
      <c r="E97" s="101" t="s">
        <v>578</v>
      </c>
      <c r="F97" s="96">
        <v>696</v>
      </c>
    </row>
    <row r="98" spans="2:6" x14ac:dyDescent="0.3">
      <c r="B98" s="101" t="s">
        <v>568</v>
      </c>
      <c r="C98" s="96">
        <v>7472.88</v>
      </c>
      <c r="D98" s="93"/>
      <c r="F98" s="96"/>
    </row>
    <row r="99" spans="2:6" x14ac:dyDescent="0.3">
      <c r="B99" t="s">
        <v>569</v>
      </c>
      <c r="C99" s="96">
        <v>650</v>
      </c>
      <c r="D99" s="93"/>
      <c r="E99" s="102" t="s">
        <v>582</v>
      </c>
      <c r="F99" s="96">
        <v>22720</v>
      </c>
    </row>
    <row r="100" spans="2:6" x14ac:dyDescent="0.3">
      <c r="B100" t="s">
        <v>518</v>
      </c>
      <c r="C100" s="96">
        <v>1450</v>
      </c>
      <c r="D100" s="93"/>
      <c r="E100" s="102" t="s">
        <v>448</v>
      </c>
      <c r="F100" s="96">
        <v>200</v>
      </c>
    </row>
    <row r="101" spans="2:6" x14ac:dyDescent="0.3">
      <c r="B101" t="s">
        <v>455</v>
      </c>
      <c r="C101" s="96">
        <v>19071</v>
      </c>
      <c r="D101" s="93"/>
      <c r="F101" s="96"/>
    </row>
    <row r="102" spans="2:6" x14ac:dyDescent="0.3">
      <c r="B102" t="s">
        <v>443</v>
      </c>
      <c r="C102" s="96">
        <v>3452</v>
      </c>
      <c r="D102" s="93"/>
      <c r="E102" s="101"/>
      <c r="F102" s="94"/>
    </row>
    <row r="103" spans="2:6" x14ac:dyDescent="0.3">
      <c r="B103" t="s">
        <v>570</v>
      </c>
      <c r="C103" s="96">
        <v>2450</v>
      </c>
      <c r="D103" s="93"/>
      <c r="E103" s="102" t="s">
        <v>393</v>
      </c>
      <c r="F103" s="96">
        <v>251288</v>
      </c>
    </row>
    <row r="104" spans="2:6" x14ac:dyDescent="0.3">
      <c r="B104" s="101" t="s">
        <v>571</v>
      </c>
      <c r="C104" s="96">
        <v>13750</v>
      </c>
      <c r="D104" s="93"/>
      <c r="E104" s="102"/>
      <c r="F104" s="94"/>
    </row>
    <row r="105" spans="2:6" x14ac:dyDescent="0.3">
      <c r="B105" s="101" t="s">
        <v>557</v>
      </c>
      <c r="C105" s="96">
        <v>4640</v>
      </c>
      <c r="D105" s="93"/>
      <c r="E105" s="93"/>
      <c r="F105" s="94"/>
    </row>
    <row r="106" spans="2:6" x14ac:dyDescent="0.3">
      <c r="B106" s="101" t="s">
        <v>572</v>
      </c>
      <c r="C106" s="96">
        <v>475</v>
      </c>
      <c r="D106" s="93"/>
      <c r="E106" s="102" t="s">
        <v>398</v>
      </c>
      <c r="F106" s="96">
        <v>626683</v>
      </c>
    </row>
    <row r="107" spans="2:6" x14ac:dyDescent="0.3">
      <c r="B107" s="93" t="s">
        <v>573</v>
      </c>
      <c r="C107" s="96">
        <v>1815</v>
      </c>
      <c r="D107" s="93"/>
      <c r="E107" s="93"/>
      <c r="F107" s="94"/>
    </row>
    <row r="108" spans="2:6" x14ac:dyDescent="0.3">
      <c r="B108" s="93" t="s">
        <v>574</v>
      </c>
      <c r="C108" s="96">
        <v>11204</v>
      </c>
      <c r="D108" s="93"/>
      <c r="E108" s="93"/>
      <c r="F108" s="94"/>
    </row>
    <row r="109" spans="2:6" x14ac:dyDescent="0.3">
      <c r="B109" s="101" t="s">
        <v>575</v>
      </c>
      <c r="C109" s="96">
        <v>81340</v>
      </c>
      <c r="D109" s="93"/>
      <c r="E109" s="102"/>
      <c r="F109" s="96"/>
    </row>
    <row r="110" spans="2:6" x14ac:dyDescent="0.3">
      <c r="B110" s="93" t="s">
        <v>576</v>
      </c>
      <c r="C110" s="96">
        <v>30116</v>
      </c>
      <c r="D110" s="93"/>
      <c r="E110" s="102" t="s">
        <v>394</v>
      </c>
      <c r="F110" s="96">
        <v>514713</v>
      </c>
    </row>
    <row r="111" spans="2:6" x14ac:dyDescent="0.3">
      <c r="B111" s="101" t="s">
        <v>558</v>
      </c>
      <c r="C111" s="96">
        <v>3670</v>
      </c>
      <c r="D111" s="93"/>
      <c r="E111" s="102" t="s">
        <v>396</v>
      </c>
      <c r="F111" s="96">
        <v>125553</v>
      </c>
    </row>
    <row r="112" spans="2:6" x14ac:dyDescent="0.3">
      <c r="B112" s="101" t="s">
        <v>577</v>
      </c>
      <c r="C112" s="96">
        <v>3649</v>
      </c>
      <c r="D112" s="93"/>
      <c r="E112" s="93"/>
      <c r="F112" s="94"/>
    </row>
    <row r="113" spans="2:6" x14ac:dyDescent="0.3">
      <c r="B113" t="s">
        <v>426</v>
      </c>
      <c r="C113" s="96">
        <v>426716</v>
      </c>
      <c r="D113" s="93"/>
      <c r="E113" s="102" t="s">
        <v>588</v>
      </c>
      <c r="F113" s="96">
        <v>38155.81</v>
      </c>
    </row>
    <row r="114" spans="2:6" x14ac:dyDescent="0.3">
      <c r="B114" s="101" t="s">
        <v>579</v>
      </c>
      <c r="C114" s="96">
        <v>18982</v>
      </c>
      <c r="D114" s="93"/>
      <c r="E114" s="93" t="s">
        <v>589</v>
      </c>
      <c r="F114" s="94">
        <v>45391</v>
      </c>
    </row>
    <row r="115" spans="2:6" x14ac:dyDescent="0.3">
      <c r="B115" s="101" t="s">
        <v>580</v>
      </c>
      <c r="C115" s="96">
        <v>692</v>
      </c>
      <c r="D115" s="93"/>
      <c r="E115" s="122"/>
      <c r="F115" s="94"/>
    </row>
    <row r="116" spans="2:6" x14ac:dyDescent="0.3">
      <c r="B116" s="102" t="s">
        <v>581</v>
      </c>
      <c r="C116" s="96">
        <v>6101</v>
      </c>
      <c r="D116" s="93"/>
      <c r="E116" t="s">
        <v>488</v>
      </c>
      <c r="F116" s="94">
        <f>SUM(F96:F115)</f>
        <v>1719952.81</v>
      </c>
    </row>
    <row r="117" spans="2:6" x14ac:dyDescent="0.3">
      <c r="B117" s="137" t="s">
        <v>584</v>
      </c>
      <c r="C117" s="96">
        <v>272</v>
      </c>
      <c r="D117" s="93"/>
      <c r="E117" s="93"/>
      <c r="F117" s="94"/>
    </row>
    <row r="118" spans="2:6" x14ac:dyDescent="0.3">
      <c r="B118" s="102" t="s">
        <v>429</v>
      </c>
      <c r="C118" s="96">
        <v>1813</v>
      </c>
      <c r="D118" s="93"/>
      <c r="E118" s="93"/>
      <c r="F118" s="94"/>
    </row>
    <row r="119" spans="2:6" x14ac:dyDescent="0.3">
      <c r="D119" s="93"/>
      <c r="E119" s="93"/>
      <c r="F119" s="94"/>
    </row>
    <row r="120" spans="2:6" x14ac:dyDescent="0.3">
      <c r="B120" s="102"/>
      <c r="C120" s="96"/>
      <c r="D120" s="93"/>
      <c r="E120" s="93"/>
      <c r="F120" s="94"/>
    </row>
    <row r="121" spans="2:6" x14ac:dyDescent="0.3">
      <c r="B121" s="136" t="s">
        <v>586</v>
      </c>
      <c r="C121" s="96">
        <v>115342.29</v>
      </c>
      <c r="D121" s="93"/>
      <c r="E121" s="112"/>
      <c r="F121" s="94"/>
    </row>
    <row r="122" spans="2:6" x14ac:dyDescent="0.3">
      <c r="B122" s="102" t="s">
        <v>449</v>
      </c>
      <c r="C122" s="96">
        <v>174748.86</v>
      </c>
      <c r="D122" s="93"/>
      <c r="E122" s="93"/>
      <c r="F122" s="94"/>
    </row>
    <row r="123" spans="2:6" x14ac:dyDescent="0.3">
      <c r="B123" s="102" t="s">
        <v>585</v>
      </c>
      <c r="C123" s="96">
        <v>21822.29</v>
      </c>
      <c r="D123" s="93"/>
      <c r="E123" s="93"/>
      <c r="F123" s="94"/>
    </row>
    <row r="124" spans="2:6" x14ac:dyDescent="0.3">
      <c r="B124" s="102"/>
      <c r="C124" s="96"/>
      <c r="D124" s="93"/>
      <c r="E124" s="93"/>
      <c r="F124" s="94"/>
    </row>
    <row r="125" spans="2:6" x14ac:dyDescent="0.3">
      <c r="B125" s="103" t="s">
        <v>430</v>
      </c>
      <c r="C125" s="96">
        <v>22994</v>
      </c>
      <c r="D125" s="93"/>
      <c r="E125" s="93"/>
      <c r="F125" s="94"/>
    </row>
    <row r="126" spans="2:6" x14ac:dyDescent="0.3">
      <c r="B126" s="93"/>
      <c r="C126" s="94"/>
      <c r="D126" s="93"/>
      <c r="E126" s="93"/>
      <c r="F126" s="94"/>
    </row>
    <row r="127" spans="2:6" x14ac:dyDescent="0.3">
      <c r="B127" s="93" t="s">
        <v>489</v>
      </c>
      <c r="C127" s="94">
        <f>SUM(C92:C126)</f>
        <v>1873221.96</v>
      </c>
      <c r="D127" s="93"/>
      <c r="E127" s="93"/>
      <c r="F127" s="94"/>
    </row>
    <row r="128" spans="2:6" x14ac:dyDescent="0.3">
      <c r="B128" s="93"/>
      <c r="C128" s="94"/>
      <c r="D128" s="93"/>
      <c r="E128" s="93"/>
      <c r="F128" s="94"/>
    </row>
    <row r="129" spans="2:6" x14ac:dyDescent="0.3">
      <c r="B129" s="93"/>
      <c r="C129" s="94"/>
      <c r="D129" s="93"/>
      <c r="E129" s="93"/>
      <c r="F129" s="94"/>
    </row>
    <row r="130" spans="2:6" x14ac:dyDescent="0.3">
      <c r="B130" s="93"/>
      <c r="C130" s="100" t="s">
        <v>431</v>
      </c>
      <c r="D130" s="100">
        <f>C127-F116</f>
        <v>153269.14999999991</v>
      </c>
      <c r="E130" s="93"/>
      <c r="F130" s="94"/>
    </row>
    <row r="138" spans="2:6" x14ac:dyDescent="0.3">
      <c r="B138" s="95" t="s">
        <v>433</v>
      </c>
      <c r="C138" s="92">
        <v>886129</v>
      </c>
      <c r="D138" s="93"/>
      <c r="E138" s="93" t="s">
        <v>590</v>
      </c>
      <c r="F138" s="94"/>
    </row>
    <row r="139" spans="2:6" x14ac:dyDescent="0.3">
      <c r="B139" s="93"/>
      <c r="C139" s="94"/>
      <c r="D139" s="93"/>
      <c r="E139" s="93"/>
      <c r="F139" s="94"/>
    </row>
    <row r="140" spans="2:6" x14ac:dyDescent="0.3">
      <c r="B140" s="97" t="s">
        <v>143</v>
      </c>
      <c r="C140" s="94"/>
      <c r="D140" s="93"/>
      <c r="E140" s="155" t="s">
        <v>427</v>
      </c>
      <c r="F140" s="155"/>
    </row>
    <row r="141" spans="2:6" x14ac:dyDescent="0.3">
      <c r="B141" s="98" t="s">
        <v>424</v>
      </c>
      <c r="C141" s="99"/>
      <c r="D141" s="93"/>
      <c r="E141" s="98" t="s">
        <v>424</v>
      </c>
      <c r="F141" s="100"/>
    </row>
    <row r="142" spans="2:6" x14ac:dyDescent="0.3">
      <c r="B142" s="102" t="s">
        <v>591</v>
      </c>
      <c r="C142" s="96">
        <v>306</v>
      </c>
      <c r="D142" s="93"/>
      <c r="E142" s="93" t="s">
        <v>578</v>
      </c>
      <c r="F142" s="96">
        <v>6662</v>
      </c>
    </row>
    <row r="143" spans="2:6" x14ac:dyDescent="0.3">
      <c r="B143" s="101" t="s">
        <v>544</v>
      </c>
      <c r="C143" s="96">
        <v>5387</v>
      </c>
      <c r="D143" s="93"/>
      <c r="E143" s="101"/>
      <c r="F143" s="96"/>
    </row>
    <row r="144" spans="2:6" x14ac:dyDescent="0.3">
      <c r="B144" s="101" t="s">
        <v>592</v>
      </c>
      <c r="C144" s="96">
        <v>8800</v>
      </c>
      <c r="D144" s="93"/>
      <c r="E144" s="93"/>
      <c r="F144" s="96"/>
    </row>
    <row r="145" spans="2:6" x14ac:dyDescent="0.3">
      <c r="B145" s="101" t="s">
        <v>568</v>
      </c>
      <c r="C145" s="96">
        <v>88</v>
      </c>
      <c r="D145" s="93"/>
      <c r="F145" s="96"/>
    </row>
    <row r="146" spans="2:6" x14ac:dyDescent="0.3">
      <c r="B146" s="93" t="s">
        <v>593</v>
      </c>
      <c r="C146" s="96">
        <v>100409</v>
      </c>
      <c r="D146" s="93"/>
      <c r="F146" s="96"/>
    </row>
    <row r="147" spans="2:6" x14ac:dyDescent="0.3">
      <c r="B147" t="s">
        <v>569</v>
      </c>
      <c r="C147" s="96">
        <v>650</v>
      </c>
      <c r="D147" s="93"/>
      <c r="E147" t="s">
        <v>519</v>
      </c>
      <c r="F147" s="96">
        <v>83500</v>
      </c>
    </row>
    <row r="148" spans="2:6" x14ac:dyDescent="0.3">
      <c r="B148" t="s">
        <v>518</v>
      </c>
      <c r="C148" s="96">
        <v>1450</v>
      </c>
      <c r="D148" s="93"/>
      <c r="E148" s="102" t="s">
        <v>448</v>
      </c>
      <c r="F148" s="96">
        <v>200</v>
      </c>
    </row>
    <row r="149" spans="2:6" x14ac:dyDescent="0.3">
      <c r="B149" t="s">
        <v>455</v>
      </c>
      <c r="C149" s="96">
        <v>19071</v>
      </c>
      <c r="D149" s="93"/>
      <c r="E149" t="s">
        <v>598</v>
      </c>
      <c r="F149" s="96">
        <v>597</v>
      </c>
    </row>
    <row r="150" spans="2:6" x14ac:dyDescent="0.3">
      <c r="B150" t="s">
        <v>443</v>
      </c>
      <c r="C150" s="96">
        <v>3452</v>
      </c>
      <c r="D150" s="93"/>
      <c r="E150" s="101"/>
      <c r="F150" s="94"/>
    </row>
    <row r="151" spans="2:6" x14ac:dyDescent="0.3">
      <c r="B151" t="s">
        <v>498</v>
      </c>
      <c r="C151" s="96">
        <v>600</v>
      </c>
      <c r="D151" s="93"/>
      <c r="E151" s="102" t="s">
        <v>393</v>
      </c>
      <c r="F151" s="96">
        <v>231934</v>
      </c>
    </row>
    <row r="152" spans="2:6" x14ac:dyDescent="0.3">
      <c r="B152" t="s">
        <v>395</v>
      </c>
      <c r="C152" s="96">
        <v>118</v>
      </c>
      <c r="D152" s="93"/>
      <c r="E152" s="102"/>
      <c r="F152" s="94"/>
    </row>
    <row r="153" spans="2:6" x14ac:dyDescent="0.3">
      <c r="B153" s="101" t="s">
        <v>557</v>
      </c>
      <c r="C153" s="96">
        <v>4640</v>
      </c>
      <c r="D153" s="93"/>
      <c r="E153" s="93"/>
      <c r="F153" s="94"/>
    </row>
    <row r="154" spans="2:6" x14ac:dyDescent="0.3">
      <c r="B154" s="101" t="s">
        <v>594</v>
      </c>
      <c r="C154" s="96">
        <v>2330</v>
      </c>
      <c r="D154" s="93"/>
      <c r="E154" s="102" t="s">
        <v>398</v>
      </c>
      <c r="F154" s="96">
        <v>722068</v>
      </c>
    </row>
    <row r="155" spans="2:6" x14ac:dyDescent="0.3">
      <c r="B155" s="93" t="s">
        <v>595</v>
      </c>
      <c r="C155" s="96">
        <v>475</v>
      </c>
      <c r="D155" s="93"/>
      <c r="E155" s="93"/>
      <c r="F155" s="94"/>
    </row>
    <row r="156" spans="2:6" x14ac:dyDescent="0.3">
      <c r="B156" s="93" t="s">
        <v>574</v>
      </c>
      <c r="C156" s="96">
        <v>8331</v>
      </c>
      <c r="D156" s="93"/>
      <c r="E156" s="93"/>
      <c r="F156" s="94"/>
    </row>
    <row r="157" spans="2:6" x14ac:dyDescent="0.3">
      <c r="B157" t="s">
        <v>596</v>
      </c>
      <c r="C157" s="96">
        <v>6350</v>
      </c>
      <c r="D157" s="93"/>
      <c r="E157" s="102"/>
      <c r="F157" s="96"/>
    </row>
    <row r="158" spans="2:6" x14ac:dyDescent="0.3">
      <c r="B158" s="93" t="s">
        <v>603</v>
      </c>
      <c r="C158" s="96">
        <v>2925</v>
      </c>
      <c r="D158" s="93"/>
      <c r="E158" s="102" t="s">
        <v>394</v>
      </c>
      <c r="F158" s="96">
        <v>548179.56000000006</v>
      </c>
    </row>
    <row r="159" spans="2:6" x14ac:dyDescent="0.3">
      <c r="B159" s="101" t="s">
        <v>558</v>
      </c>
      <c r="C159" s="96">
        <v>3670</v>
      </c>
      <c r="D159" s="93"/>
      <c r="E159" s="102" t="s">
        <v>396</v>
      </c>
      <c r="F159" s="96">
        <v>113341</v>
      </c>
    </row>
    <row r="160" spans="2:6" x14ac:dyDescent="0.3">
      <c r="B160" s="101" t="s">
        <v>597</v>
      </c>
      <c r="C160" s="96">
        <v>1180</v>
      </c>
      <c r="D160" s="93"/>
      <c r="E160" s="93"/>
      <c r="F160" s="94"/>
    </row>
    <row r="161" spans="2:6" x14ac:dyDescent="0.3">
      <c r="B161" t="s">
        <v>426</v>
      </c>
      <c r="C161" s="96">
        <v>162240</v>
      </c>
      <c r="D161" s="93"/>
      <c r="E161" s="102" t="s">
        <v>602</v>
      </c>
      <c r="F161" s="96">
        <v>47450</v>
      </c>
    </row>
    <row r="162" spans="2:6" x14ac:dyDescent="0.3">
      <c r="B162" s="101" t="s">
        <v>579</v>
      </c>
      <c r="C162" s="96">
        <v>18982</v>
      </c>
      <c r="D162" s="93"/>
      <c r="E162" s="93" t="s">
        <v>601</v>
      </c>
      <c r="F162" s="94">
        <v>42200</v>
      </c>
    </row>
    <row r="163" spans="2:6" x14ac:dyDescent="0.3">
      <c r="B163" s="101" t="s">
        <v>580</v>
      </c>
      <c r="C163" s="96">
        <v>692</v>
      </c>
      <c r="D163" s="93"/>
      <c r="E163" s="122"/>
      <c r="F163" s="94"/>
    </row>
    <row r="164" spans="2:6" x14ac:dyDescent="0.3">
      <c r="B164" s="102"/>
      <c r="C164" s="96"/>
      <c r="D164" s="93"/>
      <c r="E164" t="s">
        <v>488</v>
      </c>
      <c r="F164" s="94">
        <f>SUM(F142:F163)</f>
        <v>1796131.56</v>
      </c>
    </row>
    <row r="165" spans="2:6" x14ac:dyDescent="0.3">
      <c r="B165" s="137" t="s">
        <v>584</v>
      </c>
      <c r="C165" s="96">
        <v>272</v>
      </c>
      <c r="D165" s="93"/>
      <c r="E165" s="93"/>
      <c r="F165" s="94"/>
    </row>
    <row r="166" spans="2:6" x14ac:dyDescent="0.3">
      <c r="B166" s="102"/>
      <c r="C166" s="96"/>
      <c r="D166" s="93"/>
      <c r="E166" s="93"/>
      <c r="F166" s="94"/>
    </row>
    <row r="167" spans="2:6" x14ac:dyDescent="0.3">
      <c r="D167" s="93"/>
      <c r="E167" s="93"/>
      <c r="F167" s="94"/>
    </row>
    <row r="168" spans="2:6" x14ac:dyDescent="0.3">
      <c r="B168" s="102"/>
      <c r="C168" s="96"/>
      <c r="D168" s="93"/>
      <c r="E168" s="93"/>
      <c r="F168" s="94"/>
    </row>
    <row r="169" spans="2:6" x14ac:dyDescent="0.3">
      <c r="B169" s="136" t="s">
        <v>600</v>
      </c>
      <c r="C169" s="96">
        <v>170126</v>
      </c>
      <c r="D169" s="93"/>
      <c r="E169" s="112"/>
      <c r="F169" s="94"/>
    </row>
    <row r="170" spans="2:6" x14ac:dyDescent="0.3">
      <c r="B170" s="102" t="s">
        <v>449</v>
      </c>
      <c r="C170" s="96">
        <v>174748.86</v>
      </c>
      <c r="D170" s="93"/>
      <c r="E170" s="93"/>
      <c r="F170" s="94"/>
    </row>
    <row r="171" spans="2:6" x14ac:dyDescent="0.3">
      <c r="B171" s="102" t="s">
        <v>599</v>
      </c>
      <c r="C171" s="96">
        <v>173803</v>
      </c>
      <c r="D171" s="93"/>
      <c r="E171" s="93"/>
      <c r="F171" s="94"/>
    </row>
    <row r="172" spans="2:6" x14ac:dyDescent="0.3">
      <c r="B172" s="102"/>
      <c r="C172" s="96"/>
      <c r="D172" s="93"/>
      <c r="E172" s="93"/>
      <c r="F172" s="94"/>
    </row>
    <row r="173" spans="2:6" x14ac:dyDescent="0.3">
      <c r="B173" s="103" t="s">
        <v>430</v>
      </c>
      <c r="C173" s="96">
        <v>44116</v>
      </c>
      <c r="D173" s="93"/>
      <c r="E173" s="93"/>
      <c r="F173" s="94"/>
    </row>
    <row r="174" spans="2:6" x14ac:dyDescent="0.3">
      <c r="B174" s="93"/>
      <c r="C174" s="94"/>
      <c r="D174" s="93"/>
      <c r="E174" s="93"/>
      <c r="F174" s="94"/>
    </row>
    <row r="175" spans="2:6" x14ac:dyDescent="0.3">
      <c r="B175" s="93" t="s">
        <v>489</v>
      </c>
      <c r="C175" s="94">
        <f>SUM(C138:C174)</f>
        <v>1801340.8599999999</v>
      </c>
      <c r="D175" s="93"/>
      <c r="E175" s="93"/>
      <c r="F175" s="94"/>
    </row>
    <row r="176" spans="2:6" x14ac:dyDescent="0.3">
      <c r="B176" s="93"/>
      <c r="C176" s="94"/>
      <c r="D176" s="93"/>
      <c r="E176" s="93"/>
      <c r="F176" s="94"/>
    </row>
    <row r="177" spans="2:6" x14ac:dyDescent="0.3">
      <c r="B177" s="93"/>
      <c r="C177" s="94"/>
      <c r="D177" s="93"/>
      <c r="E177" s="93"/>
      <c r="F177" s="94"/>
    </row>
    <row r="178" spans="2:6" x14ac:dyDescent="0.3">
      <c r="B178" s="93"/>
      <c r="C178" s="100" t="s">
        <v>431</v>
      </c>
      <c r="D178" s="100">
        <f>C175-F164</f>
        <v>5209.2999999998137</v>
      </c>
      <c r="E178" s="93"/>
      <c r="F178" s="94"/>
    </row>
  </sheetData>
  <mergeCells count="4">
    <mergeCell ref="E3:F3"/>
    <mergeCell ref="E48:F48"/>
    <mergeCell ref="E94:F94"/>
    <mergeCell ref="E140:F1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2093-FF26-4841-925B-A5420764D42D}">
  <dimension ref="A1:H40"/>
  <sheetViews>
    <sheetView workbookViewId="0">
      <selection activeCell="J15" sqref="J15"/>
    </sheetView>
  </sheetViews>
  <sheetFormatPr defaultRowHeight="14.4" x14ac:dyDescent="0.3"/>
  <cols>
    <col min="1" max="1" width="29.21875" customWidth="1"/>
    <col min="2" max="2" width="15.109375" customWidth="1"/>
    <col min="3" max="3" width="11.21875" customWidth="1"/>
    <col min="4" max="4" width="17.109375" customWidth="1"/>
    <col min="5" max="5" width="16" style="92" customWidth="1"/>
    <col min="6" max="6" width="11.88671875" style="92" customWidth="1"/>
    <col min="7" max="7" width="15.33203125" customWidth="1"/>
    <col min="8" max="8" width="10.88671875" customWidth="1"/>
  </cols>
  <sheetData>
    <row r="1" spans="1:8" x14ac:dyDescent="0.3">
      <c r="A1" s="95" t="s">
        <v>433</v>
      </c>
      <c r="B1" s="96">
        <v>934957</v>
      </c>
      <c r="C1" s="93"/>
      <c r="D1" s="93" t="s">
        <v>525</v>
      </c>
      <c r="E1" s="94"/>
    </row>
    <row r="2" spans="1:8" x14ac:dyDescent="0.3">
      <c r="A2" s="93"/>
      <c r="B2" s="94"/>
      <c r="C2" s="93"/>
      <c r="D2" s="93"/>
      <c r="E2" s="94"/>
    </row>
    <row r="3" spans="1:8" x14ac:dyDescent="0.3">
      <c r="A3" s="97" t="s">
        <v>143</v>
      </c>
      <c r="B3" s="94"/>
      <c r="C3" s="93"/>
      <c r="D3" s="155" t="s">
        <v>427</v>
      </c>
      <c r="E3" s="155"/>
      <c r="F3" s="92" t="s">
        <v>531</v>
      </c>
    </row>
    <row r="4" spans="1:8" x14ac:dyDescent="0.3">
      <c r="A4" s="98" t="s">
        <v>424</v>
      </c>
      <c r="B4" s="99"/>
      <c r="C4" s="93"/>
      <c r="D4" s="98" t="s">
        <v>424</v>
      </c>
      <c r="E4" s="100"/>
      <c r="F4" s="134" t="s">
        <v>526</v>
      </c>
      <c r="G4" s="135"/>
      <c r="H4" s="135" t="s">
        <v>527</v>
      </c>
    </row>
    <row r="5" spans="1:8" x14ac:dyDescent="0.3">
      <c r="A5" s="102" t="s">
        <v>440</v>
      </c>
      <c r="B5" s="96">
        <v>23662.336800000001</v>
      </c>
      <c r="C5" s="93"/>
      <c r="E5" s="96"/>
    </row>
    <row r="6" spans="1:8" x14ac:dyDescent="0.3">
      <c r="A6" s="101" t="s">
        <v>517</v>
      </c>
      <c r="B6" s="96">
        <v>17600</v>
      </c>
      <c r="C6" s="93"/>
      <c r="D6" s="93" t="s">
        <v>454</v>
      </c>
      <c r="E6" s="96">
        <v>5840.5</v>
      </c>
      <c r="F6" s="94"/>
      <c r="G6" s="93"/>
      <c r="H6" s="93"/>
    </row>
    <row r="7" spans="1:8" x14ac:dyDescent="0.3">
      <c r="A7" s="101"/>
      <c r="B7" s="96"/>
      <c r="C7" s="93"/>
      <c r="D7" s="101" t="s">
        <v>441</v>
      </c>
      <c r="E7" s="96">
        <v>573</v>
      </c>
      <c r="F7" s="94"/>
      <c r="G7" s="93"/>
      <c r="H7" s="93"/>
    </row>
    <row r="8" spans="1:8" x14ac:dyDescent="0.3">
      <c r="A8" s="93" t="s">
        <v>518</v>
      </c>
      <c r="B8" s="96">
        <v>1450</v>
      </c>
      <c r="C8" s="93"/>
      <c r="D8" s="102"/>
      <c r="E8" s="96"/>
      <c r="F8" s="94"/>
      <c r="G8" s="93"/>
      <c r="H8" s="93"/>
    </row>
    <row r="9" spans="1:8" x14ac:dyDescent="0.3">
      <c r="A9" s="101"/>
      <c r="B9" s="96"/>
      <c r="C9" s="93"/>
      <c r="D9" s="102" t="s">
        <v>448</v>
      </c>
      <c r="E9" s="96">
        <v>200</v>
      </c>
      <c r="F9" s="94"/>
      <c r="G9" s="93"/>
      <c r="H9" s="93"/>
    </row>
    <row r="10" spans="1:8" x14ac:dyDescent="0.3">
      <c r="A10" s="101" t="s">
        <v>442</v>
      </c>
      <c r="B10" s="96">
        <v>650</v>
      </c>
      <c r="C10" s="93"/>
      <c r="D10" s="102" t="s">
        <v>429</v>
      </c>
      <c r="E10" s="96">
        <v>597</v>
      </c>
      <c r="F10" s="94"/>
      <c r="G10" s="93"/>
      <c r="H10" s="93"/>
    </row>
    <row r="11" spans="1:8" x14ac:dyDescent="0.3">
      <c r="A11" s="101" t="s">
        <v>455</v>
      </c>
      <c r="B11" s="96">
        <v>19071</v>
      </c>
      <c r="C11" s="93"/>
      <c r="D11" s="93"/>
      <c r="E11" s="94"/>
      <c r="F11" s="94"/>
      <c r="G11" s="93"/>
      <c r="H11" s="93"/>
    </row>
    <row r="12" spans="1:8" x14ac:dyDescent="0.3">
      <c r="A12" s="101" t="s">
        <v>443</v>
      </c>
      <c r="B12" s="96">
        <v>3452</v>
      </c>
      <c r="C12" s="93"/>
      <c r="D12" s="102" t="s">
        <v>393</v>
      </c>
      <c r="E12" s="96">
        <v>95582</v>
      </c>
      <c r="F12" s="94"/>
      <c r="G12" s="93"/>
      <c r="H12" s="93"/>
    </row>
    <row r="13" spans="1:8" x14ac:dyDescent="0.3">
      <c r="A13" s="101" t="s">
        <v>498</v>
      </c>
      <c r="B13" s="96">
        <v>600</v>
      </c>
      <c r="C13" s="93"/>
      <c r="D13" s="93"/>
      <c r="E13" s="94"/>
      <c r="F13" s="94"/>
      <c r="G13" s="93"/>
      <c r="H13" s="93"/>
    </row>
    <row r="14" spans="1:8" x14ac:dyDescent="0.3">
      <c r="A14" s="101" t="s">
        <v>444</v>
      </c>
      <c r="B14" s="96">
        <v>4640</v>
      </c>
      <c r="C14" s="93"/>
      <c r="D14" s="93"/>
      <c r="E14" s="94"/>
      <c r="F14" s="94"/>
      <c r="G14" s="93"/>
      <c r="H14" s="93"/>
    </row>
    <row r="15" spans="1:8" ht="38.4" customHeight="1" x14ac:dyDescent="0.3">
      <c r="A15" s="101"/>
      <c r="B15" s="96"/>
      <c r="C15" s="93"/>
      <c r="D15" s="130" t="s">
        <v>398</v>
      </c>
      <c r="E15" s="132">
        <v>712356</v>
      </c>
      <c r="F15" s="94">
        <v>400000</v>
      </c>
      <c r="G15" s="94">
        <f>E15-F15</f>
        <v>312356</v>
      </c>
      <c r="H15" s="94">
        <f>G15*0.05</f>
        <v>15617.800000000001</v>
      </c>
    </row>
    <row r="16" spans="1:8" ht="14.4" customHeight="1" x14ac:dyDescent="0.3">
      <c r="A16" s="101"/>
      <c r="B16" s="96"/>
      <c r="C16" s="93"/>
      <c r="D16" s="130" t="s">
        <v>530</v>
      </c>
      <c r="E16" s="132"/>
      <c r="F16" s="94"/>
      <c r="G16" s="94"/>
      <c r="H16" s="94"/>
    </row>
    <row r="17" spans="1:8" x14ac:dyDescent="0.3">
      <c r="A17" s="101" t="s">
        <v>387</v>
      </c>
      <c r="B17" s="96">
        <v>2330</v>
      </c>
      <c r="C17" s="93"/>
      <c r="D17" s="130" t="s">
        <v>528</v>
      </c>
      <c r="E17" s="120">
        <v>15617.8</v>
      </c>
      <c r="F17" s="94"/>
      <c r="G17" s="93"/>
      <c r="H17" s="93"/>
    </row>
    <row r="18" spans="1:8" x14ac:dyDescent="0.3">
      <c r="A18" s="101" t="s">
        <v>519</v>
      </c>
      <c r="B18" s="96">
        <v>500</v>
      </c>
      <c r="C18" s="93"/>
      <c r="D18" s="133" t="s">
        <v>529</v>
      </c>
      <c r="E18" s="131">
        <v>20540.2</v>
      </c>
      <c r="F18" s="94"/>
      <c r="G18" s="93"/>
      <c r="H18" s="93"/>
    </row>
    <row r="19" spans="1:8" x14ac:dyDescent="0.3">
      <c r="A19" s="101" t="s">
        <v>457</v>
      </c>
      <c r="B19" s="96">
        <v>475</v>
      </c>
      <c r="C19" s="93"/>
      <c r="D19" s="102" t="s">
        <v>432</v>
      </c>
      <c r="E19" s="96">
        <v>74867</v>
      </c>
      <c r="F19" s="94"/>
      <c r="G19" s="93"/>
      <c r="H19" s="93"/>
    </row>
    <row r="20" spans="1:8" x14ac:dyDescent="0.3">
      <c r="A20" s="101" t="s">
        <v>458</v>
      </c>
      <c r="B20" s="96">
        <v>7900.38</v>
      </c>
      <c r="C20" s="93"/>
      <c r="D20" s="102" t="s">
        <v>394</v>
      </c>
      <c r="E20" s="96">
        <v>570804</v>
      </c>
      <c r="F20" s="94">
        <v>160000</v>
      </c>
      <c r="G20" s="94">
        <f>E20-F20</f>
        <v>410804</v>
      </c>
      <c r="H20" s="94">
        <f>G20*0.05</f>
        <v>20540.2</v>
      </c>
    </row>
    <row r="21" spans="1:8" x14ac:dyDescent="0.3">
      <c r="A21" s="101" t="s">
        <v>425</v>
      </c>
      <c r="B21" s="96"/>
      <c r="C21" s="93"/>
      <c r="D21" s="102" t="s">
        <v>396</v>
      </c>
      <c r="E21" s="96">
        <v>118119</v>
      </c>
      <c r="F21" s="94"/>
      <c r="G21" s="93"/>
      <c r="H21" s="93"/>
    </row>
    <row r="22" spans="1:8" x14ac:dyDescent="0.3">
      <c r="A22" s="101" t="s">
        <v>445</v>
      </c>
      <c r="B22" s="96">
        <v>3670</v>
      </c>
      <c r="C22" s="93"/>
      <c r="D22" s="93"/>
      <c r="E22" s="94"/>
      <c r="F22" s="94"/>
      <c r="G22" s="93"/>
      <c r="H22" s="93"/>
    </row>
    <row r="23" spans="1:8" x14ac:dyDescent="0.3">
      <c r="A23" s="101" t="s">
        <v>426</v>
      </c>
      <c r="B23" s="96">
        <v>90040</v>
      </c>
      <c r="C23" s="93"/>
      <c r="D23" s="102" t="s">
        <v>523</v>
      </c>
      <c r="E23" s="96">
        <v>42200</v>
      </c>
      <c r="F23" s="94"/>
      <c r="G23" s="93"/>
      <c r="H23" s="93"/>
    </row>
    <row r="24" spans="1:8" x14ac:dyDescent="0.3">
      <c r="A24" s="101" t="s">
        <v>459</v>
      </c>
      <c r="B24" s="96">
        <v>1180</v>
      </c>
      <c r="C24" s="93"/>
      <c r="D24" s="93" t="s">
        <v>524</v>
      </c>
      <c r="E24" s="94">
        <v>46661</v>
      </c>
      <c r="F24" s="94"/>
      <c r="G24" s="93"/>
      <c r="H24" s="93"/>
    </row>
    <row r="25" spans="1:8" x14ac:dyDescent="0.3">
      <c r="A25" s="101" t="s">
        <v>446</v>
      </c>
      <c r="B25" s="96">
        <v>28982</v>
      </c>
      <c r="C25" s="93"/>
      <c r="D25" s="122"/>
      <c r="E25" s="94"/>
      <c r="F25" s="94"/>
      <c r="G25" s="93"/>
      <c r="H25" s="93"/>
    </row>
    <row r="26" spans="1:8" x14ac:dyDescent="0.3">
      <c r="A26" s="102" t="s">
        <v>447</v>
      </c>
      <c r="B26" s="96">
        <v>692</v>
      </c>
      <c r="C26" s="93"/>
      <c r="D26" t="s">
        <v>488</v>
      </c>
      <c r="E26" s="94">
        <f>SUM(E7:E25)</f>
        <v>1698117</v>
      </c>
      <c r="F26" s="94"/>
      <c r="G26" s="93"/>
      <c r="H26" s="93"/>
    </row>
    <row r="27" spans="1:8" x14ac:dyDescent="0.3">
      <c r="A27" s="102" t="s">
        <v>397</v>
      </c>
      <c r="B27" s="96">
        <v>2925</v>
      </c>
      <c r="C27" s="93"/>
      <c r="D27" s="93"/>
      <c r="E27" s="94"/>
      <c r="F27" s="94"/>
      <c r="G27" s="93"/>
      <c r="H27" s="93"/>
    </row>
    <row r="28" spans="1:8" x14ac:dyDescent="0.3">
      <c r="A28" s="102" t="s">
        <v>395</v>
      </c>
      <c r="B28" s="96">
        <v>118.28</v>
      </c>
      <c r="C28" s="93"/>
      <c r="D28" s="93"/>
      <c r="E28" s="94"/>
      <c r="G28" s="92">
        <f>E15-H15</f>
        <v>696738.2</v>
      </c>
    </row>
    <row r="29" spans="1:8" x14ac:dyDescent="0.3">
      <c r="A29" s="102" t="s">
        <v>428</v>
      </c>
      <c r="B29" s="96">
        <v>272</v>
      </c>
      <c r="C29" s="93"/>
      <c r="D29" s="93"/>
      <c r="E29" s="94"/>
    </row>
    <row r="30" spans="1:8" x14ac:dyDescent="0.3">
      <c r="A30" s="102"/>
      <c r="B30" s="96"/>
      <c r="C30" s="93"/>
    </row>
    <row r="31" spans="1:8" x14ac:dyDescent="0.3">
      <c r="A31" s="102" t="s">
        <v>521</v>
      </c>
      <c r="B31" s="96">
        <v>169226.984</v>
      </c>
      <c r="C31" s="93"/>
      <c r="D31" s="112"/>
      <c r="E31" s="94"/>
    </row>
    <row r="32" spans="1:8" x14ac:dyDescent="0.3">
      <c r="A32" s="102" t="s">
        <v>449</v>
      </c>
      <c r="B32" s="96">
        <v>174748.86</v>
      </c>
      <c r="C32" s="93"/>
      <c r="D32" s="93"/>
      <c r="E32" s="94"/>
    </row>
    <row r="33" spans="1:5" x14ac:dyDescent="0.3">
      <c r="A33" s="102" t="s">
        <v>520</v>
      </c>
      <c r="B33" s="96">
        <v>201092.42199999999</v>
      </c>
      <c r="C33" s="93"/>
      <c r="D33" s="93"/>
      <c r="E33" s="94"/>
    </row>
    <row r="34" spans="1:5" x14ac:dyDescent="0.3">
      <c r="A34" s="102"/>
      <c r="B34" s="96"/>
      <c r="C34" s="93"/>
      <c r="D34" s="93"/>
      <c r="E34" s="94"/>
    </row>
    <row r="35" spans="1:5" x14ac:dyDescent="0.3">
      <c r="A35" s="103" t="s">
        <v>430</v>
      </c>
      <c r="B35" s="96">
        <v>8021</v>
      </c>
      <c r="C35" s="93"/>
      <c r="D35" s="93"/>
      <c r="E35" s="94"/>
    </row>
    <row r="36" spans="1:5" x14ac:dyDescent="0.3">
      <c r="A36" s="93"/>
      <c r="B36" s="94"/>
      <c r="C36" s="93"/>
      <c r="D36" s="93"/>
      <c r="E36" s="94"/>
    </row>
    <row r="37" spans="1:5" x14ac:dyDescent="0.3">
      <c r="A37" s="93" t="s">
        <v>489</v>
      </c>
      <c r="B37" s="94">
        <f>SUM(B1:B36)</f>
        <v>1698256.2627999999</v>
      </c>
      <c r="C37" s="93"/>
      <c r="D37" s="93"/>
      <c r="E37" s="94"/>
    </row>
    <row r="38" spans="1:5" x14ac:dyDescent="0.3">
      <c r="A38" s="93"/>
      <c r="B38" s="94"/>
      <c r="C38" s="93"/>
      <c r="D38" s="93"/>
      <c r="E38" s="94"/>
    </row>
    <row r="39" spans="1:5" x14ac:dyDescent="0.3">
      <c r="A39" s="93"/>
      <c r="B39" s="94"/>
      <c r="C39" s="93"/>
      <c r="D39" s="93"/>
      <c r="E39" s="94"/>
    </row>
    <row r="40" spans="1:5" x14ac:dyDescent="0.3">
      <c r="A40" s="93"/>
      <c r="B40" s="100" t="s">
        <v>431</v>
      </c>
      <c r="C40" s="100">
        <f>B37-E26</f>
        <v>139.26279999990948</v>
      </c>
      <c r="D40" s="93"/>
      <c r="E40" s="94"/>
    </row>
  </sheetData>
  <mergeCells count="1"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Cash </vt:lpstr>
      <vt:lpstr>Pending Work</vt:lpstr>
      <vt:lpstr>Shpping Charges</vt:lpstr>
      <vt:lpstr>Closing Nov.24</vt:lpstr>
      <vt:lpstr>Sheet1</vt:lpstr>
      <vt:lpstr>Sheet2</vt:lpstr>
      <vt:lpstr>Sheet3</vt:lpstr>
      <vt:lpstr>Profit25</vt:lpstr>
      <vt:lpstr>Sheet4</vt:lpstr>
      <vt:lpstr>Reports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cp:lastPrinted>2025-06-28T14:34:37Z</cp:lastPrinted>
  <dcterms:created xsi:type="dcterms:W3CDTF">2024-11-01T09:05:56Z</dcterms:created>
  <dcterms:modified xsi:type="dcterms:W3CDTF">2025-08-05T17:43:12Z</dcterms:modified>
</cp:coreProperties>
</file>