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wissTechSaqib\Swiss Tech Files 2025\Sales Reports 2025\"/>
    </mc:Choice>
  </mc:AlternateContent>
  <xr:revisionPtr revIDLastSave="0" documentId="13_ncr:1_{6463199A-63C5-47F9-82F1-753F4A10F375}" xr6:coauthVersionLast="47" xr6:coauthVersionMax="47" xr10:uidLastSave="{00000000-0000-0000-0000-000000000000}"/>
  <bookViews>
    <workbookView xWindow="-120" yWindow="-120" windowWidth="29040" windowHeight="15720" activeTab="5" xr2:uid="{B6D4EC9A-6888-49F7-BC98-088E7BD35AE0}"/>
  </bookViews>
  <sheets>
    <sheet name="Sheet1" sheetId="1" r:id="rId1"/>
    <sheet name="Australia" sheetId="2" r:id="rId2"/>
    <sheet name="NewZealand" sheetId="3" r:id="rId3"/>
    <sheet name="ST USA" sheetId="4" r:id="rId4"/>
    <sheet name="USA " sheetId="5" r:id="rId5"/>
    <sheet name="Karachi " sheetId="6" r:id="rId6"/>
  </sheets>
  <definedNames>
    <definedName name="_xlnm._FilterDatabase" localSheetId="0" hidden="1">Sheet1!$A$6:$I$655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6" l="1"/>
  <c r="E47" i="6"/>
  <c r="F47" i="6"/>
  <c r="G47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G4" i="6"/>
  <c r="H4" i="6"/>
  <c r="G5" i="6"/>
  <c r="H5" i="6"/>
  <c r="E262" i="5"/>
  <c r="F26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H55" i="4"/>
  <c r="E55" i="4"/>
  <c r="F55" i="4"/>
  <c r="G5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2" i="4"/>
  <c r="J87" i="3"/>
  <c r="E87" i="3"/>
  <c r="F87" i="3"/>
  <c r="G87" i="3"/>
  <c r="H87" i="3"/>
  <c r="I8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2" i="3"/>
  <c r="H262" i="5" l="1"/>
  <c r="G262" i="5"/>
  <c r="E212" i="2"/>
  <c r="F212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J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J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J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J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J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J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J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J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J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J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J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J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J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J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J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J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J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J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J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J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J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J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J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J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J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J208" i="2" s="1"/>
  <c r="G209" i="2"/>
  <c r="H209" i="2" s="1"/>
  <c r="G210" i="2"/>
  <c r="H210" i="2" s="1"/>
  <c r="G2" i="2"/>
  <c r="H2" i="2" s="1"/>
  <c r="I156" i="2" l="1"/>
  <c r="J156" i="2"/>
  <c r="I108" i="2"/>
  <c r="J108" i="2"/>
  <c r="I44" i="2"/>
  <c r="J44" i="2"/>
  <c r="J2" i="2"/>
  <c r="I2" i="2"/>
  <c r="I187" i="2"/>
  <c r="J187" i="2"/>
  <c r="I179" i="2"/>
  <c r="J179" i="2"/>
  <c r="I171" i="2"/>
  <c r="J171" i="2"/>
  <c r="I163" i="2"/>
  <c r="J163" i="2"/>
  <c r="I155" i="2"/>
  <c r="J155" i="2"/>
  <c r="I147" i="2"/>
  <c r="J147" i="2"/>
  <c r="I139" i="2"/>
  <c r="J139" i="2"/>
  <c r="I131" i="2"/>
  <c r="J131" i="2"/>
  <c r="I123" i="2"/>
  <c r="J123" i="2"/>
  <c r="I115" i="2"/>
  <c r="J115" i="2"/>
  <c r="I107" i="2"/>
  <c r="J107" i="2"/>
  <c r="I99" i="2"/>
  <c r="J99" i="2"/>
  <c r="I91" i="2"/>
  <c r="J91" i="2"/>
  <c r="I83" i="2"/>
  <c r="J83" i="2"/>
  <c r="I75" i="2"/>
  <c r="J75" i="2"/>
  <c r="I67" i="2"/>
  <c r="J67" i="2"/>
  <c r="I59" i="2"/>
  <c r="J59" i="2"/>
  <c r="I51" i="2"/>
  <c r="J51" i="2"/>
  <c r="I43" i="2"/>
  <c r="J43" i="2"/>
  <c r="I35" i="2"/>
  <c r="J35" i="2"/>
  <c r="I27" i="2"/>
  <c r="J27" i="2"/>
  <c r="I19" i="2"/>
  <c r="J19" i="2"/>
  <c r="I11" i="2"/>
  <c r="J11" i="2"/>
  <c r="I3" i="2"/>
  <c r="J3" i="2"/>
  <c r="I60" i="2"/>
  <c r="J60" i="2"/>
  <c r="I202" i="2"/>
  <c r="J202" i="2"/>
  <c r="I106" i="2"/>
  <c r="J106" i="2"/>
  <c r="I74" i="2"/>
  <c r="J74" i="2"/>
  <c r="I26" i="2"/>
  <c r="J26" i="2"/>
  <c r="I18" i="2"/>
  <c r="J18" i="2"/>
  <c r="I10" i="2"/>
  <c r="J10" i="2"/>
  <c r="I180" i="2"/>
  <c r="J180" i="2"/>
  <c r="I132" i="2"/>
  <c r="J132" i="2"/>
  <c r="I68" i="2"/>
  <c r="J68" i="2"/>
  <c r="I178" i="2"/>
  <c r="J178" i="2"/>
  <c r="I138" i="2"/>
  <c r="J138" i="2"/>
  <c r="I90" i="2"/>
  <c r="J90" i="2"/>
  <c r="I66" i="2"/>
  <c r="J66" i="2"/>
  <c r="I169" i="2"/>
  <c r="J169" i="2"/>
  <c r="I137" i="2"/>
  <c r="J137" i="2"/>
  <c r="I121" i="2"/>
  <c r="J121" i="2"/>
  <c r="I105" i="2"/>
  <c r="J105" i="2"/>
  <c r="J89" i="2"/>
  <c r="I89" i="2"/>
  <c r="I81" i="2"/>
  <c r="J81" i="2"/>
  <c r="I65" i="2"/>
  <c r="J65" i="2"/>
  <c r="J57" i="2"/>
  <c r="I57" i="2"/>
  <c r="J49" i="2"/>
  <c r="I49" i="2"/>
  <c r="I41" i="2"/>
  <c r="J41" i="2"/>
  <c r="J33" i="2"/>
  <c r="I33" i="2"/>
  <c r="I17" i="2"/>
  <c r="J17" i="2"/>
  <c r="I9" i="2"/>
  <c r="J9" i="2"/>
  <c r="I164" i="2"/>
  <c r="J164" i="2"/>
  <c r="I116" i="2"/>
  <c r="J116" i="2"/>
  <c r="I84" i="2"/>
  <c r="J84" i="2"/>
  <c r="I52" i="2"/>
  <c r="J52" i="2"/>
  <c r="I20" i="2"/>
  <c r="J20" i="2"/>
  <c r="I194" i="2"/>
  <c r="J194" i="2"/>
  <c r="I146" i="2"/>
  <c r="J146" i="2"/>
  <c r="I98" i="2"/>
  <c r="J98" i="2"/>
  <c r="I50" i="2"/>
  <c r="J50" i="2"/>
  <c r="I193" i="2"/>
  <c r="J193" i="2"/>
  <c r="J177" i="2"/>
  <c r="I177" i="2"/>
  <c r="I145" i="2"/>
  <c r="J145" i="2"/>
  <c r="J129" i="2"/>
  <c r="I129" i="2"/>
  <c r="J113" i="2"/>
  <c r="I113" i="2"/>
  <c r="I97" i="2"/>
  <c r="J97" i="2"/>
  <c r="I73" i="2"/>
  <c r="J73" i="2"/>
  <c r="I25" i="2"/>
  <c r="J25" i="2"/>
  <c r="I148" i="2"/>
  <c r="J148" i="2"/>
  <c r="I100" i="2"/>
  <c r="J100" i="2"/>
  <c r="J28" i="2"/>
  <c r="I28" i="2"/>
  <c r="I186" i="2"/>
  <c r="J186" i="2"/>
  <c r="I154" i="2"/>
  <c r="J154" i="2"/>
  <c r="I130" i="2"/>
  <c r="J130" i="2"/>
  <c r="I82" i="2"/>
  <c r="J82" i="2"/>
  <c r="I58" i="2"/>
  <c r="J58" i="2"/>
  <c r="J185" i="2"/>
  <c r="I185" i="2"/>
  <c r="J191" i="2"/>
  <c r="I191" i="2"/>
  <c r="J167" i="2"/>
  <c r="I167" i="2"/>
  <c r="J143" i="2"/>
  <c r="I143" i="2"/>
  <c r="J127" i="2"/>
  <c r="I127" i="2"/>
  <c r="J111" i="2"/>
  <c r="I111" i="2"/>
  <c r="J103" i="2"/>
  <c r="I103" i="2"/>
  <c r="J87" i="2"/>
  <c r="I87" i="2"/>
  <c r="J79" i="2"/>
  <c r="I79" i="2"/>
  <c r="J71" i="2"/>
  <c r="I71" i="2"/>
  <c r="J63" i="2"/>
  <c r="I63" i="2"/>
  <c r="J55" i="2"/>
  <c r="I55" i="2"/>
  <c r="J47" i="2"/>
  <c r="I47" i="2"/>
  <c r="J39" i="2"/>
  <c r="I39" i="2"/>
  <c r="J31" i="2"/>
  <c r="I31" i="2"/>
  <c r="J23" i="2"/>
  <c r="I23" i="2"/>
  <c r="J15" i="2"/>
  <c r="I15" i="2"/>
  <c r="J7" i="2"/>
  <c r="I7" i="2"/>
  <c r="J172" i="2"/>
  <c r="I172" i="2"/>
  <c r="J124" i="2"/>
  <c r="I124" i="2"/>
  <c r="J76" i="2"/>
  <c r="I76" i="2"/>
  <c r="I4" i="2"/>
  <c r="J4" i="2"/>
  <c r="I210" i="2"/>
  <c r="J210" i="2"/>
  <c r="I170" i="2"/>
  <c r="J170" i="2"/>
  <c r="I122" i="2"/>
  <c r="J122" i="2"/>
  <c r="I34" i="2"/>
  <c r="J34" i="2"/>
  <c r="I161" i="2"/>
  <c r="J161" i="2"/>
  <c r="J175" i="2"/>
  <c r="I175" i="2"/>
  <c r="J151" i="2"/>
  <c r="I151" i="2"/>
  <c r="J135" i="2"/>
  <c r="I135" i="2"/>
  <c r="J95" i="2"/>
  <c r="I95" i="2"/>
  <c r="J190" i="2"/>
  <c r="I190" i="2"/>
  <c r="J182" i="2"/>
  <c r="I182" i="2"/>
  <c r="J174" i="2"/>
  <c r="I174" i="2"/>
  <c r="J166" i="2"/>
  <c r="I166" i="2"/>
  <c r="J158" i="2"/>
  <c r="I158" i="2"/>
  <c r="J150" i="2"/>
  <c r="I150" i="2"/>
  <c r="J142" i="2"/>
  <c r="I142" i="2"/>
  <c r="J134" i="2"/>
  <c r="I134" i="2"/>
  <c r="J126" i="2"/>
  <c r="I126" i="2"/>
  <c r="J118" i="2"/>
  <c r="I118" i="2"/>
  <c r="J110" i="2"/>
  <c r="I110" i="2"/>
  <c r="J102" i="2"/>
  <c r="I102" i="2"/>
  <c r="J94" i="2"/>
  <c r="I94" i="2"/>
  <c r="J86" i="2"/>
  <c r="I86" i="2"/>
  <c r="J78" i="2"/>
  <c r="I78" i="2"/>
  <c r="J70" i="2"/>
  <c r="I70" i="2"/>
  <c r="J62" i="2"/>
  <c r="I62" i="2"/>
  <c r="J54" i="2"/>
  <c r="I54" i="2"/>
  <c r="J46" i="2"/>
  <c r="I46" i="2"/>
  <c r="J38" i="2"/>
  <c r="I38" i="2"/>
  <c r="J30" i="2"/>
  <c r="I30" i="2"/>
  <c r="J22" i="2"/>
  <c r="I22" i="2"/>
  <c r="J14" i="2"/>
  <c r="I14" i="2"/>
  <c r="J6" i="2"/>
  <c r="I6" i="2"/>
  <c r="J188" i="2"/>
  <c r="I188" i="2"/>
  <c r="J140" i="2"/>
  <c r="I140" i="2"/>
  <c r="J92" i="2"/>
  <c r="I92" i="2"/>
  <c r="I36" i="2"/>
  <c r="J36" i="2"/>
  <c r="J12" i="2"/>
  <c r="I12" i="2"/>
  <c r="I162" i="2"/>
  <c r="J162" i="2"/>
  <c r="I114" i="2"/>
  <c r="J114" i="2"/>
  <c r="I42" i="2"/>
  <c r="J42" i="2"/>
  <c r="J153" i="2"/>
  <c r="I153" i="2"/>
  <c r="J183" i="2"/>
  <c r="I183" i="2"/>
  <c r="J159" i="2"/>
  <c r="I159" i="2"/>
  <c r="J119" i="2"/>
  <c r="I119" i="2"/>
  <c r="J189" i="2"/>
  <c r="I189" i="2"/>
  <c r="J181" i="2"/>
  <c r="I181" i="2"/>
  <c r="J173" i="2"/>
  <c r="I173" i="2"/>
  <c r="J165" i="2"/>
  <c r="I165" i="2"/>
  <c r="J157" i="2"/>
  <c r="I157" i="2"/>
  <c r="J149" i="2"/>
  <c r="I149" i="2"/>
  <c r="J141" i="2"/>
  <c r="I141" i="2"/>
  <c r="J133" i="2"/>
  <c r="I133" i="2"/>
  <c r="J125" i="2"/>
  <c r="I125" i="2"/>
  <c r="J117" i="2"/>
  <c r="I117" i="2"/>
  <c r="J109" i="2"/>
  <c r="I109" i="2"/>
  <c r="J101" i="2"/>
  <c r="I101" i="2"/>
  <c r="J93" i="2"/>
  <c r="I93" i="2"/>
  <c r="J85" i="2"/>
  <c r="I85" i="2"/>
  <c r="J77" i="2"/>
  <c r="I77" i="2"/>
  <c r="J69" i="2"/>
  <c r="I69" i="2"/>
  <c r="J61" i="2"/>
  <c r="I61" i="2"/>
  <c r="J53" i="2"/>
  <c r="I53" i="2"/>
  <c r="J45" i="2"/>
  <c r="I45" i="2"/>
  <c r="J37" i="2"/>
  <c r="I37" i="2"/>
  <c r="J29" i="2"/>
  <c r="I29" i="2"/>
  <c r="J21" i="2"/>
  <c r="I21" i="2"/>
  <c r="J13" i="2"/>
  <c r="I13" i="2"/>
  <c r="J5" i="2"/>
  <c r="I5" i="2"/>
  <c r="I192" i="2"/>
  <c r="I184" i="2"/>
  <c r="I176" i="2"/>
  <c r="I168" i="2"/>
  <c r="I160" i="2"/>
  <c r="I152" i="2"/>
  <c r="I144" i="2"/>
  <c r="I136" i="2"/>
  <c r="I128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H212" i="2"/>
  <c r="J195" i="2"/>
  <c r="I195" i="2"/>
  <c r="J197" i="2"/>
  <c r="I197" i="2"/>
  <c r="I196" i="2"/>
  <c r="J196" i="2"/>
  <c r="J205" i="2"/>
  <c r="I205" i="2"/>
  <c r="I209" i="2"/>
  <c r="J209" i="2"/>
  <c r="J207" i="2"/>
  <c r="I207" i="2"/>
  <c r="J199" i="2"/>
  <c r="I199" i="2"/>
  <c r="I204" i="2"/>
  <c r="J204" i="2"/>
  <c r="J203" i="2"/>
  <c r="I203" i="2"/>
  <c r="I201" i="2"/>
  <c r="J201" i="2"/>
  <c r="J206" i="2"/>
  <c r="I206" i="2"/>
  <c r="J198" i="2"/>
  <c r="I198" i="2"/>
  <c r="I208" i="2"/>
  <c r="I200" i="2"/>
  <c r="G212" i="2"/>
  <c r="J212" i="2" l="1"/>
  <c r="I212" i="2"/>
</calcChain>
</file>

<file path=xl/sharedStrings.xml><?xml version="1.0" encoding="utf-8"?>
<sst xmlns="http://schemas.openxmlformats.org/spreadsheetml/2006/main" count="5172" uniqueCount="576">
  <si>
    <t>Sale-wise Profit Report</t>
  </si>
  <si>
    <t>From: 01-Jun-2026</t>
  </si>
  <si>
    <t>To: 30-Jun-2026</t>
  </si>
  <si>
    <t>Generated: 6/30/2026</t>
  </si>
  <si>
    <t xml:space="preserve"> 9:41:07 PM</t>
  </si>
  <si>
    <t>sale date</t>
  </si>
  <si>
    <t>item name</t>
  </si>
  <si>
    <t>serial number</t>
  </si>
  <si>
    <t>serial comment</t>
  </si>
  <si>
    <t>sale price</t>
  </si>
  <si>
    <t>purchase price</t>
  </si>
  <si>
    <t>profit loss</t>
  </si>
  <si>
    <t>profit loss percent</t>
  </si>
  <si>
    <t>vendor name</t>
  </si>
  <si>
    <t>Row Highlight</t>
  </si>
  <si>
    <t>STARLINK V4</t>
  </si>
  <si>
    <t>KIT406786173ZQQ</t>
  </si>
  <si>
    <t>All Ok</t>
  </si>
  <si>
    <t>AUSTRALIA PURCHASING</t>
  </si>
  <si>
    <t>KIT406786174ND9</t>
  </si>
  <si>
    <t>KIT406786484FZB</t>
  </si>
  <si>
    <t>KIT406787470JHN</t>
  </si>
  <si>
    <t>KIT406787472RDB</t>
  </si>
  <si>
    <t>KIT406787473R7S</t>
  </si>
  <si>
    <t>KIT406787474HQQ</t>
  </si>
  <si>
    <t>KIT406787775ZDG</t>
  </si>
  <si>
    <t>KIT406787776BQ2</t>
  </si>
  <si>
    <t>KIT4067877777XR</t>
  </si>
  <si>
    <t>KIT4067890679B6</t>
  </si>
  <si>
    <t>APPLE WATCH ULTRA 3 49MM</t>
  </si>
  <si>
    <t>BLACK OCEAN Unlock Non Active</t>
  </si>
  <si>
    <t>OWAIS HOUSTON</t>
  </si>
  <si>
    <t>CHARCOAL Unlock Non Active</t>
  </si>
  <si>
    <t>BLACK Ti, ALP Unlock Non Active USA Blacklist Current Status: Blocked</t>
  </si>
  <si>
    <t>IPHONE 17 PRO 256 GB</t>
  </si>
  <si>
    <t>MUDASSIR</t>
  </si>
  <si>
    <t>IPHONE 17 PRO MAX 256 GB</t>
  </si>
  <si>
    <t>Cosmic Orange Active</t>
  </si>
  <si>
    <t>MACBOOK NEO 13 8 GB, 256 GB</t>
  </si>
  <si>
    <t>SGY60MQJF6R</t>
  </si>
  <si>
    <t>BLUE Unlock Non Active</t>
  </si>
  <si>
    <t>SHFL2J3CY2G</t>
  </si>
  <si>
    <t>BLUE Unlock</t>
  </si>
  <si>
    <t>SHT45PF4RXL</t>
  </si>
  <si>
    <t>SJHX9Q0WTQY</t>
  </si>
  <si>
    <t>SL94QYTYFV5</t>
  </si>
  <si>
    <t>SMXVMVVLXTG</t>
  </si>
  <si>
    <t>IPAD PRO M5 11 (W+C) 256 GB</t>
  </si>
  <si>
    <t>BLACK Lock Non Active</t>
  </si>
  <si>
    <t>IPAD PRO M5 13 (W) 256 GB</t>
  </si>
  <si>
    <t>SF7YKCQPG2K</t>
  </si>
  <si>
    <t>BLACK Unlock Non Active</t>
  </si>
  <si>
    <t>SK04TJYV7QJ</t>
  </si>
  <si>
    <t>SKHK37MT2M7</t>
  </si>
  <si>
    <t>IPAD PRO M5 13 (W+C) 256 GB</t>
  </si>
  <si>
    <t>Loss</t>
  </si>
  <si>
    <t>META WAYFARER</t>
  </si>
  <si>
    <t>4V0ZW23H7D03ZZ</t>
  </si>
  <si>
    <t>AllMATE BLACK POLAR GRADIENT GRAPHITEOk</t>
  </si>
  <si>
    <t>META WAYFARER GEN 2</t>
  </si>
  <si>
    <t>4V0ZW04J050H32</t>
  </si>
  <si>
    <t>MATE BLACK CLEAR</t>
  </si>
  <si>
    <t>4V0ZW23HC401XC</t>
  </si>
  <si>
    <t>MATE BLACK POLAR GRADIENT GRAPHITE</t>
  </si>
  <si>
    <t>4V0ZW23HCQ01FB</t>
  </si>
  <si>
    <t>4V0ZW29HBD05FZ</t>
  </si>
  <si>
    <t>4V0ZW29J0V01XY</t>
  </si>
  <si>
    <t>BLACK POLAR GRADIENT GRAPHITE</t>
  </si>
  <si>
    <t>4V0ZW29J0X00G2</t>
  </si>
  <si>
    <t>4V0ZW29J0X018W</t>
  </si>
  <si>
    <t>4V0ZW29J2F05G3</t>
  </si>
  <si>
    <t>4V0ZW29J2H01QC</t>
  </si>
  <si>
    <t>4V37W23H8S0277</t>
  </si>
  <si>
    <t>4V37W23HB50099</t>
  </si>
  <si>
    <t>4V37W23HB9008F</t>
  </si>
  <si>
    <t>4V37W23J0G025R</t>
  </si>
  <si>
    <t>4V37W23J1400ZL</t>
  </si>
  <si>
    <t>4V37W23J1402LW</t>
  </si>
  <si>
    <t>4V37W29H8D012W</t>
  </si>
  <si>
    <t>4V37W29H8D0270</t>
  </si>
  <si>
    <t>4V37W29H8D02GY</t>
  </si>
  <si>
    <t>4V37W29HCP0004</t>
  </si>
  <si>
    <t>4V37W29HCR004W</t>
  </si>
  <si>
    <t>4V37W29HCT013P</t>
  </si>
  <si>
    <t>4V37W31J0D00VR</t>
  </si>
  <si>
    <t>MATE BLACK TRANSITION GREY</t>
  </si>
  <si>
    <t>4V37W31J390220</t>
  </si>
  <si>
    <t>MATE BLACK TRANSITIONS GREY</t>
  </si>
  <si>
    <t>4V9GW23HCJ0BX2</t>
  </si>
  <si>
    <t>4V9GW23HCL07F5</t>
  </si>
  <si>
    <t>IPHONE 15 128 GB</t>
  </si>
  <si>
    <t>Black T-Mobile</t>
  </si>
  <si>
    <t>IPHONE 16 PRO MAX 256 GB</t>
  </si>
  <si>
    <t>PTA Approved</t>
  </si>
  <si>
    <t>ABDUL REHMAN BHAI</t>
  </si>
  <si>
    <t>IPHONE 17 AIR 256 GB</t>
  </si>
  <si>
    <t>Light Gold Unlock</t>
  </si>
  <si>
    <t>Cosmic Orange</t>
  </si>
  <si>
    <t>Deep Blue Lock Active</t>
  </si>
  <si>
    <t>Deep Blue</t>
  </si>
  <si>
    <t>SJQQRQDC6FN</t>
  </si>
  <si>
    <t>YELLOW Unlock</t>
  </si>
  <si>
    <t>SKHYTX760F6</t>
  </si>
  <si>
    <t>SMPJ4W7LG6W</t>
  </si>
  <si>
    <t>APPLE WATCH SERIES 11 46MM</t>
  </si>
  <si>
    <t>SKDFL2RPH2C</t>
  </si>
  <si>
    <t>JET BLACK Unlock Non Active</t>
  </si>
  <si>
    <t>SKFGKXXL2T1</t>
  </si>
  <si>
    <t>BLACK OCEAN Non Active Unlock</t>
  </si>
  <si>
    <t>BLACK TI BLACK TML Non Active Unlock USA Blacklist Current Status: Blocked</t>
  </si>
  <si>
    <t>NATURAL OCEAN Non Active Unlock</t>
  </si>
  <si>
    <t>DUAL SENSE EDGE WIRELESS CONTROLLER</t>
  </si>
  <si>
    <t>dualsenseedgewirelesscontroller0013</t>
  </si>
  <si>
    <t>dualsenseedgewirelesscontroller0014</t>
  </si>
  <si>
    <t>BLACK</t>
  </si>
  <si>
    <t>META QUEST 3 256 GB</t>
  </si>
  <si>
    <t>347MBMNJ180109</t>
  </si>
  <si>
    <t>3487B0GGCJ00DP</t>
  </si>
  <si>
    <t>PLAYSTATION PORTAL</t>
  </si>
  <si>
    <t>playstationportal00003</t>
  </si>
  <si>
    <t>playstationportal00004</t>
  </si>
  <si>
    <t>PS5 DUAL SENSE CONTROLLER</t>
  </si>
  <si>
    <t>dualsensewirelesscontroller00066</t>
  </si>
  <si>
    <t>PS5 PRO</t>
  </si>
  <si>
    <t>S01K25901VJ910412938</t>
  </si>
  <si>
    <t>S01K25901VJ910414648</t>
  </si>
  <si>
    <t>S01K25901VJ910418874</t>
  </si>
  <si>
    <t>S01K25901VJ910422265</t>
  </si>
  <si>
    <t>S01K25901VJ910423066</t>
  </si>
  <si>
    <t>S01K25901VJ910423093</t>
  </si>
  <si>
    <t>S01K25A01VJ910504277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</si>
  <si>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</si>
  <si>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</si>
  <si>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</si>
  <si>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</si>
  <si>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</si>
  <si>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</si>
  <si>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</si>
  <si>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</si>
  <si>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</si>
  <si>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S01M55901RU310372360</t>
  </si>
  <si>
    <t>S01M55901RU310375020</t>
  </si>
  <si>
    <t>S01U456010DH10271881</t>
  </si>
  <si>
    <t>S01V45401FJW10319384</t>
  </si>
  <si>
    <t>S01V55901UNL11544723</t>
  </si>
  <si>
    <t>PS5 SLIM DISC</t>
  </si>
  <si>
    <t>S01E45601CE810576101</t>
  </si>
  <si>
    <t>WAHEED BHAI</t>
  </si>
  <si>
    <t>S01E45601CE810576162</t>
  </si>
  <si>
    <t>S01E45601CE810578011</t>
  </si>
  <si>
    <t>S01E45601CE810578019</t>
  </si>
  <si>
    <t>S01E45601CE810580025</t>
  </si>
  <si>
    <t>S01V55801Z1L11081301</t>
  </si>
  <si>
    <t>S01V55801Z1L11086063</t>
  </si>
  <si>
    <t>XBOX CONTROLLER</t>
  </si>
  <si>
    <t>White</t>
  </si>
  <si>
    <t>Black</t>
  </si>
  <si>
    <t>XBOX SERIES S</t>
  </si>
  <si>
    <t>BK33M6625483PC</t>
  </si>
  <si>
    <t>BK33MC425483PC</t>
  </si>
  <si>
    <t>BK33PCR25353PC</t>
  </si>
  <si>
    <t>XBOX SERIES X</t>
  </si>
  <si>
    <t>GALAXY S26 ULTRA 256 GB</t>
  </si>
  <si>
    <t>VIOLET</t>
  </si>
  <si>
    <t>IPHONE 17 256 GB</t>
  </si>
  <si>
    <t>Sage Active</t>
  </si>
  <si>
    <t>MACBOOK AIR M5 15 16 GB, 512 GB</t>
  </si>
  <si>
    <t>SFC3GWKVXK9</t>
  </si>
  <si>
    <t>Unlock Non Active</t>
  </si>
  <si>
    <t>SJVDF66L9KG</t>
  </si>
  <si>
    <t>Midnight</t>
  </si>
  <si>
    <t>META QUEST 3 512 GB</t>
  </si>
  <si>
    <t>2G97BMMH4801ZX</t>
  </si>
  <si>
    <t>2G97BMMH4S00GR</t>
  </si>
  <si>
    <t>2G97BMMH5C0195</t>
  </si>
  <si>
    <t>2G97BMMH5J04J8</t>
  </si>
  <si>
    <t>2G97BMMH9G00TM</t>
  </si>
  <si>
    <t>2G97BMMH9G01T6</t>
  </si>
  <si>
    <t>2G97BMMH9H02JZ</t>
  </si>
  <si>
    <t>2G97BMMHB601R5</t>
  </si>
  <si>
    <t>2G97BMMHBG004Q</t>
  </si>
  <si>
    <t>2G97BMMHBX01VF</t>
  </si>
  <si>
    <t>2G97BMMHCH03FC</t>
  </si>
  <si>
    <t>2G97BMMHCH04FY</t>
  </si>
  <si>
    <t>2G97BMMHCL01XW</t>
  </si>
  <si>
    <t>2G97BMMHCL02WN</t>
  </si>
  <si>
    <t>2G97BMMHCL02WY</t>
  </si>
  <si>
    <t>2G97BMMHCR060X</t>
  </si>
  <si>
    <t>2G97BMMHCS00Y8</t>
  </si>
  <si>
    <t>2G97BMMHCS00ZK</t>
  </si>
  <si>
    <t>2G97BMMHCS0109</t>
  </si>
  <si>
    <t>2G97BMMHCS010S</t>
  </si>
  <si>
    <t>2G97BMMHCS0114</t>
  </si>
  <si>
    <t>2G97BMMHCS0123</t>
  </si>
  <si>
    <t>2G97BMMHCS012D</t>
  </si>
  <si>
    <t>2G97BMMHCS012W</t>
  </si>
  <si>
    <t>2G97BMMJ0P01VL</t>
  </si>
  <si>
    <t>2G97BMMJ0P021C</t>
  </si>
  <si>
    <t>2G97BMMJ0P023C</t>
  </si>
  <si>
    <t>2G97BMMJ0P025G</t>
  </si>
  <si>
    <t>MINI CAR ADAPTER</t>
  </si>
  <si>
    <t>MCKCT00046917</t>
  </si>
  <si>
    <t>MCKCT00046937</t>
  </si>
  <si>
    <t>MCKCT00046984</t>
  </si>
  <si>
    <t>MCKCT00046992</t>
  </si>
  <si>
    <t>Black Ti Active Kit</t>
  </si>
  <si>
    <t>Space Black</t>
  </si>
  <si>
    <t>Deep Blue Active</t>
  </si>
  <si>
    <t>MINELAB MONSTER 2000</t>
  </si>
  <si>
    <t>AR WISE BANK USA</t>
  </si>
  <si>
    <t>2G97BMMJ1B02N8</t>
  </si>
  <si>
    <t>2G97BMMJ1B03T2</t>
  </si>
  <si>
    <t>2G97BMMJ1B03WM</t>
  </si>
  <si>
    <t>2G97BMMJ1B03WW</t>
  </si>
  <si>
    <t>2G97BMMJ1B03X8</t>
  </si>
  <si>
    <t>2G97BMMJ1B03ZR</t>
  </si>
  <si>
    <t>2G97BMMJ1B040N</t>
  </si>
  <si>
    <t>2G97BMMJ1B0419</t>
  </si>
  <si>
    <t>2G97BMMJ1B042P</t>
  </si>
  <si>
    <t>2G97BMMJ1B042R</t>
  </si>
  <si>
    <t>2G97BMMJ1B0439</t>
  </si>
  <si>
    <t>2G97BMMJ1B043V</t>
  </si>
  <si>
    <t>2G97BMMJ1B043Y</t>
  </si>
  <si>
    <t>2G97BMMJ1B044M</t>
  </si>
  <si>
    <t>2G97BMMJ1B0456</t>
  </si>
  <si>
    <t>2G97BMMJ1B0458</t>
  </si>
  <si>
    <t>2G97BMMJ1B045C</t>
  </si>
  <si>
    <t>2G97BMMJ1B045W</t>
  </si>
  <si>
    <t>2G97BMMJ1B0460</t>
  </si>
  <si>
    <t>2G97BMMJ1B0462</t>
  </si>
  <si>
    <t>2G97BMMJ1B046N</t>
  </si>
  <si>
    <t>2G97BMMJ1B0475</t>
  </si>
  <si>
    <t>2G97BMMJ1B047S</t>
  </si>
  <si>
    <t>2G97BMMJ1B0487</t>
  </si>
  <si>
    <t>2G97BMMJ1B048C</t>
  </si>
  <si>
    <t>2G97BMMJ1B048H</t>
  </si>
  <si>
    <t>2G97BMMJ1B048K</t>
  </si>
  <si>
    <t>2G97BMMJ1B048L</t>
  </si>
  <si>
    <t>2G97BMMJ1B048M</t>
  </si>
  <si>
    <t>2G97BMMJ1B048N</t>
  </si>
  <si>
    <t>2G97BMMJ1B048R</t>
  </si>
  <si>
    <t>2G97BMMJ1B048V</t>
  </si>
  <si>
    <t>2G97BMMJ1B048Z</t>
  </si>
  <si>
    <t>2G97BMMJ1B0490</t>
  </si>
  <si>
    <t>2G97BMMJ1B04S4</t>
  </si>
  <si>
    <t>2G97BMMJ1C03Z5</t>
  </si>
  <si>
    <t>2G97BMMJ1C03ZK</t>
  </si>
  <si>
    <t>2G97BMMJ1C0403</t>
  </si>
  <si>
    <t>2G97BMMJ1C040K</t>
  </si>
  <si>
    <t>2G97BMMJ1D001B</t>
  </si>
  <si>
    <t>2G97BMMJ1D002Y</t>
  </si>
  <si>
    <t>2G97BMMJ1R003H</t>
  </si>
  <si>
    <t>2G97BMMJ1R004X</t>
  </si>
  <si>
    <t>2G97BMMJ1R004Y</t>
  </si>
  <si>
    <t>2G97BMMJ1R005D</t>
  </si>
  <si>
    <t>2G97BMMJ1R005G</t>
  </si>
  <si>
    <t>2G97BMMJ1R005Y</t>
  </si>
  <si>
    <t>2G97BMMJ1R0066</t>
  </si>
  <si>
    <t>2G97BMMJ1R006D</t>
  </si>
  <si>
    <t>2G97BMMJ1R006N</t>
  </si>
  <si>
    <t>2G97BMMJ1R006Q</t>
  </si>
  <si>
    <t>2G97BMMJ1R006T</t>
  </si>
  <si>
    <t>2G97BMMJ1R006X</t>
  </si>
  <si>
    <t>2G97BMMJ1R006Y</t>
  </si>
  <si>
    <t>2G97BMMJ1R006Z</t>
  </si>
  <si>
    <t>2G97BMMJ1R0072</t>
  </si>
  <si>
    <t>2G97BMMJ1R007D</t>
  </si>
  <si>
    <t>2G97BMMJ1R007P</t>
  </si>
  <si>
    <t>2G97BMMJ1R007Q</t>
  </si>
  <si>
    <t>2G97BMMJ1R008T</t>
  </si>
  <si>
    <t>S01K25801VJ910403373</t>
  </si>
  <si>
    <t>S01K25901VJ910418912</t>
  </si>
  <si>
    <t>S01K25901VJ910427710</t>
  </si>
  <si>
    <t>S01K25901VJ910430343</t>
  </si>
  <si>
    <t>S01K25901VJ910433200</t>
  </si>
  <si>
    <t>Cosmic Orange Active Lock</t>
  </si>
  <si>
    <t>MINELAB MONSTER 1000</t>
  </si>
  <si>
    <t>Silver Non Active Lock</t>
  </si>
  <si>
    <t>MACBOOK PRO M5 16 SPACE BLACK 48 GB, 2 TB UNLOCK BOX</t>
  </si>
  <si>
    <t>SMRX1N2QNKW</t>
  </si>
  <si>
    <t>4V0ZW25H9P0F8G</t>
  </si>
  <si>
    <t>MATT BALCK L TRANSITION GREY</t>
  </si>
  <si>
    <t>4V0ZW32HB401DP</t>
  </si>
  <si>
    <t>SHINY BLACK TRANSITION GRAPHITE GREEN</t>
  </si>
  <si>
    <t>4V37W23J0G004C</t>
  </si>
  <si>
    <t>MATT BALCK POLAR GRADIENT GRAPHITE</t>
  </si>
  <si>
    <t>4V37W23J3202GT</t>
  </si>
  <si>
    <t>4V37W25HB9003D</t>
  </si>
  <si>
    <t>4V37W25HBF009C</t>
  </si>
  <si>
    <t>4V37W25HBF00MX</t>
  </si>
  <si>
    <t>4V9GW23HCL05LL</t>
  </si>
  <si>
    <t>MACBOOK AIR M4 15 24GB, 512 GB</t>
  </si>
  <si>
    <t>SCGWRWYNXT3</t>
  </si>
  <si>
    <t>SDY2QGJ4FGX</t>
  </si>
  <si>
    <t>SG1FV3VWL2W</t>
  </si>
  <si>
    <t>SKQQRQLQFP1</t>
  </si>
  <si>
    <t>MACBOOK AIR M5 13 16 GB, 1 TB</t>
  </si>
  <si>
    <t>SC69LY2FHFF</t>
  </si>
  <si>
    <t>MACBOOK NEO 13 8 GB, 512 GB</t>
  </si>
  <si>
    <t>SDFV45XQ12T</t>
  </si>
  <si>
    <t>BLUE Unlock Active</t>
  </si>
  <si>
    <t>SK40WM2JQ94</t>
  </si>
  <si>
    <t>MACBOOK PRO M5 14 24 GB, 1 TB</t>
  </si>
  <si>
    <t>SKFPL6RM4T9</t>
  </si>
  <si>
    <t>SL226MXVY4X</t>
  </si>
  <si>
    <t>Unlock</t>
  </si>
  <si>
    <t>MACBOOK PRO M5 14 32 GB, 1 TB</t>
  </si>
  <si>
    <t>SGW639YNXHR</t>
  </si>
  <si>
    <t>Space Black Active</t>
  </si>
  <si>
    <t>MACBOOK PRO M5 MAX 16 48 GB, 2 TB</t>
  </si>
  <si>
    <t>SMD7JTJ9J02</t>
  </si>
  <si>
    <t>Deep Blue Non Active Lock USA Blacklist Current Status: Blocked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</si>
  <si>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</si>
  <si>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</si>
  <si>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</si>
  <si>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</si>
  <si>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</si>
  <si>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</si>
  <si>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</si>
  <si>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</si>
  <si>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</si>
  <si>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</si>
  <si>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</si>
  <si>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Black Ti, Black Alp Unlock Non Active</t>
  </si>
  <si>
    <t>CANON G7X MARK III</t>
  </si>
  <si>
    <t>Silver</t>
  </si>
  <si>
    <t>NEW ZEALAND PURCHASING</t>
  </si>
  <si>
    <t>Space Black Unlock Non Active</t>
  </si>
  <si>
    <t>Space Black Unlock Non Active (Used)</t>
  </si>
  <si>
    <t>IPHONE 15 PRO MAX 256 GB</t>
  </si>
  <si>
    <t>Kit</t>
  </si>
  <si>
    <t>Deep Blue Non Active Lock</t>
  </si>
  <si>
    <t>Cosmic Orange Lock Non Active</t>
  </si>
  <si>
    <t>MACBOOK PRO M5 14 16 GB, 512 GB</t>
  </si>
  <si>
    <t>SDT2J96G2X1</t>
  </si>
  <si>
    <t>MDE04</t>
  </si>
  <si>
    <t>SFHPFWVMH66</t>
  </si>
  <si>
    <t>SHF206GK7FN</t>
  </si>
  <si>
    <t>SJ4PW16Y63J</t>
  </si>
  <si>
    <t>KIT4031279816S8</t>
  </si>
  <si>
    <t>KIT406454280Q6B</t>
  </si>
  <si>
    <t>KIT4064542834BZ</t>
  </si>
  <si>
    <t>KIT4067839875XS</t>
  </si>
  <si>
    <t>KIT406785088M26</t>
  </si>
  <si>
    <t>KIT406785089ZRP</t>
  </si>
  <si>
    <t>KIT406785090JCT</t>
  </si>
  <si>
    <t>KIT406785093N4V</t>
  </si>
  <si>
    <t>KIT40678509449T</t>
  </si>
  <si>
    <t>KIT406785216QPK</t>
  </si>
  <si>
    <t>KIT4067852226WN</t>
  </si>
  <si>
    <t>KIT406785223MT4</t>
  </si>
  <si>
    <t>KIT40678522489H</t>
  </si>
  <si>
    <t>KIT406785225M66</t>
  </si>
  <si>
    <t>KIT406785226P6G</t>
  </si>
  <si>
    <t>KIT406785227HGP</t>
  </si>
  <si>
    <t>KIT406785228GWJ</t>
  </si>
  <si>
    <t>KIT4067852298QQ</t>
  </si>
  <si>
    <t>KIT406785230N9D</t>
  </si>
  <si>
    <t>KIT406785231DNR</t>
  </si>
  <si>
    <t>KIT4067852327KG</t>
  </si>
  <si>
    <t>KIT406785233M6V</t>
  </si>
  <si>
    <t>KIT406785234GGK</t>
  </si>
  <si>
    <t>KIT406785235JQB</t>
  </si>
  <si>
    <t>KIT406785368K7T</t>
  </si>
  <si>
    <t>KIT406785370NN5</t>
  </si>
  <si>
    <t>KIT406785373HFS</t>
  </si>
  <si>
    <t>KIT4067857264NN</t>
  </si>
  <si>
    <t>KIT406785729M5M</t>
  </si>
  <si>
    <t>KIT406787720DQB</t>
  </si>
  <si>
    <t>KIT406787721RT5</t>
  </si>
  <si>
    <t>KIT406787722RQQ</t>
  </si>
  <si>
    <t>KIT406787723P2M</t>
  </si>
  <si>
    <t>KIT406787724BHX</t>
  </si>
  <si>
    <t>KIT40678772546G</t>
  </si>
  <si>
    <t>KIT407200946MXK</t>
  </si>
  <si>
    <t>KIT407202219GCN</t>
  </si>
  <si>
    <t>KIT407202220GF9</t>
  </si>
  <si>
    <t>KIT407202221G2S</t>
  </si>
  <si>
    <t>KIT4072022226MP</t>
  </si>
  <si>
    <t>KIT407202223FCX</t>
  </si>
  <si>
    <t>KIT407202224KZ2</t>
  </si>
  <si>
    <t>KIT4072022256HH</t>
  </si>
  <si>
    <t>KIT407202226M9P</t>
  </si>
  <si>
    <t>KIT407202227V62</t>
  </si>
  <si>
    <t>KIT407202228VBG</t>
  </si>
  <si>
    <t>KIT407202229VF5</t>
  </si>
  <si>
    <t>KIT407202230QN4</t>
  </si>
  <si>
    <t>KIT407202231SVX</t>
  </si>
  <si>
    <t>KIT407202232T9K</t>
  </si>
  <si>
    <t>KIT407202233FDZ</t>
  </si>
  <si>
    <t>KIT407202234GR4</t>
  </si>
  <si>
    <t>KIT407202235D5P</t>
  </si>
  <si>
    <t>KIT407202236B4D</t>
  </si>
  <si>
    <t>KIT4072022379M6</t>
  </si>
  <si>
    <t>Jet Black, Al Black</t>
  </si>
  <si>
    <t>Black Ti, Charcoal Ti Unlock Non Active</t>
  </si>
  <si>
    <t>INSTAX MINI 13</t>
  </si>
  <si>
    <t>A001655</t>
  </si>
  <si>
    <t>Purple</t>
  </si>
  <si>
    <t>A001658</t>
  </si>
  <si>
    <t>A001781</t>
  </si>
  <si>
    <t>A003962</t>
  </si>
  <si>
    <t>A023367</t>
  </si>
  <si>
    <t>Blue</t>
  </si>
  <si>
    <t>A047545</t>
  </si>
  <si>
    <t>Green</t>
  </si>
  <si>
    <t>A047572</t>
  </si>
  <si>
    <t>A054560</t>
  </si>
  <si>
    <t>Pink</t>
  </si>
  <si>
    <t>A112643</t>
  </si>
  <si>
    <t>L000Y04</t>
  </si>
  <si>
    <t>L0015T3</t>
  </si>
  <si>
    <t>L0017R1</t>
  </si>
  <si>
    <t>L001833</t>
  </si>
  <si>
    <t>L00191A</t>
  </si>
  <si>
    <t>L001FMK</t>
  </si>
  <si>
    <t>Natural Ti Active Kit</t>
  </si>
  <si>
    <t>All Silver Unlock Non Active</t>
  </si>
  <si>
    <t>Cosmic Orange Unlock Non Active</t>
  </si>
  <si>
    <t>Deep Blue Unlock Non Active</t>
  </si>
  <si>
    <t>Silver Unlock Non Active</t>
  </si>
  <si>
    <t>Cobalt Violet</t>
  </si>
  <si>
    <t>Sky Blue</t>
  </si>
  <si>
    <t>SDDXNCCW4PT</t>
  </si>
  <si>
    <t>SH649M96TQP</t>
  </si>
  <si>
    <t>SHQF2314GJP</t>
  </si>
  <si>
    <t>SK4VFH4F9KG</t>
  </si>
  <si>
    <t>SK73Q2M213K</t>
  </si>
  <si>
    <t>SKWYWD4D993</t>
  </si>
  <si>
    <t>SMDQ2XX2424</t>
  </si>
  <si>
    <t>IPHONE 11 PRO MAX 256</t>
  </si>
  <si>
    <t>SILVER</t>
  </si>
  <si>
    <t>SCM7MMCQMW6</t>
  </si>
  <si>
    <t>SDKFFVKC27Q</t>
  </si>
  <si>
    <t>SG7DV6DNFWC</t>
  </si>
  <si>
    <t>SHQ671WL6GK</t>
  </si>
  <si>
    <t>SJCDX05NHCF</t>
  </si>
  <si>
    <t>SKTYTX322R9</t>
  </si>
  <si>
    <t>SKW9X2924QJ</t>
  </si>
  <si>
    <t>SL64C7W0050</t>
  </si>
  <si>
    <t>SLJ94GTQC75</t>
  </si>
  <si>
    <t>SLJX622WQGN</t>
  </si>
  <si>
    <t>SLLXF43H39G</t>
  </si>
  <si>
    <t>SLXH73TH2M1</t>
  </si>
  <si>
    <t>KIT405742919SBN</t>
  </si>
  <si>
    <t>SCC42HY904F</t>
  </si>
  <si>
    <t>SD4MM4Q14FK</t>
  </si>
  <si>
    <t>SG7KJY4G9QC</t>
  </si>
  <si>
    <t>SH7NHV71M4T</t>
  </si>
  <si>
    <t>SLV6GFDJ6RK</t>
  </si>
  <si>
    <t>2G97BMMH6404TS</t>
  </si>
  <si>
    <t>CAPTAIN-LOGISTICS-CANADA</t>
  </si>
  <si>
    <t>2G97BMMH6404Z0</t>
  </si>
  <si>
    <t>2G97BMMH6G029G</t>
  </si>
  <si>
    <t>2G97BMMH9700NW</t>
  </si>
  <si>
    <t>2G97BMMH9W01M5</t>
  </si>
  <si>
    <t>2G97BMMH9X0260</t>
  </si>
  <si>
    <t>2G97BMMH9Y02N4</t>
  </si>
  <si>
    <t>2G97BMMHB7004P</t>
  </si>
  <si>
    <t>2G97BMMHBX001P</t>
  </si>
  <si>
    <t>2G97BMMHBX00JY</t>
  </si>
  <si>
    <t>2G97BMMHBX00K0</t>
  </si>
  <si>
    <t>2G97BMMHBX00KT</t>
  </si>
  <si>
    <t>2G97BMMHBX00QG</t>
  </si>
  <si>
    <t>2G97BMMHBX011G</t>
  </si>
  <si>
    <t>2G97BMMHBX015Z</t>
  </si>
  <si>
    <t>2G97BMMHBX02BR</t>
  </si>
  <si>
    <t>2G97BMMHBY010Q</t>
  </si>
  <si>
    <t>2G97BMMHBY025D</t>
  </si>
  <si>
    <t>2G97BMMHBY03N7</t>
  </si>
  <si>
    <t>2G97BMMHBY04BJ</t>
  </si>
  <si>
    <t>2G97BMMHC001JC</t>
  </si>
  <si>
    <t>2G97BMMHC003W4</t>
  </si>
  <si>
    <t>2G97BMMHC2035Z</t>
  </si>
  <si>
    <t>2G97BMMHC805JB</t>
  </si>
  <si>
    <t>2G97BMMHCB00KP</t>
  </si>
  <si>
    <t>2G97BMMHCB00R9</t>
  </si>
  <si>
    <t>2G97BMMHCB00RY</t>
  </si>
  <si>
    <t>2G97BMMHCB00SJ</t>
  </si>
  <si>
    <t>2G97BMMHCJ016S</t>
  </si>
  <si>
    <t>2G97BMMHCL004S</t>
  </si>
  <si>
    <t>2G97BMMHCL00BM</t>
  </si>
  <si>
    <t>APPLE WATCH ULTRA 2 49MM</t>
  </si>
  <si>
    <t>IPAD A16 (W) 128 GB</t>
  </si>
  <si>
    <t>SJRH0WQWKNL</t>
  </si>
  <si>
    <t>Silver Non Active Unlock</t>
  </si>
  <si>
    <t>IPAD AIR M4 13 (W+C) 128 GB</t>
  </si>
  <si>
    <t>Purple Lock Non Active</t>
  </si>
  <si>
    <t>Space Black Unlock Active</t>
  </si>
  <si>
    <t>IPAD PRO M5 13 (W+C) 512 GB</t>
  </si>
  <si>
    <t>SCCXV1Q6042</t>
  </si>
  <si>
    <t>SCP913QG60Q</t>
  </si>
  <si>
    <t>SD7PM7YV143</t>
  </si>
  <si>
    <t>SDDFP06J6H4</t>
  </si>
  <si>
    <t>SDMXV4Y69MD</t>
  </si>
  <si>
    <t>SDQX9D44LHC</t>
  </si>
  <si>
    <t>SDX7D320797</t>
  </si>
  <si>
    <t>SF20CTXDQC4</t>
  </si>
  <si>
    <t>SF22KX0XV6V</t>
  </si>
  <si>
    <t>SF4T0G262HL</t>
  </si>
  <si>
    <t>SF670RYPMFJ</t>
  </si>
  <si>
    <t>SFC495KFCX7</t>
  </si>
  <si>
    <t>SFCQ9MHFQ0L</t>
  </si>
  <si>
    <t>SFGC67N7VPX</t>
  </si>
  <si>
    <t>SG1XPR6HVKM</t>
  </si>
  <si>
    <t>SG267WM4MYF</t>
  </si>
  <si>
    <t>SG3RGFDHQJG</t>
  </si>
  <si>
    <t>SG77PFHR79Q</t>
  </si>
  <si>
    <t>SG7GJGR9CMC</t>
  </si>
  <si>
    <t>SGKQVPK4XM3</t>
  </si>
  <si>
    <t>SGWML2WQ6MV</t>
  </si>
  <si>
    <t>SGXDW64GTW3</t>
  </si>
  <si>
    <t>SHPHCWC0M7N</t>
  </si>
  <si>
    <t>SHW694CLJ6Y</t>
  </si>
  <si>
    <t>SHX22GH3YN6</t>
  </si>
  <si>
    <t>SHX2GW9W0TW</t>
  </si>
  <si>
    <t>SJ3792JX4R7</t>
  </si>
  <si>
    <t>SJ43QK7QK9M</t>
  </si>
  <si>
    <t>SJDW7KFGXQL</t>
  </si>
  <si>
    <t>SJJD726FQRT</t>
  </si>
  <si>
    <t>SK2W26J4W5G</t>
  </si>
  <si>
    <t>SK57CFXVKTC</t>
  </si>
  <si>
    <t>SK6WJLW45WY</t>
  </si>
  <si>
    <t>SKXX7Q203FQ</t>
  </si>
  <si>
    <t>SL67T2P5GF7</t>
  </si>
  <si>
    <t>SL7M4FFPYVN</t>
  </si>
  <si>
    <t>SLP6322F65G</t>
  </si>
  <si>
    <t>SLVWWQ9QGDJ</t>
  </si>
  <si>
    <t>SLWDH3G9QLK</t>
  </si>
  <si>
    <t>SM44HKXK7YM</t>
  </si>
  <si>
    <t>SM7GF6KQXW2</t>
  </si>
  <si>
    <t>SMVF29HV43K</t>
  </si>
  <si>
    <t>META HEADLINER GEN 2</t>
  </si>
  <si>
    <t>4V0ZH14H7S0691</t>
  </si>
  <si>
    <t>Matte Black L, Polar Gradient Graphite</t>
  </si>
  <si>
    <t>4V0ZL21HBT020R</t>
  </si>
  <si>
    <t>Shiny Black L, G15 Green</t>
  </si>
  <si>
    <t>META SKYLER</t>
  </si>
  <si>
    <t>2Q0ZY14H8L02M0</t>
  </si>
  <si>
    <t>4V0ZW23J0Q04RV</t>
  </si>
  <si>
    <t>4V0ZW25J0P00R5</t>
  </si>
  <si>
    <t>4V0ZW32HB301XP</t>
  </si>
  <si>
    <t>4V37W23H7F03NN</t>
  </si>
  <si>
    <t>4V37W23J1301Y2</t>
  </si>
  <si>
    <t>4V37W23J1403GK</t>
  </si>
  <si>
    <t>4V37W25HBF00Y4</t>
  </si>
  <si>
    <t>KIT406784561PJB</t>
  </si>
  <si>
    <t>STANDARD X</t>
  </si>
  <si>
    <t>KIT406784965XF4</t>
  </si>
  <si>
    <t>KIT406784994MWX</t>
  </si>
  <si>
    <t>AIRPODS PRO 3</t>
  </si>
  <si>
    <t>SLPGLW9T6GM</t>
  </si>
  <si>
    <t>DJI MAVIC 4 PRO CREATOR COMBO</t>
  </si>
  <si>
    <t>1581F986C25A4002465N</t>
  </si>
  <si>
    <t>IPHONE 17 PRO 512 GB</t>
  </si>
  <si>
    <t>Silver Lock Non Active</t>
  </si>
  <si>
    <t>S01K25801VJ910405586</t>
  </si>
  <si>
    <t>S01K25901VJ910424475</t>
  </si>
  <si>
    <t>S01K25901VJ910425173</t>
  </si>
  <si>
    <t>S01K25A01VJ910510971</t>
  </si>
  <si>
    <t>S01F55901DR210318108</t>
  </si>
  <si>
    <t>FORTNITE</t>
  </si>
  <si>
    <t>S01F55901DR210325773</t>
  </si>
  <si>
    <t>SILVER Unlock</t>
  </si>
  <si>
    <t>TOTAL</t>
  </si>
  <si>
    <t>Less Gst</t>
  </si>
  <si>
    <t>After Gst Price</t>
  </si>
  <si>
    <t>Total Sale</t>
  </si>
  <si>
    <t>Total Puchase</t>
  </si>
  <si>
    <t>Total Gst</t>
  </si>
  <si>
    <t>Total Purchasing</t>
  </si>
  <si>
    <t xml:space="preserve"> Total profit loss</t>
  </si>
  <si>
    <t>Average Percentage</t>
  </si>
  <si>
    <t>After Gst</t>
  </si>
  <si>
    <t>Total Purchase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</si>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</sst>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9875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4" fontId="0" fillId="0" borderId="1" xfId="0" applyNumberFormat="1" applyBorder="1"/>
    <xf numFmtId="1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10" fontId="0" fillId="2" borderId="1" xfId="0" applyNumberFormat="1" applyFill="1" applyBorder="1"/>
    <xf numFmtId="10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4" borderId="1" xfId="0" applyFont="1" applyFill="1" applyBorder="1"/>
    <xf numFmtId="10" fontId="2" fillId="4" borderId="1" xfId="0" applyNumberFormat="1" applyFont="1" applyFill="1" applyBorder="1"/>
    <xf numFmtId="0" fontId="2" fillId="4" borderId="2" xfId="0" applyFont="1" applyFill="1" applyBorder="1"/>
    <xf numFmtId="10" fontId="2" fillId="4" borderId="2" xfId="0" applyNumberFormat="1" applyFont="1" applyFill="1" applyBorder="1"/>
    <xf numFmtId="0" fontId="0" fillId="0" borderId="2" xfId="0" applyBorder="1"/>
    <xf numFmtId="1" fontId="1" fillId="5" borderId="0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5" borderId="0" xfId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2" fillId="3" borderId="3" xfId="0" applyFont="1" applyFill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10" fontId="1" fillId="0" borderId="0" xfId="0" applyNumberFormat="1" applyFont="1" applyFill="1" applyBorder="1"/>
  </cellXfs>
  <cellStyles count="2">
    <cellStyle name="Normal" xfId="0" builtinId="0"/>
    <cellStyle name="Normal 2" xfId="1" xr:uid="{7AF396E0-14CD-4B92-AB27-039AE1E776EB}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F6C6-EF2F-424D-9FFF-ECB06C81F028}">
  <dimension ref="A1:J655"/>
  <sheetViews>
    <sheetView topLeftCell="A17" zoomScale="90" zoomScaleNormal="90" workbookViewId="0">
      <selection activeCell="A81" sqref="A81:I459"/>
    </sheetView>
  </sheetViews>
  <sheetFormatPr defaultRowHeight="15" x14ac:dyDescent="0.25"/>
  <cols>
    <col min="1" max="1" width="21" bestFit="1" customWidth="1"/>
    <col min="2" max="2" width="54.5703125" bestFit="1" customWidth="1"/>
    <col min="3" max="3" width="35" bestFit="1" customWidth="1"/>
    <col min="4" max="4" width="69" bestFit="1" customWidth="1"/>
    <col min="5" max="5" width="11.140625" customWidth="1"/>
    <col min="6" max="6" width="16.85546875" customWidth="1"/>
    <col min="7" max="7" width="12.140625" customWidth="1"/>
    <col min="8" max="8" width="17.85546875" customWidth="1"/>
    <col min="9" max="9" width="25.7109375" customWidth="1"/>
    <col min="10" max="10" width="13.140625" bestFit="1" customWidth="1"/>
  </cols>
  <sheetData>
    <row r="1" spans="1:10" x14ac:dyDescent="0.25">
      <c r="A1" t="s">
        <v>0</v>
      </c>
      <c r="C1" s="1"/>
    </row>
    <row r="2" spans="1:10" x14ac:dyDescent="0.25">
      <c r="A2" t="s">
        <v>1</v>
      </c>
      <c r="C2" s="1"/>
    </row>
    <row r="3" spans="1:10" x14ac:dyDescent="0.25">
      <c r="A3" t="s">
        <v>2</v>
      </c>
      <c r="C3" s="1"/>
    </row>
    <row r="4" spans="1:10" x14ac:dyDescent="0.25">
      <c r="A4" t="s">
        <v>3</v>
      </c>
      <c r="B4" t="s">
        <v>4</v>
      </c>
      <c r="C4" s="1"/>
    </row>
    <row r="5" spans="1:10" x14ac:dyDescent="0.25">
      <c r="C5" s="1"/>
    </row>
    <row r="6" spans="1:10" x14ac:dyDescent="0.25">
      <c r="A6" t="s">
        <v>5</v>
      </c>
      <c r="B6" t="s">
        <v>6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25">
      <c r="A7" s="2">
        <v>46174</v>
      </c>
      <c r="B7" t="s">
        <v>15</v>
      </c>
      <c r="C7" s="1" t="s">
        <v>16</v>
      </c>
      <c r="D7" t="s">
        <v>17</v>
      </c>
      <c r="E7">
        <v>1260</v>
      </c>
      <c r="F7">
        <v>1013.35</v>
      </c>
      <c r="G7">
        <v>246.65</v>
      </c>
      <c r="H7">
        <v>24.34</v>
      </c>
      <c r="I7" t="s">
        <v>18</v>
      </c>
    </row>
    <row r="8" spans="1:10" x14ac:dyDescent="0.25">
      <c r="A8" s="2">
        <v>46174</v>
      </c>
      <c r="B8" t="s">
        <v>15</v>
      </c>
      <c r="C8" s="1" t="s">
        <v>19</v>
      </c>
      <c r="D8" t="s">
        <v>17</v>
      </c>
      <c r="E8">
        <v>1260</v>
      </c>
      <c r="F8">
        <v>1013.35</v>
      </c>
      <c r="G8">
        <v>246.65</v>
      </c>
      <c r="H8">
        <v>24.34</v>
      </c>
      <c r="I8" t="s">
        <v>18</v>
      </c>
    </row>
    <row r="9" spans="1:10" x14ac:dyDescent="0.25">
      <c r="A9" s="2">
        <v>46174</v>
      </c>
      <c r="B9" t="s">
        <v>15</v>
      </c>
      <c r="C9" s="1" t="s">
        <v>20</v>
      </c>
      <c r="D9" t="s">
        <v>17</v>
      </c>
      <c r="E9">
        <v>1260</v>
      </c>
      <c r="F9">
        <v>1013.35</v>
      </c>
      <c r="G9">
        <v>246.65</v>
      </c>
      <c r="H9">
        <v>24.34</v>
      </c>
      <c r="I9" t="s">
        <v>18</v>
      </c>
    </row>
    <row r="10" spans="1:10" x14ac:dyDescent="0.25">
      <c r="A10" s="2">
        <v>46174</v>
      </c>
      <c r="B10" t="s">
        <v>15</v>
      </c>
      <c r="C10" s="1" t="s">
        <v>21</v>
      </c>
      <c r="D10" t="s">
        <v>17</v>
      </c>
      <c r="E10">
        <v>1260</v>
      </c>
      <c r="F10">
        <v>1013.35</v>
      </c>
      <c r="G10">
        <v>246.65</v>
      </c>
      <c r="H10">
        <v>24.34</v>
      </c>
      <c r="I10" t="s">
        <v>18</v>
      </c>
    </row>
    <row r="11" spans="1:10" x14ac:dyDescent="0.25">
      <c r="A11" s="2">
        <v>46174</v>
      </c>
      <c r="B11" t="s">
        <v>15</v>
      </c>
      <c r="C11" s="1" t="s">
        <v>22</v>
      </c>
      <c r="D11" t="s">
        <v>17</v>
      </c>
      <c r="E11">
        <v>1260</v>
      </c>
      <c r="F11">
        <v>1013.35</v>
      </c>
      <c r="G11">
        <v>246.65</v>
      </c>
      <c r="H11">
        <v>24.34</v>
      </c>
      <c r="I11" t="s">
        <v>18</v>
      </c>
    </row>
    <row r="12" spans="1:10" x14ac:dyDescent="0.25">
      <c r="A12" s="2">
        <v>46174</v>
      </c>
      <c r="B12" t="s">
        <v>15</v>
      </c>
      <c r="C12" s="1" t="s">
        <v>23</v>
      </c>
      <c r="D12" t="s">
        <v>17</v>
      </c>
      <c r="E12">
        <v>1260</v>
      </c>
      <c r="F12">
        <v>1013.35</v>
      </c>
      <c r="G12">
        <v>246.65</v>
      </c>
      <c r="H12">
        <v>24.34</v>
      </c>
      <c r="I12" t="s">
        <v>18</v>
      </c>
    </row>
    <row r="13" spans="1:10" x14ac:dyDescent="0.25">
      <c r="A13" s="2">
        <v>46174</v>
      </c>
      <c r="B13" t="s">
        <v>15</v>
      </c>
      <c r="C13" s="1" t="s">
        <v>24</v>
      </c>
      <c r="D13" t="s">
        <v>17</v>
      </c>
      <c r="E13">
        <v>1260</v>
      </c>
      <c r="F13">
        <v>1013.35</v>
      </c>
      <c r="G13">
        <v>246.65</v>
      </c>
      <c r="H13">
        <v>24.34</v>
      </c>
      <c r="I13" t="s">
        <v>18</v>
      </c>
    </row>
    <row r="14" spans="1:10" x14ac:dyDescent="0.25">
      <c r="A14" s="2">
        <v>46174</v>
      </c>
      <c r="B14" t="s">
        <v>15</v>
      </c>
      <c r="C14" s="1" t="s">
        <v>25</v>
      </c>
      <c r="D14" t="s">
        <v>17</v>
      </c>
      <c r="E14">
        <v>1260</v>
      </c>
      <c r="F14">
        <v>1013.35</v>
      </c>
      <c r="G14">
        <v>246.65</v>
      </c>
      <c r="H14">
        <v>24.34</v>
      </c>
      <c r="I14" t="s">
        <v>18</v>
      </c>
    </row>
    <row r="15" spans="1:10" x14ac:dyDescent="0.25">
      <c r="A15" s="2">
        <v>46174</v>
      </c>
      <c r="B15" t="s">
        <v>15</v>
      </c>
      <c r="C15" s="1" t="s">
        <v>26</v>
      </c>
      <c r="D15" t="s">
        <v>17</v>
      </c>
      <c r="E15">
        <v>1260</v>
      </c>
      <c r="F15">
        <v>1013.35</v>
      </c>
      <c r="G15">
        <v>246.65</v>
      </c>
      <c r="H15">
        <v>24.34</v>
      </c>
      <c r="I15" t="s">
        <v>18</v>
      </c>
    </row>
    <row r="16" spans="1:10" x14ac:dyDescent="0.25">
      <c r="A16" s="2">
        <v>46174</v>
      </c>
      <c r="B16" t="s">
        <v>15</v>
      </c>
      <c r="C16" s="1" t="s">
        <v>27</v>
      </c>
      <c r="D16" t="s">
        <v>17</v>
      </c>
      <c r="E16">
        <v>1260</v>
      </c>
      <c r="F16">
        <v>1013.35</v>
      </c>
      <c r="G16">
        <v>246.65</v>
      </c>
      <c r="H16">
        <v>24.34</v>
      </c>
      <c r="I16" t="s">
        <v>18</v>
      </c>
    </row>
    <row r="17" spans="1:9" x14ac:dyDescent="0.25">
      <c r="A17" s="2">
        <v>46174</v>
      </c>
      <c r="B17" t="s">
        <v>15</v>
      </c>
      <c r="C17" s="1" t="s">
        <v>28</v>
      </c>
      <c r="D17" t="s">
        <v>17</v>
      </c>
      <c r="E17">
        <v>1260</v>
      </c>
      <c r="F17">
        <v>1013.35</v>
      </c>
      <c r="G17">
        <v>246.65</v>
      </c>
      <c r="H17">
        <v>24.34</v>
      </c>
      <c r="I17" t="s">
        <v>18</v>
      </c>
    </row>
    <row r="18" spans="1:9" x14ac:dyDescent="0.25">
      <c r="A18" s="2">
        <v>46175</v>
      </c>
      <c r="B18" t="s">
        <v>29</v>
      </c>
      <c r="C18" s="1">
        <v>353938645417530</v>
      </c>
      <c r="D18" t="s">
        <v>30</v>
      </c>
      <c r="E18">
        <v>2470</v>
      </c>
      <c r="F18">
        <v>2374.0500000000002</v>
      </c>
      <c r="G18">
        <v>95.95</v>
      </c>
      <c r="H18">
        <v>4.04</v>
      </c>
      <c r="I18" t="s">
        <v>31</v>
      </c>
    </row>
    <row r="19" spans="1:9" x14ac:dyDescent="0.25">
      <c r="A19" s="2">
        <v>46175</v>
      </c>
      <c r="B19" t="s">
        <v>29</v>
      </c>
      <c r="C19" s="1">
        <v>353938646827273</v>
      </c>
      <c r="D19" t="s">
        <v>30</v>
      </c>
      <c r="E19">
        <v>2470</v>
      </c>
      <c r="F19">
        <v>2374.0500000000002</v>
      </c>
      <c r="G19">
        <v>95.95</v>
      </c>
      <c r="H19">
        <v>4.04</v>
      </c>
      <c r="I19" t="s">
        <v>31</v>
      </c>
    </row>
    <row r="20" spans="1:9" x14ac:dyDescent="0.25">
      <c r="A20" s="2">
        <v>46175</v>
      </c>
      <c r="B20" t="s">
        <v>29</v>
      </c>
      <c r="C20" s="1">
        <v>355827875126770</v>
      </c>
      <c r="D20" t="s">
        <v>30</v>
      </c>
      <c r="E20">
        <v>2470</v>
      </c>
      <c r="F20">
        <v>2374.0500000000002</v>
      </c>
      <c r="G20">
        <v>95.95</v>
      </c>
      <c r="H20">
        <v>4.04</v>
      </c>
      <c r="I20" t="s">
        <v>31</v>
      </c>
    </row>
    <row r="21" spans="1:9" x14ac:dyDescent="0.25">
      <c r="A21" s="2">
        <v>46175</v>
      </c>
      <c r="B21" t="s">
        <v>29</v>
      </c>
      <c r="C21" s="1">
        <v>355827875214956</v>
      </c>
      <c r="D21" t="s">
        <v>30</v>
      </c>
      <c r="E21">
        <v>2470</v>
      </c>
      <c r="F21">
        <v>2374.0500000000002</v>
      </c>
      <c r="G21">
        <v>95.95</v>
      </c>
      <c r="H21">
        <v>4.04</v>
      </c>
      <c r="I21" t="s">
        <v>31</v>
      </c>
    </row>
    <row r="22" spans="1:9" x14ac:dyDescent="0.25">
      <c r="A22" s="2">
        <v>46175</v>
      </c>
      <c r="B22" t="s">
        <v>29</v>
      </c>
      <c r="C22" s="1">
        <v>355827875806827</v>
      </c>
      <c r="D22" t="s">
        <v>30</v>
      </c>
      <c r="E22">
        <v>2470</v>
      </c>
      <c r="F22">
        <v>2374.0500000000002</v>
      </c>
      <c r="G22">
        <v>95.95</v>
      </c>
      <c r="H22">
        <v>4.04</v>
      </c>
      <c r="I22" t="s">
        <v>31</v>
      </c>
    </row>
    <row r="23" spans="1:9" x14ac:dyDescent="0.25">
      <c r="A23" s="2">
        <v>46175</v>
      </c>
      <c r="B23" t="s">
        <v>29</v>
      </c>
      <c r="C23" s="1">
        <v>355827876058352</v>
      </c>
      <c r="D23" t="s">
        <v>30</v>
      </c>
      <c r="E23">
        <v>2470</v>
      </c>
      <c r="F23">
        <v>2374.0500000000002</v>
      </c>
      <c r="G23">
        <v>95.95</v>
      </c>
      <c r="H23">
        <v>4.04</v>
      </c>
      <c r="I23" t="s">
        <v>31</v>
      </c>
    </row>
    <row r="24" spans="1:9" x14ac:dyDescent="0.25">
      <c r="A24" s="2">
        <v>46175</v>
      </c>
      <c r="B24" t="s">
        <v>29</v>
      </c>
      <c r="C24" s="1">
        <v>356187984295779</v>
      </c>
      <c r="D24" t="s">
        <v>30</v>
      </c>
      <c r="E24">
        <v>2470</v>
      </c>
      <c r="F24">
        <v>2374.0500000000002</v>
      </c>
      <c r="G24">
        <v>95.95</v>
      </c>
      <c r="H24">
        <v>4.04</v>
      </c>
      <c r="I24" t="s">
        <v>31</v>
      </c>
    </row>
    <row r="25" spans="1:9" x14ac:dyDescent="0.25">
      <c r="A25" s="2">
        <v>46175</v>
      </c>
      <c r="B25" t="s">
        <v>29</v>
      </c>
      <c r="C25" s="1">
        <v>356187984941489</v>
      </c>
      <c r="D25" t="s">
        <v>32</v>
      </c>
      <c r="E25">
        <v>2470</v>
      </c>
      <c r="F25">
        <v>2374.0500000000002</v>
      </c>
      <c r="G25">
        <v>95.95</v>
      </c>
      <c r="H25">
        <v>4.04</v>
      </c>
      <c r="I25" t="s">
        <v>31</v>
      </c>
    </row>
    <row r="26" spans="1:9" x14ac:dyDescent="0.25">
      <c r="A26" s="2">
        <v>46175</v>
      </c>
      <c r="B26" t="s">
        <v>29</v>
      </c>
      <c r="C26" s="1">
        <v>358135795248006</v>
      </c>
      <c r="D26" t="s">
        <v>30</v>
      </c>
      <c r="E26">
        <v>2470</v>
      </c>
      <c r="F26">
        <v>2374.0500000000002</v>
      </c>
      <c r="G26">
        <v>95.95</v>
      </c>
      <c r="H26">
        <v>4.04</v>
      </c>
      <c r="I26" t="s">
        <v>31</v>
      </c>
    </row>
    <row r="27" spans="1:9" x14ac:dyDescent="0.25">
      <c r="A27" s="2">
        <v>46175</v>
      </c>
      <c r="B27" t="s">
        <v>29</v>
      </c>
      <c r="C27" s="1">
        <v>358135795889312</v>
      </c>
      <c r="D27" t="s">
        <v>30</v>
      </c>
      <c r="E27">
        <v>2470</v>
      </c>
      <c r="F27">
        <v>2374.0500000000002</v>
      </c>
      <c r="G27">
        <v>95.95</v>
      </c>
      <c r="H27">
        <v>4.04</v>
      </c>
      <c r="I27" t="s">
        <v>31</v>
      </c>
    </row>
    <row r="28" spans="1:9" x14ac:dyDescent="0.25">
      <c r="A28" s="2">
        <v>46175</v>
      </c>
      <c r="B28" t="s">
        <v>29</v>
      </c>
      <c r="C28" s="1">
        <v>358135797262807</v>
      </c>
      <c r="D28" t="s">
        <v>33</v>
      </c>
      <c r="E28">
        <v>2470</v>
      </c>
      <c r="F28">
        <v>2374.0500000000002</v>
      </c>
      <c r="G28">
        <v>95.95</v>
      </c>
      <c r="H28">
        <v>4.04</v>
      </c>
      <c r="I28" t="s">
        <v>31</v>
      </c>
    </row>
    <row r="29" spans="1:9" x14ac:dyDescent="0.25">
      <c r="A29" s="2">
        <v>46175</v>
      </c>
      <c r="B29" t="s">
        <v>34</v>
      </c>
      <c r="C29" s="1">
        <v>357254472231267</v>
      </c>
      <c r="E29">
        <v>3063.29</v>
      </c>
      <c r="F29">
        <v>2750</v>
      </c>
      <c r="G29">
        <v>313.29000000000002</v>
      </c>
      <c r="H29">
        <v>11.39</v>
      </c>
      <c r="I29" t="s">
        <v>35</v>
      </c>
    </row>
    <row r="30" spans="1:9" x14ac:dyDescent="0.25">
      <c r="A30" s="2">
        <v>46175</v>
      </c>
      <c r="B30" t="s">
        <v>36</v>
      </c>
      <c r="C30" s="1">
        <v>353497858288153</v>
      </c>
      <c r="D30" t="s">
        <v>37</v>
      </c>
      <c r="E30">
        <v>3443.03</v>
      </c>
      <c r="F30">
        <v>2713.2</v>
      </c>
      <c r="G30">
        <v>729.83</v>
      </c>
      <c r="H30">
        <v>26.9</v>
      </c>
      <c r="I30" t="s">
        <v>31</v>
      </c>
    </row>
    <row r="31" spans="1:9" x14ac:dyDescent="0.25">
      <c r="A31" s="2">
        <v>46175</v>
      </c>
      <c r="B31" t="s">
        <v>36</v>
      </c>
      <c r="C31" s="1">
        <v>358902514996631</v>
      </c>
      <c r="D31" t="s">
        <v>37</v>
      </c>
      <c r="E31">
        <v>3443.03</v>
      </c>
      <c r="F31">
        <v>3213</v>
      </c>
      <c r="G31">
        <v>230.03</v>
      </c>
      <c r="H31">
        <v>7.16</v>
      </c>
      <c r="I31" t="s">
        <v>31</v>
      </c>
    </row>
    <row r="32" spans="1:9" x14ac:dyDescent="0.25">
      <c r="A32" s="2">
        <v>46175</v>
      </c>
      <c r="B32" t="s">
        <v>38</v>
      </c>
      <c r="C32" s="1" t="s">
        <v>39</v>
      </c>
      <c r="D32" t="s">
        <v>40</v>
      </c>
      <c r="E32">
        <v>2035</v>
      </c>
      <c r="F32">
        <v>1999.2</v>
      </c>
      <c r="G32">
        <v>35.799999999999997</v>
      </c>
      <c r="H32">
        <v>1.79</v>
      </c>
      <c r="I32" t="s">
        <v>31</v>
      </c>
    </row>
    <row r="33" spans="1:10" x14ac:dyDescent="0.25">
      <c r="A33" s="2">
        <v>46175</v>
      </c>
      <c r="B33" t="s">
        <v>38</v>
      </c>
      <c r="C33" s="1" t="s">
        <v>41</v>
      </c>
      <c r="D33" t="s">
        <v>42</v>
      </c>
      <c r="E33">
        <v>2035</v>
      </c>
      <c r="F33">
        <v>1999.2</v>
      </c>
      <c r="G33">
        <v>35.799999999999997</v>
      </c>
      <c r="H33">
        <v>1.79</v>
      </c>
      <c r="I33" t="s">
        <v>31</v>
      </c>
    </row>
    <row r="34" spans="1:10" x14ac:dyDescent="0.25">
      <c r="A34" s="2">
        <v>46175</v>
      </c>
      <c r="B34" t="s">
        <v>38</v>
      </c>
      <c r="C34" s="1" t="s">
        <v>43</v>
      </c>
      <c r="D34" t="s">
        <v>40</v>
      </c>
      <c r="E34">
        <v>2035</v>
      </c>
      <c r="F34">
        <v>1999.2</v>
      </c>
      <c r="G34">
        <v>35.799999999999997</v>
      </c>
      <c r="H34">
        <v>1.79</v>
      </c>
      <c r="I34" t="s">
        <v>31</v>
      </c>
    </row>
    <row r="35" spans="1:10" x14ac:dyDescent="0.25">
      <c r="A35" s="2">
        <v>46175</v>
      </c>
      <c r="B35" t="s">
        <v>38</v>
      </c>
      <c r="C35" s="1" t="s">
        <v>44</v>
      </c>
      <c r="D35" t="s">
        <v>40</v>
      </c>
      <c r="E35">
        <v>2035</v>
      </c>
      <c r="F35">
        <v>1999.2</v>
      </c>
      <c r="G35">
        <v>35.799999999999997</v>
      </c>
      <c r="H35">
        <v>1.79</v>
      </c>
      <c r="I35" t="s">
        <v>31</v>
      </c>
    </row>
    <row r="36" spans="1:10" x14ac:dyDescent="0.25">
      <c r="A36" s="2">
        <v>46175</v>
      </c>
      <c r="B36" t="s">
        <v>38</v>
      </c>
      <c r="C36" s="1" t="s">
        <v>45</v>
      </c>
      <c r="D36" t="s">
        <v>42</v>
      </c>
      <c r="E36">
        <v>2035</v>
      </c>
      <c r="F36">
        <v>1999.2</v>
      </c>
      <c r="G36">
        <v>35.799999999999997</v>
      </c>
      <c r="H36">
        <v>1.79</v>
      </c>
      <c r="I36" t="s">
        <v>31</v>
      </c>
    </row>
    <row r="37" spans="1:10" x14ac:dyDescent="0.25">
      <c r="A37" s="2">
        <v>46175</v>
      </c>
      <c r="B37" t="s">
        <v>38</v>
      </c>
      <c r="C37" s="1" t="s">
        <v>46</v>
      </c>
      <c r="D37" t="s">
        <v>40</v>
      </c>
      <c r="E37">
        <v>2035</v>
      </c>
      <c r="F37">
        <v>1999.2</v>
      </c>
      <c r="G37">
        <v>35.799999999999997</v>
      </c>
      <c r="H37">
        <v>1.79</v>
      </c>
      <c r="I37" t="s">
        <v>31</v>
      </c>
    </row>
    <row r="38" spans="1:10" x14ac:dyDescent="0.25">
      <c r="A38" s="2">
        <v>46176</v>
      </c>
      <c r="B38" t="s">
        <v>47</v>
      </c>
      <c r="C38" s="1">
        <v>358112937062223</v>
      </c>
      <c r="D38" t="s">
        <v>48</v>
      </c>
      <c r="E38">
        <v>3120</v>
      </c>
      <c r="F38">
        <v>2856</v>
      </c>
      <c r="G38">
        <v>264</v>
      </c>
      <c r="H38">
        <v>9.24</v>
      </c>
      <c r="I38" t="s">
        <v>31</v>
      </c>
    </row>
    <row r="39" spans="1:10" x14ac:dyDescent="0.25">
      <c r="A39" s="2">
        <v>46176</v>
      </c>
      <c r="B39" t="s">
        <v>49</v>
      </c>
      <c r="C39" s="1" t="s">
        <v>50</v>
      </c>
      <c r="D39" t="s">
        <v>51</v>
      </c>
      <c r="E39">
        <v>3700</v>
      </c>
      <c r="F39">
        <v>3659.25</v>
      </c>
      <c r="G39">
        <v>40.75</v>
      </c>
      <c r="H39">
        <v>1.1100000000000001</v>
      </c>
      <c r="I39" t="s">
        <v>31</v>
      </c>
    </row>
    <row r="40" spans="1:10" x14ac:dyDescent="0.25">
      <c r="A40" s="2">
        <v>46176</v>
      </c>
      <c r="B40" t="s">
        <v>49</v>
      </c>
      <c r="C40" s="1" t="s">
        <v>52</v>
      </c>
      <c r="D40" t="s">
        <v>51</v>
      </c>
      <c r="E40">
        <v>3700</v>
      </c>
      <c r="F40">
        <v>3659.25</v>
      </c>
      <c r="G40">
        <v>40.75</v>
      </c>
      <c r="H40">
        <v>1.1100000000000001</v>
      </c>
      <c r="I40" t="s">
        <v>31</v>
      </c>
    </row>
    <row r="41" spans="1:10" x14ac:dyDescent="0.25">
      <c r="A41" s="2">
        <v>46176</v>
      </c>
      <c r="B41" t="s">
        <v>49</v>
      </c>
      <c r="C41" s="1" t="s">
        <v>53</v>
      </c>
      <c r="D41" t="s">
        <v>51</v>
      </c>
      <c r="E41">
        <v>3700</v>
      </c>
      <c r="F41">
        <v>3659.25</v>
      </c>
      <c r="G41">
        <v>40.75</v>
      </c>
      <c r="H41">
        <v>1.1100000000000001</v>
      </c>
      <c r="I41" t="s">
        <v>31</v>
      </c>
    </row>
    <row r="42" spans="1:10" x14ac:dyDescent="0.25">
      <c r="A42" s="2">
        <v>46176</v>
      </c>
      <c r="B42" t="s">
        <v>54</v>
      </c>
      <c r="C42" s="1">
        <v>352355700586482</v>
      </c>
      <c r="D42" t="s">
        <v>51</v>
      </c>
      <c r="E42">
        <v>3800</v>
      </c>
      <c r="F42">
        <v>3677.1</v>
      </c>
      <c r="G42">
        <v>122.9</v>
      </c>
      <c r="H42">
        <v>3.34</v>
      </c>
      <c r="I42" t="s">
        <v>31</v>
      </c>
    </row>
    <row r="43" spans="1:10" x14ac:dyDescent="0.25">
      <c r="A43" s="2">
        <v>46176</v>
      </c>
      <c r="B43" t="s">
        <v>54</v>
      </c>
      <c r="C43" s="1">
        <v>352355701349914</v>
      </c>
      <c r="D43" t="s">
        <v>51</v>
      </c>
      <c r="E43">
        <v>3800</v>
      </c>
      <c r="F43">
        <v>3677.1</v>
      </c>
      <c r="G43">
        <v>122.9</v>
      </c>
      <c r="H43">
        <v>3.34</v>
      </c>
      <c r="I43" t="s">
        <v>31</v>
      </c>
    </row>
    <row r="44" spans="1:10" x14ac:dyDescent="0.25">
      <c r="A44" s="2">
        <v>46176</v>
      </c>
      <c r="B44" t="s">
        <v>54</v>
      </c>
      <c r="C44" s="1">
        <v>352355703818866</v>
      </c>
      <c r="D44" t="s">
        <v>51</v>
      </c>
      <c r="E44">
        <v>3800</v>
      </c>
      <c r="F44">
        <v>3659.25</v>
      </c>
      <c r="G44">
        <v>140.75</v>
      </c>
      <c r="H44">
        <v>3.85</v>
      </c>
      <c r="I44" t="s">
        <v>31</v>
      </c>
    </row>
    <row r="45" spans="1:10" x14ac:dyDescent="0.25">
      <c r="A45" s="2">
        <v>46176</v>
      </c>
      <c r="B45" t="s">
        <v>54</v>
      </c>
      <c r="C45" s="1">
        <v>352355704171646</v>
      </c>
      <c r="D45" t="s">
        <v>48</v>
      </c>
      <c r="E45">
        <v>3570</v>
      </c>
      <c r="F45">
        <v>3659.25</v>
      </c>
      <c r="G45">
        <v>-89.25</v>
      </c>
      <c r="H45">
        <v>-2.44</v>
      </c>
      <c r="I45" t="s">
        <v>31</v>
      </c>
      <c r="J45" t="s">
        <v>55</v>
      </c>
    </row>
    <row r="46" spans="1:10" x14ac:dyDescent="0.25">
      <c r="A46" s="2">
        <v>46176</v>
      </c>
      <c r="B46" t="s">
        <v>54</v>
      </c>
      <c r="C46" s="1">
        <v>352355705236984</v>
      </c>
      <c r="D46" t="s">
        <v>51</v>
      </c>
      <c r="E46">
        <v>3800</v>
      </c>
      <c r="F46">
        <v>3677.1</v>
      </c>
      <c r="G46">
        <v>122.9</v>
      </c>
      <c r="H46">
        <v>3.34</v>
      </c>
      <c r="I46" t="s">
        <v>31</v>
      </c>
    </row>
    <row r="47" spans="1:10" x14ac:dyDescent="0.25">
      <c r="A47" s="2">
        <v>46176</v>
      </c>
      <c r="B47" t="s">
        <v>54</v>
      </c>
      <c r="C47" s="1">
        <v>352355706407881</v>
      </c>
      <c r="D47" t="s">
        <v>51</v>
      </c>
      <c r="E47">
        <v>3800</v>
      </c>
      <c r="F47">
        <v>3659.25</v>
      </c>
      <c r="G47">
        <v>140.75</v>
      </c>
      <c r="H47">
        <v>3.85</v>
      </c>
      <c r="I47" t="s">
        <v>31</v>
      </c>
    </row>
    <row r="48" spans="1:10" x14ac:dyDescent="0.25">
      <c r="A48" s="2">
        <v>46176</v>
      </c>
      <c r="B48" t="s">
        <v>54</v>
      </c>
      <c r="C48" s="1">
        <v>352355706487040</v>
      </c>
      <c r="D48" t="s">
        <v>51</v>
      </c>
      <c r="E48">
        <v>3800</v>
      </c>
      <c r="F48">
        <v>3659.25</v>
      </c>
      <c r="G48">
        <v>140.75</v>
      </c>
      <c r="H48">
        <v>3.85</v>
      </c>
      <c r="I48" t="s">
        <v>31</v>
      </c>
    </row>
    <row r="49" spans="1:10" x14ac:dyDescent="0.25">
      <c r="A49" s="2">
        <v>46176</v>
      </c>
      <c r="B49" t="s">
        <v>54</v>
      </c>
      <c r="C49" s="1">
        <v>352355706876119</v>
      </c>
      <c r="D49" t="s">
        <v>48</v>
      </c>
      <c r="E49">
        <v>3570</v>
      </c>
      <c r="F49">
        <v>3659.25</v>
      </c>
      <c r="G49">
        <v>-89.25</v>
      </c>
      <c r="H49">
        <v>-2.44</v>
      </c>
      <c r="I49" t="s">
        <v>31</v>
      </c>
      <c r="J49" t="s">
        <v>55</v>
      </c>
    </row>
    <row r="50" spans="1:10" x14ac:dyDescent="0.25">
      <c r="A50" s="2">
        <v>46176</v>
      </c>
      <c r="B50" t="s">
        <v>54</v>
      </c>
      <c r="C50" s="1">
        <v>352355707452027</v>
      </c>
      <c r="D50" t="s">
        <v>51</v>
      </c>
      <c r="E50">
        <v>3800</v>
      </c>
      <c r="F50">
        <v>3677.1</v>
      </c>
      <c r="G50">
        <v>122.9</v>
      </c>
      <c r="H50">
        <v>3.34</v>
      </c>
      <c r="I50" t="s">
        <v>31</v>
      </c>
    </row>
    <row r="51" spans="1:10" x14ac:dyDescent="0.25">
      <c r="A51" s="2">
        <v>46176</v>
      </c>
      <c r="B51" t="s">
        <v>54</v>
      </c>
      <c r="C51" s="1">
        <v>352355708276458</v>
      </c>
      <c r="D51" t="s">
        <v>51</v>
      </c>
      <c r="E51">
        <v>3800</v>
      </c>
      <c r="F51">
        <v>3659.25</v>
      </c>
      <c r="G51">
        <v>140.75</v>
      </c>
      <c r="H51">
        <v>3.85</v>
      </c>
      <c r="I51" t="s">
        <v>31</v>
      </c>
    </row>
    <row r="52" spans="1:10" x14ac:dyDescent="0.25">
      <c r="A52" s="2">
        <v>46176</v>
      </c>
      <c r="B52" t="s">
        <v>54</v>
      </c>
      <c r="C52" s="1">
        <v>352355709591491</v>
      </c>
      <c r="D52" t="s">
        <v>48</v>
      </c>
      <c r="E52">
        <v>3570</v>
      </c>
      <c r="F52">
        <v>3659.25</v>
      </c>
      <c r="G52">
        <v>-89.25</v>
      </c>
      <c r="H52">
        <v>-2.44</v>
      </c>
      <c r="I52" t="s">
        <v>31</v>
      </c>
      <c r="J52" t="s">
        <v>55</v>
      </c>
    </row>
    <row r="53" spans="1:10" x14ac:dyDescent="0.25">
      <c r="A53" s="2">
        <v>46176</v>
      </c>
      <c r="B53" t="s">
        <v>54</v>
      </c>
      <c r="C53" s="1">
        <v>352355709841441</v>
      </c>
      <c r="D53" t="s">
        <v>48</v>
      </c>
      <c r="E53">
        <v>3570</v>
      </c>
      <c r="F53">
        <v>3677.1</v>
      </c>
      <c r="G53">
        <v>-107.1</v>
      </c>
      <c r="H53">
        <v>-2.91</v>
      </c>
      <c r="I53" t="s">
        <v>31</v>
      </c>
      <c r="J53" t="s">
        <v>55</v>
      </c>
    </row>
    <row r="54" spans="1:10" x14ac:dyDescent="0.25">
      <c r="A54" s="2">
        <v>46176</v>
      </c>
      <c r="B54" t="s">
        <v>56</v>
      </c>
      <c r="C54" s="1" t="s">
        <v>57</v>
      </c>
      <c r="D54" t="s">
        <v>58</v>
      </c>
      <c r="E54">
        <v>1320</v>
      </c>
      <c r="F54">
        <v>1249.5</v>
      </c>
      <c r="G54">
        <v>70.5</v>
      </c>
      <c r="H54">
        <v>5.64</v>
      </c>
      <c r="I54" t="s">
        <v>31</v>
      </c>
    </row>
    <row r="55" spans="1:10" x14ac:dyDescent="0.25">
      <c r="A55" s="2">
        <v>46176</v>
      </c>
      <c r="B55" t="s">
        <v>59</v>
      </c>
      <c r="C55" s="1" t="s">
        <v>60</v>
      </c>
      <c r="D55" t="s">
        <v>61</v>
      </c>
      <c r="E55">
        <v>1320</v>
      </c>
      <c r="F55">
        <v>1249.5</v>
      </c>
      <c r="G55">
        <v>70.5</v>
      </c>
      <c r="H55">
        <v>5.64</v>
      </c>
      <c r="I55" t="s">
        <v>31</v>
      </c>
    </row>
    <row r="56" spans="1:10" x14ac:dyDescent="0.25">
      <c r="A56" s="2">
        <v>46176</v>
      </c>
      <c r="B56" t="s">
        <v>59</v>
      </c>
      <c r="C56" s="1" t="s">
        <v>62</v>
      </c>
      <c r="D56" t="s">
        <v>63</v>
      </c>
      <c r="E56">
        <v>1320</v>
      </c>
      <c r="F56">
        <v>1249.5</v>
      </c>
      <c r="G56">
        <v>70.5</v>
      </c>
      <c r="H56">
        <v>5.64</v>
      </c>
      <c r="I56" t="s">
        <v>31</v>
      </c>
    </row>
    <row r="57" spans="1:10" x14ac:dyDescent="0.25">
      <c r="A57" s="2">
        <v>46176</v>
      </c>
      <c r="B57" t="s">
        <v>59</v>
      </c>
      <c r="C57" s="1" t="s">
        <v>64</v>
      </c>
      <c r="D57" t="s">
        <v>63</v>
      </c>
      <c r="E57">
        <v>1320</v>
      </c>
      <c r="F57">
        <v>1249.5</v>
      </c>
      <c r="G57">
        <v>70.5</v>
      </c>
      <c r="H57">
        <v>5.64</v>
      </c>
      <c r="I57" t="s">
        <v>31</v>
      </c>
    </row>
    <row r="58" spans="1:10" x14ac:dyDescent="0.25">
      <c r="A58" s="2">
        <v>46176</v>
      </c>
      <c r="B58" t="s">
        <v>59</v>
      </c>
      <c r="C58" s="1" t="s">
        <v>65</v>
      </c>
      <c r="D58" t="s">
        <v>63</v>
      </c>
      <c r="E58">
        <v>1320</v>
      </c>
      <c r="F58">
        <v>1249.5</v>
      </c>
      <c r="G58">
        <v>70.5</v>
      </c>
      <c r="H58">
        <v>5.64</v>
      </c>
      <c r="I58" t="s">
        <v>31</v>
      </c>
    </row>
    <row r="59" spans="1:10" x14ac:dyDescent="0.25">
      <c r="A59" s="2">
        <v>46176</v>
      </c>
      <c r="B59" t="s">
        <v>59</v>
      </c>
      <c r="C59" s="1" t="s">
        <v>66</v>
      </c>
      <c r="D59" t="s">
        <v>67</v>
      </c>
      <c r="E59">
        <v>1320</v>
      </c>
      <c r="F59">
        <v>1178.0999999999999</v>
      </c>
      <c r="G59">
        <v>141.9</v>
      </c>
      <c r="H59">
        <v>12.04</v>
      </c>
      <c r="I59" t="s">
        <v>31</v>
      </c>
    </row>
    <row r="60" spans="1:10" x14ac:dyDescent="0.25">
      <c r="A60" s="2">
        <v>46176</v>
      </c>
      <c r="B60" t="s">
        <v>59</v>
      </c>
      <c r="C60" s="1" t="s">
        <v>68</v>
      </c>
      <c r="D60" t="s">
        <v>63</v>
      </c>
      <c r="E60">
        <v>1320</v>
      </c>
      <c r="F60">
        <v>1249.5</v>
      </c>
      <c r="G60">
        <v>70.5</v>
      </c>
      <c r="H60">
        <v>5.64</v>
      </c>
      <c r="I60" t="s">
        <v>31</v>
      </c>
    </row>
    <row r="61" spans="1:10" x14ac:dyDescent="0.25">
      <c r="A61" s="2">
        <v>46176</v>
      </c>
      <c r="B61" t="s">
        <v>59</v>
      </c>
      <c r="C61" s="1" t="s">
        <v>69</v>
      </c>
      <c r="D61" t="s">
        <v>63</v>
      </c>
      <c r="E61">
        <v>1320</v>
      </c>
      <c r="F61">
        <v>1249.5</v>
      </c>
      <c r="G61">
        <v>70.5</v>
      </c>
      <c r="H61">
        <v>5.64</v>
      </c>
      <c r="I61" t="s">
        <v>31</v>
      </c>
    </row>
    <row r="62" spans="1:10" x14ac:dyDescent="0.25">
      <c r="A62" s="2">
        <v>46176</v>
      </c>
      <c r="B62" t="s">
        <v>59</v>
      </c>
      <c r="C62" s="1" t="s">
        <v>70</v>
      </c>
      <c r="D62" t="s">
        <v>63</v>
      </c>
      <c r="E62">
        <v>1320</v>
      </c>
      <c r="F62">
        <v>1178.0999999999999</v>
      </c>
      <c r="G62">
        <v>141.9</v>
      </c>
      <c r="H62">
        <v>12.04</v>
      </c>
      <c r="I62" t="s">
        <v>31</v>
      </c>
    </row>
    <row r="63" spans="1:10" x14ac:dyDescent="0.25">
      <c r="A63" s="2">
        <v>46176</v>
      </c>
      <c r="B63" t="s">
        <v>59</v>
      </c>
      <c r="C63" s="1" t="s">
        <v>71</v>
      </c>
      <c r="D63" t="s">
        <v>63</v>
      </c>
      <c r="E63">
        <v>1320</v>
      </c>
      <c r="F63">
        <v>1249.5</v>
      </c>
      <c r="G63">
        <v>70.5</v>
      </c>
      <c r="H63">
        <v>5.64</v>
      </c>
      <c r="I63" t="s">
        <v>31</v>
      </c>
    </row>
    <row r="64" spans="1:10" x14ac:dyDescent="0.25">
      <c r="A64" s="2">
        <v>46176</v>
      </c>
      <c r="B64" t="s">
        <v>59</v>
      </c>
      <c r="C64" s="1" t="s">
        <v>72</v>
      </c>
      <c r="D64" t="s">
        <v>63</v>
      </c>
      <c r="E64">
        <v>1320</v>
      </c>
      <c r="F64">
        <v>1249.5</v>
      </c>
      <c r="G64">
        <v>70.5</v>
      </c>
      <c r="H64">
        <v>5.64</v>
      </c>
      <c r="I64" t="s">
        <v>31</v>
      </c>
    </row>
    <row r="65" spans="1:9" x14ac:dyDescent="0.25">
      <c r="A65" s="2">
        <v>46176</v>
      </c>
      <c r="B65" t="s">
        <v>59</v>
      </c>
      <c r="C65" s="1" t="s">
        <v>73</v>
      </c>
      <c r="D65" t="s">
        <v>63</v>
      </c>
      <c r="E65">
        <v>1320</v>
      </c>
      <c r="F65">
        <v>1249.5</v>
      </c>
      <c r="G65">
        <v>70.5</v>
      </c>
      <c r="H65">
        <v>5.64</v>
      </c>
      <c r="I65" t="s">
        <v>31</v>
      </c>
    </row>
    <row r="66" spans="1:9" x14ac:dyDescent="0.25">
      <c r="A66" s="2">
        <v>46176</v>
      </c>
      <c r="B66" t="s">
        <v>59</v>
      </c>
      <c r="C66" s="1" t="s">
        <v>74</v>
      </c>
      <c r="D66" t="s">
        <v>63</v>
      </c>
      <c r="E66">
        <v>1320</v>
      </c>
      <c r="F66">
        <v>1249.5</v>
      </c>
      <c r="G66">
        <v>70.5</v>
      </c>
      <c r="H66">
        <v>5.64</v>
      </c>
      <c r="I66" t="s">
        <v>31</v>
      </c>
    </row>
    <row r="67" spans="1:9" x14ac:dyDescent="0.25">
      <c r="A67" s="2">
        <v>46176</v>
      </c>
      <c r="B67" t="s">
        <v>59</v>
      </c>
      <c r="C67" s="1" t="s">
        <v>75</v>
      </c>
      <c r="D67" t="s">
        <v>63</v>
      </c>
      <c r="E67">
        <v>1320</v>
      </c>
      <c r="F67">
        <v>1178.0999999999999</v>
      </c>
      <c r="G67">
        <v>141.9</v>
      </c>
      <c r="H67">
        <v>12.04</v>
      </c>
      <c r="I67" t="s">
        <v>31</v>
      </c>
    </row>
    <row r="68" spans="1:9" x14ac:dyDescent="0.25">
      <c r="A68" s="2">
        <v>46176</v>
      </c>
      <c r="B68" t="s">
        <v>59</v>
      </c>
      <c r="C68" s="1" t="s">
        <v>76</v>
      </c>
      <c r="D68" t="s">
        <v>63</v>
      </c>
      <c r="E68">
        <v>1320</v>
      </c>
      <c r="F68">
        <v>1178.0999999999999</v>
      </c>
      <c r="G68">
        <v>141.9</v>
      </c>
      <c r="H68">
        <v>12.04</v>
      </c>
      <c r="I68" t="s">
        <v>31</v>
      </c>
    </row>
    <row r="69" spans="1:9" x14ac:dyDescent="0.25">
      <c r="A69" s="2">
        <v>46176</v>
      </c>
      <c r="B69" t="s">
        <v>59</v>
      </c>
      <c r="C69" s="1" t="s">
        <v>77</v>
      </c>
      <c r="D69" t="s">
        <v>63</v>
      </c>
      <c r="E69">
        <v>1320</v>
      </c>
      <c r="F69">
        <v>1178.0999999999999</v>
      </c>
      <c r="G69">
        <v>141.9</v>
      </c>
      <c r="H69">
        <v>12.04</v>
      </c>
      <c r="I69" t="s">
        <v>31</v>
      </c>
    </row>
    <row r="70" spans="1:9" x14ac:dyDescent="0.25">
      <c r="A70" s="2">
        <v>46176</v>
      </c>
      <c r="B70" t="s">
        <v>59</v>
      </c>
      <c r="C70" s="1" t="s">
        <v>78</v>
      </c>
      <c r="D70" t="s">
        <v>63</v>
      </c>
      <c r="E70">
        <v>1320</v>
      </c>
      <c r="F70">
        <v>1249.5</v>
      </c>
      <c r="G70">
        <v>70.5</v>
      </c>
      <c r="H70">
        <v>5.64</v>
      </c>
      <c r="I70" t="s">
        <v>31</v>
      </c>
    </row>
    <row r="71" spans="1:9" x14ac:dyDescent="0.25">
      <c r="A71" s="2">
        <v>46176</v>
      </c>
      <c r="B71" t="s">
        <v>59</v>
      </c>
      <c r="C71" s="1" t="s">
        <v>79</v>
      </c>
      <c r="D71" t="s">
        <v>63</v>
      </c>
      <c r="E71">
        <v>1320</v>
      </c>
      <c r="F71">
        <v>1249.5</v>
      </c>
      <c r="G71">
        <v>70.5</v>
      </c>
      <c r="H71">
        <v>5.64</v>
      </c>
      <c r="I71" t="s">
        <v>31</v>
      </c>
    </row>
    <row r="72" spans="1:9" x14ac:dyDescent="0.25">
      <c r="A72" s="2">
        <v>46176</v>
      </c>
      <c r="B72" t="s">
        <v>59</v>
      </c>
      <c r="C72" s="1" t="s">
        <v>80</v>
      </c>
      <c r="D72" t="s">
        <v>63</v>
      </c>
      <c r="E72">
        <v>1320</v>
      </c>
      <c r="F72">
        <v>1249.5</v>
      </c>
      <c r="G72">
        <v>70.5</v>
      </c>
      <c r="H72">
        <v>5.64</v>
      </c>
      <c r="I72" t="s">
        <v>31</v>
      </c>
    </row>
    <row r="73" spans="1:9" x14ac:dyDescent="0.25">
      <c r="A73" s="2">
        <v>46176</v>
      </c>
      <c r="B73" t="s">
        <v>59</v>
      </c>
      <c r="C73" s="1" t="s">
        <v>81</v>
      </c>
      <c r="D73" t="s">
        <v>63</v>
      </c>
      <c r="E73">
        <v>1320</v>
      </c>
      <c r="F73">
        <v>1249.5</v>
      </c>
      <c r="G73">
        <v>70.5</v>
      </c>
      <c r="H73">
        <v>5.64</v>
      </c>
      <c r="I73" t="s">
        <v>31</v>
      </c>
    </row>
    <row r="74" spans="1:9" x14ac:dyDescent="0.25">
      <c r="A74" s="2">
        <v>46176</v>
      </c>
      <c r="B74" t="s">
        <v>59</v>
      </c>
      <c r="C74" s="1" t="s">
        <v>82</v>
      </c>
      <c r="D74" t="s">
        <v>63</v>
      </c>
      <c r="E74">
        <v>1320</v>
      </c>
      <c r="F74">
        <v>1249.5</v>
      </c>
      <c r="G74">
        <v>70.5</v>
      </c>
      <c r="H74">
        <v>5.64</v>
      </c>
      <c r="I74" t="s">
        <v>31</v>
      </c>
    </row>
    <row r="75" spans="1:9" x14ac:dyDescent="0.25">
      <c r="A75" s="2">
        <v>46176</v>
      </c>
      <c r="B75" t="s">
        <v>59</v>
      </c>
      <c r="C75" s="1" t="s">
        <v>83</v>
      </c>
      <c r="D75" t="s">
        <v>63</v>
      </c>
      <c r="E75">
        <v>1320</v>
      </c>
      <c r="F75">
        <v>1249.5</v>
      </c>
      <c r="G75">
        <v>70.5</v>
      </c>
      <c r="H75">
        <v>5.64</v>
      </c>
      <c r="I75" t="s">
        <v>31</v>
      </c>
    </row>
    <row r="76" spans="1:9" x14ac:dyDescent="0.25">
      <c r="A76" s="2">
        <v>46176</v>
      </c>
      <c r="B76" t="s">
        <v>59</v>
      </c>
      <c r="C76" s="1" t="s">
        <v>84</v>
      </c>
      <c r="D76" t="s">
        <v>85</v>
      </c>
      <c r="E76">
        <v>1520</v>
      </c>
      <c r="F76">
        <v>1249.5</v>
      </c>
      <c r="G76">
        <v>270.5</v>
      </c>
      <c r="H76">
        <v>21.65</v>
      </c>
      <c r="I76" t="s">
        <v>31</v>
      </c>
    </row>
    <row r="77" spans="1:9" x14ac:dyDescent="0.25">
      <c r="A77" s="2">
        <v>46176</v>
      </c>
      <c r="B77" t="s">
        <v>59</v>
      </c>
      <c r="C77" s="1" t="s">
        <v>86</v>
      </c>
      <c r="D77" t="s">
        <v>87</v>
      </c>
      <c r="E77">
        <v>1520</v>
      </c>
      <c r="F77">
        <v>1178.0999999999999</v>
      </c>
      <c r="G77">
        <v>341.9</v>
      </c>
      <c r="H77">
        <v>29.02</v>
      </c>
      <c r="I77" t="s">
        <v>31</v>
      </c>
    </row>
    <row r="78" spans="1:9" x14ac:dyDescent="0.25">
      <c r="A78" s="2">
        <v>46176</v>
      </c>
      <c r="B78" t="s">
        <v>59</v>
      </c>
      <c r="C78" s="1" t="s">
        <v>88</v>
      </c>
      <c r="D78" t="s">
        <v>63</v>
      </c>
      <c r="E78">
        <v>1320</v>
      </c>
      <c r="F78">
        <v>1249.5</v>
      </c>
      <c r="G78">
        <v>70.5</v>
      </c>
      <c r="H78">
        <v>5.64</v>
      </c>
      <c r="I78" t="s">
        <v>31</v>
      </c>
    </row>
    <row r="79" spans="1:9" x14ac:dyDescent="0.25">
      <c r="A79" s="2">
        <v>46176</v>
      </c>
      <c r="B79" t="s">
        <v>59</v>
      </c>
      <c r="C79" s="1" t="s">
        <v>89</v>
      </c>
      <c r="D79" t="s">
        <v>63</v>
      </c>
      <c r="E79">
        <v>1320</v>
      </c>
      <c r="F79">
        <v>1249.5</v>
      </c>
      <c r="G79">
        <v>70.5</v>
      </c>
      <c r="H79">
        <v>5.64</v>
      </c>
      <c r="I79" t="s">
        <v>31</v>
      </c>
    </row>
    <row r="80" spans="1:9" x14ac:dyDescent="0.25">
      <c r="A80" s="2">
        <v>46177</v>
      </c>
      <c r="B80" t="s">
        <v>90</v>
      </c>
      <c r="C80" s="1">
        <v>351682397269283</v>
      </c>
      <c r="D80" t="s">
        <v>91</v>
      </c>
      <c r="E80">
        <v>1493.67</v>
      </c>
      <c r="F80">
        <v>999.6</v>
      </c>
      <c r="G80">
        <v>494.07</v>
      </c>
      <c r="H80">
        <v>49.43</v>
      </c>
      <c r="I80" t="s">
        <v>31</v>
      </c>
    </row>
    <row r="81" spans="1:9" x14ac:dyDescent="0.25">
      <c r="A81" s="2">
        <v>46177</v>
      </c>
      <c r="B81" t="s">
        <v>92</v>
      </c>
      <c r="C81" s="1">
        <v>351104510374700</v>
      </c>
      <c r="D81" t="s">
        <v>93</v>
      </c>
      <c r="E81">
        <v>4341.7700000000004</v>
      </c>
      <c r="F81">
        <v>4341.7700000000004</v>
      </c>
      <c r="G81">
        <v>0</v>
      </c>
      <c r="H81">
        <v>0</v>
      </c>
      <c r="I81" t="s">
        <v>94</v>
      </c>
    </row>
    <row r="82" spans="1:9" x14ac:dyDescent="0.25">
      <c r="A82" s="2">
        <v>46177</v>
      </c>
      <c r="B82" t="s">
        <v>95</v>
      </c>
      <c r="C82" s="1">
        <v>350795045818052</v>
      </c>
      <c r="D82" t="s">
        <v>96</v>
      </c>
      <c r="E82">
        <v>3316.45</v>
      </c>
      <c r="F82">
        <v>2748.9</v>
      </c>
      <c r="G82">
        <v>567.54999999999995</v>
      </c>
      <c r="H82">
        <v>20.65</v>
      </c>
      <c r="I82" t="s">
        <v>31</v>
      </c>
    </row>
    <row r="83" spans="1:9" x14ac:dyDescent="0.25">
      <c r="A83" s="2">
        <v>46177</v>
      </c>
      <c r="B83" t="s">
        <v>34</v>
      </c>
      <c r="C83" s="1">
        <v>354956974060332</v>
      </c>
      <c r="D83" t="s">
        <v>97</v>
      </c>
      <c r="E83">
        <v>3139.24</v>
      </c>
      <c r="F83">
        <v>2677.5</v>
      </c>
      <c r="G83">
        <v>461.74</v>
      </c>
      <c r="H83">
        <v>17.25</v>
      </c>
      <c r="I83" t="s">
        <v>31</v>
      </c>
    </row>
    <row r="84" spans="1:9" x14ac:dyDescent="0.25">
      <c r="A84" s="2">
        <v>46177</v>
      </c>
      <c r="B84" t="s">
        <v>36</v>
      </c>
      <c r="C84" s="1">
        <v>357247254328418</v>
      </c>
      <c r="D84" t="s">
        <v>98</v>
      </c>
      <c r="E84">
        <v>3291.13</v>
      </c>
      <c r="F84">
        <v>2998.8</v>
      </c>
      <c r="G84">
        <v>292.33</v>
      </c>
      <c r="H84">
        <v>9.75</v>
      </c>
      <c r="I84" t="s">
        <v>31</v>
      </c>
    </row>
    <row r="85" spans="1:9" x14ac:dyDescent="0.25">
      <c r="A85" s="2">
        <v>46177</v>
      </c>
      <c r="B85" t="s">
        <v>36</v>
      </c>
      <c r="C85" s="1">
        <v>357329443565710</v>
      </c>
      <c r="D85" t="s">
        <v>37</v>
      </c>
      <c r="E85">
        <v>3392.4</v>
      </c>
      <c r="F85">
        <v>3248.7</v>
      </c>
      <c r="G85">
        <v>143.69999999999999</v>
      </c>
      <c r="H85">
        <v>4.42</v>
      </c>
      <c r="I85" t="s">
        <v>31</v>
      </c>
    </row>
    <row r="86" spans="1:9" x14ac:dyDescent="0.25">
      <c r="A86" s="2">
        <v>46177</v>
      </c>
      <c r="B86" t="s">
        <v>36</v>
      </c>
      <c r="C86" s="1">
        <v>357329448436974</v>
      </c>
      <c r="D86" t="s">
        <v>99</v>
      </c>
      <c r="E86">
        <v>3354.43</v>
      </c>
      <c r="F86">
        <v>3177.3</v>
      </c>
      <c r="G86">
        <v>177.13</v>
      </c>
      <c r="H86">
        <v>5.57</v>
      </c>
      <c r="I86" t="s">
        <v>31</v>
      </c>
    </row>
    <row r="87" spans="1:9" x14ac:dyDescent="0.25">
      <c r="A87" s="2">
        <v>46177</v>
      </c>
      <c r="B87" t="s">
        <v>36</v>
      </c>
      <c r="C87" s="1">
        <v>358434708127583</v>
      </c>
      <c r="D87" t="s">
        <v>99</v>
      </c>
      <c r="E87">
        <v>3367.08</v>
      </c>
      <c r="F87">
        <v>3050</v>
      </c>
      <c r="G87">
        <v>317.08</v>
      </c>
      <c r="H87">
        <v>10.4</v>
      </c>
      <c r="I87" t="s">
        <v>35</v>
      </c>
    </row>
    <row r="88" spans="1:9" x14ac:dyDescent="0.25">
      <c r="A88" s="2">
        <v>46177</v>
      </c>
      <c r="B88" t="s">
        <v>38</v>
      </c>
      <c r="C88" s="1" t="s">
        <v>100</v>
      </c>
      <c r="D88" t="s">
        <v>101</v>
      </c>
      <c r="E88">
        <v>2040</v>
      </c>
      <c r="F88">
        <v>1999.2</v>
      </c>
      <c r="G88">
        <v>40.799999999999997</v>
      </c>
      <c r="H88">
        <v>2.04</v>
      </c>
      <c r="I88" t="s">
        <v>31</v>
      </c>
    </row>
    <row r="89" spans="1:9" x14ac:dyDescent="0.25">
      <c r="A89" s="2">
        <v>46177</v>
      </c>
      <c r="B89" t="s">
        <v>38</v>
      </c>
      <c r="C89" s="1" t="s">
        <v>102</v>
      </c>
      <c r="D89" t="s">
        <v>101</v>
      </c>
      <c r="E89">
        <v>2040</v>
      </c>
      <c r="F89">
        <v>1999.2</v>
      </c>
      <c r="G89">
        <v>40.799999999999997</v>
      </c>
      <c r="H89">
        <v>2.04</v>
      </c>
      <c r="I89" t="s">
        <v>31</v>
      </c>
    </row>
    <row r="90" spans="1:9" x14ac:dyDescent="0.25">
      <c r="A90" s="2">
        <v>46177</v>
      </c>
      <c r="B90" t="s">
        <v>38</v>
      </c>
      <c r="C90" s="1" t="s">
        <v>103</v>
      </c>
      <c r="D90" t="s">
        <v>101</v>
      </c>
      <c r="E90">
        <v>2040</v>
      </c>
      <c r="F90">
        <v>1999.2</v>
      </c>
      <c r="G90">
        <v>40.799999999999997</v>
      </c>
      <c r="H90">
        <v>2.04</v>
      </c>
      <c r="I90" t="s">
        <v>31</v>
      </c>
    </row>
    <row r="91" spans="1:9" x14ac:dyDescent="0.25">
      <c r="A91" s="2">
        <v>46178</v>
      </c>
      <c r="B91" t="s">
        <v>104</v>
      </c>
      <c r="C91" s="1" t="s">
        <v>105</v>
      </c>
      <c r="D91" t="s">
        <v>106</v>
      </c>
      <c r="E91">
        <v>1210</v>
      </c>
      <c r="F91">
        <v>1124.55</v>
      </c>
      <c r="G91">
        <v>85.45</v>
      </c>
      <c r="H91">
        <v>7.6</v>
      </c>
      <c r="I91" t="s">
        <v>31</v>
      </c>
    </row>
    <row r="92" spans="1:9" x14ac:dyDescent="0.25">
      <c r="A92" s="2">
        <v>46178</v>
      </c>
      <c r="B92" t="s">
        <v>104</v>
      </c>
      <c r="C92" s="1" t="s">
        <v>107</v>
      </c>
      <c r="D92" t="s">
        <v>106</v>
      </c>
      <c r="E92">
        <v>1210</v>
      </c>
      <c r="F92">
        <v>1124.55</v>
      </c>
      <c r="G92">
        <v>85.45</v>
      </c>
      <c r="H92">
        <v>7.6</v>
      </c>
      <c r="I92" t="s">
        <v>31</v>
      </c>
    </row>
    <row r="93" spans="1:9" x14ac:dyDescent="0.25">
      <c r="A93" s="2">
        <v>46178</v>
      </c>
      <c r="B93" t="s">
        <v>29</v>
      </c>
      <c r="C93" s="1">
        <v>356187984446307</v>
      </c>
      <c r="D93" t="s">
        <v>108</v>
      </c>
      <c r="E93">
        <v>2470</v>
      </c>
      <c r="F93">
        <v>2380</v>
      </c>
      <c r="G93">
        <v>90</v>
      </c>
      <c r="H93">
        <v>3.78</v>
      </c>
      <c r="I93" t="s">
        <v>35</v>
      </c>
    </row>
    <row r="94" spans="1:9" x14ac:dyDescent="0.25">
      <c r="A94" s="2">
        <v>46178</v>
      </c>
      <c r="B94" t="s">
        <v>29</v>
      </c>
      <c r="C94" s="1">
        <v>356187985067631</v>
      </c>
      <c r="D94" t="s">
        <v>109</v>
      </c>
      <c r="E94">
        <v>2850</v>
      </c>
      <c r="F94">
        <v>2380</v>
      </c>
      <c r="G94">
        <v>470</v>
      </c>
      <c r="H94">
        <v>19.75</v>
      </c>
      <c r="I94" t="s">
        <v>35</v>
      </c>
    </row>
    <row r="95" spans="1:9" x14ac:dyDescent="0.25">
      <c r="A95" s="2">
        <v>46178</v>
      </c>
      <c r="B95" t="s">
        <v>29</v>
      </c>
      <c r="C95" s="1">
        <v>358135796129197</v>
      </c>
      <c r="D95" t="s">
        <v>110</v>
      </c>
      <c r="E95">
        <v>2510</v>
      </c>
      <c r="F95">
        <v>2380</v>
      </c>
      <c r="G95">
        <v>130</v>
      </c>
      <c r="H95">
        <v>5.46</v>
      </c>
      <c r="I95" t="s">
        <v>35</v>
      </c>
    </row>
    <row r="96" spans="1:9" x14ac:dyDescent="0.25">
      <c r="A96" s="2">
        <v>46178</v>
      </c>
      <c r="B96" t="s">
        <v>29</v>
      </c>
      <c r="C96" s="1">
        <v>358135796236836</v>
      </c>
      <c r="D96" t="s">
        <v>110</v>
      </c>
      <c r="E96">
        <v>2510</v>
      </c>
      <c r="F96">
        <v>2380</v>
      </c>
      <c r="G96">
        <v>130</v>
      </c>
      <c r="H96">
        <v>5.46</v>
      </c>
      <c r="I96" t="s">
        <v>35</v>
      </c>
    </row>
    <row r="97" spans="1:9" x14ac:dyDescent="0.25">
      <c r="A97" s="2">
        <v>46178</v>
      </c>
      <c r="B97" t="s">
        <v>29</v>
      </c>
      <c r="C97" s="1">
        <v>358135797480052</v>
      </c>
      <c r="D97" t="s">
        <v>110</v>
      </c>
      <c r="E97">
        <v>2510</v>
      </c>
      <c r="F97">
        <v>2380</v>
      </c>
      <c r="G97">
        <v>130</v>
      </c>
      <c r="H97">
        <v>5.46</v>
      </c>
      <c r="I97" t="s">
        <v>35</v>
      </c>
    </row>
    <row r="98" spans="1:9" x14ac:dyDescent="0.25">
      <c r="A98" s="2">
        <v>46178</v>
      </c>
      <c r="B98" t="s">
        <v>111</v>
      </c>
      <c r="C98" s="1" t="s">
        <v>112</v>
      </c>
      <c r="E98">
        <v>500</v>
      </c>
      <c r="F98">
        <v>481.95</v>
      </c>
      <c r="G98">
        <v>18.05</v>
      </c>
      <c r="H98">
        <v>3.75</v>
      </c>
      <c r="I98" t="s">
        <v>31</v>
      </c>
    </row>
    <row r="99" spans="1:9" x14ac:dyDescent="0.25">
      <c r="A99" s="2">
        <v>46178</v>
      </c>
      <c r="B99" t="s">
        <v>111</v>
      </c>
      <c r="C99" s="1" t="s">
        <v>113</v>
      </c>
      <c r="D99" t="s">
        <v>114</v>
      </c>
      <c r="E99">
        <v>550</v>
      </c>
      <c r="F99">
        <v>481.95</v>
      </c>
      <c r="G99">
        <v>68.05</v>
      </c>
      <c r="H99">
        <v>14.12</v>
      </c>
      <c r="I99" t="s">
        <v>31</v>
      </c>
    </row>
    <row r="100" spans="1:9" x14ac:dyDescent="0.25">
      <c r="A100" s="2">
        <v>46178</v>
      </c>
      <c r="B100" t="s">
        <v>90</v>
      </c>
      <c r="C100" s="1">
        <v>351682397748443</v>
      </c>
      <c r="D100" t="s">
        <v>91</v>
      </c>
      <c r="E100">
        <v>1493.67</v>
      </c>
      <c r="F100">
        <v>999.6</v>
      </c>
      <c r="G100">
        <v>494.07</v>
      </c>
      <c r="H100">
        <v>49.43</v>
      </c>
      <c r="I100" t="s">
        <v>31</v>
      </c>
    </row>
    <row r="101" spans="1:9" x14ac:dyDescent="0.25">
      <c r="A101" s="2">
        <v>46178</v>
      </c>
      <c r="B101" t="s">
        <v>34</v>
      </c>
      <c r="C101" s="1">
        <v>355079367074833</v>
      </c>
      <c r="D101" t="s">
        <v>97</v>
      </c>
      <c r="E101">
        <v>3101.26</v>
      </c>
      <c r="F101">
        <v>2677.5</v>
      </c>
      <c r="G101">
        <v>423.76</v>
      </c>
      <c r="H101">
        <v>15.83</v>
      </c>
      <c r="I101" t="s">
        <v>31</v>
      </c>
    </row>
    <row r="102" spans="1:9" x14ac:dyDescent="0.25">
      <c r="A102" s="2">
        <v>46178</v>
      </c>
      <c r="B102" t="s">
        <v>34</v>
      </c>
      <c r="C102" s="1">
        <v>356245419984696</v>
      </c>
      <c r="D102" t="s">
        <v>99</v>
      </c>
      <c r="E102">
        <v>3063.29</v>
      </c>
      <c r="F102">
        <v>2677.5</v>
      </c>
      <c r="G102">
        <v>385.79</v>
      </c>
      <c r="H102">
        <v>14.41</v>
      </c>
      <c r="I102" t="s">
        <v>31</v>
      </c>
    </row>
    <row r="103" spans="1:9" x14ac:dyDescent="0.25">
      <c r="A103" s="2">
        <v>46178</v>
      </c>
      <c r="B103" t="s">
        <v>36</v>
      </c>
      <c r="C103" s="1">
        <v>350035239482591</v>
      </c>
      <c r="D103" t="s">
        <v>37</v>
      </c>
      <c r="E103">
        <v>3443.03</v>
      </c>
      <c r="F103">
        <v>3034.5</v>
      </c>
      <c r="G103">
        <v>408.53</v>
      </c>
      <c r="H103">
        <v>13.46</v>
      </c>
      <c r="I103" t="s">
        <v>31</v>
      </c>
    </row>
    <row r="104" spans="1:9" x14ac:dyDescent="0.25">
      <c r="A104" s="2">
        <v>46178</v>
      </c>
      <c r="B104" t="s">
        <v>36</v>
      </c>
      <c r="C104" s="1">
        <v>356392249976268</v>
      </c>
      <c r="D104" t="s">
        <v>37</v>
      </c>
      <c r="E104">
        <v>3443.03</v>
      </c>
      <c r="F104">
        <v>3034.5</v>
      </c>
      <c r="G104">
        <v>408.53</v>
      </c>
      <c r="H104">
        <v>13.46</v>
      </c>
      <c r="I104" t="s">
        <v>31</v>
      </c>
    </row>
    <row r="105" spans="1:9" x14ac:dyDescent="0.25">
      <c r="A105" s="2">
        <v>46178</v>
      </c>
      <c r="B105" t="s">
        <v>36</v>
      </c>
      <c r="C105" s="1">
        <v>358434702781393</v>
      </c>
      <c r="D105" t="s">
        <v>37</v>
      </c>
      <c r="E105">
        <v>3443.03</v>
      </c>
      <c r="F105">
        <v>3034.5</v>
      </c>
      <c r="G105">
        <v>408.53</v>
      </c>
      <c r="H105">
        <v>13.46</v>
      </c>
      <c r="I105" t="s">
        <v>31</v>
      </c>
    </row>
    <row r="106" spans="1:9" x14ac:dyDescent="0.25">
      <c r="A106" s="2">
        <v>46178</v>
      </c>
      <c r="B106" t="s">
        <v>115</v>
      </c>
      <c r="C106" s="1" t="s">
        <v>116</v>
      </c>
      <c r="D106" t="s">
        <v>17</v>
      </c>
      <c r="E106">
        <v>1350</v>
      </c>
      <c r="F106">
        <v>1249.5</v>
      </c>
      <c r="G106">
        <v>100.5</v>
      </c>
      <c r="H106">
        <v>8.0399999999999991</v>
      </c>
      <c r="I106" t="s">
        <v>31</v>
      </c>
    </row>
    <row r="107" spans="1:9" x14ac:dyDescent="0.25">
      <c r="A107" s="2">
        <v>46178</v>
      </c>
      <c r="B107" t="s">
        <v>115</v>
      </c>
      <c r="C107" s="1" t="s">
        <v>117</v>
      </c>
      <c r="D107" t="s">
        <v>17</v>
      </c>
      <c r="E107">
        <v>1350</v>
      </c>
      <c r="F107">
        <v>1249.5</v>
      </c>
      <c r="G107">
        <v>100.5</v>
      </c>
      <c r="H107">
        <v>8.0399999999999991</v>
      </c>
      <c r="I107" t="s">
        <v>31</v>
      </c>
    </row>
    <row r="108" spans="1:9" x14ac:dyDescent="0.25">
      <c r="A108" s="2">
        <v>46178</v>
      </c>
      <c r="B108" t="s">
        <v>118</v>
      </c>
      <c r="C108" s="1" t="s">
        <v>119</v>
      </c>
      <c r="E108">
        <v>770</v>
      </c>
      <c r="F108">
        <v>501.2</v>
      </c>
      <c r="G108">
        <v>268.8</v>
      </c>
      <c r="H108">
        <v>53.63</v>
      </c>
      <c r="I108" t="s">
        <v>31</v>
      </c>
    </row>
    <row r="109" spans="1:9" x14ac:dyDescent="0.25">
      <c r="A109" s="2">
        <v>46178</v>
      </c>
      <c r="B109" t="s">
        <v>118</v>
      </c>
      <c r="C109" s="1" t="s">
        <v>120</v>
      </c>
      <c r="E109">
        <v>770</v>
      </c>
      <c r="F109">
        <v>501.2</v>
      </c>
      <c r="G109">
        <v>268.8</v>
      </c>
      <c r="H109">
        <v>53.63</v>
      </c>
      <c r="I109" t="s">
        <v>31</v>
      </c>
    </row>
    <row r="110" spans="1:9" x14ac:dyDescent="0.25">
      <c r="A110" s="2">
        <v>46178</v>
      </c>
      <c r="B110" t="s">
        <v>121</v>
      </c>
      <c r="C110" s="1" t="s">
        <v>122</v>
      </c>
      <c r="E110">
        <v>350</v>
      </c>
      <c r="F110">
        <v>143.19999999999999</v>
      </c>
      <c r="G110">
        <v>206.8</v>
      </c>
      <c r="H110">
        <v>144.41</v>
      </c>
      <c r="I110" t="s">
        <v>31</v>
      </c>
    </row>
    <row r="111" spans="1:9" x14ac:dyDescent="0.25">
      <c r="A111" s="2">
        <v>46178</v>
      </c>
      <c r="B111" t="s">
        <v>123</v>
      </c>
      <c r="C111" s="1" t="s">
        <v>124</v>
      </c>
      <c r="D111" t="s">
        <v>17</v>
      </c>
      <c r="E111">
        <v>2920</v>
      </c>
      <c r="F111">
        <v>2534.7199999999998</v>
      </c>
      <c r="G111">
        <v>385.28</v>
      </c>
      <c r="H111">
        <v>15.2</v>
      </c>
      <c r="I111" t="s">
        <v>31</v>
      </c>
    </row>
    <row r="112" spans="1:9" x14ac:dyDescent="0.25">
      <c r="A112" s="2">
        <v>46178</v>
      </c>
      <c r="B112" t="s">
        <v>123</v>
      </c>
      <c r="C112" s="1" t="s">
        <v>125</v>
      </c>
      <c r="D112" t="s">
        <v>17</v>
      </c>
      <c r="E112">
        <v>3000</v>
      </c>
      <c r="F112">
        <v>2534.6999999999998</v>
      </c>
      <c r="G112">
        <v>465.3</v>
      </c>
      <c r="H112">
        <v>18.36</v>
      </c>
      <c r="I112" t="s">
        <v>31</v>
      </c>
    </row>
    <row r="113" spans="1:9" x14ac:dyDescent="0.25">
      <c r="A113" s="2">
        <v>46178</v>
      </c>
      <c r="B113" t="s">
        <v>123</v>
      </c>
      <c r="C113" s="1" t="s">
        <v>126</v>
      </c>
      <c r="D113" t="s">
        <v>17</v>
      </c>
      <c r="E113">
        <v>3000</v>
      </c>
      <c r="F113">
        <v>2534.7199999999998</v>
      </c>
      <c r="G113">
        <v>465.28</v>
      </c>
      <c r="H113">
        <v>18.36</v>
      </c>
      <c r="I113" t="s">
        <v>31</v>
      </c>
    </row>
    <row r="114" spans="1:9" x14ac:dyDescent="0.25">
      <c r="A114" s="2">
        <v>46178</v>
      </c>
      <c r="B114" t="s">
        <v>123</v>
      </c>
      <c r="C114" s="1" t="s">
        <v>127</v>
      </c>
      <c r="D114" t="s">
        <v>17</v>
      </c>
      <c r="E114">
        <v>2920</v>
      </c>
      <c r="F114">
        <v>2534.6999999999998</v>
      </c>
      <c r="G114">
        <v>385.3</v>
      </c>
      <c r="H114">
        <v>15.2</v>
      </c>
      <c r="I114" t="s">
        <v>31</v>
      </c>
    </row>
    <row r="115" spans="1:9" x14ac:dyDescent="0.25">
      <c r="A115" s="2">
        <v>46178</v>
      </c>
      <c r="B115" t="s">
        <v>123</v>
      </c>
      <c r="C115" s="1" t="s">
        <v>128</v>
      </c>
      <c r="D115" t="s">
        <v>17</v>
      </c>
      <c r="E115">
        <v>3000</v>
      </c>
      <c r="F115">
        <v>2534.7199999999998</v>
      </c>
      <c r="G115">
        <v>465.28</v>
      </c>
      <c r="H115">
        <v>18.36</v>
      </c>
      <c r="I115" t="s">
        <v>31</v>
      </c>
    </row>
    <row r="116" spans="1:9" x14ac:dyDescent="0.25">
      <c r="A116" s="2">
        <v>46178</v>
      </c>
      <c r="B116" t="s">
        <v>123</v>
      </c>
      <c r="C116" s="1" t="s">
        <v>129</v>
      </c>
      <c r="D116" t="s">
        <v>17</v>
      </c>
      <c r="E116">
        <v>3000</v>
      </c>
      <c r="F116">
        <v>2534.6999999999998</v>
      </c>
      <c r="G116">
        <v>465.3</v>
      </c>
      <c r="H116">
        <v>18.36</v>
      </c>
      <c r="I116" t="s">
        <v>31</v>
      </c>
    </row>
    <row r="117" spans="1:9" x14ac:dyDescent="0.25">
      <c r="A117" s="2">
        <v>46178</v>
      </c>
      <c r="B117" t="s">
        <v>123</v>
      </c>
      <c r="C117" s="1" t="s">
        <v>130</v>
      </c>
      <c r="D117" t="s">
        <v>17</v>
      </c>
      <c r="E117">
        <v>2920</v>
      </c>
      <c r="F117">
        <v>2534.7199999999998</v>
      </c>
      <c r="G117">
        <v>385.28</v>
      </c>
      <c r="H117">
        <v>15.2</v>
      </c>
      <c r="I117" t="s">
        <v>31</v>
      </c>
    </row>
    <row r="118" spans="1:9" x14ac:dyDescent="0.25">
      <c r="A118" s="2">
        <v>46178</v>
      </c>
      <c r="B118" t="s">
        <v>131</v>
      </c>
      <c r="C118" s="1" t="s">
        <v>132</v>
      </c>
      <c r="E118">
        <v>1750</v>
      </c>
      <c r="F118">
        <v>1186.3499999999999</v>
      </c>
      <c r="G118">
        <v>563.65</v>
      </c>
      <c r="H118">
        <v>47.51</v>
      </c>
      <c r="I118" t="s">
        <v>31</v>
      </c>
    </row>
    <row r="119" spans="1:9" x14ac:dyDescent="0.25">
      <c r="A119" s="2">
        <v>46178</v>
      </c>
      <c r="B119" t="s">
        <v>131</v>
      </c>
      <c r="C119" s="1" t="s">
        <v>133</v>
      </c>
      <c r="E119">
        <v>1750</v>
      </c>
      <c r="F119">
        <v>1186.3499999999999</v>
      </c>
      <c r="G119">
        <v>563.65</v>
      </c>
      <c r="H119">
        <v>47.51</v>
      </c>
      <c r="I119" t="s">
        <v>31</v>
      </c>
    </row>
    <row r="120" spans="1:9" x14ac:dyDescent="0.25">
      <c r="A120" s="2">
        <v>46178</v>
      </c>
      <c r="B120" t="s">
        <v>131</v>
      </c>
      <c r="C120" s="1" t="s">
        <v>134</v>
      </c>
      <c r="E120">
        <v>1760</v>
      </c>
      <c r="F120">
        <v>1158.3900000000001</v>
      </c>
      <c r="G120">
        <v>601.61</v>
      </c>
      <c r="H120">
        <v>51.94</v>
      </c>
      <c r="I120" t="s">
        <v>18</v>
      </c>
    </row>
    <row r="121" spans="1:9" x14ac:dyDescent="0.25">
      <c r="A121" s="2">
        <v>46178</v>
      </c>
      <c r="B121" t="s">
        <v>131</v>
      </c>
      <c r="C121" s="1" t="s">
        <v>135</v>
      </c>
      <c r="E121">
        <v>1760</v>
      </c>
      <c r="F121">
        <v>1158.3900000000001</v>
      </c>
      <c r="G121">
        <v>601.61</v>
      </c>
      <c r="H121">
        <v>51.94</v>
      </c>
      <c r="I121" t="s">
        <v>18</v>
      </c>
    </row>
    <row r="122" spans="1:9" x14ac:dyDescent="0.25">
      <c r="A122" s="2">
        <v>46178</v>
      </c>
      <c r="B122" t="s">
        <v>131</v>
      </c>
      <c r="C122" s="1" t="s">
        <v>136</v>
      </c>
      <c r="E122">
        <v>1760</v>
      </c>
      <c r="F122">
        <v>1158.3900000000001</v>
      </c>
      <c r="G122">
        <v>601.61</v>
      </c>
      <c r="H122">
        <v>51.94</v>
      </c>
      <c r="I122" t="s">
        <v>18</v>
      </c>
    </row>
    <row r="123" spans="1:9" x14ac:dyDescent="0.25">
      <c r="A123" s="2">
        <v>46178</v>
      </c>
      <c r="B123" t="s">
        <v>131</v>
      </c>
      <c r="C123" s="1" t="s">
        <v>137</v>
      </c>
      <c r="E123">
        <v>1760</v>
      </c>
      <c r="F123">
        <v>1158.3900000000001</v>
      </c>
      <c r="G123">
        <v>601.61</v>
      </c>
      <c r="H123">
        <v>51.94</v>
      </c>
      <c r="I123" t="s">
        <v>18</v>
      </c>
    </row>
    <row r="124" spans="1:9" x14ac:dyDescent="0.25">
      <c r="A124" s="2">
        <v>46178</v>
      </c>
      <c r="B124" t="s">
        <v>131</v>
      </c>
      <c r="C124" s="1" t="s">
        <v>138</v>
      </c>
      <c r="E124">
        <v>1760</v>
      </c>
      <c r="F124">
        <v>1158.3900000000001</v>
      </c>
      <c r="G124">
        <v>601.61</v>
      </c>
      <c r="H124">
        <v>51.94</v>
      </c>
      <c r="I124" t="s">
        <v>18</v>
      </c>
    </row>
    <row r="125" spans="1:9" x14ac:dyDescent="0.25">
      <c r="A125" s="2">
        <v>46178</v>
      </c>
      <c r="B125" t="s">
        <v>131</v>
      </c>
      <c r="C125" s="1" t="s">
        <v>139</v>
      </c>
      <c r="E125">
        <v>1760</v>
      </c>
      <c r="F125">
        <v>1158.3900000000001</v>
      </c>
      <c r="G125">
        <v>601.61</v>
      </c>
      <c r="H125">
        <v>51.94</v>
      </c>
      <c r="I125" t="s">
        <v>18</v>
      </c>
    </row>
    <row r="126" spans="1:9" x14ac:dyDescent="0.25">
      <c r="A126" s="2">
        <v>46178</v>
      </c>
      <c r="B126" t="s">
        <v>131</v>
      </c>
      <c r="C126" s="1" t="s">
        <v>140</v>
      </c>
      <c r="E126">
        <v>1850</v>
      </c>
      <c r="F126">
        <v>1213.8</v>
      </c>
      <c r="G126">
        <v>636.20000000000005</v>
      </c>
      <c r="H126">
        <v>52.41</v>
      </c>
      <c r="I126" t="s">
        <v>31</v>
      </c>
    </row>
    <row r="127" spans="1:9" x14ac:dyDescent="0.25">
      <c r="A127" s="2">
        <v>46178</v>
      </c>
      <c r="B127" t="s">
        <v>131</v>
      </c>
      <c r="C127" s="1" t="s">
        <v>141</v>
      </c>
      <c r="E127">
        <v>1700</v>
      </c>
      <c r="F127">
        <v>1213.8</v>
      </c>
      <c r="G127">
        <v>486.2</v>
      </c>
      <c r="H127">
        <v>40.06</v>
      </c>
      <c r="I127" t="s">
        <v>31</v>
      </c>
    </row>
    <row r="128" spans="1:9" x14ac:dyDescent="0.25">
      <c r="A128" s="2">
        <v>46178</v>
      </c>
      <c r="B128" t="s">
        <v>131</v>
      </c>
      <c r="C128" s="1" t="s">
        <v>142</v>
      </c>
      <c r="E128">
        <v>1880</v>
      </c>
      <c r="F128">
        <v>1213.8</v>
      </c>
      <c r="G128">
        <v>666.2</v>
      </c>
      <c r="H128">
        <v>54.89</v>
      </c>
      <c r="I128" t="s">
        <v>31</v>
      </c>
    </row>
    <row r="129" spans="1:10" x14ac:dyDescent="0.25">
      <c r="A129" s="2">
        <v>46178</v>
      </c>
      <c r="B129" t="s">
        <v>131</v>
      </c>
      <c r="C129" s="1" t="s">
        <v>143</v>
      </c>
      <c r="E129">
        <v>1880</v>
      </c>
      <c r="F129">
        <v>1213.8</v>
      </c>
      <c r="G129">
        <v>666.2</v>
      </c>
      <c r="H129">
        <v>54.89</v>
      </c>
      <c r="I129" t="s">
        <v>31</v>
      </c>
    </row>
    <row r="130" spans="1:10" x14ac:dyDescent="0.25">
      <c r="A130" s="2">
        <v>46178</v>
      </c>
      <c r="B130" t="s">
        <v>131</v>
      </c>
      <c r="C130" s="1" t="s">
        <v>144</v>
      </c>
      <c r="E130">
        <v>1850</v>
      </c>
      <c r="F130">
        <v>1220.5999999999999</v>
      </c>
      <c r="G130">
        <v>629.4</v>
      </c>
      <c r="H130">
        <v>51.56</v>
      </c>
      <c r="I130" t="s">
        <v>31</v>
      </c>
    </row>
    <row r="131" spans="1:10" x14ac:dyDescent="0.25">
      <c r="A131" s="2">
        <v>46178</v>
      </c>
      <c r="B131" t="s">
        <v>145</v>
      </c>
      <c r="C131" s="1" t="s">
        <v>146</v>
      </c>
      <c r="E131">
        <v>2033.33</v>
      </c>
      <c r="F131">
        <v>1513.37</v>
      </c>
      <c r="G131">
        <v>519.96</v>
      </c>
      <c r="H131">
        <v>34.36</v>
      </c>
      <c r="I131" t="s">
        <v>147</v>
      </c>
    </row>
    <row r="132" spans="1:10" x14ac:dyDescent="0.25">
      <c r="A132" s="2">
        <v>46178</v>
      </c>
      <c r="B132" t="s">
        <v>145</v>
      </c>
      <c r="C132" s="1" t="s">
        <v>148</v>
      </c>
      <c r="E132">
        <v>2033.33</v>
      </c>
      <c r="F132">
        <v>1513.37</v>
      </c>
      <c r="G132">
        <v>519.96</v>
      </c>
      <c r="H132">
        <v>34.36</v>
      </c>
      <c r="I132" t="s">
        <v>147</v>
      </c>
    </row>
    <row r="133" spans="1:10" x14ac:dyDescent="0.25">
      <c r="A133" s="2">
        <v>46178</v>
      </c>
      <c r="B133" t="s">
        <v>145</v>
      </c>
      <c r="C133" s="1" t="s">
        <v>149</v>
      </c>
      <c r="E133">
        <v>1900</v>
      </c>
      <c r="F133">
        <v>1513.37</v>
      </c>
      <c r="G133">
        <v>386.63</v>
      </c>
      <c r="H133">
        <v>25.55</v>
      </c>
      <c r="I133" t="s">
        <v>147</v>
      </c>
    </row>
    <row r="134" spans="1:10" x14ac:dyDescent="0.25">
      <c r="A134" s="2">
        <v>46178</v>
      </c>
      <c r="B134" t="s">
        <v>145</v>
      </c>
      <c r="C134" s="1" t="s">
        <v>150</v>
      </c>
      <c r="E134">
        <v>1900</v>
      </c>
      <c r="F134">
        <v>1513.37</v>
      </c>
      <c r="G134">
        <v>386.63</v>
      </c>
      <c r="H134">
        <v>25.55</v>
      </c>
      <c r="I134" t="s">
        <v>147</v>
      </c>
    </row>
    <row r="135" spans="1:10" x14ac:dyDescent="0.25">
      <c r="A135" s="2">
        <v>46178</v>
      </c>
      <c r="B135" t="s">
        <v>145</v>
      </c>
      <c r="C135" s="1" t="s">
        <v>151</v>
      </c>
      <c r="E135">
        <v>2033.33</v>
      </c>
      <c r="F135">
        <v>1513.37</v>
      </c>
      <c r="G135">
        <v>519.96</v>
      </c>
      <c r="H135">
        <v>34.36</v>
      </c>
      <c r="I135" t="s">
        <v>147</v>
      </c>
    </row>
    <row r="136" spans="1:10" x14ac:dyDescent="0.25">
      <c r="A136" s="2">
        <v>46178</v>
      </c>
      <c r="B136" t="s">
        <v>145</v>
      </c>
      <c r="C136" s="1" t="s">
        <v>152</v>
      </c>
      <c r="E136">
        <v>1930</v>
      </c>
      <c r="F136">
        <v>1581.76</v>
      </c>
      <c r="G136">
        <v>348.24</v>
      </c>
      <c r="H136">
        <v>22.02</v>
      </c>
      <c r="I136" t="s">
        <v>31</v>
      </c>
    </row>
    <row r="137" spans="1:10" x14ac:dyDescent="0.25">
      <c r="A137" s="2">
        <v>46178</v>
      </c>
      <c r="B137" t="s">
        <v>145</v>
      </c>
      <c r="C137" s="1" t="s">
        <v>153</v>
      </c>
      <c r="E137">
        <v>1930</v>
      </c>
      <c r="F137">
        <v>1581.76</v>
      </c>
      <c r="G137">
        <v>348.24</v>
      </c>
      <c r="H137">
        <v>22.02</v>
      </c>
      <c r="I137" t="s">
        <v>31</v>
      </c>
    </row>
    <row r="138" spans="1:10" x14ac:dyDescent="0.25">
      <c r="A138" s="2">
        <v>46178</v>
      </c>
      <c r="B138" t="s">
        <v>154</v>
      </c>
      <c r="C138" s="1">
        <v>9700612063240</v>
      </c>
      <c r="D138" t="s">
        <v>155</v>
      </c>
      <c r="E138">
        <v>130</v>
      </c>
      <c r="F138">
        <v>135.66</v>
      </c>
      <c r="G138">
        <v>-5.66</v>
      </c>
      <c r="H138">
        <v>-4.17</v>
      </c>
      <c r="I138" t="s">
        <v>31</v>
      </c>
      <c r="J138" t="s">
        <v>55</v>
      </c>
    </row>
    <row r="139" spans="1:10" x14ac:dyDescent="0.25">
      <c r="A139" s="2">
        <v>46178</v>
      </c>
      <c r="B139" t="s">
        <v>154</v>
      </c>
      <c r="C139" s="1">
        <v>9710291865243</v>
      </c>
      <c r="D139" t="s">
        <v>156</v>
      </c>
      <c r="E139">
        <v>130</v>
      </c>
      <c r="F139">
        <v>135.66</v>
      </c>
      <c r="G139">
        <v>-5.66</v>
      </c>
      <c r="H139">
        <v>-4.17</v>
      </c>
      <c r="I139" t="s">
        <v>31</v>
      </c>
      <c r="J139" t="s">
        <v>55</v>
      </c>
    </row>
    <row r="140" spans="1:10" x14ac:dyDescent="0.25">
      <c r="A140" s="2">
        <v>46178</v>
      </c>
      <c r="B140" t="s">
        <v>157</v>
      </c>
      <c r="C140" s="1" t="s">
        <v>158</v>
      </c>
      <c r="E140">
        <v>1200</v>
      </c>
      <c r="F140">
        <v>1035.3</v>
      </c>
      <c r="G140">
        <v>164.7</v>
      </c>
      <c r="H140">
        <v>15.91</v>
      </c>
      <c r="I140" t="s">
        <v>31</v>
      </c>
    </row>
    <row r="141" spans="1:10" x14ac:dyDescent="0.25">
      <c r="A141" s="2">
        <v>46178</v>
      </c>
      <c r="B141" t="s">
        <v>157</v>
      </c>
      <c r="C141" s="1" t="s">
        <v>159</v>
      </c>
      <c r="E141">
        <v>1250</v>
      </c>
      <c r="F141">
        <v>1035.3</v>
      </c>
      <c r="G141">
        <v>214.7</v>
      </c>
      <c r="H141">
        <v>20.74</v>
      </c>
      <c r="I141" t="s">
        <v>31</v>
      </c>
    </row>
    <row r="142" spans="1:10" x14ac:dyDescent="0.25">
      <c r="A142" s="2">
        <v>46178</v>
      </c>
      <c r="B142" t="s">
        <v>157</v>
      </c>
      <c r="C142" s="1" t="s">
        <v>160</v>
      </c>
      <c r="E142">
        <v>1350</v>
      </c>
      <c r="F142">
        <v>1035.3</v>
      </c>
      <c r="G142">
        <v>314.7</v>
      </c>
      <c r="H142">
        <v>30.4</v>
      </c>
      <c r="I142" t="s">
        <v>31</v>
      </c>
    </row>
    <row r="143" spans="1:10" x14ac:dyDescent="0.25">
      <c r="A143" s="2">
        <v>46178</v>
      </c>
      <c r="B143" t="s">
        <v>161</v>
      </c>
      <c r="C143" s="1">
        <v>53017225217</v>
      </c>
      <c r="E143">
        <v>2000</v>
      </c>
      <c r="F143">
        <v>1695.75</v>
      </c>
      <c r="G143">
        <v>304.25</v>
      </c>
      <c r="H143">
        <v>17.940000000000001</v>
      </c>
      <c r="I143" t="s">
        <v>31</v>
      </c>
    </row>
    <row r="144" spans="1:10" x14ac:dyDescent="0.25">
      <c r="A144" s="2">
        <v>46178</v>
      </c>
      <c r="B144" t="s">
        <v>161</v>
      </c>
      <c r="C144" s="1">
        <v>601110254121</v>
      </c>
      <c r="E144">
        <v>1900</v>
      </c>
      <c r="F144">
        <v>1695.75</v>
      </c>
      <c r="G144">
        <v>204.25</v>
      </c>
      <c r="H144">
        <v>12.04</v>
      </c>
      <c r="I144" t="s">
        <v>31</v>
      </c>
    </row>
    <row r="145" spans="1:9" x14ac:dyDescent="0.25">
      <c r="A145" s="2">
        <v>46178</v>
      </c>
      <c r="B145" t="s">
        <v>161</v>
      </c>
      <c r="C145" s="1">
        <v>605454253921</v>
      </c>
      <c r="E145">
        <v>1900</v>
      </c>
      <c r="F145">
        <v>1695.75</v>
      </c>
      <c r="G145">
        <v>204.25</v>
      </c>
      <c r="H145">
        <v>12.04</v>
      </c>
      <c r="I145" t="s">
        <v>31</v>
      </c>
    </row>
    <row r="146" spans="1:9" x14ac:dyDescent="0.25">
      <c r="A146" s="2">
        <v>46179</v>
      </c>
      <c r="B146" t="s">
        <v>162</v>
      </c>
      <c r="C146" s="1">
        <v>350687010566321</v>
      </c>
      <c r="D146" t="s">
        <v>114</v>
      </c>
      <c r="E146">
        <v>2470</v>
      </c>
      <c r="F146">
        <v>2450</v>
      </c>
      <c r="G146">
        <v>20</v>
      </c>
      <c r="H146">
        <v>0.82</v>
      </c>
      <c r="I146" t="s">
        <v>35</v>
      </c>
    </row>
    <row r="147" spans="1:9" x14ac:dyDescent="0.25">
      <c r="A147" s="2">
        <v>46179</v>
      </c>
      <c r="B147" t="s">
        <v>162</v>
      </c>
      <c r="C147" s="1">
        <v>350687011210465</v>
      </c>
      <c r="D147" t="s">
        <v>114</v>
      </c>
      <c r="E147">
        <v>2470</v>
      </c>
      <c r="F147">
        <v>2450</v>
      </c>
      <c r="G147">
        <v>20</v>
      </c>
      <c r="H147">
        <v>0.82</v>
      </c>
      <c r="I147" t="s">
        <v>35</v>
      </c>
    </row>
    <row r="148" spans="1:9" x14ac:dyDescent="0.25">
      <c r="A148" s="2">
        <v>46179</v>
      </c>
      <c r="B148" t="s">
        <v>162</v>
      </c>
      <c r="C148" s="1">
        <v>350687011309069</v>
      </c>
      <c r="D148" t="s">
        <v>114</v>
      </c>
      <c r="E148">
        <v>2470</v>
      </c>
      <c r="F148">
        <v>2450</v>
      </c>
      <c r="G148">
        <v>20</v>
      </c>
      <c r="H148">
        <v>0.82</v>
      </c>
      <c r="I148" t="s">
        <v>35</v>
      </c>
    </row>
    <row r="149" spans="1:9" x14ac:dyDescent="0.25">
      <c r="A149" s="2">
        <v>46179</v>
      </c>
      <c r="B149" t="s">
        <v>162</v>
      </c>
      <c r="C149" s="1">
        <v>351235186309172</v>
      </c>
      <c r="D149" t="s">
        <v>163</v>
      </c>
      <c r="E149">
        <v>2470</v>
      </c>
      <c r="F149">
        <v>2450</v>
      </c>
      <c r="G149">
        <v>20</v>
      </c>
      <c r="H149">
        <v>0.82</v>
      </c>
      <c r="I149" t="s">
        <v>35</v>
      </c>
    </row>
    <row r="150" spans="1:9" x14ac:dyDescent="0.25">
      <c r="A150" s="2">
        <v>46179</v>
      </c>
      <c r="B150" t="s">
        <v>162</v>
      </c>
      <c r="C150" s="1">
        <v>355837670508668</v>
      </c>
      <c r="D150" t="s">
        <v>114</v>
      </c>
      <c r="E150">
        <v>2470</v>
      </c>
      <c r="F150">
        <v>2450</v>
      </c>
      <c r="G150">
        <v>20</v>
      </c>
      <c r="H150">
        <v>0.82</v>
      </c>
      <c r="I150" t="s">
        <v>35</v>
      </c>
    </row>
    <row r="151" spans="1:9" x14ac:dyDescent="0.25">
      <c r="A151" s="2">
        <v>46179</v>
      </c>
      <c r="B151" t="s">
        <v>164</v>
      </c>
      <c r="C151" s="1">
        <v>357208787454352</v>
      </c>
      <c r="D151" t="s">
        <v>165</v>
      </c>
      <c r="E151">
        <v>2265.8200000000002</v>
      </c>
      <c r="F151">
        <v>1892.1</v>
      </c>
      <c r="G151">
        <v>373.72</v>
      </c>
      <c r="H151">
        <v>19.75</v>
      </c>
      <c r="I151" t="s">
        <v>31</v>
      </c>
    </row>
    <row r="152" spans="1:9" x14ac:dyDescent="0.25">
      <c r="A152" s="2">
        <v>46179</v>
      </c>
      <c r="B152" t="s">
        <v>166</v>
      </c>
      <c r="C152" s="1" t="s">
        <v>167</v>
      </c>
      <c r="D152" t="s">
        <v>168</v>
      </c>
      <c r="E152">
        <v>4250</v>
      </c>
      <c r="F152">
        <v>3998.4</v>
      </c>
      <c r="G152">
        <v>251.6</v>
      </c>
      <c r="H152">
        <v>6.29</v>
      </c>
      <c r="I152" t="s">
        <v>31</v>
      </c>
    </row>
    <row r="153" spans="1:9" x14ac:dyDescent="0.25">
      <c r="A153" s="2">
        <v>46179</v>
      </c>
      <c r="B153" t="s">
        <v>166</v>
      </c>
      <c r="C153" s="1" t="s">
        <v>169</v>
      </c>
      <c r="D153" t="s">
        <v>170</v>
      </c>
      <c r="E153">
        <v>4220</v>
      </c>
      <c r="F153">
        <v>3998.4</v>
      </c>
      <c r="G153">
        <v>221.6</v>
      </c>
      <c r="H153">
        <v>5.54</v>
      </c>
      <c r="I153" t="s">
        <v>31</v>
      </c>
    </row>
    <row r="154" spans="1:9" x14ac:dyDescent="0.25">
      <c r="A154" s="2">
        <v>46179</v>
      </c>
      <c r="B154" t="s">
        <v>171</v>
      </c>
      <c r="C154" s="1" t="s">
        <v>172</v>
      </c>
      <c r="D154" t="s">
        <v>17</v>
      </c>
      <c r="E154">
        <v>1830</v>
      </c>
      <c r="F154">
        <v>1677.9</v>
      </c>
      <c r="G154">
        <v>152.1</v>
      </c>
      <c r="H154">
        <v>9.06</v>
      </c>
      <c r="I154" t="s">
        <v>31</v>
      </c>
    </row>
    <row r="155" spans="1:9" x14ac:dyDescent="0.25">
      <c r="A155" s="2">
        <v>46179</v>
      </c>
      <c r="B155" t="s">
        <v>171</v>
      </c>
      <c r="C155" s="1" t="s">
        <v>173</v>
      </c>
      <c r="D155" t="s">
        <v>17</v>
      </c>
      <c r="E155">
        <v>1830</v>
      </c>
      <c r="F155">
        <v>1677.9</v>
      </c>
      <c r="G155">
        <v>152.1</v>
      </c>
      <c r="H155">
        <v>9.06</v>
      </c>
      <c r="I155" t="s">
        <v>31</v>
      </c>
    </row>
    <row r="156" spans="1:9" x14ac:dyDescent="0.25">
      <c r="A156" s="2">
        <v>46179</v>
      </c>
      <c r="B156" t="s">
        <v>171</v>
      </c>
      <c r="C156" s="1" t="s">
        <v>174</v>
      </c>
      <c r="D156" t="s">
        <v>17</v>
      </c>
      <c r="E156">
        <v>1830</v>
      </c>
      <c r="F156">
        <v>1677.9</v>
      </c>
      <c r="G156">
        <v>152.1</v>
      </c>
      <c r="H156">
        <v>9.06</v>
      </c>
      <c r="I156" t="s">
        <v>31</v>
      </c>
    </row>
    <row r="157" spans="1:9" x14ac:dyDescent="0.25">
      <c r="A157" s="2">
        <v>46179</v>
      </c>
      <c r="B157" t="s">
        <v>171</v>
      </c>
      <c r="C157" s="1" t="s">
        <v>175</v>
      </c>
      <c r="D157" t="s">
        <v>17</v>
      </c>
      <c r="E157">
        <v>1830</v>
      </c>
      <c r="F157">
        <v>1677.9</v>
      </c>
      <c r="G157">
        <v>152.1</v>
      </c>
      <c r="H157">
        <v>9.06</v>
      </c>
      <c r="I157" t="s">
        <v>31</v>
      </c>
    </row>
    <row r="158" spans="1:9" x14ac:dyDescent="0.25">
      <c r="A158" s="2">
        <v>46179</v>
      </c>
      <c r="B158" t="s">
        <v>171</v>
      </c>
      <c r="C158" s="1" t="s">
        <v>176</v>
      </c>
      <c r="D158" t="s">
        <v>17</v>
      </c>
      <c r="E158">
        <v>1830</v>
      </c>
      <c r="F158">
        <v>1677.9</v>
      </c>
      <c r="G158">
        <v>152.1</v>
      </c>
      <c r="H158">
        <v>9.06</v>
      </c>
      <c r="I158" t="s">
        <v>31</v>
      </c>
    </row>
    <row r="159" spans="1:9" x14ac:dyDescent="0.25">
      <c r="A159" s="2">
        <v>46179</v>
      </c>
      <c r="B159" t="s">
        <v>171</v>
      </c>
      <c r="C159" s="1" t="s">
        <v>177</v>
      </c>
      <c r="D159" t="s">
        <v>17</v>
      </c>
      <c r="E159">
        <v>1830</v>
      </c>
      <c r="F159">
        <v>1677.9</v>
      </c>
      <c r="G159">
        <v>152.1</v>
      </c>
      <c r="H159">
        <v>9.06</v>
      </c>
      <c r="I159" t="s">
        <v>31</v>
      </c>
    </row>
    <row r="160" spans="1:9" x14ac:dyDescent="0.25">
      <c r="A160" s="2">
        <v>46179</v>
      </c>
      <c r="B160" t="s">
        <v>171</v>
      </c>
      <c r="C160" s="1" t="s">
        <v>178</v>
      </c>
      <c r="D160" t="s">
        <v>17</v>
      </c>
      <c r="E160">
        <v>1830</v>
      </c>
      <c r="F160">
        <v>1677.9</v>
      </c>
      <c r="G160">
        <v>152.1</v>
      </c>
      <c r="H160">
        <v>9.06</v>
      </c>
      <c r="I160" t="s">
        <v>31</v>
      </c>
    </row>
    <row r="161" spans="1:9" x14ac:dyDescent="0.25">
      <c r="A161" s="2">
        <v>46179</v>
      </c>
      <c r="B161" t="s">
        <v>171</v>
      </c>
      <c r="C161" s="1" t="s">
        <v>179</v>
      </c>
      <c r="D161" t="s">
        <v>17</v>
      </c>
      <c r="E161">
        <v>1830</v>
      </c>
      <c r="F161">
        <v>1677.9</v>
      </c>
      <c r="G161">
        <v>152.1</v>
      </c>
      <c r="H161">
        <v>9.06</v>
      </c>
      <c r="I161" t="s">
        <v>31</v>
      </c>
    </row>
    <row r="162" spans="1:9" x14ac:dyDescent="0.25">
      <c r="A162" s="2">
        <v>46179</v>
      </c>
      <c r="B162" t="s">
        <v>171</v>
      </c>
      <c r="C162" s="1" t="s">
        <v>180</v>
      </c>
      <c r="D162" t="s">
        <v>17</v>
      </c>
      <c r="E162">
        <v>1830</v>
      </c>
      <c r="F162">
        <v>1677.9</v>
      </c>
      <c r="G162">
        <v>152.1</v>
      </c>
      <c r="H162">
        <v>9.06</v>
      </c>
      <c r="I162" t="s">
        <v>31</v>
      </c>
    </row>
    <row r="163" spans="1:9" x14ac:dyDescent="0.25">
      <c r="A163" s="2">
        <v>46179</v>
      </c>
      <c r="B163" t="s">
        <v>171</v>
      </c>
      <c r="C163" s="1" t="s">
        <v>181</v>
      </c>
      <c r="D163" t="s">
        <v>17</v>
      </c>
      <c r="E163">
        <v>1830</v>
      </c>
      <c r="F163">
        <v>1677.9</v>
      </c>
      <c r="G163">
        <v>152.1</v>
      </c>
      <c r="H163">
        <v>9.06</v>
      </c>
      <c r="I163" t="s">
        <v>31</v>
      </c>
    </row>
    <row r="164" spans="1:9" x14ac:dyDescent="0.25">
      <c r="A164" s="2">
        <v>46179</v>
      </c>
      <c r="B164" t="s">
        <v>171</v>
      </c>
      <c r="C164" s="1" t="s">
        <v>182</v>
      </c>
      <c r="D164" t="s">
        <v>17</v>
      </c>
      <c r="E164">
        <v>1830</v>
      </c>
      <c r="F164">
        <v>1677.9</v>
      </c>
      <c r="G164">
        <v>152.1</v>
      </c>
      <c r="H164">
        <v>9.06</v>
      </c>
      <c r="I164" t="s">
        <v>31</v>
      </c>
    </row>
    <row r="165" spans="1:9" x14ac:dyDescent="0.25">
      <c r="A165" s="2">
        <v>46179</v>
      </c>
      <c r="B165" t="s">
        <v>171</v>
      </c>
      <c r="C165" s="1" t="s">
        <v>183</v>
      </c>
      <c r="D165" t="s">
        <v>17</v>
      </c>
      <c r="E165">
        <v>1830</v>
      </c>
      <c r="F165">
        <v>1677.9</v>
      </c>
      <c r="G165">
        <v>152.1</v>
      </c>
      <c r="H165">
        <v>9.06</v>
      </c>
      <c r="I165" t="s">
        <v>31</v>
      </c>
    </row>
    <row r="166" spans="1:9" x14ac:dyDescent="0.25">
      <c r="A166" s="2">
        <v>46179</v>
      </c>
      <c r="B166" t="s">
        <v>171</v>
      </c>
      <c r="C166" s="1" t="s">
        <v>184</v>
      </c>
      <c r="D166" t="s">
        <v>17</v>
      </c>
      <c r="E166">
        <v>1830</v>
      </c>
      <c r="F166">
        <v>1677.9</v>
      </c>
      <c r="G166">
        <v>152.1</v>
      </c>
      <c r="H166">
        <v>9.06</v>
      </c>
      <c r="I166" t="s">
        <v>31</v>
      </c>
    </row>
    <row r="167" spans="1:9" x14ac:dyDescent="0.25">
      <c r="A167" s="2">
        <v>46179</v>
      </c>
      <c r="B167" t="s">
        <v>171</v>
      </c>
      <c r="C167" s="1" t="s">
        <v>185</v>
      </c>
      <c r="D167" t="s">
        <v>17</v>
      </c>
      <c r="E167">
        <v>1830</v>
      </c>
      <c r="F167">
        <v>1677.9</v>
      </c>
      <c r="G167">
        <v>152.1</v>
      </c>
      <c r="H167">
        <v>9.06</v>
      </c>
      <c r="I167" t="s">
        <v>31</v>
      </c>
    </row>
    <row r="168" spans="1:9" x14ac:dyDescent="0.25">
      <c r="A168" s="2">
        <v>46179</v>
      </c>
      <c r="B168" t="s">
        <v>171</v>
      </c>
      <c r="C168" s="1" t="s">
        <v>186</v>
      </c>
      <c r="D168" t="s">
        <v>17</v>
      </c>
      <c r="E168">
        <v>1830</v>
      </c>
      <c r="F168">
        <v>1677.9</v>
      </c>
      <c r="G168">
        <v>152.1</v>
      </c>
      <c r="H168">
        <v>9.06</v>
      </c>
      <c r="I168" t="s">
        <v>31</v>
      </c>
    </row>
    <row r="169" spans="1:9" x14ac:dyDescent="0.25">
      <c r="A169" s="2">
        <v>46179</v>
      </c>
      <c r="B169" t="s">
        <v>171</v>
      </c>
      <c r="C169" s="1" t="s">
        <v>187</v>
      </c>
      <c r="D169" t="s">
        <v>17</v>
      </c>
      <c r="E169">
        <v>1830</v>
      </c>
      <c r="F169">
        <v>1677.9</v>
      </c>
      <c r="G169">
        <v>152.1</v>
      </c>
      <c r="H169">
        <v>9.06</v>
      </c>
      <c r="I169" t="s">
        <v>31</v>
      </c>
    </row>
    <row r="170" spans="1:9" x14ac:dyDescent="0.25">
      <c r="A170" s="2">
        <v>46179</v>
      </c>
      <c r="B170" t="s">
        <v>171</v>
      </c>
      <c r="C170" s="1" t="s">
        <v>188</v>
      </c>
      <c r="D170" t="s">
        <v>17</v>
      </c>
      <c r="E170">
        <v>1830</v>
      </c>
      <c r="F170">
        <v>1677.9</v>
      </c>
      <c r="G170">
        <v>152.1</v>
      </c>
      <c r="H170">
        <v>9.06</v>
      </c>
      <c r="I170" t="s">
        <v>31</v>
      </c>
    </row>
    <row r="171" spans="1:9" x14ac:dyDescent="0.25">
      <c r="A171" s="2">
        <v>46179</v>
      </c>
      <c r="B171" t="s">
        <v>171</v>
      </c>
      <c r="C171" s="1" t="s">
        <v>189</v>
      </c>
      <c r="D171" t="s">
        <v>17</v>
      </c>
      <c r="E171">
        <v>1830</v>
      </c>
      <c r="F171">
        <v>1677.9</v>
      </c>
      <c r="G171">
        <v>152.1</v>
      </c>
      <c r="H171">
        <v>9.06</v>
      </c>
      <c r="I171" t="s">
        <v>31</v>
      </c>
    </row>
    <row r="172" spans="1:9" x14ac:dyDescent="0.25">
      <c r="A172" s="2">
        <v>46179</v>
      </c>
      <c r="B172" t="s">
        <v>171</v>
      </c>
      <c r="C172" s="1" t="s">
        <v>190</v>
      </c>
      <c r="D172" t="s">
        <v>17</v>
      </c>
      <c r="E172">
        <v>1830</v>
      </c>
      <c r="F172">
        <v>1677.9</v>
      </c>
      <c r="G172">
        <v>152.1</v>
      </c>
      <c r="H172">
        <v>9.06</v>
      </c>
      <c r="I172" t="s">
        <v>31</v>
      </c>
    </row>
    <row r="173" spans="1:9" x14ac:dyDescent="0.25">
      <c r="A173" s="2">
        <v>46179</v>
      </c>
      <c r="B173" t="s">
        <v>171</v>
      </c>
      <c r="C173" s="1" t="s">
        <v>191</v>
      </c>
      <c r="D173" t="s">
        <v>17</v>
      </c>
      <c r="E173">
        <v>1830</v>
      </c>
      <c r="F173">
        <v>1677.9</v>
      </c>
      <c r="G173">
        <v>152.1</v>
      </c>
      <c r="H173">
        <v>9.06</v>
      </c>
      <c r="I173" t="s">
        <v>31</v>
      </c>
    </row>
    <row r="174" spans="1:9" x14ac:dyDescent="0.25">
      <c r="A174" s="2">
        <v>46179</v>
      </c>
      <c r="B174" t="s">
        <v>171</v>
      </c>
      <c r="C174" s="1" t="s">
        <v>192</v>
      </c>
      <c r="D174" t="s">
        <v>17</v>
      </c>
      <c r="E174">
        <v>1830</v>
      </c>
      <c r="F174">
        <v>1677.9</v>
      </c>
      <c r="G174">
        <v>152.1</v>
      </c>
      <c r="H174">
        <v>9.06</v>
      </c>
      <c r="I174" t="s">
        <v>31</v>
      </c>
    </row>
    <row r="175" spans="1:9" x14ac:dyDescent="0.25">
      <c r="A175" s="2">
        <v>46179</v>
      </c>
      <c r="B175" t="s">
        <v>171</v>
      </c>
      <c r="C175" s="1" t="s">
        <v>193</v>
      </c>
      <c r="D175" t="s">
        <v>17</v>
      </c>
      <c r="E175">
        <v>1830</v>
      </c>
      <c r="F175">
        <v>1677.9</v>
      </c>
      <c r="G175">
        <v>152.1</v>
      </c>
      <c r="H175">
        <v>9.06</v>
      </c>
      <c r="I175" t="s">
        <v>31</v>
      </c>
    </row>
    <row r="176" spans="1:9" x14ac:dyDescent="0.25">
      <c r="A176" s="2">
        <v>46179</v>
      </c>
      <c r="B176" t="s">
        <v>171</v>
      </c>
      <c r="C176" s="1" t="s">
        <v>194</v>
      </c>
      <c r="D176" t="s">
        <v>17</v>
      </c>
      <c r="E176">
        <v>1830</v>
      </c>
      <c r="F176">
        <v>1677.9</v>
      </c>
      <c r="G176">
        <v>152.1</v>
      </c>
      <c r="H176">
        <v>9.06</v>
      </c>
      <c r="I176" t="s">
        <v>31</v>
      </c>
    </row>
    <row r="177" spans="1:9" x14ac:dyDescent="0.25">
      <c r="A177" s="2">
        <v>46179</v>
      </c>
      <c r="B177" t="s">
        <v>171</v>
      </c>
      <c r="C177" s="1" t="s">
        <v>195</v>
      </c>
      <c r="D177" t="s">
        <v>17</v>
      </c>
      <c r="E177">
        <v>1830</v>
      </c>
      <c r="F177">
        <v>1677.9</v>
      </c>
      <c r="G177">
        <v>152.1</v>
      </c>
      <c r="H177">
        <v>9.06</v>
      </c>
      <c r="I177" t="s">
        <v>31</v>
      </c>
    </row>
    <row r="178" spans="1:9" x14ac:dyDescent="0.25">
      <c r="A178" s="2">
        <v>46179</v>
      </c>
      <c r="B178" t="s">
        <v>171</v>
      </c>
      <c r="C178" s="1" t="s">
        <v>196</v>
      </c>
      <c r="D178" t="s">
        <v>17</v>
      </c>
      <c r="E178">
        <v>1830</v>
      </c>
      <c r="F178">
        <v>1677.9</v>
      </c>
      <c r="G178">
        <v>152.1</v>
      </c>
      <c r="H178">
        <v>9.06</v>
      </c>
      <c r="I178" t="s">
        <v>31</v>
      </c>
    </row>
    <row r="179" spans="1:9" x14ac:dyDescent="0.25">
      <c r="A179" s="2">
        <v>46179</v>
      </c>
      <c r="B179" t="s">
        <v>171</v>
      </c>
      <c r="C179" s="1" t="s">
        <v>197</v>
      </c>
      <c r="D179" t="s">
        <v>17</v>
      </c>
      <c r="E179">
        <v>1830</v>
      </c>
      <c r="F179">
        <v>1677.9</v>
      </c>
      <c r="G179">
        <v>152.1</v>
      </c>
      <c r="H179">
        <v>9.06</v>
      </c>
      <c r="I179" t="s">
        <v>31</v>
      </c>
    </row>
    <row r="180" spans="1:9" x14ac:dyDescent="0.25">
      <c r="A180" s="2">
        <v>46179</v>
      </c>
      <c r="B180" t="s">
        <v>171</v>
      </c>
      <c r="C180" s="1" t="s">
        <v>198</v>
      </c>
      <c r="D180" t="s">
        <v>17</v>
      </c>
      <c r="E180">
        <v>1830</v>
      </c>
      <c r="F180">
        <v>1677.9</v>
      </c>
      <c r="G180">
        <v>152.1</v>
      </c>
      <c r="H180">
        <v>9.06</v>
      </c>
      <c r="I180" t="s">
        <v>31</v>
      </c>
    </row>
    <row r="181" spans="1:9" x14ac:dyDescent="0.25">
      <c r="A181" s="2">
        <v>46179</v>
      </c>
      <c r="B181" t="s">
        <v>171</v>
      </c>
      <c r="C181" s="1" t="s">
        <v>199</v>
      </c>
      <c r="D181" t="s">
        <v>17</v>
      </c>
      <c r="E181">
        <v>1830</v>
      </c>
      <c r="F181">
        <v>1677.9</v>
      </c>
      <c r="G181">
        <v>152.1</v>
      </c>
      <c r="H181">
        <v>9.06</v>
      </c>
      <c r="I181" t="s">
        <v>31</v>
      </c>
    </row>
    <row r="182" spans="1:9" x14ac:dyDescent="0.25">
      <c r="A182" s="2">
        <v>46181</v>
      </c>
      <c r="B182" t="s">
        <v>200</v>
      </c>
      <c r="C182" s="1" t="s">
        <v>201</v>
      </c>
      <c r="D182" t="s">
        <v>17</v>
      </c>
      <c r="E182">
        <v>150</v>
      </c>
      <c r="F182">
        <v>100</v>
      </c>
      <c r="G182">
        <v>50</v>
      </c>
      <c r="H182">
        <v>50</v>
      </c>
      <c r="I182" t="s">
        <v>18</v>
      </c>
    </row>
    <row r="183" spans="1:9" x14ac:dyDescent="0.25">
      <c r="A183" s="2">
        <v>46181</v>
      </c>
      <c r="B183" t="s">
        <v>200</v>
      </c>
      <c r="C183" s="1" t="s">
        <v>202</v>
      </c>
      <c r="D183" t="s">
        <v>17</v>
      </c>
      <c r="E183">
        <v>150</v>
      </c>
      <c r="F183">
        <v>100</v>
      </c>
      <c r="G183">
        <v>50</v>
      </c>
      <c r="H183">
        <v>50</v>
      </c>
      <c r="I183" t="s">
        <v>18</v>
      </c>
    </row>
    <row r="184" spans="1:9" x14ac:dyDescent="0.25">
      <c r="A184" s="2">
        <v>46181</v>
      </c>
      <c r="B184" t="s">
        <v>200</v>
      </c>
      <c r="C184" s="1" t="s">
        <v>203</v>
      </c>
      <c r="D184" t="s">
        <v>17</v>
      </c>
      <c r="E184">
        <v>150</v>
      </c>
      <c r="F184">
        <v>100</v>
      </c>
      <c r="G184">
        <v>50</v>
      </c>
      <c r="H184">
        <v>50</v>
      </c>
      <c r="I184" t="s">
        <v>18</v>
      </c>
    </row>
    <row r="185" spans="1:9" x14ac:dyDescent="0.25">
      <c r="A185" s="2">
        <v>46181</v>
      </c>
      <c r="B185" t="s">
        <v>200</v>
      </c>
      <c r="C185" s="1" t="s">
        <v>204</v>
      </c>
      <c r="D185" t="s">
        <v>17</v>
      </c>
      <c r="E185">
        <v>150</v>
      </c>
      <c r="F185">
        <v>100</v>
      </c>
      <c r="G185">
        <v>50</v>
      </c>
      <c r="H185">
        <v>50</v>
      </c>
      <c r="I185" t="s">
        <v>18</v>
      </c>
    </row>
    <row r="186" spans="1:9" x14ac:dyDescent="0.25">
      <c r="A186" s="2">
        <v>46182</v>
      </c>
      <c r="B186" t="s">
        <v>92</v>
      </c>
      <c r="C186" s="1">
        <v>351614409967901</v>
      </c>
      <c r="D186" t="s">
        <v>205</v>
      </c>
      <c r="E186">
        <v>2455.69</v>
      </c>
      <c r="F186">
        <v>2106.3000000000002</v>
      </c>
      <c r="G186">
        <v>349.39</v>
      </c>
      <c r="H186">
        <v>16.59</v>
      </c>
      <c r="I186" t="s">
        <v>31</v>
      </c>
    </row>
    <row r="187" spans="1:9" x14ac:dyDescent="0.25">
      <c r="A187" s="2">
        <v>46182</v>
      </c>
      <c r="B187" t="s">
        <v>95</v>
      </c>
      <c r="C187" s="1">
        <v>357247594319119</v>
      </c>
      <c r="D187" t="s">
        <v>206</v>
      </c>
      <c r="E187">
        <v>1900</v>
      </c>
      <c r="F187">
        <v>1800</v>
      </c>
      <c r="G187">
        <v>100</v>
      </c>
      <c r="H187">
        <v>5.56</v>
      </c>
      <c r="I187" t="s">
        <v>35</v>
      </c>
    </row>
    <row r="188" spans="1:9" x14ac:dyDescent="0.25">
      <c r="A188" s="2">
        <v>46182</v>
      </c>
      <c r="B188" t="s">
        <v>34</v>
      </c>
      <c r="C188" s="1">
        <v>355832519971417</v>
      </c>
      <c r="D188" t="s">
        <v>207</v>
      </c>
      <c r="E188">
        <v>3227.84</v>
      </c>
      <c r="F188">
        <v>2677.5</v>
      </c>
      <c r="G188">
        <v>550.34</v>
      </c>
      <c r="H188">
        <v>20.55</v>
      </c>
      <c r="I188" t="s">
        <v>31</v>
      </c>
    </row>
    <row r="189" spans="1:9" x14ac:dyDescent="0.25">
      <c r="A189" s="2">
        <v>46182</v>
      </c>
      <c r="B189" t="s">
        <v>34</v>
      </c>
      <c r="C189" s="1">
        <v>359477637299931</v>
      </c>
      <c r="D189" t="s">
        <v>207</v>
      </c>
      <c r="E189">
        <v>2987.34</v>
      </c>
      <c r="F189">
        <v>2600</v>
      </c>
      <c r="G189">
        <v>387.34</v>
      </c>
      <c r="H189">
        <v>14.9</v>
      </c>
      <c r="I189" t="s">
        <v>35</v>
      </c>
    </row>
    <row r="190" spans="1:9" x14ac:dyDescent="0.25">
      <c r="A190" s="2">
        <v>46182</v>
      </c>
      <c r="B190" t="s">
        <v>36</v>
      </c>
      <c r="C190" s="1">
        <v>355246652904624</v>
      </c>
      <c r="E190">
        <v>3392.4</v>
      </c>
      <c r="F190">
        <v>3257.8</v>
      </c>
      <c r="G190">
        <v>134.6</v>
      </c>
      <c r="H190">
        <v>4.13</v>
      </c>
      <c r="I190" t="s">
        <v>31</v>
      </c>
    </row>
    <row r="191" spans="1:9" x14ac:dyDescent="0.25">
      <c r="A191" s="2">
        <v>46182</v>
      </c>
      <c r="B191" t="s">
        <v>36</v>
      </c>
      <c r="C191" s="1">
        <v>357329447094428</v>
      </c>
      <c r="D191" t="s">
        <v>37</v>
      </c>
      <c r="E191">
        <v>3417.72</v>
      </c>
      <c r="F191">
        <v>3034.5</v>
      </c>
      <c r="G191">
        <v>383.22</v>
      </c>
      <c r="H191">
        <v>12.63</v>
      </c>
      <c r="I191" t="s">
        <v>31</v>
      </c>
    </row>
    <row r="192" spans="1:9" x14ac:dyDescent="0.25">
      <c r="A192" s="2">
        <v>46182</v>
      </c>
      <c r="B192" t="s">
        <v>208</v>
      </c>
      <c r="C192" s="1">
        <v>51567059717</v>
      </c>
      <c r="D192" t="s">
        <v>17</v>
      </c>
      <c r="E192">
        <v>20000</v>
      </c>
      <c r="F192">
        <v>8226.5</v>
      </c>
      <c r="G192">
        <v>11773.5</v>
      </c>
      <c r="H192">
        <v>143.12</v>
      </c>
      <c r="I192" t="s">
        <v>209</v>
      </c>
    </row>
    <row r="193" spans="1:9" x14ac:dyDescent="0.25">
      <c r="A193" s="2">
        <v>46183</v>
      </c>
      <c r="B193" t="s">
        <v>171</v>
      </c>
      <c r="C193" s="1" t="s">
        <v>210</v>
      </c>
      <c r="D193" t="s">
        <v>17</v>
      </c>
      <c r="E193">
        <v>1825</v>
      </c>
      <c r="F193">
        <v>1677.9</v>
      </c>
      <c r="G193">
        <v>147.1</v>
      </c>
      <c r="H193">
        <v>8.77</v>
      </c>
      <c r="I193" t="s">
        <v>31</v>
      </c>
    </row>
    <row r="194" spans="1:9" x14ac:dyDescent="0.25">
      <c r="A194" s="2">
        <v>46183</v>
      </c>
      <c r="B194" t="s">
        <v>171</v>
      </c>
      <c r="C194" s="1" t="s">
        <v>211</v>
      </c>
      <c r="D194" t="s">
        <v>17</v>
      </c>
      <c r="E194">
        <v>1825</v>
      </c>
      <c r="F194">
        <v>1677.9</v>
      </c>
      <c r="G194">
        <v>147.1</v>
      </c>
      <c r="H194">
        <v>8.77</v>
      </c>
      <c r="I194" t="s">
        <v>31</v>
      </c>
    </row>
    <row r="195" spans="1:9" x14ac:dyDescent="0.25">
      <c r="A195" s="2">
        <v>46183</v>
      </c>
      <c r="B195" t="s">
        <v>171</v>
      </c>
      <c r="C195" s="1" t="s">
        <v>212</v>
      </c>
      <c r="D195" t="s">
        <v>17</v>
      </c>
      <c r="E195">
        <v>1825</v>
      </c>
      <c r="F195">
        <v>1677.9</v>
      </c>
      <c r="G195">
        <v>147.1</v>
      </c>
      <c r="H195">
        <v>8.77</v>
      </c>
      <c r="I195" t="s">
        <v>31</v>
      </c>
    </row>
    <row r="196" spans="1:9" x14ac:dyDescent="0.25">
      <c r="A196" s="2">
        <v>46183</v>
      </c>
      <c r="B196" t="s">
        <v>171</v>
      </c>
      <c r="C196" s="1" t="s">
        <v>213</v>
      </c>
      <c r="D196" t="s">
        <v>17</v>
      </c>
      <c r="E196">
        <v>1825</v>
      </c>
      <c r="F196">
        <v>1677.9</v>
      </c>
      <c r="G196">
        <v>147.1</v>
      </c>
      <c r="H196">
        <v>8.77</v>
      </c>
      <c r="I196" t="s">
        <v>31</v>
      </c>
    </row>
    <row r="197" spans="1:9" x14ac:dyDescent="0.25">
      <c r="A197" s="2">
        <v>46183</v>
      </c>
      <c r="B197" t="s">
        <v>171</v>
      </c>
      <c r="C197" s="1" t="s">
        <v>214</v>
      </c>
      <c r="D197" t="s">
        <v>17</v>
      </c>
      <c r="E197">
        <v>1825</v>
      </c>
      <c r="F197">
        <v>1677.9</v>
      </c>
      <c r="G197">
        <v>147.1</v>
      </c>
      <c r="H197">
        <v>8.77</v>
      </c>
      <c r="I197" t="s">
        <v>31</v>
      </c>
    </row>
    <row r="198" spans="1:9" x14ac:dyDescent="0.25">
      <c r="A198" s="2">
        <v>46183</v>
      </c>
      <c r="B198" t="s">
        <v>171</v>
      </c>
      <c r="C198" s="1" t="s">
        <v>215</v>
      </c>
      <c r="D198" t="s">
        <v>17</v>
      </c>
      <c r="E198">
        <v>1830</v>
      </c>
      <c r="F198">
        <v>1677.9</v>
      </c>
      <c r="G198">
        <v>152.1</v>
      </c>
      <c r="H198">
        <v>9.06</v>
      </c>
      <c r="I198" t="s">
        <v>31</v>
      </c>
    </row>
    <row r="199" spans="1:9" x14ac:dyDescent="0.25">
      <c r="A199" s="2">
        <v>46183</v>
      </c>
      <c r="B199" t="s">
        <v>171</v>
      </c>
      <c r="C199" s="1" t="s">
        <v>216</v>
      </c>
      <c r="D199" t="s">
        <v>17</v>
      </c>
      <c r="E199">
        <v>1825</v>
      </c>
      <c r="F199">
        <v>1677.9</v>
      </c>
      <c r="G199">
        <v>147.1</v>
      </c>
      <c r="H199">
        <v>8.77</v>
      </c>
      <c r="I199" t="s">
        <v>31</v>
      </c>
    </row>
    <row r="200" spans="1:9" x14ac:dyDescent="0.25">
      <c r="A200" s="2">
        <v>46183</v>
      </c>
      <c r="B200" t="s">
        <v>171</v>
      </c>
      <c r="C200" s="1" t="s">
        <v>217</v>
      </c>
      <c r="D200" t="s">
        <v>17</v>
      </c>
      <c r="E200">
        <v>1825</v>
      </c>
      <c r="F200">
        <v>1677.9</v>
      </c>
      <c r="G200">
        <v>147.1</v>
      </c>
      <c r="H200">
        <v>8.77</v>
      </c>
      <c r="I200" t="s">
        <v>31</v>
      </c>
    </row>
    <row r="201" spans="1:9" x14ac:dyDescent="0.25">
      <c r="A201" s="2">
        <v>46183</v>
      </c>
      <c r="B201" t="s">
        <v>171</v>
      </c>
      <c r="C201" s="1" t="s">
        <v>218</v>
      </c>
      <c r="D201" t="s">
        <v>17</v>
      </c>
      <c r="E201">
        <v>1825</v>
      </c>
      <c r="F201">
        <v>1677.9</v>
      </c>
      <c r="G201">
        <v>147.1</v>
      </c>
      <c r="H201">
        <v>8.77</v>
      </c>
      <c r="I201" t="s">
        <v>31</v>
      </c>
    </row>
    <row r="202" spans="1:9" x14ac:dyDescent="0.25">
      <c r="A202" s="2">
        <v>46183</v>
      </c>
      <c r="B202" t="s">
        <v>171</v>
      </c>
      <c r="C202" s="1" t="s">
        <v>219</v>
      </c>
      <c r="D202" t="s">
        <v>17</v>
      </c>
      <c r="E202">
        <v>1825</v>
      </c>
      <c r="F202">
        <v>1677.9</v>
      </c>
      <c r="G202">
        <v>147.1</v>
      </c>
      <c r="H202">
        <v>8.77</v>
      </c>
      <c r="I202" t="s">
        <v>31</v>
      </c>
    </row>
    <row r="203" spans="1:9" x14ac:dyDescent="0.25">
      <c r="A203" s="2">
        <v>46183</v>
      </c>
      <c r="B203" t="s">
        <v>171</v>
      </c>
      <c r="C203" s="1" t="s">
        <v>220</v>
      </c>
      <c r="D203" t="s">
        <v>17</v>
      </c>
      <c r="E203">
        <v>1825</v>
      </c>
      <c r="F203">
        <v>1677.9</v>
      </c>
      <c r="G203">
        <v>147.1</v>
      </c>
      <c r="H203">
        <v>8.77</v>
      </c>
      <c r="I203" t="s">
        <v>31</v>
      </c>
    </row>
    <row r="204" spans="1:9" x14ac:dyDescent="0.25">
      <c r="A204" s="2">
        <v>46183</v>
      </c>
      <c r="B204" t="s">
        <v>171</v>
      </c>
      <c r="C204" s="1" t="s">
        <v>221</v>
      </c>
      <c r="D204" t="s">
        <v>17</v>
      </c>
      <c r="E204">
        <v>1825</v>
      </c>
      <c r="F204">
        <v>1677.9</v>
      </c>
      <c r="G204">
        <v>147.1</v>
      </c>
      <c r="H204">
        <v>8.77</v>
      </c>
      <c r="I204" t="s">
        <v>31</v>
      </c>
    </row>
    <row r="205" spans="1:9" x14ac:dyDescent="0.25">
      <c r="A205" s="2">
        <v>46183</v>
      </c>
      <c r="B205" t="s">
        <v>171</v>
      </c>
      <c r="C205" s="1" t="s">
        <v>222</v>
      </c>
      <c r="D205" t="s">
        <v>17</v>
      </c>
      <c r="E205">
        <v>1830</v>
      </c>
      <c r="F205">
        <v>1677.9</v>
      </c>
      <c r="G205">
        <v>152.1</v>
      </c>
      <c r="H205">
        <v>9.06</v>
      </c>
      <c r="I205" t="s">
        <v>31</v>
      </c>
    </row>
    <row r="206" spans="1:9" x14ac:dyDescent="0.25">
      <c r="A206" s="2">
        <v>46183</v>
      </c>
      <c r="B206" t="s">
        <v>171</v>
      </c>
      <c r="C206" s="1" t="s">
        <v>223</v>
      </c>
      <c r="D206" t="s">
        <v>17</v>
      </c>
      <c r="E206">
        <v>1830</v>
      </c>
      <c r="F206">
        <v>1677.9</v>
      </c>
      <c r="G206">
        <v>152.1</v>
      </c>
      <c r="H206">
        <v>9.06</v>
      </c>
      <c r="I206" t="s">
        <v>31</v>
      </c>
    </row>
    <row r="207" spans="1:9" x14ac:dyDescent="0.25">
      <c r="A207" s="2">
        <v>46183</v>
      </c>
      <c r="B207" t="s">
        <v>171</v>
      </c>
      <c r="C207" s="1" t="s">
        <v>224</v>
      </c>
      <c r="D207" t="s">
        <v>17</v>
      </c>
      <c r="E207">
        <v>1830</v>
      </c>
      <c r="F207">
        <v>1677.9</v>
      </c>
      <c r="G207">
        <v>152.1</v>
      </c>
      <c r="H207">
        <v>9.06</v>
      </c>
      <c r="I207" t="s">
        <v>31</v>
      </c>
    </row>
    <row r="208" spans="1:9" x14ac:dyDescent="0.25">
      <c r="A208" s="2">
        <v>46183</v>
      </c>
      <c r="B208" t="s">
        <v>171</v>
      </c>
      <c r="C208" s="1" t="s">
        <v>225</v>
      </c>
      <c r="D208" t="s">
        <v>17</v>
      </c>
      <c r="E208">
        <v>1830</v>
      </c>
      <c r="F208">
        <v>1677.9</v>
      </c>
      <c r="G208">
        <v>152.1</v>
      </c>
      <c r="H208">
        <v>9.06</v>
      </c>
      <c r="I208" t="s">
        <v>31</v>
      </c>
    </row>
    <row r="209" spans="1:9" x14ac:dyDescent="0.25">
      <c r="A209" s="2">
        <v>46183</v>
      </c>
      <c r="B209" t="s">
        <v>171</v>
      </c>
      <c r="C209" s="1" t="s">
        <v>226</v>
      </c>
      <c r="D209" t="s">
        <v>17</v>
      </c>
      <c r="E209">
        <v>1825</v>
      </c>
      <c r="F209">
        <v>1677.9</v>
      </c>
      <c r="G209">
        <v>147.1</v>
      </c>
      <c r="H209">
        <v>8.77</v>
      </c>
      <c r="I209" t="s">
        <v>31</v>
      </c>
    </row>
    <row r="210" spans="1:9" x14ac:dyDescent="0.25">
      <c r="A210" s="2">
        <v>46183</v>
      </c>
      <c r="B210" t="s">
        <v>171</v>
      </c>
      <c r="C210" s="1" t="s">
        <v>227</v>
      </c>
      <c r="D210" t="s">
        <v>17</v>
      </c>
      <c r="E210">
        <v>1830</v>
      </c>
      <c r="F210">
        <v>1677.9</v>
      </c>
      <c r="G210">
        <v>152.1</v>
      </c>
      <c r="H210">
        <v>9.06</v>
      </c>
      <c r="I210" t="s">
        <v>31</v>
      </c>
    </row>
    <row r="211" spans="1:9" x14ac:dyDescent="0.25">
      <c r="A211" s="2">
        <v>46183</v>
      </c>
      <c r="B211" t="s">
        <v>171</v>
      </c>
      <c r="C211" s="1" t="s">
        <v>228</v>
      </c>
      <c r="D211" t="s">
        <v>17</v>
      </c>
      <c r="E211">
        <v>1825</v>
      </c>
      <c r="F211">
        <v>1677.9</v>
      </c>
      <c r="G211">
        <v>147.1</v>
      </c>
      <c r="H211">
        <v>8.77</v>
      </c>
      <c r="I211" t="s">
        <v>31</v>
      </c>
    </row>
    <row r="212" spans="1:9" x14ac:dyDescent="0.25">
      <c r="A212" s="2">
        <v>46183</v>
      </c>
      <c r="B212" t="s">
        <v>171</v>
      </c>
      <c r="C212" s="1" t="s">
        <v>229</v>
      </c>
      <c r="D212" t="s">
        <v>17</v>
      </c>
      <c r="E212">
        <v>1825</v>
      </c>
      <c r="F212">
        <v>1677.9</v>
      </c>
      <c r="G212">
        <v>147.1</v>
      </c>
      <c r="H212">
        <v>8.77</v>
      </c>
      <c r="I212" t="s">
        <v>31</v>
      </c>
    </row>
    <row r="213" spans="1:9" x14ac:dyDescent="0.25">
      <c r="A213" s="2">
        <v>46183</v>
      </c>
      <c r="B213" t="s">
        <v>171</v>
      </c>
      <c r="C213" s="1" t="s">
        <v>230</v>
      </c>
      <c r="D213" t="s">
        <v>17</v>
      </c>
      <c r="E213">
        <v>1825</v>
      </c>
      <c r="F213">
        <v>1677.9</v>
      </c>
      <c r="G213">
        <v>147.1</v>
      </c>
      <c r="H213">
        <v>8.77</v>
      </c>
      <c r="I213" t="s">
        <v>31</v>
      </c>
    </row>
    <row r="214" spans="1:9" x14ac:dyDescent="0.25">
      <c r="A214" s="2">
        <v>46183</v>
      </c>
      <c r="B214" t="s">
        <v>171</v>
      </c>
      <c r="C214" s="1" t="s">
        <v>231</v>
      </c>
      <c r="D214" t="s">
        <v>17</v>
      </c>
      <c r="E214">
        <v>1830</v>
      </c>
      <c r="F214">
        <v>1677.9</v>
      </c>
      <c r="G214">
        <v>152.1</v>
      </c>
      <c r="H214">
        <v>9.06</v>
      </c>
      <c r="I214" t="s">
        <v>31</v>
      </c>
    </row>
    <row r="215" spans="1:9" x14ac:dyDescent="0.25">
      <c r="A215" s="2">
        <v>46183</v>
      </c>
      <c r="B215" t="s">
        <v>171</v>
      </c>
      <c r="C215" s="1" t="s">
        <v>232</v>
      </c>
      <c r="D215" t="s">
        <v>17</v>
      </c>
      <c r="E215">
        <v>1830</v>
      </c>
      <c r="F215">
        <v>1677.9</v>
      </c>
      <c r="G215">
        <v>152.1</v>
      </c>
      <c r="H215">
        <v>9.06</v>
      </c>
      <c r="I215" t="s">
        <v>31</v>
      </c>
    </row>
    <row r="216" spans="1:9" x14ac:dyDescent="0.25">
      <c r="A216" s="2">
        <v>46183</v>
      </c>
      <c r="B216" t="s">
        <v>171</v>
      </c>
      <c r="C216" s="1" t="s">
        <v>233</v>
      </c>
      <c r="D216" t="s">
        <v>17</v>
      </c>
      <c r="E216">
        <v>1825</v>
      </c>
      <c r="F216">
        <v>1677.9</v>
      </c>
      <c r="G216">
        <v>147.1</v>
      </c>
      <c r="H216">
        <v>8.77</v>
      </c>
      <c r="I216" t="s">
        <v>31</v>
      </c>
    </row>
    <row r="217" spans="1:9" x14ac:dyDescent="0.25">
      <c r="A217" s="2">
        <v>46183</v>
      </c>
      <c r="B217" t="s">
        <v>171</v>
      </c>
      <c r="C217" s="1" t="s">
        <v>234</v>
      </c>
      <c r="D217" t="s">
        <v>17</v>
      </c>
      <c r="E217">
        <v>1825</v>
      </c>
      <c r="F217">
        <v>1677.9</v>
      </c>
      <c r="G217">
        <v>147.1</v>
      </c>
      <c r="H217">
        <v>8.77</v>
      </c>
      <c r="I217" t="s">
        <v>31</v>
      </c>
    </row>
    <row r="218" spans="1:9" x14ac:dyDescent="0.25">
      <c r="A218" s="2">
        <v>46183</v>
      </c>
      <c r="B218" t="s">
        <v>171</v>
      </c>
      <c r="C218" s="1" t="s">
        <v>235</v>
      </c>
      <c r="D218" t="s">
        <v>17</v>
      </c>
      <c r="E218">
        <v>1830</v>
      </c>
      <c r="F218">
        <v>1677.9</v>
      </c>
      <c r="G218">
        <v>152.1</v>
      </c>
      <c r="H218">
        <v>9.06</v>
      </c>
      <c r="I218" t="s">
        <v>31</v>
      </c>
    </row>
    <row r="219" spans="1:9" x14ac:dyDescent="0.25">
      <c r="A219" s="2">
        <v>46183</v>
      </c>
      <c r="B219" t="s">
        <v>171</v>
      </c>
      <c r="C219" s="1" t="s">
        <v>236</v>
      </c>
      <c r="D219" t="s">
        <v>17</v>
      </c>
      <c r="E219">
        <v>1825</v>
      </c>
      <c r="F219">
        <v>1677.9</v>
      </c>
      <c r="G219">
        <v>147.1</v>
      </c>
      <c r="H219">
        <v>8.77</v>
      </c>
      <c r="I219" t="s">
        <v>31</v>
      </c>
    </row>
    <row r="220" spans="1:9" x14ac:dyDescent="0.25">
      <c r="A220" s="2">
        <v>46183</v>
      </c>
      <c r="B220" t="s">
        <v>171</v>
      </c>
      <c r="C220" s="1" t="s">
        <v>237</v>
      </c>
      <c r="D220" t="s">
        <v>17</v>
      </c>
      <c r="E220">
        <v>1825</v>
      </c>
      <c r="F220">
        <v>1677.9</v>
      </c>
      <c r="G220">
        <v>147.1</v>
      </c>
      <c r="H220">
        <v>8.77</v>
      </c>
      <c r="I220" t="s">
        <v>31</v>
      </c>
    </row>
    <row r="221" spans="1:9" x14ac:dyDescent="0.25">
      <c r="A221" s="2">
        <v>46183</v>
      </c>
      <c r="B221" t="s">
        <v>171</v>
      </c>
      <c r="C221" s="1" t="s">
        <v>238</v>
      </c>
      <c r="D221" t="s">
        <v>17</v>
      </c>
      <c r="E221">
        <v>1830</v>
      </c>
      <c r="F221">
        <v>1677.9</v>
      </c>
      <c r="G221">
        <v>152.1</v>
      </c>
      <c r="H221">
        <v>9.06</v>
      </c>
      <c r="I221" t="s">
        <v>31</v>
      </c>
    </row>
    <row r="222" spans="1:9" x14ac:dyDescent="0.25">
      <c r="A222" s="2">
        <v>46183</v>
      </c>
      <c r="B222" t="s">
        <v>171</v>
      </c>
      <c r="C222" s="1" t="s">
        <v>239</v>
      </c>
      <c r="D222" t="s">
        <v>17</v>
      </c>
      <c r="E222">
        <v>1830</v>
      </c>
      <c r="F222">
        <v>1677.9</v>
      </c>
      <c r="G222">
        <v>152.1</v>
      </c>
      <c r="H222">
        <v>9.06</v>
      </c>
      <c r="I222" t="s">
        <v>31</v>
      </c>
    </row>
    <row r="223" spans="1:9" x14ac:dyDescent="0.25">
      <c r="A223" s="2">
        <v>46183</v>
      </c>
      <c r="B223" t="s">
        <v>171</v>
      </c>
      <c r="C223" s="1" t="s">
        <v>240</v>
      </c>
      <c r="D223" t="s">
        <v>17</v>
      </c>
      <c r="E223">
        <v>1825</v>
      </c>
      <c r="F223">
        <v>1677.9</v>
      </c>
      <c r="G223">
        <v>147.1</v>
      </c>
      <c r="H223">
        <v>8.77</v>
      </c>
      <c r="I223" t="s">
        <v>31</v>
      </c>
    </row>
    <row r="224" spans="1:9" x14ac:dyDescent="0.25">
      <c r="A224" s="2">
        <v>46183</v>
      </c>
      <c r="B224" t="s">
        <v>171</v>
      </c>
      <c r="C224" s="1" t="s">
        <v>241</v>
      </c>
      <c r="D224" t="s">
        <v>17</v>
      </c>
      <c r="E224">
        <v>1830</v>
      </c>
      <c r="F224">
        <v>1677.9</v>
      </c>
      <c r="G224">
        <v>152.1</v>
      </c>
      <c r="H224">
        <v>9.06</v>
      </c>
      <c r="I224" t="s">
        <v>31</v>
      </c>
    </row>
    <row r="225" spans="1:9" x14ac:dyDescent="0.25">
      <c r="A225" s="2">
        <v>46183</v>
      </c>
      <c r="B225" t="s">
        <v>171</v>
      </c>
      <c r="C225" s="1" t="s">
        <v>242</v>
      </c>
      <c r="D225" t="s">
        <v>17</v>
      </c>
      <c r="E225">
        <v>1825</v>
      </c>
      <c r="F225">
        <v>1677.9</v>
      </c>
      <c r="G225">
        <v>147.1</v>
      </c>
      <c r="H225">
        <v>8.77</v>
      </c>
      <c r="I225" t="s">
        <v>31</v>
      </c>
    </row>
    <row r="226" spans="1:9" x14ac:dyDescent="0.25">
      <c r="A226" s="2">
        <v>46183</v>
      </c>
      <c r="B226" t="s">
        <v>171</v>
      </c>
      <c r="C226" s="1" t="s">
        <v>243</v>
      </c>
      <c r="D226" t="s">
        <v>17</v>
      </c>
      <c r="E226">
        <v>1825</v>
      </c>
      <c r="F226">
        <v>1677.9</v>
      </c>
      <c r="G226">
        <v>147.1</v>
      </c>
      <c r="H226">
        <v>8.77</v>
      </c>
      <c r="I226" t="s">
        <v>31</v>
      </c>
    </row>
    <row r="227" spans="1:9" x14ac:dyDescent="0.25">
      <c r="A227" s="2">
        <v>46183</v>
      </c>
      <c r="B227" t="s">
        <v>171</v>
      </c>
      <c r="C227" s="1" t="s">
        <v>244</v>
      </c>
      <c r="D227" t="s">
        <v>17</v>
      </c>
      <c r="E227">
        <v>1825</v>
      </c>
      <c r="F227">
        <v>1677.9</v>
      </c>
      <c r="G227">
        <v>147.1</v>
      </c>
      <c r="H227">
        <v>8.77</v>
      </c>
      <c r="I227" t="s">
        <v>31</v>
      </c>
    </row>
    <row r="228" spans="1:9" x14ac:dyDescent="0.25">
      <c r="A228" s="2">
        <v>46183</v>
      </c>
      <c r="B228" t="s">
        <v>171</v>
      </c>
      <c r="C228" s="1" t="s">
        <v>245</v>
      </c>
      <c r="D228" t="s">
        <v>17</v>
      </c>
      <c r="E228">
        <v>1825</v>
      </c>
      <c r="F228">
        <v>1677.9</v>
      </c>
      <c r="G228">
        <v>147.1</v>
      </c>
      <c r="H228">
        <v>8.77</v>
      </c>
      <c r="I228" t="s">
        <v>31</v>
      </c>
    </row>
    <row r="229" spans="1:9" x14ac:dyDescent="0.25">
      <c r="A229" s="2">
        <v>46183</v>
      </c>
      <c r="B229" t="s">
        <v>171</v>
      </c>
      <c r="C229" s="1" t="s">
        <v>246</v>
      </c>
      <c r="D229" t="s">
        <v>17</v>
      </c>
      <c r="E229">
        <v>1825</v>
      </c>
      <c r="F229">
        <v>1677.9</v>
      </c>
      <c r="G229">
        <v>147.1</v>
      </c>
      <c r="H229">
        <v>8.77</v>
      </c>
      <c r="I229" t="s">
        <v>31</v>
      </c>
    </row>
    <row r="230" spans="1:9" x14ac:dyDescent="0.25">
      <c r="A230" s="2">
        <v>46183</v>
      </c>
      <c r="B230" t="s">
        <v>171</v>
      </c>
      <c r="C230" s="1" t="s">
        <v>247</v>
      </c>
      <c r="D230" t="s">
        <v>17</v>
      </c>
      <c r="E230">
        <v>1825</v>
      </c>
      <c r="F230">
        <v>1677.9</v>
      </c>
      <c r="G230">
        <v>147.1</v>
      </c>
      <c r="H230">
        <v>8.77</v>
      </c>
      <c r="I230" t="s">
        <v>31</v>
      </c>
    </row>
    <row r="231" spans="1:9" x14ac:dyDescent="0.25">
      <c r="A231" s="2">
        <v>46183</v>
      </c>
      <c r="B231" t="s">
        <v>171</v>
      </c>
      <c r="C231" s="1" t="s">
        <v>248</v>
      </c>
      <c r="D231" t="s">
        <v>17</v>
      </c>
      <c r="E231">
        <v>1825</v>
      </c>
      <c r="F231">
        <v>1677.9</v>
      </c>
      <c r="G231">
        <v>147.1</v>
      </c>
      <c r="H231">
        <v>8.77</v>
      </c>
      <c r="I231" t="s">
        <v>31</v>
      </c>
    </row>
    <row r="232" spans="1:9" x14ac:dyDescent="0.25">
      <c r="A232" s="2">
        <v>46183</v>
      </c>
      <c r="B232" t="s">
        <v>171</v>
      </c>
      <c r="C232" s="1" t="s">
        <v>249</v>
      </c>
      <c r="D232" t="s">
        <v>17</v>
      </c>
      <c r="E232">
        <v>1830</v>
      </c>
      <c r="F232">
        <v>1677.9</v>
      </c>
      <c r="G232">
        <v>152.1</v>
      </c>
      <c r="H232">
        <v>9.06</v>
      </c>
      <c r="I232" t="s">
        <v>31</v>
      </c>
    </row>
    <row r="233" spans="1:9" x14ac:dyDescent="0.25">
      <c r="A233" s="2">
        <v>46183</v>
      </c>
      <c r="B233" t="s">
        <v>171</v>
      </c>
      <c r="C233" s="1" t="s">
        <v>250</v>
      </c>
      <c r="D233" t="s">
        <v>17</v>
      </c>
      <c r="E233">
        <v>1825</v>
      </c>
      <c r="F233">
        <v>1677.9</v>
      </c>
      <c r="G233">
        <v>147.1</v>
      </c>
      <c r="H233">
        <v>8.77</v>
      </c>
      <c r="I233" t="s">
        <v>31</v>
      </c>
    </row>
    <row r="234" spans="1:9" x14ac:dyDescent="0.25">
      <c r="A234" s="2">
        <v>46183</v>
      </c>
      <c r="B234" t="s">
        <v>171</v>
      </c>
      <c r="C234" s="1" t="s">
        <v>251</v>
      </c>
      <c r="D234" t="s">
        <v>17</v>
      </c>
      <c r="E234">
        <v>1825</v>
      </c>
      <c r="F234">
        <v>1677.9</v>
      </c>
      <c r="G234">
        <v>147.1</v>
      </c>
      <c r="H234">
        <v>8.77</v>
      </c>
      <c r="I234" t="s">
        <v>31</v>
      </c>
    </row>
    <row r="235" spans="1:9" x14ac:dyDescent="0.25">
      <c r="A235" s="2">
        <v>46183</v>
      </c>
      <c r="B235" t="s">
        <v>171</v>
      </c>
      <c r="C235" s="1" t="s">
        <v>252</v>
      </c>
      <c r="D235" t="s">
        <v>17</v>
      </c>
      <c r="E235">
        <v>1825</v>
      </c>
      <c r="F235">
        <v>1677.9</v>
      </c>
      <c r="G235">
        <v>147.1</v>
      </c>
      <c r="H235">
        <v>8.77</v>
      </c>
      <c r="I235" t="s">
        <v>31</v>
      </c>
    </row>
    <row r="236" spans="1:9" x14ac:dyDescent="0.25">
      <c r="A236" s="2">
        <v>46183</v>
      </c>
      <c r="B236" t="s">
        <v>171</v>
      </c>
      <c r="C236" s="1" t="s">
        <v>253</v>
      </c>
      <c r="D236" t="s">
        <v>17</v>
      </c>
      <c r="E236">
        <v>1830</v>
      </c>
      <c r="F236">
        <v>1677.9</v>
      </c>
      <c r="G236">
        <v>152.1</v>
      </c>
      <c r="H236">
        <v>9.06</v>
      </c>
      <c r="I236" t="s">
        <v>31</v>
      </c>
    </row>
    <row r="237" spans="1:9" x14ac:dyDescent="0.25">
      <c r="A237" s="2">
        <v>46183</v>
      </c>
      <c r="B237" t="s">
        <v>171</v>
      </c>
      <c r="C237" s="1" t="s">
        <v>254</v>
      </c>
      <c r="D237" t="s">
        <v>17</v>
      </c>
      <c r="E237">
        <v>1830</v>
      </c>
      <c r="F237">
        <v>1677.9</v>
      </c>
      <c r="G237">
        <v>152.1</v>
      </c>
      <c r="H237">
        <v>9.06</v>
      </c>
      <c r="I237" t="s">
        <v>31</v>
      </c>
    </row>
    <row r="238" spans="1:9" x14ac:dyDescent="0.25">
      <c r="A238" s="2">
        <v>46183</v>
      </c>
      <c r="B238" t="s">
        <v>171</v>
      </c>
      <c r="C238" s="1" t="s">
        <v>255</v>
      </c>
      <c r="D238" t="s">
        <v>17</v>
      </c>
      <c r="E238">
        <v>1825</v>
      </c>
      <c r="F238">
        <v>1677.9</v>
      </c>
      <c r="G238">
        <v>147.1</v>
      </c>
      <c r="H238">
        <v>8.77</v>
      </c>
      <c r="I238" t="s">
        <v>31</v>
      </c>
    </row>
    <row r="239" spans="1:9" x14ac:dyDescent="0.25">
      <c r="A239" s="2">
        <v>46183</v>
      </c>
      <c r="B239" t="s">
        <v>171</v>
      </c>
      <c r="C239" s="1" t="s">
        <v>256</v>
      </c>
      <c r="D239" t="s">
        <v>17</v>
      </c>
      <c r="E239">
        <v>1825</v>
      </c>
      <c r="F239">
        <v>1677.9</v>
      </c>
      <c r="G239">
        <v>147.1</v>
      </c>
      <c r="H239">
        <v>8.77</v>
      </c>
      <c r="I239" t="s">
        <v>31</v>
      </c>
    </row>
    <row r="240" spans="1:9" x14ac:dyDescent="0.25">
      <c r="A240" s="2">
        <v>46183</v>
      </c>
      <c r="B240" t="s">
        <v>171</v>
      </c>
      <c r="C240" s="1" t="s">
        <v>257</v>
      </c>
      <c r="D240" t="s">
        <v>17</v>
      </c>
      <c r="E240">
        <v>1830</v>
      </c>
      <c r="F240">
        <v>1677.9</v>
      </c>
      <c r="G240">
        <v>152.1</v>
      </c>
      <c r="H240">
        <v>9.06</v>
      </c>
      <c r="I240" t="s">
        <v>31</v>
      </c>
    </row>
    <row r="241" spans="1:9" x14ac:dyDescent="0.25">
      <c r="A241" s="2">
        <v>46183</v>
      </c>
      <c r="B241" t="s">
        <v>171</v>
      </c>
      <c r="C241" s="1" t="s">
        <v>258</v>
      </c>
      <c r="D241" t="s">
        <v>17</v>
      </c>
      <c r="E241">
        <v>1830</v>
      </c>
      <c r="F241">
        <v>1677.9</v>
      </c>
      <c r="G241">
        <v>152.1</v>
      </c>
      <c r="H241">
        <v>9.06</v>
      </c>
      <c r="I241" t="s">
        <v>31</v>
      </c>
    </row>
    <row r="242" spans="1:9" x14ac:dyDescent="0.25">
      <c r="A242" s="2">
        <v>46183</v>
      </c>
      <c r="B242" t="s">
        <v>171</v>
      </c>
      <c r="C242" s="1" t="s">
        <v>259</v>
      </c>
      <c r="D242" t="s">
        <v>17</v>
      </c>
      <c r="E242">
        <v>1825</v>
      </c>
      <c r="F242">
        <v>1677.9</v>
      </c>
      <c r="G242">
        <v>147.1</v>
      </c>
      <c r="H242">
        <v>8.77</v>
      </c>
      <c r="I242" t="s">
        <v>31</v>
      </c>
    </row>
    <row r="243" spans="1:9" x14ac:dyDescent="0.25">
      <c r="A243" s="2">
        <v>46183</v>
      </c>
      <c r="B243" t="s">
        <v>171</v>
      </c>
      <c r="C243" s="1" t="s">
        <v>260</v>
      </c>
      <c r="D243" t="s">
        <v>17</v>
      </c>
      <c r="E243">
        <v>1825</v>
      </c>
      <c r="F243">
        <v>1677.9</v>
      </c>
      <c r="G243">
        <v>147.1</v>
      </c>
      <c r="H243">
        <v>8.77</v>
      </c>
      <c r="I243" t="s">
        <v>31</v>
      </c>
    </row>
    <row r="244" spans="1:9" x14ac:dyDescent="0.25">
      <c r="A244" s="2">
        <v>46183</v>
      </c>
      <c r="B244" t="s">
        <v>171</v>
      </c>
      <c r="C244" s="1" t="s">
        <v>261</v>
      </c>
      <c r="D244" t="s">
        <v>17</v>
      </c>
      <c r="E244">
        <v>1825</v>
      </c>
      <c r="F244">
        <v>1677.9</v>
      </c>
      <c r="G244">
        <v>147.1</v>
      </c>
      <c r="H244">
        <v>8.77</v>
      </c>
      <c r="I244" t="s">
        <v>31</v>
      </c>
    </row>
    <row r="245" spans="1:9" x14ac:dyDescent="0.25">
      <c r="A245" s="2">
        <v>46183</v>
      </c>
      <c r="B245" t="s">
        <v>171</v>
      </c>
      <c r="C245" s="1" t="s">
        <v>262</v>
      </c>
      <c r="D245" t="s">
        <v>17</v>
      </c>
      <c r="E245">
        <v>1830</v>
      </c>
      <c r="F245">
        <v>1677.9</v>
      </c>
      <c r="G245">
        <v>152.1</v>
      </c>
      <c r="H245">
        <v>9.06</v>
      </c>
      <c r="I245" t="s">
        <v>31</v>
      </c>
    </row>
    <row r="246" spans="1:9" x14ac:dyDescent="0.25">
      <c r="A246" s="2">
        <v>46183</v>
      </c>
      <c r="B246" t="s">
        <v>171</v>
      </c>
      <c r="C246" s="1" t="s">
        <v>263</v>
      </c>
      <c r="D246" t="s">
        <v>17</v>
      </c>
      <c r="E246">
        <v>1825</v>
      </c>
      <c r="F246">
        <v>1677.9</v>
      </c>
      <c r="G246">
        <v>147.1</v>
      </c>
      <c r="H246">
        <v>8.77</v>
      </c>
      <c r="I246" t="s">
        <v>31</v>
      </c>
    </row>
    <row r="247" spans="1:9" x14ac:dyDescent="0.25">
      <c r="A247" s="2">
        <v>46183</v>
      </c>
      <c r="B247" t="s">
        <v>171</v>
      </c>
      <c r="C247" s="1" t="s">
        <v>264</v>
      </c>
      <c r="D247" t="s">
        <v>17</v>
      </c>
      <c r="E247">
        <v>1825</v>
      </c>
      <c r="F247">
        <v>1677.9</v>
      </c>
      <c r="G247">
        <v>147.1</v>
      </c>
      <c r="H247">
        <v>8.77</v>
      </c>
      <c r="I247" t="s">
        <v>31</v>
      </c>
    </row>
    <row r="248" spans="1:9" x14ac:dyDescent="0.25">
      <c r="A248" s="2">
        <v>46183</v>
      </c>
      <c r="B248" t="s">
        <v>171</v>
      </c>
      <c r="C248" s="1" t="s">
        <v>265</v>
      </c>
      <c r="D248" t="s">
        <v>17</v>
      </c>
      <c r="E248">
        <v>1825</v>
      </c>
      <c r="F248">
        <v>1677.9</v>
      </c>
      <c r="G248">
        <v>147.1</v>
      </c>
      <c r="H248">
        <v>8.77</v>
      </c>
      <c r="I248" t="s">
        <v>31</v>
      </c>
    </row>
    <row r="249" spans="1:9" x14ac:dyDescent="0.25">
      <c r="A249" s="2">
        <v>46183</v>
      </c>
      <c r="B249" t="s">
        <v>171</v>
      </c>
      <c r="C249" s="1" t="s">
        <v>266</v>
      </c>
      <c r="D249" t="s">
        <v>17</v>
      </c>
      <c r="E249">
        <v>1825</v>
      </c>
      <c r="F249">
        <v>1677.9</v>
      </c>
      <c r="G249">
        <v>147.1</v>
      </c>
      <c r="H249">
        <v>8.77</v>
      </c>
      <c r="I249" t="s">
        <v>31</v>
      </c>
    </row>
    <row r="250" spans="1:9" x14ac:dyDescent="0.25">
      <c r="A250" s="2">
        <v>46183</v>
      </c>
      <c r="B250" t="s">
        <v>171</v>
      </c>
      <c r="C250" s="1" t="s">
        <v>267</v>
      </c>
      <c r="D250" t="s">
        <v>17</v>
      </c>
      <c r="E250">
        <v>1830</v>
      </c>
      <c r="F250">
        <v>1677.9</v>
      </c>
      <c r="G250">
        <v>152.1</v>
      </c>
      <c r="H250">
        <v>9.06</v>
      </c>
      <c r="I250" t="s">
        <v>31</v>
      </c>
    </row>
    <row r="251" spans="1:9" x14ac:dyDescent="0.25">
      <c r="A251" s="2">
        <v>46183</v>
      </c>
      <c r="B251" t="s">
        <v>171</v>
      </c>
      <c r="C251" s="1" t="s">
        <v>268</v>
      </c>
      <c r="D251" t="s">
        <v>17</v>
      </c>
      <c r="E251">
        <v>1825</v>
      </c>
      <c r="F251">
        <v>1677.9</v>
      </c>
      <c r="G251">
        <v>147.1</v>
      </c>
      <c r="H251">
        <v>8.77</v>
      </c>
      <c r="I251" t="s">
        <v>31</v>
      </c>
    </row>
    <row r="252" spans="1:9" x14ac:dyDescent="0.25">
      <c r="A252" s="2">
        <v>46183</v>
      </c>
      <c r="B252" t="s">
        <v>171</v>
      </c>
      <c r="C252" s="1" t="s">
        <v>269</v>
      </c>
      <c r="D252" t="s">
        <v>17</v>
      </c>
      <c r="E252">
        <v>1830</v>
      </c>
      <c r="F252">
        <v>1677.9</v>
      </c>
      <c r="G252">
        <v>152.1</v>
      </c>
      <c r="H252">
        <v>9.06</v>
      </c>
      <c r="I252" t="s">
        <v>31</v>
      </c>
    </row>
    <row r="253" spans="1:9" x14ac:dyDescent="0.25">
      <c r="A253" s="2">
        <v>46183</v>
      </c>
      <c r="B253" t="s">
        <v>123</v>
      </c>
      <c r="C253" s="1" t="s">
        <v>270</v>
      </c>
      <c r="D253" t="s">
        <v>17</v>
      </c>
      <c r="E253">
        <v>2980</v>
      </c>
      <c r="F253">
        <v>2534.6999999999998</v>
      </c>
      <c r="G253">
        <v>445.3</v>
      </c>
      <c r="H253">
        <v>17.57</v>
      </c>
      <c r="I253" t="s">
        <v>31</v>
      </c>
    </row>
    <row r="254" spans="1:9" x14ac:dyDescent="0.25">
      <c r="A254" s="2">
        <v>46183</v>
      </c>
      <c r="B254" t="s">
        <v>123</v>
      </c>
      <c r="C254" s="1" t="s">
        <v>271</v>
      </c>
      <c r="D254" t="s">
        <v>17</v>
      </c>
      <c r="E254">
        <v>2980</v>
      </c>
      <c r="F254">
        <v>2534.6999999999998</v>
      </c>
      <c r="G254">
        <v>445.3</v>
      </c>
      <c r="H254">
        <v>17.57</v>
      </c>
      <c r="I254" t="s">
        <v>31</v>
      </c>
    </row>
    <row r="255" spans="1:9" x14ac:dyDescent="0.25">
      <c r="A255" s="2">
        <v>46183</v>
      </c>
      <c r="B255" t="s">
        <v>123</v>
      </c>
      <c r="C255" s="1" t="s">
        <v>272</v>
      </c>
      <c r="D255" t="s">
        <v>17</v>
      </c>
      <c r="E255">
        <v>2980</v>
      </c>
      <c r="F255">
        <v>2534.6999999999998</v>
      </c>
      <c r="G255">
        <v>445.3</v>
      </c>
      <c r="H255">
        <v>17.57</v>
      </c>
      <c r="I255" t="s">
        <v>31</v>
      </c>
    </row>
    <row r="256" spans="1:9" x14ac:dyDescent="0.25">
      <c r="A256" s="2">
        <v>46183</v>
      </c>
      <c r="B256" t="s">
        <v>123</v>
      </c>
      <c r="C256" s="1" t="s">
        <v>273</v>
      </c>
      <c r="D256" t="s">
        <v>17</v>
      </c>
      <c r="E256">
        <v>2980</v>
      </c>
      <c r="F256">
        <v>2534.6999999999998</v>
      </c>
      <c r="G256">
        <v>445.3</v>
      </c>
      <c r="H256">
        <v>17.57</v>
      </c>
      <c r="I256" t="s">
        <v>31</v>
      </c>
    </row>
    <row r="257" spans="1:9" x14ac:dyDescent="0.25">
      <c r="A257" s="2">
        <v>46183</v>
      </c>
      <c r="B257" t="s">
        <v>123</v>
      </c>
      <c r="C257" s="1" t="s">
        <v>274</v>
      </c>
      <c r="D257" t="s">
        <v>17</v>
      </c>
      <c r="E257">
        <v>2980</v>
      </c>
      <c r="F257">
        <v>2534.6999999999998</v>
      </c>
      <c r="G257">
        <v>445.3</v>
      </c>
      <c r="H257">
        <v>17.57</v>
      </c>
      <c r="I257" t="s">
        <v>31</v>
      </c>
    </row>
    <row r="258" spans="1:9" x14ac:dyDescent="0.25">
      <c r="A258" s="2">
        <v>46184</v>
      </c>
      <c r="B258" t="s">
        <v>36</v>
      </c>
      <c r="C258" s="1">
        <v>350552890635903</v>
      </c>
      <c r="D258" t="s">
        <v>275</v>
      </c>
      <c r="E258">
        <v>3455.69</v>
      </c>
      <c r="F258">
        <v>3000</v>
      </c>
      <c r="G258">
        <v>455.69</v>
      </c>
      <c r="H258">
        <v>15.19</v>
      </c>
      <c r="I258" t="s">
        <v>35</v>
      </c>
    </row>
    <row r="259" spans="1:9" x14ac:dyDescent="0.25">
      <c r="A259" s="2">
        <v>46184</v>
      </c>
      <c r="B259" t="s">
        <v>276</v>
      </c>
      <c r="C259" s="1">
        <v>49373452851</v>
      </c>
      <c r="D259" t="s">
        <v>17</v>
      </c>
      <c r="E259">
        <v>4250</v>
      </c>
      <c r="F259">
        <v>3598.2</v>
      </c>
      <c r="G259">
        <v>651.79999999999995</v>
      </c>
      <c r="H259">
        <v>18.11</v>
      </c>
      <c r="I259" t="s">
        <v>209</v>
      </c>
    </row>
    <row r="260" spans="1:9" x14ac:dyDescent="0.25">
      <c r="A260" s="2">
        <v>46184</v>
      </c>
      <c r="B260" t="s">
        <v>276</v>
      </c>
      <c r="C260" s="1">
        <v>79083360152</v>
      </c>
      <c r="D260" t="s">
        <v>17</v>
      </c>
      <c r="E260">
        <v>4250</v>
      </c>
      <c r="F260">
        <v>3598.2</v>
      </c>
      <c r="G260">
        <v>651.79999999999995</v>
      </c>
      <c r="H260">
        <v>18.11</v>
      </c>
      <c r="I260" t="s">
        <v>209</v>
      </c>
    </row>
    <row r="261" spans="1:9" x14ac:dyDescent="0.25">
      <c r="A261" s="2">
        <v>46184</v>
      </c>
      <c r="B261" t="s">
        <v>276</v>
      </c>
      <c r="C261" s="1">
        <v>79979859368</v>
      </c>
      <c r="D261" t="s">
        <v>17</v>
      </c>
      <c r="E261">
        <v>4250</v>
      </c>
      <c r="F261">
        <v>3598.2</v>
      </c>
      <c r="G261">
        <v>651.79999999999995</v>
      </c>
      <c r="H261">
        <v>18.11</v>
      </c>
      <c r="I261" t="s">
        <v>209</v>
      </c>
    </row>
    <row r="262" spans="1:9" x14ac:dyDescent="0.25">
      <c r="A262" s="2">
        <v>46184</v>
      </c>
      <c r="B262" t="s">
        <v>276</v>
      </c>
      <c r="C262" s="1">
        <v>99849164949</v>
      </c>
      <c r="D262" t="s">
        <v>17</v>
      </c>
      <c r="E262">
        <v>4250</v>
      </c>
      <c r="F262">
        <v>3598.2</v>
      </c>
      <c r="G262">
        <v>651.79999999999995</v>
      </c>
      <c r="H262">
        <v>18.11</v>
      </c>
      <c r="I262" t="s">
        <v>209</v>
      </c>
    </row>
    <row r="263" spans="1:9" x14ac:dyDescent="0.25">
      <c r="A263" s="2">
        <v>46185</v>
      </c>
      <c r="B263" t="s">
        <v>36</v>
      </c>
      <c r="C263" s="1">
        <v>350230972375512</v>
      </c>
      <c r="D263" t="s">
        <v>277</v>
      </c>
      <c r="E263">
        <v>3734.17</v>
      </c>
      <c r="F263">
        <v>3200</v>
      </c>
      <c r="G263">
        <v>534.16999999999996</v>
      </c>
      <c r="H263">
        <v>16.690000000000001</v>
      </c>
      <c r="I263" t="s">
        <v>35</v>
      </c>
    </row>
    <row r="264" spans="1:9" x14ac:dyDescent="0.25">
      <c r="A264" s="2">
        <v>46185</v>
      </c>
      <c r="B264" t="s">
        <v>278</v>
      </c>
      <c r="C264" s="1" t="s">
        <v>279</v>
      </c>
      <c r="D264" t="s">
        <v>17</v>
      </c>
      <c r="E264">
        <v>13950</v>
      </c>
      <c r="F264">
        <v>12495</v>
      </c>
      <c r="G264">
        <v>1455</v>
      </c>
      <c r="H264">
        <v>11.64</v>
      </c>
      <c r="I264" t="s">
        <v>31</v>
      </c>
    </row>
    <row r="265" spans="1:9" x14ac:dyDescent="0.25">
      <c r="A265" s="2">
        <v>46185</v>
      </c>
      <c r="B265" t="s">
        <v>59</v>
      </c>
      <c r="C265" s="1" t="s">
        <v>280</v>
      </c>
      <c r="D265" t="s">
        <v>281</v>
      </c>
      <c r="E265">
        <v>1520</v>
      </c>
      <c r="F265">
        <v>1106.7</v>
      </c>
      <c r="G265">
        <v>413.3</v>
      </c>
      <c r="H265">
        <v>37.35</v>
      </c>
      <c r="I265" t="s">
        <v>31</v>
      </c>
    </row>
    <row r="266" spans="1:9" x14ac:dyDescent="0.25">
      <c r="A266" s="2">
        <v>46185</v>
      </c>
      <c r="B266" t="s">
        <v>59</v>
      </c>
      <c r="C266" s="1" t="s">
        <v>282</v>
      </c>
      <c r="D266" t="s">
        <v>283</v>
      </c>
      <c r="E266">
        <v>1520</v>
      </c>
      <c r="F266">
        <v>1106.7</v>
      </c>
      <c r="G266">
        <v>413.3</v>
      </c>
      <c r="H266">
        <v>37.35</v>
      </c>
      <c r="I266" t="s">
        <v>31</v>
      </c>
    </row>
    <row r="267" spans="1:9" x14ac:dyDescent="0.25">
      <c r="A267" s="2">
        <v>46185</v>
      </c>
      <c r="B267" t="s">
        <v>59</v>
      </c>
      <c r="C267" s="1" t="s">
        <v>284</v>
      </c>
      <c r="D267" t="s">
        <v>285</v>
      </c>
      <c r="E267">
        <v>1310</v>
      </c>
      <c r="F267">
        <v>1106.7</v>
      </c>
      <c r="G267">
        <v>203.3</v>
      </c>
      <c r="H267">
        <v>18.37</v>
      </c>
      <c r="I267" t="s">
        <v>31</v>
      </c>
    </row>
    <row r="268" spans="1:9" x14ac:dyDescent="0.25">
      <c r="A268" s="2">
        <v>46185</v>
      </c>
      <c r="B268" t="s">
        <v>59</v>
      </c>
      <c r="C268" s="1" t="s">
        <v>286</v>
      </c>
      <c r="D268" t="s">
        <v>285</v>
      </c>
      <c r="E268">
        <v>1310</v>
      </c>
      <c r="F268">
        <v>1106.7</v>
      </c>
      <c r="G268">
        <v>203.3</v>
      </c>
      <c r="H268">
        <v>18.37</v>
      </c>
      <c r="I268" t="s">
        <v>31</v>
      </c>
    </row>
    <row r="269" spans="1:9" x14ac:dyDescent="0.25">
      <c r="A269" s="2">
        <v>46185</v>
      </c>
      <c r="B269" t="s">
        <v>59</v>
      </c>
      <c r="C269" s="1" t="s">
        <v>287</v>
      </c>
      <c r="D269" t="s">
        <v>281</v>
      </c>
      <c r="E269">
        <v>1520</v>
      </c>
      <c r="F269">
        <v>1106.7</v>
      </c>
      <c r="G269">
        <v>413.3</v>
      </c>
      <c r="H269">
        <v>37.35</v>
      </c>
      <c r="I269" t="s">
        <v>31</v>
      </c>
    </row>
    <row r="270" spans="1:9" x14ac:dyDescent="0.25">
      <c r="A270" s="2">
        <v>46185</v>
      </c>
      <c r="B270" t="s">
        <v>59</v>
      </c>
      <c r="C270" s="1" t="s">
        <v>288</v>
      </c>
      <c r="D270" t="s">
        <v>281</v>
      </c>
      <c r="E270">
        <v>1520</v>
      </c>
      <c r="F270">
        <v>1106.7</v>
      </c>
      <c r="G270">
        <v>413.3</v>
      </c>
      <c r="H270">
        <v>37.35</v>
      </c>
      <c r="I270" t="s">
        <v>31</v>
      </c>
    </row>
    <row r="271" spans="1:9" x14ac:dyDescent="0.25">
      <c r="A271" s="2">
        <v>46185</v>
      </c>
      <c r="B271" t="s">
        <v>59</v>
      </c>
      <c r="C271" s="1" t="s">
        <v>289</v>
      </c>
      <c r="D271" t="s">
        <v>281</v>
      </c>
      <c r="E271">
        <v>1520</v>
      </c>
      <c r="F271">
        <v>1106.7</v>
      </c>
      <c r="G271">
        <v>413.3</v>
      </c>
      <c r="H271">
        <v>37.35</v>
      </c>
      <c r="I271" t="s">
        <v>31</v>
      </c>
    </row>
    <row r="272" spans="1:9" x14ac:dyDescent="0.25">
      <c r="A272" s="2">
        <v>46185</v>
      </c>
      <c r="B272" t="s">
        <v>59</v>
      </c>
      <c r="C272" s="1" t="s">
        <v>290</v>
      </c>
      <c r="D272" t="s">
        <v>285</v>
      </c>
      <c r="E272">
        <v>1310</v>
      </c>
      <c r="F272">
        <v>1106.7</v>
      </c>
      <c r="G272">
        <v>203.3</v>
      </c>
      <c r="H272">
        <v>18.37</v>
      </c>
      <c r="I272" t="s">
        <v>31</v>
      </c>
    </row>
    <row r="273" spans="1:10" x14ac:dyDescent="0.25">
      <c r="A273" s="2">
        <v>46186</v>
      </c>
      <c r="B273" t="s">
        <v>291</v>
      </c>
      <c r="C273" s="1" t="s">
        <v>292</v>
      </c>
      <c r="E273">
        <v>4600</v>
      </c>
      <c r="F273">
        <v>4738.8</v>
      </c>
      <c r="G273">
        <v>-138.80000000000001</v>
      </c>
      <c r="H273">
        <v>-2.93</v>
      </c>
      <c r="I273" t="s">
        <v>31</v>
      </c>
      <c r="J273" t="s">
        <v>55</v>
      </c>
    </row>
    <row r="274" spans="1:10" x14ac:dyDescent="0.25">
      <c r="A274" s="2">
        <v>46186</v>
      </c>
      <c r="B274" t="s">
        <v>291</v>
      </c>
      <c r="C274" s="1" t="s">
        <v>293</v>
      </c>
      <c r="E274">
        <v>4600</v>
      </c>
      <c r="F274">
        <v>4498.2</v>
      </c>
      <c r="G274">
        <v>101.8</v>
      </c>
      <c r="H274">
        <v>2.2599999999999998</v>
      </c>
      <c r="I274" t="s">
        <v>31</v>
      </c>
    </row>
    <row r="275" spans="1:10" x14ac:dyDescent="0.25">
      <c r="A275" s="2">
        <v>46186</v>
      </c>
      <c r="B275" t="s">
        <v>291</v>
      </c>
      <c r="C275" s="1" t="s">
        <v>294</v>
      </c>
      <c r="E275">
        <v>4600</v>
      </c>
      <c r="F275">
        <v>4045.4</v>
      </c>
      <c r="G275">
        <v>554.6</v>
      </c>
      <c r="H275">
        <v>13.71</v>
      </c>
      <c r="I275" t="s">
        <v>31</v>
      </c>
    </row>
    <row r="276" spans="1:10" x14ac:dyDescent="0.25">
      <c r="A276" s="2">
        <v>46186</v>
      </c>
      <c r="B276" t="s">
        <v>291</v>
      </c>
      <c r="C276" s="1" t="s">
        <v>295</v>
      </c>
      <c r="E276">
        <v>4400</v>
      </c>
      <c r="F276">
        <v>4738.8</v>
      </c>
      <c r="G276">
        <v>-338.8</v>
      </c>
      <c r="H276">
        <v>-7.15</v>
      </c>
      <c r="I276" t="s">
        <v>31</v>
      </c>
      <c r="J276" t="s">
        <v>55</v>
      </c>
    </row>
    <row r="277" spans="1:10" x14ac:dyDescent="0.25">
      <c r="A277" s="2">
        <v>46186</v>
      </c>
      <c r="B277" t="s">
        <v>296</v>
      </c>
      <c r="C277" s="1" t="s">
        <v>297</v>
      </c>
      <c r="D277" t="s">
        <v>168</v>
      </c>
      <c r="E277">
        <v>4100</v>
      </c>
      <c r="F277">
        <v>3284.4</v>
      </c>
      <c r="G277">
        <v>815.6</v>
      </c>
      <c r="H277">
        <v>24.83</v>
      </c>
      <c r="I277" t="s">
        <v>31</v>
      </c>
    </row>
    <row r="278" spans="1:10" x14ac:dyDescent="0.25">
      <c r="A278" s="2">
        <v>46186</v>
      </c>
      <c r="B278" t="s">
        <v>298</v>
      </c>
      <c r="C278" s="1" t="s">
        <v>299</v>
      </c>
      <c r="D278" t="s">
        <v>300</v>
      </c>
      <c r="E278">
        <v>2230</v>
      </c>
      <c r="F278">
        <v>2320.5</v>
      </c>
      <c r="G278">
        <v>-90.5</v>
      </c>
      <c r="H278">
        <v>-3.9</v>
      </c>
      <c r="I278" t="s">
        <v>31</v>
      </c>
      <c r="J278" t="s">
        <v>55</v>
      </c>
    </row>
    <row r="279" spans="1:10" x14ac:dyDescent="0.25">
      <c r="A279" s="2">
        <v>46186</v>
      </c>
      <c r="B279" t="s">
        <v>298</v>
      </c>
      <c r="C279" s="1" t="s">
        <v>301</v>
      </c>
      <c r="D279" t="s">
        <v>300</v>
      </c>
      <c r="E279">
        <v>2230</v>
      </c>
      <c r="F279">
        <v>2320.5</v>
      </c>
      <c r="G279">
        <v>-90.5</v>
      </c>
      <c r="H279">
        <v>-3.9</v>
      </c>
      <c r="I279" t="s">
        <v>31</v>
      </c>
      <c r="J279" t="s">
        <v>55</v>
      </c>
    </row>
    <row r="280" spans="1:10" x14ac:dyDescent="0.25">
      <c r="A280" s="2">
        <v>46186</v>
      </c>
      <c r="B280" t="s">
        <v>302</v>
      </c>
      <c r="C280" s="1" t="s">
        <v>303</v>
      </c>
      <c r="D280" t="s">
        <v>168</v>
      </c>
      <c r="E280">
        <v>7250</v>
      </c>
      <c r="F280">
        <v>6604.5</v>
      </c>
      <c r="G280">
        <v>645.5</v>
      </c>
      <c r="H280">
        <v>9.77</v>
      </c>
      <c r="I280" t="s">
        <v>31</v>
      </c>
    </row>
    <row r="281" spans="1:10" x14ac:dyDescent="0.25">
      <c r="A281" s="2">
        <v>46186</v>
      </c>
      <c r="B281" t="s">
        <v>302</v>
      </c>
      <c r="C281" s="1" t="s">
        <v>304</v>
      </c>
      <c r="D281" t="s">
        <v>305</v>
      </c>
      <c r="E281">
        <v>7250</v>
      </c>
      <c r="F281">
        <v>6604.5</v>
      </c>
      <c r="G281">
        <v>645.5</v>
      </c>
      <c r="H281">
        <v>9.77</v>
      </c>
      <c r="I281" t="s">
        <v>31</v>
      </c>
    </row>
    <row r="282" spans="1:10" x14ac:dyDescent="0.25">
      <c r="A282" s="2">
        <v>46186</v>
      </c>
      <c r="B282" t="s">
        <v>306</v>
      </c>
      <c r="C282" s="1" t="s">
        <v>307</v>
      </c>
      <c r="D282" t="s">
        <v>308</v>
      </c>
      <c r="E282">
        <v>6800</v>
      </c>
      <c r="F282">
        <v>6247.5</v>
      </c>
      <c r="G282">
        <v>552.5</v>
      </c>
      <c r="H282">
        <v>8.84</v>
      </c>
      <c r="I282" t="s">
        <v>31</v>
      </c>
    </row>
    <row r="283" spans="1:10" x14ac:dyDescent="0.25">
      <c r="A283" s="2">
        <v>46186</v>
      </c>
      <c r="B283" t="s">
        <v>309</v>
      </c>
      <c r="C283" s="1" t="s">
        <v>310</v>
      </c>
      <c r="D283" t="s">
        <v>206</v>
      </c>
      <c r="E283">
        <v>14000</v>
      </c>
      <c r="F283">
        <v>12495</v>
      </c>
      <c r="G283">
        <v>1505</v>
      </c>
      <c r="H283">
        <v>12.04</v>
      </c>
      <c r="I283" t="s">
        <v>31</v>
      </c>
    </row>
    <row r="284" spans="1:10" x14ac:dyDescent="0.25">
      <c r="A284" s="2">
        <v>46188</v>
      </c>
      <c r="B284" t="s">
        <v>34</v>
      </c>
      <c r="C284" s="1">
        <v>352440635277744</v>
      </c>
      <c r="D284" t="s">
        <v>37</v>
      </c>
      <c r="E284">
        <v>3000</v>
      </c>
      <c r="F284">
        <v>2891.7</v>
      </c>
      <c r="G284">
        <v>108.3</v>
      </c>
      <c r="H284">
        <v>3.75</v>
      </c>
      <c r="I284" t="s">
        <v>31</v>
      </c>
    </row>
    <row r="285" spans="1:10" x14ac:dyDescent="0.25">
      <c r="A285" s="2">
        <v>46189</v>
      </c>
      <c r="B285" t="s">
        <v>34</v>
      </c>
      <c r="C285" s="1">
        <v>355820205154547</v>
      </c>
      <c r="D285" t="s">
        <v>97</v>
      </c>
      <c r="E285">
        <v>3063.29</v>
      </c>
      <c r="F285">
        <v>2677.5</v>
      </c>
      <c r="G285">
        <v>385.79</v>
      </c>
      <c r="H285">
        <v>14.41</v>
      </c>
      <c r="I285" t="s">
        <v>31</v>
      </c>
    </row>
    <row r="286" spans="1:10" x14ac:dyDescent="0.25">
      <c r="A286" s="2">
        <v>46190</v>
      </c>
      <c r="B286" t="s">
        <v>34</v>
      </c>
      <c r="C286" s="1">
        <v>359477634049081</v>
      </c>
      <c r="D286" t="s">
        <v>311</v>
      </c>
      <c r="E286">
        <v>3025.31</v>
      </c>
      <c r="F286">
        <v>2600</v>
      </c>
      <c r="G286">
        <v>425.31</v>
      </c>
      <c r="H286">
        <v>16.36</v>
      </c>
      <c r="I286" t="s">
        <v>35</v>
      </c>
    </row>
    <row r="287" spans="1:10" x14ac:dyDescent="0.25">
      <c r="A287" s="2">
        <v>46191</v>
      </c>
      <c r="B287" t="s">
        <v>312</v>
      </c>
      <c r="C287" s="1" t="s">
        <v>313</v>
      </c>
      <c r="E287">
        <v>1700</v>
      </c>
      <c r="F287">
        <v>2082.41</v>
      </c>
      <c r="G287">
        <v>-382.41</v>
      </c>
      <c r="H287">
        <v>-18.36</v>
      </c>
      <c r="I287" t="s">
        <v>147</v>
      </c>
      <c r="J287" t="s">
        <v>55</v>
      </c>
    </row>
    <row r="288" spans="1:10" x14ac:dyDescent="0.25">
      <c r="A288" s="2">
        <v>46191</v>
      </c>
      <c r="B288" t="s">
        <v>312</v>
      </c>
      <c r="C288" s="1" t="s">
        <v>314</v>
      </c>
      <c r="E288">
        <v>1700</v>
      </c>
      <c r="F288">
        <v>2082.41</v>
      </c>
      <c r="G288">
        <v>-382.41</v>
      </c>
      <c r="H288">
        <v>-18.36</v>
      </c>
      <c r="I288" t="s">
        <v>147</v>
      </c>
      <c r="J288" t="s">
        <v>55</v>
      </c>
    </row>
    <row r="289" spans="1:10" x14ac:dyDescent="0.25">
      <c r="A289" s="2">
        <v>46191</v>
      </c>
      <c r="B289" t="s">
        <v>312</v>
      </c>
      <c r="C289" s="1" t="s">
        <v>315</v>
      </c>
      <c r="E289">
        <v>1700</v>
      </c>
      <c r="F289">
        <v>2082.41</v>
      </c>
      <c r="G289">
        <v>-382.41</v>
      </c>
      <c r="H289">
        <v>-18.36</v>
      </c>
      <c r="I289" t="s">
        <v>147</v>
      </c>
      <c r="J289" t="s">
        <v>55</v>
      </c>
    </row>
    <row r="290" spans="1:10" x14ac:dyDescent="0.25">
      <c r="A290" s="2">
        <v>46191</v>
      </c>
      <c r="B290" t="s">
        <v>312</v>
      </c>
      <c r="C290" s="1" t="s">
        <v>316</v>
      </c>
      <c r="E290">
        <v>1700</v>
      </c>
      <c r="F290">
        <v>2082.41</v>
      </c>
      <c r="G290">
        <v>-382.41</v>
      </c>
      <c r="H290">
        <v>-18.36</v>
      </c>
      <c r="I290" t="s">
        <v>147</v>
      </c>
      <c r="J290" t="s">
        <v>55</v>
      </c>
    </row>
    <row r="291" spans="1:10" x14ac:dyDescent="0.25">
      <c r="A291" s="2">
        <v>46191</v>
      </c>
      <c r="B291" t="s">
        <v>312</v>
      </c>
      <c r="C291" s="1" t="s">
        <v>317</v>
      </c>
      <c r="E291">
        <v>1700</v>
      </c>
      <c r="F291">
        <v>2082.41</v>
      </c>
      <c r="G291">
        <v>-382.41</v>
      </c>
      <c r="H291">
        <v>-18.36</v>
      </c>
      <c r="I291" t="s">
        <v>147</v>
      </c>
      <c r="J291" t="s">
        <v>55</v>
      </c>
    </row>
    <row r="292" spans="1:10" x14ac:dyDescent="0.25">
      <c r="A292" s="2">
        <v>46191</v>
      </c>
      <c r="B292" t="s">
        <v>312</v>
      </c>
      <c r="C292" s="1" t="s">
        <v>318</v>
      </c>
      <c r="E292">
        <v>1700</v>
      </c>
      <c r="F292">
        <v>2082.41</v>
      </c>
      <c r="G292">
        <v>-382.41</v>
      </c>
      <c r="H292">
        <v>-18.36</v>
      </c>
      <c r="I292" t="s">
        <v>147</v>
      </c>
      <c r="J292" t="s">
        <v>55</v>
      </c>
    </row>
    <row r="293" spans="1:10" x14ac:dyDescent="0.25">
      <c r="A293" s="2">
        <v>46191</v>
      </c>
      <c r="B293" t="s">
        <v>312</v>
      </c>
      <c r="C293" s="1" t="s">
        <v>319</v>
      </c>
      <c r="E293">
        <v>1700</v>
      </c>
      <c r="F293">
        <v>2082.41</v>
      </c>
      <c r="G293">
        <v>-382.41</v>
      </c>
      <c r="H293">
        <v>-18.36</v>
      </c>
      <c r="I293" t="s">
        <v>147</v>
      </c>
      <c r="J293" t="s">
        <v>55</v>
      </c>
    </row>
    <row r="294" spans="1:10" x14ac:dyDescent="0.25">
      <c r="A294" s="2">
        <v>46191</v>
      </c>
      <c r="B294" t="s">
        <v>312</v>
      </c>
      <c r="C294" s="1" t="s">
        <v>320</v>
      </c>
      <c r="E294">
        <v>1700</v>
      </c>
      <c r="F294">
        <v>2082.41</v>
      </c>
      <c r="G294">
        <v>-382.41</v>
      </c>
      <c r="H294">
        <v>-18.36</v>
      </c>
      <c r="I294" t="s">
        <v>147</v>
      </c>
      <c r="J294" t="s">
        <v>55</v>
      </c>
    </row>
    <row r="295" spans="1:10" x14ac:dyDescent="0.25">
      <c r="A295" s="2">
        <v>46191</v>
      </c>
      <c r="B295" t="s">
        <v>312</v>
      </c>
      <c r="C295" s="1" t="s">
        <v>321</v>
      </c>
      <c r="E295">
        <v>1700</v>
      </c>
      <c r="F295">
        <v>2082.41</v>
      </c>
      <c r="G295">
        <v>-382.41</v>
      </c>
      <c r="H295">
        <v>-18.36</v>
      </c>
      <c r="I295" t="s">
        <v>147</v>
      </c>
      <c r="J295" t="s">
        <v>55</v>
      </c>
    </row>
    <row r="296" spans="1:10" x14ac:dyDescent="0.25">
      <c r="A296" s="2">
        <v>46191</v>
      </c>
      <c r="B296" t="s">
        <v>312</v>
      </c>
      <c r="C296" s="1" t="s">
        <v>322</v>
      </c>
      <c r="E296">
        <v>1700</v>
      </c>
      <c r="F296">
        <v>2082.41</v>
      </c>
      <c r="G296">
        <v>-382.41</v>
      </c>
      <c r="H296">
        <v>-18.36</v>
      </c>
      <c r="I296" t="s">
        <v>147</v>
      </c>
      <c r="J296" t="s">
        <v>55</v>
      </c>
    </row>
    <row r="297" spans="1:10" x14ac:dyDescent="0.25">
      <c r="A297" s="2">
        <v>46192</v>
      </c>
      <c r="B297" t="s">
        <v>29</v>
      </c>
      <c r="C297" s="1">
        <v>356187983270518</v>
      </c>
      <c r="D297" t="s">
        <v>323</v>
      </c>
      <c r="E297">
        <v>2425</v>
      </c>
      <c r="F297">
        <v>2380</v>
      </c>
      <c r="G297">
        <v>45</v>
      </c>
      <c r="H297">
        <v>1.89</v>
      </c>
      <c r="I297" t="s">
        <v>35</v>
      </c>
    </row>
    <row r="298" spans="1:10" x14ac:dyDescent="0.25">
      <c r="A298" s="2">
        <v>46192</v>
      </c>
      <c r="B298" t="s">
        <v>29</v>
      </c>
      <c r="C298" s="1">
        <v>358135797297837</v>
      </c>
      <c r="D298" t="s">
        <v>323</v>
      </c>
      <c r="E298">
        <v>2425</v>
      </c>
      <c r="F298">
        <v>2380</v>
      </c>
      <c r="G298">
        <v>45</v>
      </c>
      <c r="H298">
        <v>1.89</v>
      </c>
      <c r="I298" t="s">
        <v>35</v>
      </c>
    </row>
    <row r="299" spans="1:10" x14ac:dyDescent="0.25">
      <c r="A299" s="2">
        <v>46192</v>
      </c>
      <c r="B299" t="s">
        <v>324</v>
      </c>
      <c r="C299" s="1">
        <v>21105082001253</v>
      </c>
      <c r="D299" t="s">
        <v>325</v>
      </c>
      <c r="E299">
        <v>3950</v>
      </c>
      <c r="F299">
        <v>3473.8</v>
      </c>
      <c r="G299">
        <v>476.2</v>
      </c>
      <c r="H299">
        <v>13.71</v>
      </c>
      <c r="I299" t="s">
        <v>326</v>
      </c>
    </row>
    <row r="300" spans="1:10" x14ac:dyDescent="0.25">
      <c r="A300" s="2">
        <v>46192</v>
      </c>
      <c r="B300" t="s">
        <v>324</v>
      </c>
      <c r="C300" s="1">
        <v>21215082000339</v>
      </c>
      <c r="D300" t="s">
        <v>156</v>
      </c>
      <c r="E300">
        <v>4120</v>
      </c>
      <c r="F300">
        <v>3394.85</v>
      </c>
      <c r="G300">
        <v>725.15</v>
      </c>
      <c r="H300">
        <v>21.36</v>
      </c>
      <c r="I300" t="s">
        <v>326</v>
      </c>
    </row>
    <row r="301" spans="1:10" x14ac:dyDescent="0.25">
      <c r="A301" s="2">
        <v>46192</v>
      </c>
      <c r="B301" t="s">
        <v>324</v>
      </c>
      <c r="C301" s="1">
        <v>21225082000143</v>
      </c>
      <c r="D301" t="s">
        <v>156</v>
      </c>
      <c r="E301">
        <v>4100</v>
      </c>
      <c r="F301">
        <v>3280.2</v>
      </c>
      <c r="G301">
        <v>819.8</v>
      </c>
      <c r="H301">
        <v>24.99</v>
      </c>
      <c r="I301" t="s">
        <v>326</v>
      </c>
    </row>
    <row r="302" spans="1:10" x14ac:dyDescent="0.25">
      <c r="A302" s="2">
        <v>46192</v>
      </c>
      <c r="B302" t="s">
        <v>324</v>
      </c>
      <c r="C302" s="1">
        <v>21225082000144</v>
      </c>
      <c r="D302" t="s">
        <v>156</v>
      </c>
      <c r="E302">
        <v>4100</v>
      </c>
      <c r="F302">
        <v>3071.88</v>
      </c>
      <c r="G302">
        <v>1028.1199999999999</v>
      </c>
      <c r="H302">
        <v>33.47</v>
      </c>
      <c r="I302" t="s">
        <v>326</v>
      </c>
    </row>
    <row r="303" spans="1:10" x14ac:dyDescent="0.25">
      <c r="A303" s="2">
        <v>46192</v>
      </c>
      <c r="B303" t="s">
        <v>324</v>
      </c>
      <c r="C303" s="1">
        <v>21225082000254</v>
      </c>
      <c r="D303" t="s">
        <v>156</v>
      </c>
      <c r="E303">
        <v>4100</v>
      </c>
      <c r="F303">
        <v>3394.85</v>
      </c>
      <c r="G303">
        <v>705.15</v>
      </c>
      <c r="H303">
        <v>20.77</v>
      </c>
      <c r="I303" t="s">
        <v>326</v>
      </c>
    </row>
    <row r="304" spans="1:10" x14ac:dyDescent="0.25">
      <c r="A304" s="2">
        <v>46192</v>
      </c>
      <c r="B304" t="s">
        <v>324</v>
      </c>
      <c r="C304" s="1">
        <v>21225082000546</v>
      </c>
      <c r="D304" t="s">
        <v>156</v>
      </c>
      <c r="E304">
        <v>4100</v>
      </c>
      <c r="F304">
        <v>3363.27</v>
      </c>
      <c r="G304">
        <v>736.73</v>
      </c>
      <c r="H304">
        <v>21.91</v>
      </c>
      <c r="I304" t="s">
        <v>326</v>
      </c>
    </row>
    <row r="305" spans="1:9" x14ac:dyDescent="0.25">
      <c r="A305" s="2">
        <v>46192</v>
      </c>
      <c r="B305" t="s">
        <v>324</v>
      </c>
      <c r="C305" s="1">
        <v>21225082000603</v>
      </c>
      <c r="D305" t="s">
        <v>156</v>
      </c>
      <c r="E305">
        <v>4100</v>
      </c>
      <c r="F305">
        <v>3394.85</v>
      </c>
      <c r="G305">
        <v>705.15</v>
      </c>
      <c r="H305">
        <v>20.77</v>
      </c>
      <c r="I305" t="s">
        <v>326</v>
      </c>
    </row>
    <row r="306" spans="1:9" x14ac:dyDescent="0.25">
      <c r="A306" s="2">
        <v>46192</v>
      </c>
      <c r="B306" t="s">
        <v>324</v>
      </c>
      <c r="C306" s="1">
        <v>21225082000606</v>
      </c>
      <c r="D306" t="s">
        <v>156</v>
      </c>
      <c r="E306">
        <v>4120</v>
      </c>
      <c r="F306">
        <v>3394.85</v>
      </c>
      <c r="G306">
        <v>725.15</v>
      </c>
      <c r="H306">
        <v>21.36</v>
      </c>
      <c r="I306" t="s">
        <v>326</v>
      </c>
    </row>
    <row r="307" spans="1:9" x14ac:dyDescent="0.25">
      <c r="A307" s="2">
        <v>46192</v>
      </c>
      <c r="B307" t="s">
        <v>324</v>
      </c>
      <c r="C307" s="1">
        <v>21225082000609</v>
      </c>
      <c r="D307" t="s">
        <v>156</v>
      </c>
      <c r="E307">
        <v>4100</v>
      </c>
      <c r="F307">
        <v>3363.27</v>
      </c>
      <c r="G307">
        <v>736.73</v>
      </c>
      <c r="H307">
        <v>21.91</v>
      </c>
      <c r="I307" t="s">
        <v>326</v>
      </c>
    </row>
    <row r="308" spans="1:9" x14ac:dyDescent="0.25">
      <c r="A308" s="2">
        <v>46192</v>
      </c>
      <c r="B308" t="s">
        <v>324</v>
      </c>
      <c r="C308" s="1">
        <v>21225082000614</v>
      </c>
      <c r="D308" t="s">
        <v>156</v>
      </c>
      <c r="E308">
        <v>4100</v>
      </c>
      <c r="F308">
        <v>3363.27</v>
      </c>
      <c r="G308">
        <v>736.73</v>
      </c>
      <c r="H308">
        <v>21.91</v>
      </c>
      <c r="I308" t="s">
        <v>326</v>
      </c>
    </row>
    <row r="309" spans="1:9" x14ac:dyDescent="0.25">
      <c r="A309" s="2">
        <v>46192</v>
      </c>
      <c r="B309" t="s">
        <v>324</v>
      </c>
      <c r="C309" s="1">
        <v>21225082000616</v>
      </c>
      <c r="D309" t="s">
        <v>156</v>
      </c>
      <c r="E309">
        <v>4100</v>
      </c>
      <c r="F309">
        <v>3280.2</v>
      </c>
      <c r="G309">
        <v>819.8</v>
      </c>
      <c r="H309">
        <v>24.99</v>
      </c>
      <c r="I309" t="s">
        <v>326</v>
      </c>
    </row>
    <row r="310" spans="1:9" x14ac:dyDescent="0.25">
      <c r="A310" s="2">
        <v>46192</v>
      </c>
      <c r="B310" t="s">
        <v>324</v>
      </c>
      <c r="C310" s="1">
        <v>21225082000623</v>
      </c>
      <c r="D310" t="s">
        <v>156</v>
      </c>
      <c r="E310">
        <v>4120</v>
      </c>
      <c r="F310">
        <v>3086.37</v>
      </c>
      <c r="G310">
        <v>1033.6300000000001</v>
      </c>
      <c r="H310">
        <v>33.49</v>
      </c>
      <c r="I310" t="s">
        <v>326</v>
      </c>
    </row>
    <row r="311" spans="1:9" x14ac:dyDescent="0.25">
      <c r="A311" s="2">
        <v>46192</v>
      </c>
      <c r="B311" t="s">
        <v>324</v>
      </c>
      <c r="C311" s="1">
        <v>21225082000761</v>
      </c>
      <c r="D311" t="s">
        <v>325</v>
      </c>
      <c r="E311">
        <v>3950</v>
      </c>
      <c r="F311">
        <v>3394.85</v>
      </c>
      <c r="G311">
        <v>555.15</v>
      </c>
      <c r="H311">
        <v>16.350000000000001</v>
      </c>
      <c r="I311" t="s">
        <v>326</v>
      </c>
    </row>
    <row r="312" spans="1:9" x14ac:dyDescent="0.25">
      <c r="A312" s="2">
        <v>46192</v>
      </c>
      <c r="B312" t="s">
        <v>324</v>
      </c>
      <c r="C312" s="1">
        <v>21225082000762</v>
      </c>
      <c r="D312" t="s">
        <v>325</v>
      </c>
      <c r="E312">
        <v>3950</v>
      </c>
      <c r="F312">
        <v>3394.85</v>
      </c>
      <c r="G312">
        <v>555.15</v>
      </c>
      <c r="H312">
        <v>16.350000000000001</v>
      </c>
      <c r="I312" t="s">
        <v>326</v>
      </c>
    </row>
    <row r="313" spans="1:9" x14ac:dyDescent="0.25">
      <c r="A313" s="2">
        <v>46192</v>
      </c>
      <c r="B313" t="s">
        <v>324</v>
      </c>
      <c r="C313" s="1">
        <v>21225082000764</v>
      </c>
      <c r="D313" t="s">
        <v>325</v>
      </c>
      <c r="E313">
        <v>3950</v>
      </c>
      <c r="F313">
        <v>3473.8</v>
      </c>
      <c r="G313">
        <v>476.2</v>
      </c>
      <c r="H313">
        <v>13.71</v>
      </c>
      <c r="I313" t="s">
        <v>326</v>
      </c>
    </row>
    <row r="314" spans="1:9" x14ac:dyDescent="0.25">
      <c r="A314" s="2">
        <v>46192</v>
      </c>
      <c r="B314" t="s">
        <v>324</v>
      </c>
      <c r="C314" s="1">
        <v>21245082000068</v>
      </c>
      <c r="D314" t="s">
        <v>325</v>
      </c>
      <c r="E314">
        <v>3950</v>
      </c>
      <c r="F314">
        <v>3280.2</v>
      </c>
      <c r="G314">
        <v>669.8</v>
      </c>
      <c r="H314">
        <v>20.420000000000002</v>
      </c>
      <c r="I314" t="s">
        <v>326</v>
      </c>
    </row>
    <row r="315" spans="1:9" x14ac:dyDescent="0.25">
      <c r="A315" s="2">
        <v>46192</v>
      </c>
      <c r="B315" t="s">
        <v>324</v>
      </c>
      <c r="C315" s="1">
        <v>21245082000332</v>
      </c>
      <c r="D315" t="s">
        <v>325</v>
      </c>
      <c r="E315">
        <v>3950</v>
      </c>
      <c r="F315">
        <v>3363.27</v>
      </c>
      <c r="G315">
        <v>586.73</v>
      </c>
      <c r="H315">
        <v>17.45</v>
      </c>
      <c r="I315" t="s">
        <v>326</v>
      </c>
    </row>
    <row r="316" spans="1:9" x14ac:dyDescent="0.25">
      <c r="A316" s="2">
        <v>46192</v>
      </c>
      <c r="B316" t="s">
        <v>324</v>
      </c>
      <c r="C316" s="1">
        <v>21245082000333</v>
      </c>
      <c r="D316" t="s">
        <v>325</v>
      </c>
      <c r="E316">
        <v>3950</v>
      </c>
      <c r="F316">
        <v>3473.8</v>
      </c>
      <c r="G316">
        <v>476.2</v>
      </c>
      <c r="H316">
        <v>13.71</v>
      </c>
      <c r="I316" t="s">
        <v>326</v>
      </c>
    </row>
    <row r="317" spans="1:9" x14ac:dyDescent="0.25">
      <c r="A317" s="2">
        <v>46192</v>
      </c>
      <c r="B317" t="s">
        <v>324</v>
      </c>
      <c r="C317" s="1">
        <v>21245082000336</v>
      </c>
      <c r="D317" t="s">
        <v>325</v>
      </c>
      <c r="E317">
        <v>3950</v>
      </c>
      <c r="F317">
        <v>3473.8</v>
      </c>
      <c r="G317">
        <v>476.2</v>
      </c>
      <c r="H317">
        <v>13.71</v>
      </c>
      <c r="I317" t="s">
        <v>326</v>
      </c>
    </row>
    <row r="318" spans="1:9" x14ac:dyDescent="0.25">
      <c r="A318" s="2">
        <v>46192</v>
      </c>
      <c r="B318" t="s">
        <v>324</v>
      </c>
      <c r="C318" s="1">
        <v>21245082000337</v>
      </c>
      <c r="D318" t="s">
        <v>325</v>
      </c>
      <c r="E318">
        <v>3950</v>
      </c>
      <c r="F318">
        <v>3394.85</v>
      </c>
      <c r="G318">
        <v>555.15</v>
      </c>
      <c r="H318">
        <v>16.350000000000001</v>
      </c>
      <c r="I318" t="s">
        <v>326</v>
      </c>
    </row>
    <row r="319" spans="1:9" x14ac:dyDescent="0.25">
      <c r="A319" s="2">
        <v>46192</v>
      </c>
      <c r="B319" t="s">
        <v>324</v>
      </c>
      <c r="C319" s="1">
        <v>21245082000338</v>
      </c>
      <c r="D319" t="s">
        <v>325</v>
      </c>
      <c r="E319">
        <v>3950</v>
      </c>
      <c r="F319">
        <v>3394.85</v>
      </c>
      <c r="G319">
        <v>555.15</v>
      </c>
      <c r="H319">
        <v>16.350000000000001</v>
      </c>
      <c r="I319" t="s">
        <v>326</v>
      </c>
    </row>
    <row r="320" spans="1:9" x14ac:dyDescent="0.25">
      <c r="A320" s="2">
        <v>46192</v>
      </c>
      <c r="B320" t="s">
        <v>324</v>
      </c>
      <c r="C320" s="1">
        <v>21245082000339</v>
      </c>
      <c r="D320" t="s">
        <v>325</v>
      </c>
      <c r="E320">
        <v>3950</v>
      </c>
      <c r="F320">
        <v>3363.27</v>
      </c>
      <c r="G320">
        <v>586.73</v>
      </c>
      <c r="H320">
        <v>17.45</v>
      </c>
      <c r="I320" t="s">
        <v>326</v>
      </c>
    </row>
    <row r="321" spans="1:9" x14ac:dyDescent="0.25">
      <c r="A321" s="2">
        <v>46192</v>
      </c>
      <c r="B321" t="s">
        <v>324</v>
      </c>
      <c r="C321" s="1">
        <v>21245082000584</v>
      </c>
      <c r="D321" t="s">
        <v>156</v>
      </c>
      <c r="E321">
        <v>4100</v>
      </c>
      <c r="F321">
        <v>3280.2</v>
      </c>
      <c r="G321">
        <v>819.8</v>
      </c>
      <c r="H321">
        <v>24.99</v>
      </c>
      <c r="I321" t="s">
        <v>326</v>
      </c>
    </row>
    <row r="322" spans="1:9" x14ac:dyDescent="0.25">
      <c r="A322" s="2">
        <v>46192</v>
      </c>
      <c r="B322" t="s">
        <v>324</v>
      </c>
      <c r="C322" s="1">
        <v>21245082000586</v>
      </c>
      <c r="D322" t="s">
        <v>156</v>
      </c>
      <c r="E322">
        <v>4100</v>
      </c>
      <c r="F322">
        <v>3363.27</v>
      </c>
      <c r="G322">
        <v>736.73</v>
      </c>
      <c r="H322">
        <v>21.91</v>
      </c>
      <c r="I322" t="s">
        <v>326</v>
      </c>
    </row>
    <row r="323" spans="1:9" x14ac:dyDescent="0.25">
      <c r="A323" s="2">
        <v>46192</v>
      </c>
      <c r="B323" t="s">
        <v>324</v>
      </c>
      <c r="C323" s="1">
        <v>21245082000587</v>
      </c>
      <c r="D323" t="s">
        <v>156</v>
      </c>
      <c r="E323">
        <v>4100</v>
      </c>
      <c r="F323">
        <v>3071.88</v>
      </c>
      <c r="G323">
        <v>1028.1199999999999</v>
      </c>
      <c r="H323">
        <v>33.47</v>
      </c>
      <c r="I323" t="s">
        <v>326</v>
      </c>
    </row>
    <row r="324" spans="1:9" x14ac:dyDescent="0.25">
      <c r="A324" s="2">
        <v>46192</v>
      </c>
      <c r="B324" t="s">
        <v>324</v>
      </c>
      <c r="C324" s="1">
        <v>21245082000862</v>
      </c>
      <c r="D324" t="s">
        <v>156</v>
      </c>
      <c r="E324">
        <v>4100</v>
      </c>
      <c r="F324">
        <v>3394.85</v>
      </c>
      <c r="G324">
        <v>705.15</v>
      </c>
      <c r="H324">
        <v>20.77</v>
      </c>
      <c r="I324" t="s">
        <v>326</v>
      </c>
    </row>
    <row r="325" spans="1:9" x14ac:dyDescent="0.25">
      <c r="A325" s="2">
        <v>46192</v>
      </c>
      <c r="B325" t="s">
        <v>324</v>
      </c>
      <c r="C325" s="1">
        <v>21245082000867</v>
      </c>
      <c r="D325" t="s">
        <v>156</v>
      </c>
      <c r="E325">
        <v>4100</v>
      </c>
      <c r="F325">
        <v>3394.85</v>
      </c>
      <c r="G325">
        <v>705.15</v>
      </c>
      <c r="H325">
        <v>20.77</v>
      </c>
      <c r="I325" t="s">
        <v>326</v>
      </c>
    </row>
    <row r="326" spans="1:9" x14ac:dyDescent="0.25">
      <c r="A326" s="2">
        <v>46192</v>
      </c>
      <c r="B326" t="s">
        <v>324</v>
      </c>
      <c r="C326" s="1">
        <v>21245082000954</v>
      </c>
      <c r="D326" t="s">
        <v>156</v>
      </c>
      <c r="E326">
        <v>4100</v>
      </c>
      <c r="F326">
        <v>3394.85</v>
      </c>
      <c r="G326">
        <v>705.15</v>
      </c>
      <c r="H326">
        <v>20.77</v>
      </c>
      <c r="I326" t="s">
        <v>326</v>
      </c>
    </row>
    <row r="327" spans="1:9" x14ac:dyDescent="0.25">
      <c r="A327" s="2">
        <v>46192</v>
      </c>
      <c r="B327" t="s">
        <v>324</v>
      </c>
      <c r="C327" s="1">
        <v>21245082001193</v>
      </c>
      <c r="D327" t="s">
        <v>156</v>
      </c>
      <c r="E327">
        <v>4100</v>
      </c>
      <c r="F327">
        <v>3363.27</v>
      </c>
      <c r="G327">
        <v>736.73</v>
      </c>
      <c r="H327">
        <v>21.91</v>
      </c>
      <c r="I327" t="s">
        <v>326</v>
      </c>
    </row>
    <row r="328" spans="1:9" x14ac:dyDescent="0.25">
      <c r="A328" s="2">
        <v>46192</v>
      </c>
      <c r="B328" t="s">
        <v>324</v>
      </c>
      <c r="C328" s="1">
        <v>21245082001194</v>
      </c>
      <c r="D328" t="s">
        <v>156</v>
      </c>
      <c r="E328">
        <v>4120</v>
      </c>
      <c r="F328">
        <v>3086.37</v>
      </c>
      <c r="G328">
        <v>1033.6300000000001</v>
      </c>
      <c r="H328">
        <v>33.49</v>
      </c>
      <c r="I328" t="s">
        <v>326</v>
      </c>
    </row>
    <row r="329" spans="1:9" x14ac:dyDescent="0.25">
      <c r="A329" s="2">
        <v>46192</v>
      </c>
      <c r="B329" t="s">
        <v>324</v>
      </c>
      <c r="C329" s="1">
        <v>21245082001195</v>
      </c>
      <c r="D329" t="s">
        <v>156</v>
      </c>
      <c r="E329">
        <v>4100</v>
      </c>
      <c r="F329">
        <v>3086.37</v>
      </c>
      <c r="G329">
        <v>1013.63</v>
      </c>
      <c r="H329">
        <v>32.840000000000003</v>
      </c>
      <c r="I329" t="s">
        <v>326</v>
      </c>
    </row>
    <row r="330" spans="1:9" x14ac:dyDescent="0.25">
      <c r="A330" s="2">
        <v>46192</v>
      </c>
      <c r="B330" t="s">
        <v>324</v>
      </c>
      <c r="C330" s="1">
        <v>21245082001196</v>
      </c>
      <c r="D330" t="s">
        <v>156</v>
      </c>
      <c r="E330">
        <v>4120</v>
      </c>
      <c r="F330">
        <v>3086.37</v>
      </c>
      <c r="G330">
        <v>1033.6300000000001</v>
      </c>
      <c r="H330">
        <v>33.49</v>
      </c>
      <c r="I330" t="s">
        <v>326</v>
      </c>
    </row>
    <row r="331" spans="1:9" x14ac:dyDescent="0.25">
      <c r="A331" s="2">
        <v>46192</v>
      </c>
      <c r="B331" t="s">
        <v>324</v>
      </c>
      <c r="C331" s="1">
        <v>21245082001242</v>
      </c>
      <c r="D331" t="s">
        <v>156</v>
      </c>
      <c r="E331">
        <v>4100</v>
      </c>
      <c r="F331">
        <v>3086.37</v>
      </c>
      <c r="G331">
        <v>1013.63</v>
      </c>
      <c r="H331">
        <v>32.840000000000003</v>
      </c>
      <c r="I331" t="s">
        <v>326</v>
      </c>
    </row>
    <row r="332" spans="1:9" x14ac:dyDescent="0.25">
      <c r="A332" s="2">
        <v>46192</v>
      </c>
      <c r="B332" t="s">
        <v>324</v>
      </c>
      <c r="C332" s="1">
        <v>21245082001245</v>
      </c>
      <c r="D332" t="s">
        <v>156</v>
      </c>
      <c r="E332">
        <v>4100</v>
      </c>
      <c r="F332">
        <v>3363.27</v>
      </c>
      <c r="G332">
        <v>736.73</v>
      </c>
      <c r="H332">
        <v>21.91</v>
      </c>
      <c r="I332" t="s">
        <v>326</v>
      </c>
    </row>
    <row r="333" spans="1:9" x14ac:dyDescent="0.25">
      <c r="A333" s="2">
        <v>46192</v>
      </c>
      <c r="B333" t="s">
        <v>324</v>
      </c>
      <c r="C333" s="1">
        <v>21245082001246</v>
      </c>
      <c r="D333" t="s">
        <v>156</v>
      </c>
      <c r="E333">
        <v>4120</v>
      </c>
      <c r="F333">
        <v>3363.27</v>
      </c>
      <c r="G333">
        <v>756.73</v>
      </c>
      <c r="H333">
        <v>22.5</v>
      </c>
      <c r="I333" t="s">
        <v>326</v>
      </c>
    </row>
    <row r="334" spans="1:9" x14ac:dyDescent="0.25">
      <c r="A334" s="2">
        <v>46192</v>
      </c>
      <c r="B334" t="s">
        <v>324</v>
      </c>
      <c r="C334" s="1">
        <v>21245082001247</v>
      </c>
      <c r="D334" t="s">
        <v>156</v>
      </c>
      <c r="E334">
        <v>4100</v>
      </c>
      <c r="F334">
        <v>3363.27</v>
      </c>
      <c r="G334">
        <v>736.73</v>
      </c>
      <c r="H334">
        <v>21.91</v>
      </c>
      <c r="I334" t="s">
        <v>326</v>
      </c>
    </row>
    <row r="335" spans="1:9" x14ac:dyDescent="0.25">
      <c r="A335" s="2">
        <v>46192</v>
      </c>
      <c r="B335" t="s">
        <v>324</v>
      </c>
      <c r="C335" s="1">
        <v>21245082001248</v>
      </c>
      <c r="D335" t="s">
        <v>156</v>
      </c>
      <c r="E335">
        <v>4100</v>
      </c>
      <c r="F335">
        <v>3363.27</v>
      </c>
      <c r="G335">
        <v>736.73</v>
      </c>
      <c r="H335">
        <v>21.91</v>
      </c>
      <c r="I335" t="s">
        <v>326</v>
      </c>
    </row>
    <row r="336" spans="1:9" x14ac:dyDescent="0.25">
      <c r="A336" s="2">
        <v>46192</v>
      </c>
      <c r="B336" t="s">
        <v>324</v>
      </c>
      <c r="C336" s="1">
        <v>21245082001283</v>
      </c>
      <c r="D336" t="s">
        <v>156</v>
      </c>
      <c r="E336">
        <v>4120</v>
      </c>
      <c r="F336">
        <v>3363.27</v>
      </c>
      <c r="G336">
        <v>756.73</v>
      </c>
      <c r="H336">
        <v>22.5</v>
      </c>
      <c r="I336" t="s">
        <v>326</v>
      </c>
    </row>
    <row r="337" spans="1:9" x14ac:dyDescent="0.25">
      <c r="A337" s="2">
        <v>46192</v>
      </c>
      <c r="B337" t="s">
        <v>54</v>
      </c>
      <c r="C337" s="1">
        <v>352355703231599</v>
      </c>
      <c r="D337" t="s">
        <v>327</v>
      </c>
      <c r="E337">
        <v>3830</v>
      </c>
      <c r="F337">
        <v>3750</v>
      </c>
      <c r="G337">
        <v>80</v>
      </c>
      <c r="H337">
        <v>2.13</v>
      </c>
      <c r="I337" t="s">
        <v>35</v>
      </c>
    </row>
    <row r="338" spans="1:9" x14ac:dyDescent="0.25">
      <c r="A338" s="2">
        <v>46192</v>
      </c>
      <c r="B338" t="s">
        <v>54</v>
      </c>
      <c r="C338" s="1">
        <v>352355707695641</v>
      </c>
      <c r="D338" t="s">
        <v>328</v>
      </c>
      <c r="E338">
        <v>3830</v>
      </c>
      <c r="F338">
        <v>1000</v>
      </c>
      <c r="G338">
        <v>2830</v>
      </c>
      <c r="H338">
        <v>283</v>
      </c>
      <c r="I338" t="s">
        <v>35</v>
      </c>
    </row>
    <row r="339" spans="1:9" x14ac:dyDescent="0.25">
      <c r="A339" s="2">
        <v>46192</v>
      </c>
      <c r="B339" t="s">
        <v>329</v>
      </c>
      <c r="C339" s="1">
        <v>352551952296362</v>
      </c>
      <c r="D339" t="s">
        <v>330</v>
      </c>
      <c r="E339">
        <v>2025.31</v>
      </c>
      <c r="F339">
        <v>1700.5</v>
      </c>
      <c r="G339">
        <v>324.81</v>
      </c>
      <c r="H339">
        <v>19.100000000000001</v>
      </c>
      <c r="I339" t="s">
        <v>31</v>
      </c>
    </row>
    <row r="340" spans="1:9" x14ac:dyDescent="0.25">
      <c r="A340" s="2">
        <v>46192</v>
      </c>
      <c r="B340" t="s">
        <v>34</v>
      </c>
      <c r="C340" s="1">
        <v>359477633235715</v>
      </c>
      <c r="D340" t="s">
        <v>331</v>
      </c>
      <c r="E340">
        <v>3012.65</v>
      </c>
      <c r="F340">
        <v>2600</v>
      </c>
      <c r="G340">
        <v>412.65</v>
      </c>
      <c r="H340">
        <v>15.87</v>
      </c>
      <c r="I340" t="s">
        <v>35</v>
      </c>
    </row>
    <row r="341" spans="1:9" x14ac:dyDescent="0.25">
      <c r="A341" s="2">
        <v>46192</v>
      </c>
      <c r="B341" t="s">
        <v>36</v>
      </c>
      <c r="C341" s="1">
        <v>351205745111724</v>
      </c>
      <c r="D341" t="s">
        <v>332</v>
      </c>
      <c r="E341">
        <v>3060</v>
      </c>
      <c r="F341">
        <v>3000</v>
      </c>
      <c r="G341">
        <v>60</v>
      </c>
      <c r="H341">
        <v>2</v>
      </c>
      <c r="I341" t="s">
        <v>35</v>
      </c>
    </row>
    <row r="342" spans="1:9" x14ac:dyDescent="0.25">
      <c r="A342" s="2">
        <v>46192</v>
      </c>
      <c r="B342" t="s">
        <v>36</v>
      </c>
      <c r="C342" s="1">
        <v>359652128477234</v>
      </c>
      <c r="D342" t="s">
        <v>332</v>
      </c>
      <c r="E342">
        <v>3060</v>
      </c>
      <c r="F342">
        <v>3000</v>
      </c>
      <c r="G342">
        <v>60</v>
      </c>
      <c r="H342">
        <v>2</v>
      </c>
      <c r="I342" t="s">
        <v>35</v>
      </c>
    </row>
    <row r="343" spans="1:9" x14ac:dyDescent="0.25">
      <c r="A343" s="2">
        <v>46192</v>
      </c>
      <c r="B343" t="s">
        <v>333</v>
      </c>
      <c r="C343" s="1" t="s">
        <v>334</v>
      </c>
      <c r="D343" t="s">
        <v>335</v>
      </c>
      <c r="E343">
        <v>5650</v>
      </c>
      <c r="F343">
        <v>4856.32</v>
      </c>
      <c r="G343">
        <v>793.68</v>
      </c>
      <c r="H343">
        <v>16.34</v>
      </c>
      <c r="I343" t="s">
        <v>18</v>
      </c>
    </row>
    <row r="344" spans="1:9" x14ac:dyDescent="0.25">
      <c r="A344" s="2">
        <v>46192</v>
      </c>
      <c r="B344" t="s">
        <v>333</v>
      </c>
      <c r="C344" s="1" t="s">
        <v>336</v>
      </c>
      <c r="D344" t="s">
        <v>335</v>
      </c>
      <c r="E344">
        <v>5600</v>
      </c>
      <c r="F344">
        <v>4928.41</v>
      </c>
      <c r="G344">
        <v>671.59</v>
      </c>
      <c r="H344">
        <v>13.63</v>
      </c>
      <c r="I344" t="s">
        <v>18</v>
      </c>
    </row>
    <row r="345" spans="1:9" x14ac:dyDescent="0.25">
      <c r="A345" s="2">
        <v>46192</v>
      </c>
      <c r="B345" t="s">
        <v>333</v>
      </c>
      <c r="C345" s="1" t="s">
        <v>337</v>
      </c>
      <c r="D345" t="s">
        <v>335</v>
      </c>
      <c r="E345">
        <v>5600</v>
      </c>
      <c r="F345">
        <v>4928.41</v>
      </c>
      <c r="G345">
        <v>671.59</v>
      </c>
      <c r="H345">
        <v>13.63</v>
      </c>
      <c r="I345" t="s">
        <v>18</v>
      </c>
    </row>
    <row r="346" spans="1:9" x14ac:dyDescent="0.25">
      <c r="A346" s="2">
        <v>46192</v>
      </c>
      <c r="B346" t="s">
        <v>333</v>
      </c>
      <c r="C346" s="1" t="s">
        <v>338</v>
      </c>
      <c r="D346" t="s">
        <v>335</v>
      </c>
      <c r="E346">
        <v>5650</v>
      </c>
      <c r="F346">
        <v>4856.32</v>
      </c>
      <c r="G346">
        <v>793.68</v>
      </c>
      <c r="H346">
        <v>16.34</v>
      </c>
      <c r="I346" t="s">
        <v>18</v>
      </c>
    </row>
    <row r="347" spans="1:9" x14ac:dyDescent="0.25">
      <c r="A347" s="2">
        <v>46192</v>
      </c>
      <c r="B347" t="s">
        <v>15</v>
      </c>
      <c r="C347" s="1" t="s">
        <v>339</v>
      </c>
      <c r="D347" t="s">
        <v>17</v>
      </c>
      <c r="E347">
        <v>1335</v>
      </c>
      <c r="F347">
        <v>928.34</v>
      </c>
      <c r="G347">
        <v>406.66</v>
      </c>
      <c r="H347">
        <v>43.81</v>
      </c>
      <c r="I347" t="s">
        <v>18</v>
      </c>
    </row>
    <row r="348" spans="1:9" x14ac:dyDescent="0.25">
      <c r="A348" s="2">
        <v>46192</v>
      </c>
      <c r="B348" t="s">
        <v>15</v>
      </c>
      <c r="C348" s="1" t="s">
        <v>340</v>
      </c>
      <c r="D348" t="s">
        <v>17</v>
      </c>
      <c r="E348">
        <v>1335</v>
      </c>
      <c r="F348">
        <v>1013.35</v>
      </c>
      <c r="G348">
        <v>321.64999999999998</v>
      </c>
      <c r="H348">
        <v>31.74</v>
      </c>
      <c r="I348" t="s">
        <v>18</v>
      </c>
    </row>
    <row r="349" spans="1:9" x14ac:dyDescent="0.25">
      <c r="A349" s="2">
        <v>46192</v>
      </c>
      <c r="B349" t="s">
        <v>15</v>
      </c>
      <c r="C349" s="1" t="s">
        <v>341</v>
      </c>
      <c r="D349" t="s">
        <v>17</v>
      </c>
      <c r="E349">
        <v>1335</v>
      </c>
      <c r="F349">
        <v>1013.35</v>
      </c>
      <c r="G349">
        <v>321.64999999999998</v>
      </c>
      <c r="H349">
        <v>31.74</v>
      </c>
      <c r="I349" t="s">
        <v>18</v>
      </c>
    </row>
    <row r="350" spans="1:9" x14ac:dyDescent="0.25">
      <c r="A350" s="2">
        <v>46192</v>
      </c>
      <c r="B350" t="s">
        <v>15</v>
      </c>
      <c r="C350" s="1" t="s">
        <v>342</v>
      </c>
      <c r="D350" t="s">
        <v>17</v>
      </c>
      <c r="E350">
        <v>1335</v>
      </c>
      <c r="F350">
        <v>1018.84</v>
      </c>
      <c r="G350">
        <v>316.16000000000003</v>
      </c>
      <c r="H350">
        <v>31.03</v>
      </c>
      <c r="I350" t="s">
        <v>18</v>
      </c>
    </row>
    <row r="351" spans="1:9" x14ac:dyDescent="0.25">
      <c r="A351" s="2">
        <v>46192</v>
      </c>
      <c r="B351" t="s">
        <v>15</v>
      </c>
      <c r="C351" s="1" t="s">
        <v>343</v>
      </c>
      <c r="D351" t="s">
        <v>17</v>
      </c>
      <c r="E351">
        <v>1335</v>
      </c>
      <c r="F351">
        <v>928.34</v>
      </c>
      <c r="G351">
        <v>406.66</v>
      </c>
      <c r="H351">
        <v>43.81</v>
      </c>
      <c r="I351" t="s">
        <v>18</v>
      </c>
    </row>
    <row r="352" spans="1:9" x14ac:dyDescent="0.25">
      <c r="A352" s="2">
        <v>46192</v>
      </c>
      <c r="B352" t="s">
        <v>15</v>
      </c>
      <c r="C352" s="1" t="s">
        <v>344</v>
      </c>
      <c r="D352" t="s">
        <v>17</v>
      </c>
      <c r="E352">
        <v>1335</v>
      </c>
      <c r="F352">
        <v>1013.35</v>
      </c>
      <c r="G352">
        <v>321.64999999999998</v>
      </c>
      <c r="H352">
        <v>31.74</v>
      </c>
      <c r="I352" t="s">
        <v>18</v>
      </c>
    </row>
    <row r="353" spans="1:9" x14ac:dyDescent="0.25">
      <c r="A353" s="2">
        <v>46192</v>
      </c>
      <c r="B353" t="s">
        <v>15</v>
      </c>
      <c r="C353" s="1" t="s">
        <v>345</v>
      </c>
      <c r="D353" t="s">
        <v>17</v>
      </c>
      <c r="E353">
        <v>1335</v>
      </c>
      <c r="F353">
        <v>1013.35</v>
      </c>
      <c r="G353">
        <v>321.64999999999998</v>
      </c>
      <c r="H353">
        <v>31.74</v>
      </c>
      <c r="I353" t="s">
        <v>18</v>
      </c>
    </row>
    <row r="354" spans="1:9" x14ac:dyDescent="0.25">
      <c r="A354" s="2">
        <v>46192</v>
      </c>
      <c r="B354" t="s">
        <v>15</v>
      </c>
      <c r="C354" s="1" t="s">
        <v>346</v>
      </c>
      <c r="D354" t="s">
        <v>17</v>
      </c>
      <c r="E354">
        <v>1335</v>
      </c>
      <c r="F354">
        <v>1108.27</v>
      </c>
      <c r="G354">
        <v>226.73</v>
      </c>
      <c r="H354">
        <v>20.46</v>
      </c>
      <c r="I354" t="s">
        <v>18</v>
      </c>
    </row>
    <row r="355" spans="1:9" x14ac:dyDescent="0.25">
      <c r="A355" s="2">
        <v>46192</v>
      </c>
      <c r="B355" t="s">
        <v>15</v>
      </c>
      <c r="C355" s="1" t="s">
        <v>347</v>
      </c>
      <c r="D355" t="s">
        <v>17</v>
      </c>
      <c r="E355">
        <v>1335</v>
      </c>
      <c r="F355">
        <v>1013.35</v>
      </c>
      <c r="G355">
        <v>321.64999999999998</v>
      </c>
      <c r="H355">
        <v>31.74</v>
      </c>
      <c r="I355" t="s">
        <v>18</v>
      </c>
    </row>
    <row r="356" spans="1:9" x14ac:dyDescent="0.25">
      <c r="A356" s="2">
        <v>46192</v>
      </c>
      <c r="B356" t="s">
        <v>15</v>
      </c>
      <c r="C356" s="1" t="s">
        <v>348</v>
      </c>
      <c r="D356" t="s">
        <v>17</v>
      </c>
      <c r="E356">
        <v>1335</v>
      </c>
      <c r="F356">
        <v>1108.27</v>
      </c>
      <c r="G356">
        <v>226.73</v>
      </c>
      <c r="H356">
        <v>20.46</v>
      </c>
      <c r="I356" t="s">
        <v>18</v>
      </c>
    </row>
    <row r="357" spans="1:9" x14ac:dyDescent="0.25">
      <c r="A357" s="2">
        <v>46192</v>
      </c>
      <c r="B357" t="s">
        <v>15</v>
      </c>
      <c r="C357" s="1" t="s">
        <v>349</v>
      </c>
      <c r="D357" t="s">
        <v>17</v>
      </c>
      <c r="E357">
        <v>1335</v>
      </c>
      <c r="F357">
        <v>1013.35</v>
      </c>
      <c r="G357">
        <v>321.64999999999998</v>
      </c>
      <c r="H357">
        <v>31.74</v>
      </c>
      <c r="I357" t="s">
        <v>18</v>
      </c>
    </row>
    <row r="358" spans="1:9" x14ac:dyDescent="0.25">
      <c r="A358" s="2">
        <v>46192</v>
      </c>
      <c r="B358" t="s">
        <v>15</v>
      </c>
      <c r="C358" s="1" t="s">
        <v>350</v>
      </c>
      <c r="D358" t="s">
        <v>17</v>
      </c>
      <c r="E358">
        <v>1335</v>
      </c>
      <c r="F358">
        <v>1108.27</v>
      </c>
      <c r="G358">
        <v>226.73</v>
      </c>
      <c r="H358">
        <v>20.46</v>
      </c>
      <c r="I358" t="s">
        <v>18</v>
      </c>
    </row>
    <row r="359" spans="1:9" x14ac:dyDescent="0.25">
      <c r="A359" s="2">
        <v>46192</v>
      </c>
      <c r="B359" t="s">
        <v>15</v>
      </c>
      <c r="C359" s="1" t="s">
        <v>351</v>
      </c>
      <c r="D359" t="s">
        <v>17</v>
      </c>
      <c r="E359">
        <v>1335</v>
      </c>
      <c r="F359">
        <v>1013.35</v>
      </c>
      <c r="G359">
        <v>321.64999999999998</v>
      </c>
      <c r="H359">
        <v>31.74</v>
      </c>
      <c r="I359" t="s">
        <v>18</v>
      </c>
    </row>
    <row r="360" spans="1:9" x14ac:dyDescent="0.25">
      <c r="A360" s="2">
        <v>46192</v>
      </c>
      <c r="B360" t="s">
        <v>15</v>
      </c>
      <c r="C360" s="1" t="s">
        <v>352</v>
      </c>
      <c r="D360" t="s">
        <v>17</v>
      </c>
      <c r="E360">
        <v>1335</v>
      </c>
      <c r="F360">
        <v>1108.27</v>
      </c>
      <c r="G360">
        <v>226.73</v>
      </c>
      <c r="H360">
        <v>20.46</v>
      </c>
      <c r="I360" t="s">
        <v>18</v>
      </c>
    </row>
    <row r="361" spans="1:9" x14ac:dyDescent="0.25">
      <c r="A361" s="2">
        <v>46192</v>
      </c>
      <c r="B361" t="s">
        <v>15</v>
      </c>
      <c r="C361" s="1" t="s">
        <v>353</v>
      </c>
      <c r="D361" t="s">
        <v>17</v>
      </c>
      <c r="E361">
        <v>1335</v>
      </c>
      <c r="F361">
        <v>1013.35</v>
      </c>
      <c r="G361">
        <v>321.64999999999998</v>
      </c>
      <c r="H361">
        <v>31.74</v>
      </c>
      <c r="I361" t="s">
        <v>18</v>
      </c>
    </row>
    <row r="362" spans="1:9" x14ac:dyDescent="0.25">
      <c r="A362" s="2">
        <v>46192</v>
      </c>
      <c r="B362" t="s">
        <v>15</v>
      </c>
      <c r="C362" s="1" t="s">
        <v>354</v>
      </c>
      <c r="D362" t="s">
        <v>17</v>
      </c>
      <c r="E362">
        <v>1335</v>
      </c>
      <c r="F362">
        <v>1108.27</v>
      </c>
      <c r="G362">
        <v>226.73</v>
      </c>
      <c r="H362">
        <v>20.46</v>
      </c>
      <c r="I362" t="s">
        <v>18</v>
      </c>
    </row>
    <row r="363" spans="1:9" x14ac:dyDescent="0.25">
      <c r="A363" s="2">
        <v>46192</v>
      </c>
      <c r="B363" t="s">
        <v>15</v>
      </c>
      <c r="C363" s="1" t="s">
        <v>355</v>
      </c>
      <c r="D363" t="s">
        <v>17</v>
      </c>
      <c r="E363">
        <v>1335</v>
      </c>
      <c r="F363">
        <v>1108.27</v>
      </c>
      <c r="G363">
        <v>226.73</v>
      </c>
      <c r="H363">
        <v>20.46</v>
      </c>
      <c r="I363" t="s">
        <v>18</v>
      </c>
    </row>
    <row r="364" spans="1:9" x14ac:dyDescent="0.25">
      <c r="A364" s="2">
        <v>46192</v>
      </c>
      <c r="B364" t="s">
        <v>15</v>
      </c>
      <c r="C364" s="1" t="s">
        <v>356</v>
      </c>
      <c r="D364" t="s">
        <v>17</v>
      </c>
      <c r="E364">
        <v>1335</v>
      </c>
      <c r="F364">
        <v>928.34</v>
      </c>
      <c r="G364">
        <v>406.66</v>
      </c>
      <c r="H364">
        <v>43.81</v>
      </c>
      <c r="I364" t="s">
        <v>18</v>
      </c>
    </row>
    <row r="365" spans="1:9" x14ac:dyDescent="0.25">
      <c r="A365" s="2">
        <v>46192</v>
      </c>
      <c r="B365" t="s">
        <v>15</v>
      </c>
      <c r="C365" s="1" t="s">
        <v>357</v>
      </c>
      <c r="D365" t="s">
        <v>17</v>
      </c>
      <c r="E365">
        <v>1335</v>
      </c>
      <c r="F365">
        <v>1108.27</v>
      </c>
      <c r="G365">
        <v>226.73</v>
      </c>
      <c r="H365">
        <v>20.46</v>
      </c>
      <c r="I365" t="s">
        <v>18</v>
      </c>
    </row>
    <row r="366" spans="1:9" x14ac:dyDescent="0.25">
      <c r="A366" s="2">
        <v>46192</v>
      </c>
      <c r="B366" t="s">
        <v>15</v>
      </c>
      <c r="C366" s="1" t="s">
        <v>358</v>
      </c>
      <c r="D366" t="s">
        <v>17</v>
      </c>
      <c r="E366">
        <v>1335</v>
      </c>
      <c r="F366">
        <v>1013.35</v>
      </c>
      <c r="G366">
        <v>321.64999999999998</v>
      </c>
      <c r="H366">
        <v>31.74</v>
      </c>
      <c r="I366" t="s">
        <v>18</v>
      </c>
    </row>
    <row r="367" spans="1:9" x14ac:dyDescent="0.25">
      <c r="A367" s="2">
        <v>46192</v>
      </c>
      <c r="B367" t="s">
        <v>15</v>
      </c>
      <c r="C367" s="1" t="s">
        <v>359</v>
      </c>
      <c r="D367" t="s">
        <v>17</v>
      </c>
      <c r="E367">
        <v>1335</v>
      </c>
      <c r="F367">
        <v>928.34</v>
      </c>
      <c r="G367">
        <v>406.66</v>
      </c>
      <c r="H367">
        <v>43.81</v>
      </c>
      <c r="I367" t="s">
        <v>18</v>
      </c>
    </row>
    <row r="368" spans="1:9" x14ac:dyDescent="0.25">
      <c r="A368" s="2">
        <v>46192</v>
      </c>
      <c r="B368" t="s">
        <v>15</v>
      </c>
      <c r="C368" s="1" t="s">
        <v>360</v>
      </c>
      <c r="D368" t="s">
        <v>17</v>
      </c>
      <c r="E368">
        <v>1335</v>
      </c>
      <c r="F368">
        <v>1108.27</v>
      </c>
      <c r="G368">
        <v>226.73</v>
      </c>
      <c r="H368">
        <v>20.46</v>
      </c>
      <c r="I368" t="s">
        <v>18</v>
      </c>
    </row>
    <row r="369" spans="1:9" x14ac:dyDescent="0.25">
      <c r="A369" s="2">
        <v>46192</v>
      </c>
      <c r="B369" t="s">
        <v>15</v>
      </c>
      <c r="C369" s="1" t="s">
        <v>361</v>
      </c>
      <c r="D369" t="s">
        <v>17</v>
      </c>
      <c r="E369">
        <v>1335</v>
      </c>
      <c r="F369">
        <v>1108.27</v>
      </c>
      <c r="G369">
        <v>226.73</v>
      </c>
      <c r="H369">
        <v>20.46</v>
      </c>
      <c r="I369" t="s">
        <v>18</v>
      </c>
    </row>
    <row r="370" spans="1:9" x14ac:dyDescent="0.25">
      <c r="A370" s="2">
        <v>46192</v>
      </c>
      <c r="B370" t="s">
        <v>15</v>
      </c>
      <c r="C370" s="1" t="s">
        <v>362</v>
      </c>
      <c r="D370" t="s">
        <v>17</v>
      </c>
      <c r="E370">
        <v>1335</v>
      </c>
      <c r="F370">
        <v>1013.35</v>
      </c>
      <c r="G370">
        <v>321.64999999999998</v>
      </c>
      <c r="H370">
        <v>31.74</v>
      </c>
      <c r="I370" t="s">
        <v>18</v>
      </c>
    </row>
    <row r="371" spans="1:9" x14ac:dyDescent="0.25">
      <c r="A371" s="2">
        <v>46192</v>
      </c>
      <c r="B371" t="s">
        <v>15</v>
      </c>
      <c r="C371" s="1" t="s">
        <v>363</v>
      </c>
      <c r="D371" t="s">
        <v>17</v>
      </c>
      <c r="E371">
        <v>1335</v>
      </c>
      <c r="F371">
        <v>928.34</v>
      </c>
      <c r="G371">
        <v>406.66</v>
      </c>
      <c r="H371">
        <v>43.81</v>
      </c>
      <c r="I371" t="s">
        <v>18</v>
      </c>
    </row>
    <row r="372" spans="1:9" x14ac:dyDescent="0.25">
      <c r="A372" s="2">
        <v>46192</v>
      </c>
      <c r="B372" t="s">
        <v>15</v>
      </c>
      <c r="C372" s="1" t="s">
        <v>364</v>
      </c>
      <c r="D372" t="s">
        <v>17</v>
      </c>
      <c r="E372">
        <v>1335</v>
      </c>
      <c r="F372">
        <v>1013.35</v>
      </c>
      <c r="G372">
        <v>321.64999999999998</v>
      </c>
      <c r="H372">
        <v>31.74</v>
      </c>
      <c r="I372" t="s">
        <v>18</v>
      </c>
    </row>
    <row r="373" spans="1:9" x14ac:dyDescent="0.25">
      <c r="A373" s="2">
        <v>46192</v>
      </c>
      <c r="B373" t="s">
        <v>15</v>
      </c>
      <c r="C373" s="1" t="s">
        <v>365</v>
      </c>
      <c r="D373" t="s">
        <v>17</v>
      </c>
      <c r="E373">
        <v>1335</v>
      </c>
      <c r="F373">
        <v>928.34</v>
      </c>
      <c r="G373">
        <v>406.66</v>
      </c>
      <c r="H373">
        <v>43.81</v>
      </c>
      <c r="I373" t="s">
        <v>18</v>
      </c>
    </row>
    <row r="374" spans="1:9" x14ac:dyDescent="0.25">
      <c r="A374" s="2">
        <v>46192</v>
      </c>
      <c r="B374" t="s">
        <v>15</v>
      </c>
      <c r="C374" s="1" t="s">
        <v>366</v>
      </c>
      <c r="D374" t="s">
        <v>17</v>
      </c>
      <c r="E374">
        <v>1335</v>
      </c>
      <c r="F374">
        <v>1034</v>
      </c>
      <c r="G374">
        <v>301</v>
      </c>
      <c r="H374">
        <v>29.11</v>
      </c>
      <c r="I374" t="s">
        <v>18</v>
      </c>
    </row>
    <row r="375" spans="1:9" x14ac:dyDescent="0.25">
      <c r="A375" s="2">
        <v>46192</v>
      </c>
      <c r="B375" t="s">
        <v>15</v>
      </c>
      <c r="C375" s="1" t="s">
        <v>367</v>
      </c>
      <c r="D375" t="s">
        <v>17</v>
      </c>
      <c r="E375">
        <v>1335</v>
      </c>
      <c r="F375">
        <v>1034</v>
      </c>
      <c r="G375">
        <v>301</v>
      </c>
      <c r="H375">
        <v>29.11</v>
      </c>
      <c r="I375" t="s">
        <v>18</v>
      </c>
    </row>
    <row r="376" spans="1:9" x14ac:dyDescent="0.25">
      <c r="A376" s="2">
        <v>46192</v>
      </c>
      <c r="B376" t="s">
        <v>15</v>
      </c>
      <c r="C376" s="1" t="s">
        <v>368</v>
      </c>
      <c r="D376" t="s">
        <v>17</v>
      </c>
      <c r="E376">
        <v>1335</v>
      </c>
      <c r="F376">
        <v>1034</v>
      </c>
      <c r="G376">
        <v>301</v>
      </c>
      <c r="H376">
        <v>29.11</v>
      </c>
      <c r="I376" t="s">
        <v>18</v>
      </c>
    </row>
    <row r="377" spans="1:9" x14ac:dyDescent="0.25">
      <c r="A377" s="2">
        <v>46192</v>
      </c>
      <c r="B377" t="s">
        <v>15</v>
      </c>
      <c r="C377" s="1" t="s">
        <v>369</v>
      </c>
      <c r="D377" t="s">
        <v>17</v>
      </c>
      <c r="E377">
        <v>1335</v>
      </c>
      <c r="F377">
        <v>923.17</v>
      </c>
      <c r="G377">
        <v>411.83</v>
      </c>
      <c r="H377">
        <v>44.61</v>
      </c>
      <c r="I377" t="s">
        <v>18</v>
      </c>
    </row>
    <row r="378" spans="1:9" x14ac:dyDescent="0.25">
      <c r="A378" s="2">
        <v>46192</v>
      </c>
      <c r="B378" t="s">
        <v>15</v>
      </c>
      <c r="C378" s="1" t="s">
        <v>370</v>
      </c>
      <c r="D378" t="s">
        <v>17</v>
      </c>
      <c r="E378">
        <v>1335</v>
      </c>
      <c r="F378">
        <v>923.17</v>
      </c>
      <c r="G378">
        <v>411.83</v>
      </c>
      <c r="H378">
        <v>44.61</v>
      </c>
      <c r="I378" t="s">
        <v>18</v>
      </c>
    </row>
    <row r="379" spans="1:9" x14ac:dyDescent="0.25">
      <c r="A379" s="2">
        <v>46192</v>
      </c>
      <c r="B379" t="s">
        <v>15</v>
      </c>
      <c r="C379" s="1" t="s">
        <v>371</v>
      </c>
      <c r="D379" t="s">
        <v>17</v>
      </c>
      <c r="E379">
        <v>1335</v>
      </c>
      <c r="F379">
        <v>1034</v>
      </c>
      <c r="G379">
        <v>301</v>
      </c>
      <c r="H379">
        <v>29.11</v>
      </c>
      <c r="I379" t="s">
        <v>18</v>
      </c>
    </row>
    <row r="380" spans="1:9" x14ac:dyDescent="0.25">
      <c r="A380" s="2">
        <v>46192</v>
      </c>
      <c r="B380" t="s">
        <v>15</v>
      </c>
      <c r="C380" s="1" t="s">
        <v>372</v>
      </c>
      <c r="D380" t="s">
        <v>17</v>
      </c>
      <c r="E380">
        <v>1335</v>
      </c>
      <c r="F380">
        <v>1034</v>
      </c>
      <c r="G380">
        <v>301</v>
      </c>
      <c r="H380">
        <v>29.11</v>
      </c>
      <c r="I380" t="s">
        <v>18</v>
      </c>
    </row>
    <row r="381" spans="1:9" x14ac:dyDescent="0.25">
      <c r="A381" s="2">
        <v>46192</v>
      </c>
      <c r="B381" t="s">
        <v>15</v>
      </c>
      <c r="C381" s="1" t="s">
        <v>373</v>
      </c>
      <c r="D381" t="s">
        <v>17</v>
      </c>
      <c r="E381">
        <v>1335</v>
      </c>
      <c r="F381">
        <v>1034</v>
      </c>
      <c r="G381">
        <v>301</v>
      </c>
      <c r="H381">
        <v>29.11</v>
      </c>
      <c r="I381" t="s">
        <v>18</v>
      </c>
    </row>
    <row r="382" spans="1:9" x14ac:dyDescent="0.25">
      <c r="A382" s="2">
        <v>46192</v>
      </c>
      <c r="B382" t="s">
        <v>15</v>
      </c>
      <c r="C382" s="1" t="s">
        <v>374</v>
      </c>
      <c r="D382" t="s">
        <v>17</v>
      </c>
      <c r="E382">
        <v>1335</v>
      </c>
      <c r="F382">
        <v>1034</v>
      </c>
      <c r="G382">
        <v>301</v>
      </c>
      <c r="H382">
        <v>29.11</v>
      </c>
      <c r="I382" t="s">
        <v>18</v>
      </c>
    </row>
    <row r="383" spans="1:9" x14ac:dyDescent="0.25">
      <c r="A383" s="2">
        <v>46192</v>
      </c>
      <c r="B383" t="s">
        <v>15</v>
      </c>
      <c r="C383" s="1" t="s">
        <v>375</v>
      </c>
      <c r="D383" t="s">
        <v>17</v>
      </c>
      <c r="E383">
        <v>1335</v>
      </c>
      <c r="F383">
        <v>1034</v>
      </c>
      <c r="G383">
        <v>301</v>
      </c>
      <c r="H383">
        <v>29.11</v>
      </c>
      <c r="I383" t="s">
        <v>18</v>
      </c>
    </row>
    <row r="384" spans="1:9" x14ac:dyDescent="0.25">
      <c r="A384" s="2">
        <v>46192</v>
      </c>
      <c r="B384" t="s">
        <v>15</v>
      </c>
      <c r="C384" s="1" t="s">
        <v>376</v>
      </c>
      <c r="D384" t="s">
        <v>17</v>
      </c>
      <c r="E384">
        <v>1335</v>
      </c>
      <c r="F384">
        <v>1034</v>
      </c>
      <c r="G384">
        <v>301</v>
      </c>
      <c r="H384">
        <v>29.11</v>
      </c>
      <c r="I384" t="s">
        <v>18</v>
      </c>
    </row>
    <row r="385" spans="1:9" x14ac:dyDescent="0.25">
      <c r="A385" s="2">
        <v>46192</v>
      </c>
      <c r="B385" t="s">
        <v>15</v>
      </c>
      <c r="C385" s="1" t="s">
        <v>377</v>
      </c>
      <c r="D385" t="s">
        <v>17</v>
      </c>
      <c r="E385">
        <v>1335</v>
      </c>
      <c r="F385">
        <v>928.34</v>
      </c>
      <c r="G385">
        <v>406.66</v>
      </c>
      <c r="H385">
        <v>43.81</v>
      </c>
      <c r="I385" t="s">
        <v>18</v>
      </c>
    </row>
    <row r="386" spans="1:9" x14ac:dyDescent="0.25">
      <c r="A386" s="2">
        <v>46192</v>
      </c>
      <c r="B386" t="s">
        <v>15</v>
      </c>
      <c r="C386" s="1" t="s">
        <v>378</v>
      </c>
      <c r="D386" t="s">
        <v>17</v>
      </c>
      <c r="E386">
        <v>1335</v>
      </c>
      <c r="F386">
        <v>1034</v>
      </c>
      <c r="G386">
        <v>301</v>
      </c>
      <c r="H386">
        <v>29.11</v>
      </c>
      <c r="I386" t="s">
        <v>18</v>
      </c>
    </row>
    <row r="387" spans="1:9" x14ac:dyDescent="0.25">
      <c r="A387" s="2">
        <v>46192</v>
      </c>
      <c r="B387" t="s">
        <v>15</v>
      </c>
      <c r="C387" s="1" t="s">
        <v>379</v>
      </c>
      <c r="D387" t="s">
        <v>17</v>
      </c>
      <c r="E387">
        <v>1335</v>
      </c>
      <c r="F387">
        <v>1034</v>
      </c>
      <c r="G387">
        <v>301</v>
      </c>
      <c r="H387">
        <v>29.11</v>
      </c>
      <c r="I387" t="s">
        <v>18</v>
      </c>
    </row>
    <row r="388" spans="1:9" x14ac:dyDescent="0.25">
      <c r="A388" s="2">
        <v>46192</v>
      </c>
      <c r="B388" t="s">
        <v>15</v>
      </c>
      <c r="C388" s="1" t="s">
        <v>380</v>
      </c>
      <c r="D388" t="s">
        <v>17</v>
      </c>
      <c r="E388">
        <v>1335</v>
      </c>
      <c r="F388">
        <v>1034</v>
      </c>
      <c r="G388">
        <v>301</v>
      </c>
      <c r="H388">
        <v>29.11</v>
      </c>
      <c r="I388" t="s">
        <v>18</v>
      </c>
    </row>
    <row r="389" spans="1:9" x14ac:dyDescent="0.25">
      <c r="A389" s="2">
        <v>46192</v>
      </c>
      <c r="B389" t="s">
        <v>15</v>
      </c>
      <c r="C389" s="1" t="s">
        <v>381</v>
      </c>
      <c r="D389" t="s">
        <v>17</v>
      </c>
      <c r="E389">
        <v>1335</v>
      </c>
      <c r="F389">
        <v>923.17</v>
      </c>
      <c r="G389">
        <v>411.83</v>
      </c>
      <c r="H389">
        <v>44.61</v>
      </c>
      <c r="I389" t="s">
        <v>18</v>
      </c>
    </row>
    <row r="390" spans="1:9" x14ac:dyDescent="0.25">
      <c r="A390" s="2">
        <v>46192</v>
      </c>
      <c r="B390" t="s">
        <v>15</v>
      </c>
      <c r="C390" s="1" t="s">
        <v>382</v>
      </c>
      <c r="D390" t="s">
        <v>17</v>
      </c>
      <c r="E390">
        <v>1335</v>
      </c>
      <c r="F390">
        <v>1034</v>
      </c>
      <c r="G390">
        <v>301</v>
      </c>
      <c r="H390">
        <v>29.11</v>
      </c>
      <c r="I390" t="s">
        <v>18</v>
      </c>
    </row>
    <row r="391" spans="1:9" x14ac:dyDescent="0.25">
      <c r="A391" s="2">
        <v>46192</v>
      </c>
      <c r="B391" t="s">
        <v>15</v>
      </c>
      <c r="C391" s="1" t="s">
        <v>383</v>
      </c>
      <c r="D391" t="s">
        <v>17</v>
      </c>
      <c r="E391">
        <v>1335</v>
      </c>
      <c r="F391">
        <v>1034</v>
      </c>
      <c r="G391">
        <v>301</v>
      </c>
      <c r="H391">
        <v>29.11</v>
      </c>
      <c r="I391" t="s">
        <v>18</v>
      </c>
    </row>
    <row r="392" spans="1:9" x14ac:dyDescent="0.25">
      <c r="A392" s="2">
        <v>46192</v>
      </c>
      <c r="B392" t="s">
        <v>15</v>
      </c>
      <c r="C392" s="1" t="s">
        <v>384</v>
      </c>
      <c r="D392" t="s">
        <v>17</v>
      </c>
      <c r="E392">
        <v>1335</v>
      </c>
      <c r="F392">
        <v>1034</v>
      </c>
      <c r="G392">
        <v>301</v>
      </c>
      <c r="H392">
        <v>29.11</v>
      </c>
      <c r="I392" t="s">
        <v>18</v>
      </c>
    </row>
    <row r="393" spans="1:9" x14ac:dyDescent="0.25">
      <c r="A393" s="2">
        <v>46192</v>
      </c>
      <c r="B393" t="s">
        <v>15</v>
      </c>
      <c r="C393" s="1" t="s">
        <v>385</v>
      </c>
      <c r="D393" t="s">
        <v>17</v>
      </c>
      <c r="E393">
        <v>1335</v>
      </c>
      <c r="F393">
        <v>1018.84</v>
      </c>
      <c r="G393">
        <v>316.16000000000003</v>
      </c>
      <c r="H393">
        <v>31.03</v>
      </c>
      <c r="I393" t="s">
        <v>18</v>
      </c>
    </row>
    <row r="394" spans="1:9" x14ac:dyDescent="0.25">
      <c r="A394" s="2">
        <v>46192</v>
      </c>
      <c r="B394" t="s">
        <v>15</v>
      </c>
      <c r="C394" s="1" t="s">
        <v>386</v>
      </c>
      <c r="D394" t="s">
        <v>17</v>
      </c>
      <c r="E394">
        <v>1335</v>
      </c>
      <c r="F394">
        <v>1031.77</v>
      </c>
      <c r="G394">
        <v>303.23</v>
      </c>
      <c r="H394">
        <v>29.39</v>
      </c>
      <c r="I394" t="s">
        <v>18</v>
      </c>
    </row>
    <row r="395" spans="1:9" x14ac:dyDescent="0.25">
      <c r="A395" s="2">
        <v>46192</v>
      </c>
      <c r="B395" t="s">
        <v>15</v>
      </c>
      <c r="C395" s="1" t="s">
        <v>387</v>
      </c>
      <c r="D395" t="s">
        <v>17</v>
      </c>
      <c r="E395">
        <v>1335</v>
      </c>
      <c r="F395">
        <v>1034</v>
      </c>
      <c r="G395">
        <v>301</v>
      </c>
      <c r="H395">
        <v>29.11</v>
      </c>
      <c r="I395" t="s">
        <v>18</v>
      </c>
    </row>
    <row r="396" spans="1:9" x14ac:dyDescent="0.25">
      <c r="A396" s="2">
        <v>46192</v>
      </c>
      <c r="B396" t="s">
        <v>15</v>
      </c>
      <c r="C396" s="1" t="s">
        <v>388</v>
      </c>
      <c r="D396" t="s">
        <v>17</v>
      </c>
      <c r="E396">
        <v>1335</v>
      </c>
      <c r="F396">
        <v>1034</v>
      </c>
      <c r="G396">
        <v>301</v>
      </c>
      <c r="H396">
        <v>29.11</v>
      </c>
      <c r="I396" t="s">
        <v>18</v>
      </c>
    </row>
    <row r="397" spans="1:9" x14ac:dyDescent="0.25">
      <c r="A397" s="2">
        <v>46192</v>
      </c>
      <c r="B397" t="s">
        <v>15</v>
      </c>
      <c r="C397" s="1" t="s">
        <v>389</v>
      </c>
      <c r="D397" t="s">
        <v>17</v>
      </c>
      <c r="E397">
        <v>1335</v>
      </c>
      <c r="F397">
        <v>1031.77</v>
      </c>
      <c r="G397">
        <v>303.23</v>
      </c>
      <c r="H397">
        <v>29.39</v>
      </c>
      <c r="I397" t="s">
        <v>18</v>
      </c>
    </row>
    <row r="398" spans="1:9" x14ac:dyDescent="0.25">
      <c r="A398" s="2">
        <v>46192</v>
      </c>
      <c r="B398" t="s">
        <v>15</v>
      </c>
      <c r="C398" s="1" t="s">
        <v>390</v>
      </c>
      <c r="D398" t="s">
        <v>17</v>
      </c>
      <c r="E398">
        <v>1335</v>
      </c>
      <c r="F398">
        <v>1034</v>
      </c>
      <c r="G398">
        <v>301</v>
      </c>
      <c r="H398">
        <v>29.11</v>
      </c>
      <c r="I398" t="s">
        <v>18</v>
      </c>
    </row>
    <row r="399" spans="1:9" x14ac:dyDescent="0.25">
      <c r="A399" s="2">
        <v>46192</v>
      </c>
      <c r="B399" t="s">
        <v>15</v>
      </c>
      <c r="C399" s="1" t="s">
        <v>391</v>
      </c>
      <c r="D399" t="s">
        <v>17</v>
      </c>
      <c r="E399">
        <v>1335</v>
      </c>
      <c r="F399">
        <v>1034</v>
      </c>
      <c r="G399">
        <v>301</v>
      </c>
      <c r="H399">
        <v>29.11</v>
      </c>
      <c r="I399" t="s">
        <v>18</v>
      </c>
    </row>
    <row r="400" spans="1:9" x14ac:dyDescent="0.25">
      <c r="A400" s="2">
        <v>46192</v>
      </c>
      <c r="B400" t="s">
        <v>15</v>
      </c>
      <c r="C400" s="1" t="s">
        <v>392</v>
      </c>
      <c r="D400" t="s">
        <v>17</v>
      </c>
      <c r="E400">
        <v>1335</v>
      </c>
      <c r="F400">
        <v>1034</v>
      </c>
      <c r="G400">
        <v>301</v>
      </c>
      <c r="H400">
        <v>29.11</v>
      </c>
      <c r="I400" t="s">
        <v>18</v>
      </c>
    </row>
    <row r="401" spans="1:9" x14ac:dyDescent="0.25">
      <c r="A401" s="2">
        <v>46192</v>
      </c>
      <c r="B401" t="s">
        <v>15</v>
      </c>
      <c r="C401" s="1" t="s">
        <v>393</v>
      </c>
      <c r="D401" t="s">
        <v>17</v>
      </c>
      <c r="E401">
        <v>1335</v>
      </c>
      <c r="F401">
        <v>1018.84</v>
      </c>
      <c r="G401">
        <v>316.16000000000003</v>
      </c>
      <c r="H401">
        <v>31.03</v>
      </c>
      <c r="I401" t="s">
        <v>18</v>
      </c>
    </row>
    <row r="402" spans="1:9" x14ac:dyDescent="0.25">
      <c r="A402" s="2">
        <v>46193</v>
      </c>
      <c r="B402" t="s">
        <v>104</v>
      </c>
      <c r="C402" s="1">
        <v>355202683600962</v>
      </c>
      <c r="D402" t="s">
        <v>394</v>
      </c>
      <c r="E402">
        <v>1280</v>
      </c>
      <c r="F402">
        <v>1080</v>
      </c>
      <c r="G402">
        <v>200</v>
      </c>
      <c r="H402">
        <v>18.52</v>
      </c>
      <c r="I402" t="s">
        <v>35</v>
      </c>
    </row>
    <row r="403" spans="1:9" x14ac:dyDescent="0.25">
      <c r="A403" s="2">
        <v>46193</v>
      </c>
      <c r="B403" t="s">
        <v>29</v>
      </c>
      <c r="C403" s="1">
        <v>358135797167600</v>
      </c>
      <c r="D403" t="s">
        <v>395</v>
      </c>
      <c r="E403">
        <v>2425</v>
      </c>
      <c r="F403">
        <v>2380</v>
      </c>
      <c r="G403">
        <v>45</v>
      </c>
      <c r="H403">
        <v>1.89</v>
      </c>
      <c r="I403" t="s">
        <v>35</v>
      </c>
    </row>
    <row r="404" spans="1:9" x14ac:dyDescent="0.25">
      <c r="A404" s="2">
        <v>46193</v>
      </c>
      <c r="B404" t="s">
        <v>324</v>
      </c>
      <c r="C404" s="1">
        <v>21215082000331</v>
      </c>
      <c r="D404" t="s">
        <v>156</v>
      </c>
      <c r="E404">
        <v>4100</v>
      </c>
      <c r="F404">
        <v>3394.85</v>
      </c>
      <c r="G404">
        <v>705.15</v>
      </c>
      <c r="H404">
        <v>20.77</v>
      </c>
      <c r="I404" t="s">
        <v>326</v>
      </c>
    </row>
    <row r="405" spans="1:9" x14ac:dyDescent="0.25">
      <c r="A405" s="2">
        <v>46193</v>
      </c>
      <c r="B405" t="s">
        <v>324</v>
      </c>
      <c r="C405" s="1">
        <v>21215082000332</v>
      </c>
      <c r="D405" t="s">
        <v>156</v>
      </c>
      <c r="E405">
        <v>4100</v>
      </c>
      <c r="F405">
        <v>3394.85</v>
      </c>
      <c r="G405">
        <v>705.15</v>
      </c>
      <c r="H405">
        <v>20.77</v>
      </c>
      <c r="I405" t="s">
        <v>326</v>
      </c>
    </row>
    <row r="406" spans="1:9" x14ac:dyDescent="0.25">
      <c r="A406" s="2">
        <v>46193</v>
      </c>
      <c r="B406" t="s">
        <v>324</v>
      </c>
      <c r="C406" s="1">
        <v>21215082000338</v>
      </c>
      <c r="D406" t="s">
        <v>156</v>
      </c>
      <c r="E406">
        <v>4100</v>
      </c>
      <c r="F406">
        <v>3394.85</v>
      </c>
      <c r="G406">
        <v>705.15</v>
      </c>
      <c r="H406">
        <v>20.77</v>
      </c>
      <c r="I406" t="s">
        <v>326</v>
      </c>
    </row>
    <row r="407" spans="1:9" x14ac:dyDescent="0.25">
      <c r="A407" s="2">
        <v>46193</v>
      </c>
      <c r="B407" t="s">
        <v>324</v>
      </c>
      <c r="C407" s="1">
        <v>21225082000142</v>
      </c>
      <c r="D407" t="s">
        <v>156</v>
      </c>
      <c r="E407">
        <v>4100</v>
      </c>
      <c r="F407">
        <v>3071.88</v>
      </c>
      <c r="G407">
        <v>1028.1199999999999</v>
      </c>
      <c r="H407">
        <v>33.47</v>
      </c>
      <c r="I407" t="s">
        <v>326</v>
      </c>
    </row>
    <row r="408" spans="1:9" x14ac:dyDescent="0.25">
      <c r="A408" s="2">
        <v>46193</v>
      </c>
      <c r="B408" t="s">
        <v>324</v>
      </c>
      <c r="C408" s="1">
        <v>21235082000146</v>
      </c>
      <c r="D408" t="s">
        <v>325</v>
      </c>
      <c r="E408">
        <v>3990</v>
      </c>
      <c r="F408">
        <v>3280.2</v>
      </c>
      <c r="G408">
        <v>709.8</v>
      </c>
      <c r="H408">
        <v>21.64</v>
      </c>
      <c r="I408" t="s">
        <v>326</v>
      </c>
    </row>
    <row r="409" spans="1:9" x14ac:dyDescent="0.25">
      <c r="A409" s="2">
        <v>46193</v>
      </c>
      <c r="B409" t="s">
        <v>324</v>
      </c>
      <c r="C409" s="1">
        <v>21245082000064</v>
      </c>
      <c r="D409" t="s">
        <v>325</v>
      </c>
      <c r="E409">
        <v>3990</v>
      </c>
      <c r="F409">
        <v>3280.2</v>
      </c>
      <c r="G409">
        <v>709.8</v>
      </c>
      <c r="H409">
        <v>21.64</v>
      </c>
      <c r="I409" t="s">
        <v>326</v>
      </c>
    </row>
    <row r="410" spans="1:9" x14ac:dyDescent="0.25">
      <c r="A410" s="2">
        <v>46193</v>
      </c>
      <c r="B410" t="s">
        <v>324</v>
      </c>
      <c r="C410" s="1">
        <v>21245082000065</v>
      </c>
      <c r="D410" t="s">
        <v>325</v>
      </c>
      <c r="E410">
        <v>3950</v>
      </c>
      <c r="F410">
        <v>3280.2</v>
      </c>
      <c r="G410">
        <v>669.8</v>
      </c>
      <c r="H410">
        <v>20.420000000000002</v>
      </c>
      <c r="I410" t="s">
        <v>326</v>
      </c>
    </row>
    <row r="411" spans="1:9" x14ac:dyDescent="0.25">
      <c r="A411" s="2">
        <v>46193</v>
      </c>
      <c r="B411" t="s">
        <v>324</v>
      </c>
      <c r="C411" s="1">
        <v>21245082000340</v>
      </c>
      <c r="D411" t="s">
        <v>325</v>
      </c>
      <c r="E411">
        <v>3950</v>
      </c>
      <c r="F411">
        <v>3280.2</v>
      </c>
      <c r="G411">
        <v>669.8</v>
      </c>
      <c r="H411">
        <v>20.420000000000002</v>
      </c>
      <c r="I411" t="s">
        <v>326</v>
      </c>
    </row>
    <row r="412" spans="1:9" x14ac:dyDescent="0.25">
      <c r="A412" s="2">
        <v>46193</v>
      </c>
      <c r="B412" t="s">
        <v>324</v>
      </c>
      <c r="C412" s="1">
        <v>21245082000590</v>
      </c>
      <c r="D412" t="s">
        <v>156</v>
      </c>
      <c r="E412">
        <v>4100</v>
      </c>
      <c r="F412">
        <v>3363.27</v>
      </c>
      <c r="G412">
        <v>736.73</v>
      </c>
      <c r="H412">
        <v>21.91</v>
      </c>
      <c r="I412" t="s">
        <v>326</v>
      </c>
    </row>
    <row r="413" spans="1:9" x14ac:dyDescent="0.25">
      <c r="A413" s="2">
        <v>46193</v>
      </c>
      <c r="B413" t="s">
        <v>324</v>
      </c>
      <c r="C413" s="1">
        <v>21245082000783</v>
      </c>
      <c r="D413" t="s">
        <v>156</v>
      </c>
      <c r="E413">
        <v>4100</v>
      </c>
      <c r="F413">
        <v>3394.85</v>
      </c>
      <c r="G413">
        <v>705.15</v>
      </c>
      <c r="H413">
        <v>20.77</v>
      </c>
      <c r="I413" t="s">
        <v>326</v>
      </c>
    </row>
    <row r="414" spans="1:9" x14ac:dyDescent="0.25">
      <c r="A414" s="2">
        <v>46193</v>
      </c>
      <c r="B414" t="s">
        <v>324</v>
      </c>
      <c r="C414" s="1">
        <v>21245082001191</v>
      </c>
      <c r="D414" t="s">
        <v>156</v>
      </c>
      <c r="E414">
        <v>4100</v>
      </c>
      <c r="F414">
        <v>3086.37</v>
      </c>
      <c r="G414">
        <v>1013.63</v>
      </c>
      <c r="H414">
        <v>32.840000000000003</v>
      </c>
      <c r="I414" t="s">
        <v>326</v>
      </c>
    </row>
    <row r="415" spans="1:9" x14ac:dyDescent="0.25">
      <c r="A415" s="2">
        <v>46193</v>
      </c>
      <c r="B415" t="s">
        <v>324</v>
      </c>
      <c r="C415" s="1">
        <v>21245082001241</v>
      </c>
      <c r="D415" t="s">
        <v>156</v>
      </c>
      <c r="E415">
        <v>4100</v>
      </c>
      <c r="F415">
        <v>3280.2</v>
      </c>
      <c r="G415">
        <v>819.8</v>
      </c>
      <c r="H415">
        <v>24.99</v>
      </c>
      <c r="I415" t="s">
        <v>326</v>
      </c>
    </row>
    <row r="416" spans="1:9" x14ac:dyDescent="0.25">
      <c r="A416" s="2">
        <v>46193</v>
      </c>
      <c r="B416" t="s">
        <v>324</v>
      </c>
      <c r="C416" s="1">
        <v>21245082001243</v>
      </c>
      <c r="D416" t="s">
        <v>156</v>
      </c>
      <c r="E416">
        <v>4100</v>
      </c>
      <c r="F416">
        <v>3394.85</v>
      </c>
      <c r="G416">
        <v>705.15</v>
      </c>
      <c r="H416">
        <v>20.77</v>
      </c>
      <c r="I416" t="s">
        <v>326</v>
      </c>
    </row>
    <row r="417" spans="1:9" x14ac:dyDescent="0.25">
      <c r="A417" s="2">
        <v>46193</v>
      </c>
      <c r="B417" t="s">
        <v>324</v>
      </c>
      <c r="C417" s="1">
        <v>21245082001250</v>
      </c>
      <c r="D417" t="s">
        <v>156</v>
      </c>
      <c r="E417">
        <v>4100</v>
      </c>
      <c r="F417">
        <v>3086.37</v>
      </c>
      <c r="G417">
        <v>1013.63</v>
      </c>
      <c r="H417">
        <v>32.840000000000003</v>
      </c>
      <c r="I417" t="s">
        <v>326</v>
      </c>
    </row>
    <row r="418" spans="1:9" x14ac:dyDescent="0.25">
      <c r="A418" s="2">
        <v>46193</v>
      </c>
      <c r="B418" t="s">
        <v>396</v>
      </c>
      <c r="C418" s="1" t="s">
        <v>397</v>
      </c>
      <c r="D418" t="s">
        <v>398</v>
      </c>
      <c r="E418">
        <v>340</v>
      </c>
      <c r="F418">
        <v>304.64</v>
      </c>
      <c r="G418">
        <v>35.36</v>
      </c>
      <c r="H418">
        <v>11.61</v>
      </c>
      <c r="I418" t="s">
        <v>18</v>
      </c>
    </row>
    <row r="419" spans="1:9" x14ac:dyDescent="0.25">
      <c r="A419" s="2">
        <v>46193</v>
      </c>
      <c r="B419" t="s">
        <v>396</v>
      </c>
      <c r="C419" s="1" t="s">
        <v>399</v>
      </c>
      <c r="D419" t="s">
        <v>398</v>
      </c>
      <c r="E419">
        <v>340</v>
      </c>
      <c r="F419">
        <v>289.41000000000003</v>
      </c>
      <c r="G419">
        <v>50.59</v>
      </c>
      <c r="H419">
        <v>17.48</v>
      </c>
      <c r="I419" t="s">
        <v>18</v>
      </c>
    </row>
    <row r="420" spans="1:9" x14ac:dyDescent="0.25">
      <c r="A420" s="2">
        <v>46193</v>
      </c>
      <c r="B420" t="s">
        <v>396</v>
      </c>
      <c r="C420" s="1" t="s">
        <v>400</v>
      </c>
      <c r="D420" t="s">
        <v>398</v>
      </c>
      <c r="E420">
        <v>340</v>
      </c>
      <c r="F420">
        <v>304.64</v>
      </c>
      <c r="G420">
        <v>35.36</v>
      </c>
      <c r="H420">
        <v>11.61</v>
      </c>
      <c r="I420" t="s">
        <v>18</v>
      </c>
    </row>
    <row r="421" spans="1:9" x14ac:dyDescent="0.25">
      <c r="A421" s="2">
        <v>46193</v>
      </c>
      <c r="B421" t="s">
        <v>396</v>
      </c>
      <c r="C421" s="1" t="s">
        <v>401</v>
      </c>
      <c r="D421" t="s">
        <v>398</v>
      </c>
      <c r="E421">
        <v>340</v>
      </c>
      <c r="F421">
        <v>304.64</v>
      </c>
      <c r="G421">
        <v>35.36</v>
      </c>
      <c r="H421">
        <v>11.61</v>
      </c>
      <c r="I421" t="s">
        <v>18</v>
      </c>
    </row>
    <row r="422" spans="1:9" x14ac:dyDescent="0.25">
      <c r="A422" s="2">
        <v>46193</v>
      </c>
      <c r="B422" t="s">
        <v>396</v>
      </c>
      <c r="C422" s="1" t="s">
        <v>402</v>
      </c>
      <c r="D422" t="s">
        <v>403</v>
      </c>
      <c r="E422">
        <v>340</v>
      </c>
      <c r="F422">
        <v>304.64</v>
      </c>
      <c r="G422">
        <v>35.36</v>
      </c>
      <c r="H422">
        <v>11.61</v>
      </c>
      <c r="I422" t="s">
        <v>18</v>
      </c>
    </row>
    <row r="423" spans="1:9" x14ac:dyDescent="0.25">
      <c r="A423" s="2">
        <v>46193</v>
      </c>
      <c r="B423" t="s">
        <v>396</v>
      </c>
      <c r="C423" s="1" t="s">
        <v>404</v>
      </c>
      <c r="D423" t="s">
        <v>405</v>
      </c>
      <c r="E423">
        <v>340</v>
      </c>
      <c r="F423">
        <v>314.60000000000002</v>
      </c>
      <c r="G423">
        <v>25.4</v>
      </c>
      <c r="H423">
        <v>8.07</v>
      </c>
      <c r="I423" t="s">
        <v>326</v>
      </c>
    </row>
    <row r="424" spans="1:9" x14ac:dyDescent="0.25">
      <c r="A424" s="2">
        <v>46193</v>
      </c>
      <c r="B424" t="s">
        <v>396</v>
      </c>
      <c r="C424" s="1" t="s">
        <v>406</v>
      </c>
      <c r="D424" t="s">
        <v>405</v>
      </c>
      <c r="E424">
        <v>340</v>
      </c>
      <c r="F424">
        <v>314.60000000000002</v>
      </c>
      <c r="G424">
        <v>25.4</v>
      </c>
      <c r="H424">
        <v>8.07</v>
      </c>
      <c r="I424" t="s">
        <v>326</v>
      </c>
    </row>
    <row r="425" spans="1:9" x14ac:dyDescent="0.25">
      <c r="A425" s="2">
        <v>46193</v>
      </c>
      <c r="B425" t="s">
        <v>396</v>
      </c>
      <c r="C425" s="1" t="s">
        <v>407</v>
      </c>
      <c r="D425" t="s">
        <v>408</v>
      </c>
      <c r="E425">
        <v>340</v>
      </c>
      <c r="F425">
        <v>286.98</v>
      </c>
      <c r="G425">
        <v>53.02</v>
      </c>
      <c r="H425">
        <v>18.48</v>
      </c>
      <c r="I425" t="s">
        <v>18</v>
      </c>
    </row>
    <row r="426" spans="1:9" x14ac:dyDescent="0.25">
      <c r="A426" s="2">
        <v>46193</v>
      </c>
      <c r="B426" t="s">
        <v>396</v>
      </c>
      <c r="C426" s="1" t="s">
        <v>409</v>
      </c>
      <c r="D426" t="s">
        <v>398</v>
      </c>
      <c r="E426">
        <v>340</v>
      </c>
      <c r="F426">
        <v>304.64</v>
      </c>
      <c r="G426">
        <v>35.36</v>
      </c>
      <c r="H426">
        <v>11.61</v>
      </c>
      <c r="I426" t="s">
        <v>18</v>
      </c>
    </row>
    <row r="427" spans="1:9" x14ac:dyDescent="0.25">
      <c r="A427" s="2">
        <v>46193</v>
      </c>
      <c r="B427" t="s">
        <v>396</v>
      </c>
      <c r="C427" s="1" t="s">
        <v>410</v>
      </c>
      <c r="D427" t="s">
        <v>403</v>
      </c>
      <c r="E427">
        <v>340</v>
      </c>
      <c r="F427">
        <v>304.64</v>
      </c>
      <c r="G427">
        <v>35.36</v>
      </c>
      <c r="H427">
        <v>11.61</v>
      </c>
      <c r="I427" t="s">
        <v>18</v>
      </c>
    </row>
    <row r="428" spans="1:9" x14ac:dyDescent="0.25">
      <c r="A428" s="2">
        <v>46193</v>
      </c>
      <c r="B428" t="s">
        <v>396</v>
      </c>
      <c r="C428" s="1" t="s">
        <v>411</v>
      </c>
      <c r="D428" t="s">
        <v>408</v>
      </c>
      <c r="E428">
        <v>340</v>
      </c>
      <c r="F428">
        <v>272.7</v>
      </c>
      <c r="G428">
        <v>67.3</v>
      </c>
      <c r="H428">
        <v>24.68</v>
      </c>
      <c r="I428" t="s">
        <v>18</v>
      </c>
    </row>
    <row r="429" spans="1:9" x14ac:dyDescent="0.25">
      <c r="A429" s="2">
        <v>46193</v>
      </c>
      <c r="B429" t="s">
        <v>396</v>
      </c>
      <c r="C429" s="1" t="s">
        <v>412</v>
      </c>
      <c r="D429" t="s">
        <v>408</v>
      </c>
      <c r="E429">
        <v>340</v>
      </c>
      <c r="F429">
        <v>272.7</v>
      </c>
      <c r="G429">
        <v>67.3</v>
      </c>
      <c r="H429">
        <v>24.68</v>
      </c>
      <c r="I429" t="s">
        <v>18</v>
      </c>
    </row>
    <row r="430" spans="1:9" x14ac:dyDescent="0.25">
      <c r="A430" s="2">
        <v>46193</v>
      </c>
      <c r="B430" t="s">
        <v>396</v>
      </c>
      <c r="C430" s="1" t="s">
        <v>413</v>
      </c>
      <c r="D430" t="s">
        <v>408</v>
      </c>
      <c r="E430">
        <v>340</v>
      </c>
      <c r="F430">
        <v>272.7</v>
      </c>
      <c r="G430">
        <v>67.3</v>
      </c>
      <c r="H430">
        <v>24.68</v>
      </c>
      <c r="I430" t="s">
        <v>18</v>
      </c>
    </row>
    <row r="431" spans="1:9" x14ac:dyDescent="0.25">
      <c r="A431" s="2">
        <v>46193</v>
      </c>
      <c r="B431" t="s">
        <v>396</v>
      </c>
      <c r="C431" s="1" t="s">
        <v>414</v>
      </c>
      <c r="D431" t="s">
        <v>408</v>
      </c>
      <c r="E431">
        <v>340</v>
      </c>
      <c r="F431">
        <v>286.98</v>
      </c>
      <c r="G431">
        <v>53.02</v>
      </c>
      <c r="H431">
        <v>18.48</v>
      </c>
      <c r="I431" t="s">
        <v>18</v>
      </c>
    </row>
    <row r="432" spans="1:9" x14ac:dyDescent="0.25">
      <c r="A432" s="2">
        <v>46193</v>
      </c>
      <c r="B432" t="s">
        <v>396</v>
      </c>
      <c r="C432" s="1" t="s">
        <v>415</v>
      </c>
      <c r="D432" t="s">
        <v>405</v>
      </c>
      <c r="E432">
        <v>340</v>
      </c>
      <c r="F432">
        <v>314.60000000000002</v>
      </c>
      <c r="G432">
        <v>25.4</v>
      </c>
      <c r="H432">
        <v>8.07</v>
      </c>
      <c r="I432" t="s">
        <v>326</v>
      </c>
    </row>
    <row r="433" spans="1:10" x14ac:dyDescent="0.25">
      <c r="A433" s="2">
        <v>46193</v>
      </c>
      <c r="B433" t="s">
        <v>329</v>
      </c>
      <c r="C433" s="1">
        <v>358606711541302</v>
      </c>
      <c r="D433" t="s">
        <v>416</v>
      </c>
      <c r="E433">
        <v>2025.31</v>
      </c>
      <c r="F433">
        <v>1356.6</v>
      </c>
      <c r="G433">
        <v>668.71</v>
      </c>
      <c r="H433">
        <v>49.29</v>
      </c>
      <c r="I433" t="s">
        <v>31</v>
      </c>
    </row>
    <row r="434" spans="1:10" x14ac:dyDescent="0.25">
      <c r="A434" s="2">
        <v>46193</v>
      </c>
      <c r="B434" t="s">
        <v>36</v>
      </c>
      <c r="C434" s="1">
        <v>351205745634691</v>
      </c>
      <c r="D434" t="s">
        <v>417</v>
      </c>
      <c r="E434">
        <v>4000</v>
      </c>
      <c r="F434">
        <v>3927</v>
      </c>
      <c r="G434">
        <v>73</v>
      </c>
      <c r="H434">
        <v>1.86</v>
      </c>
      <c r="I434" t="s">
        <v>31</v>
      </c>
    </row>
    <row r="435" spans="1:10" x14ac:dyDescent="0.25">
      <c r="A435" s="2">
        <v>46193</v>
      </c>
      <c r="B435" t="s">
        <v>36</v>
      </c>
      <c r="C435" s="1">
        <v>351205748322419</v>
      </c>
      <c r="D435" t="s">
        <v>418</v>
      </c>
      <c r="E435">
        <v>3920</v>
      </c>
      <c r="F435">
        <v>3927</v>
      </c>
      <c r="G435">
        <v>-7</v>
      </c>
      <c r="H435">
        <v>-0.18</v>
      </c>
      <c r="I435" t="s">
        <v>31</v>
      </c>
      <c r="J435" t="s">
        <v>55</v>
      </c>
    </row>
    <row r="436" spans="1:10" x14ac:dyDescent="0.25">
      <c r="A436" s="2">
        <v>46193</v>
      </c>
      <c r="B436" t="s">
        <v>36</v>
      </c>
      <c r="C436" s="1">
        <v>351668149676677</v>
      </c>
      <c r="D436" t="s">
        <v>419</v>
      </c>
      <c r="E436">
        <v>3920</v>
      </c>
      <c r="F436">
        <v>3927</v>
      </c>
      <c r="G436">
        <v>-7</v>
      </c>
      <c r="H436">
        <v>-0.18</v>
      </c>
      <c r="I436" t="s">
        <v>31</v>
      </c>
      <c r="J436" t="s">
        <v>55</v>
      </c>
    </row>
    <row r="437" spans="1:10" x14ac:dyDescent="0.25">
      <c r="A437" s="2">
        <v>46193</v>
      </c>
      <c r="B437" t="s">
        <v>36</v>
      </c>
      <c r="C437" s="1">
        <v>357329446208730</v>
      </c>
      <c r="D437" t="s">
        <v>418</v>
      </c>
      <c r="E437">
        <v>3920</v>
      </c>
      <c r="F437">
        <v>3927</v>
      </c>
      <c r="G437">
        <v>-7</v>
      </c>
      <c r="H437">
        <v>-0.18</v>
      </c>
      <c r="I437" t="s">
        <v>31</v>
      </c>
      <c r="J437" t="s">
        <v>55</v>
      </c>
    </row>
    <row r="438" spans="1:10" x14ac:dyDescent="0.25">
      <c r="A438" s="2">
        <v>46193</v>
      </c>
      <c r="B438" t="s">
        <v>36</v>
      </c>
      <c r="C438" s="1">
        <v>357329446779847</v>
      </c>
      <c r="D438" t="s">
        <v>418</v>
      </c>
      <c r="E438">
        <v>3920</v>
      </c>
      <c r="F438">
        <v>3927</v>
      </c>
      <c r="G438">
        <v>-7</v>
      </c>
      <c r="H438">
        <v>-0.18</v>
      </c>
      <c r="I438" t="s">
        <v>31</v>
      </c>
      <c r="J438" t="s">
        <v>55</v>
      </c>
    </row>
    <row r="439" spans="1:10" x14ac:dyDescent="0.25">
      <c r="A439" s="2">
        <v>46193</v>
      </c>
      <c r="B439" t="s">
        <v>36</v>
      </c>
      <c r="C439" s="1">
        <v>359178370656366</v>
      </c>
      <c r="D439" t="s">
        <v>420</v>
      </c>
      <c r="E439">
        <v>4000</v>
      </c>
      <c r="F439">
        <v>3927</v>
      </c>
      <c r="G439">
        <v>73</v>
      </c>
      <c r="H439">
        <v>1.86</v>
      </c>
      <c r="I439" t="s">
        <v>31</v>
      </c>
    </row>
    <row r="440" spans="1:10" x14ac:dyDescent="0.25">
      <c r="A440" s="2">
        <v>46193</v>
      </c>
      <c r="B440" t="s">
        <v>36</v>
      </c>
      <c r="C440" s="1">
        <v>359178371528606</v>
      </c>
      <c r="D440" t="s">
        <v>419</v>
      </c>
      <c r="E440">
        <v>3920</v>
      </c>
      <c r="F440">
        <v>3927</v>
      </c>
      <c r="G440">
        <v>-7</v>
      </c>
      <c r="H440">
        <v>-0.18</v>
      </c>
      <c r="I440" t="s">
        <v>31</v>
      </c>
      <c r="J440" t="s">
        <v>55</v>
      </c>
    </row>
    <row r="441" spans="1:10" x14ac:dyDescent="0.25">
      <c r="A441" s="2">
        <v>46193</v>
      </c>
      <c r="B441" t="s">
        <v>36</v>
      </c>
      <c r="C441" s="1">
        <v>359652124236055</v>
      </c>
      <c r="D441" t="s">
        <v>420</v>
      </c>
      <c r="E441">
        <v>4000</v>
      </c>
      <c r="F441">
        <v>3927</v>
      </c>
      <c r="G441">
        <v>73</v>
      </c>
      <c r="H441">
        <v>1.86</v>
      </c>
      <c r="I441" t="s">
        <v>31</v>
      </c>
    </row>
    <row r="442" spans="1:10" x14ac:dyDescent="0.25">
      <c r="A442" s="2">
        <v>46195</v>
      </c>
      <c r="B442" t="s">
        <v>324</v>
      </c>
      <c r="C442" s="1">
        <v>21225082000622</v>
      </c>
      <c r="D442" t="s">
        <v>156</v>
      </c>
      <c r="E442">
        <v>4110</v>
      </c>
      <c r="F442">
        <v>3394.85</v>
      </c>
      <c r="G442">
        <v>715.15</v>
      </c>
      <c r="H442">
        <v>21.07</v>
      </c>
      <c r="I442" t="s">
        <v>326</v>
      </c>
    </row>
    <row r="443" spans="1:10" x14ac:dyDescent="0.25">
      <c r="A443" s="2">
        <v>46195</v>
      </c>
      <c r="B443" t="s">
        <v>162</v>
      </c>
      <c r="C443" s="1">
        <v>350520605513202</v>
      </c>
      <c r="D443" t="s">
        <v>421</v>
      </c>
      <c r="E443">
        <v>2350</v>
      </c>
      <c r="F443">
        <v>2400</v>
      </c>
      <c r="G443">
        <v>-50</v>
      </c>
      <c r="H443">
        <v>-2.08</v>
      </c>
      <c r="I443" t="s">
        <v>35</v>
      </c>
      <c r="J443" t="s">
        <v>55</v>
      </c>
    </row>
    <row r="444" spans="1:10" x14ac:dyDescent="0.25">
      <c r="A444" s="2">
        <v>46195</v>
      </c>
      <c r="B444" t="s">
        <v>162</v>
      </c>
      <c r="C444" s="1">
        <v>359090831533813</v>
      </c>
      <c r="D444" t="s">
        <v>156</v>
      </c>
      <c r="E444">
        <v>2350</v>
      </c>
      <c r="F444">
        <v>2400</v>
      </c>
      <c r="G444">
        <v>-50</v>
      </c>
      <c r="H444">
        <v>-2.08</v>
      </c>
      <c r="I444" t="s">
        <v>35</v>
      </c>
      <c r="J444" t="s">
        <v>55</v>
      </c>
    </row>
    <row r="445" spans="1:10" x14ac:dyDescent="0.25">
      <c r="A445" s="2">
        <v>46195</v>
      </c>
      <c r="B445" t="s">
        <v>162</v>
      </c>
      <c r="C445" s="1">
        <v>359090831548258</v>
      </c>
      <c r="D445" t="s">
        <v>156</v>
      </c>
      <c r="E445">
        <v>2350</v>
      </c>
      <c r="F445">
        <v>2400</v>
      </c>
      <c r="G445">
        <v>-50</v>
      </c>
      <c r="H445">
        <v>-2.08</v>
      </c>
      <c r="I445" t="s">
        <v>35</v>
      </c>
      <c r="J445" t="s">
        <v>55</v>
      </c>
    </row>
    <row r="446" spans="1:10" x14ac:dyDescent="0.25">
      <c r="A446" s="2">
        <v>46195</v>
      </c>
      <c r="B446" t="s">
        <v>162</v>
      </c>
      <c r="C446" s="1">
        <v>359090831606916</v>
      </c>
      <c r="D446" t="s">
        <v>421</v>
      </c>
      <c r="E446">
        <v>2350</v>
      </c>
      <c r="F446">
        <v>2400</v>
      </c>
      <c r="G446">
        <v>-50</v>
      </c>
      <c r="H446">
        <v>-2.08</v>
      </c>
      <c r="I446" t="s">
        <v>35</v>
      </c>
      <c r="J446" t="s">
        <v>55</v>
      </c>
    </row>
    <row r="447" spans="1:10" x14ac:dyDescent="0.25">
      <c r="A447" s="2">
        <v>46195</v>
      </c>
      <c r="B447" t="s">
        <v>162</v>
      </c>
      <c r="C447" s="1">
        <v>359090832196180</v>
      </c>
      <c r="D447" t="s">
        <v>421</v>
      </c>
      <c r="E447">
        <v>2350</v>
      </c>
      <c r="F447">
        <v>2400</v>
      </c>
      <c r="G447">
        <v>-50</v>
      </c>
      <c r="H447">
        <v>-2.08</v>
      </c>
      <c r="I447" t="s">
        <v>35</v>
      </c>
      <c r="J447" t="s">
        <v>55</v>
      </c>
    </row>
    <row r="448" spans="1:10" x14ac:dyDescent="0.25">
      <c r="A448" s="2">
        <v>46195</v>
      </c>
      <c r="B448" t="s">
        <v>162</v>
      </c>
      <c r="C448" s="1">
        <v>359090832438384</v>
      </c>
      <c r="D448" t="s">
        <v>422</v>
      </c>
      <c r="E448">
        <v>2350</v>
      </c>
      <c r="F448">
        <v>2400</v>
      </c>
      <c r="G448">
        <v>-50</v>
      </c>
      <c r="H448">
        <v>-2.08</v>
      </c>
      <c r="I448" t="s">
        <v>35</v>
      </c>
      <c r="J448" t="s">
        <v>55</v>
      </c>
    </row>
    <row r="449" spans="1:10" x14ac:dyDescent="0.25">
      <c r="A449" s="2">
        <v>46195</v>
      </c>
      <c r="B449" t="s">
        <v>162</v>
      </c>
      <c r="C449" s="1">
        <v>359090832479602</v>
      </c>
      <c r="D449" t="s">
        <v>156</v>
      </c>
      <c r="E449">
        <v>2350</v>
      </c>
      <c r="F449">
        <v>2400</v>
      </c>
      <c r="G449">
        <v>-50</v>
      </c>
      <c r="H449">
        <v>-2.08</v>
      </c>
      <c r="I449" t="s">
        <v>35</v>
      </c>
      <c r="J449" t="s">
        <v>55</v>
      </c>
    </row>
    <row r="450" spans="1:10" x14ac:dyDescent="0.25">
      <c r="A450" s="2">
        <v>46195</v>
      </c>
      <c r="B450" t="s">
        <v>162</v>
      </c>
      <c r="C450" s="1">
        <v>359090832544124</v>
      </c>
      <c r="D450" t="s">
        <v>156</v>
      </c>
      <c r="E450">
        <v>2350</v>
      </c>
      <c r="F450">
        <v>2400</v>
      </c>
      <c r="G450">
        <v>-50</v>
      </c>
      <c r="H450">
        <v>-2.08</v>
      </c>
      <c r="I450" t="s">
        <v>35</v>
      </c>
      <c r="J450" t="s">
        <v>55</v>
      </c>
    </row>
    <row r="451" spans="1:10" x14ac:dyDescent="0.25">
      <c r="A451" s="2">
        <v>46195</v>
      </c>
      <c r="B451" t="s">
        <v>162</v>
      </c>
      <c r="C451" s="1">
        <v>359588201549178</v>
      </c>
      <c r="D451" t="s">
        <v>156</v>
      </c>
      <c r="E451">
        <v>2350</v>
      </c>
      <c r="F451">
        <v>2400</v>
      </c>
      <c r="G451">
        <v>-50</v>
      </c>
      <c r="H451">
        <v>-2.08</v>
      </c>
      <c r="I451" t="s">
        <v>35</v>
      </c>
      <c r="J451" t="s">
        <v>55</v>
      </c>
    </row>
    <row r="452" spans="1:10" x14ac:dyDescent="0.25">
      <c r="A452" s="2">
        <v>46195</v>
      </c>
      <c r="B452" t="s">
        <v>333</v>
      </c>
      <c r="C452" s="1" t="s">
        <v>423</v>
      </c>
      <c r="D452" t="s">
        <v>335</v>
      </c>
      <c r="E452">
        <v>5575</v>
      </c>
      <c r="F452">
        <v>4856.32</v>
      </c>
      <c r="G452">
        <v>718.68</v>
      </c>
      <c r="H452">
        <v>14.8</v>
      </c>
      <c r="I452" t="s">
        <v>18</v>
      </c>
    </row>
    <row r="453" spans="1:10" x14ac:dyDescent="0.25">
      <c r="A453" s="2">
        <v>46195</v>
      </c>
      <c r="B453" t="s">
        <v>333</v>
      </c>
      <c r="C453" s="1" t="s">
        <v>424</v>
      </c>
      <c r="D453" t="s">
        <v>168</v>
      </c>
      <c r="E453">
        <v>5600</v>
      </c>
      <c r="F453">
        <v>4926.7</v>
      </c>
      <c r="G453">
        <v>673.3</v>
      </c>
      <c r="H453">
        <v>13.67</v>
      </c>
      <c r="I453" t="s">
        <v>18</v>
      </c>
    </row>
    <row r="454" spans="1:10" x14ac:dyDescent="0.25">
      <c r="A454" s="2">
        <v>46195</v>
      </c>
      <c r="B454" t="s">
        <v>333</v>
      </c>
      <c r="C454" s="1" t="s">
        <v>425</v>
      </c>
      <c r="D454" t="s">
        <v>335</v>
      </c>
      <c r="E454">
        <v>5575</v>
      </c>
      <c r="F454">
        <v>4856.32</v>
      </c>
      <c r="G454">
        <v>718.68</v>
      </c>
      <c r="H454">
        <v>14.8</v>
      </c>
      <c r="I454" t="s">
        <v>18</v>
      </c>
    </row>
    <row r="455" spans="1:10" x14ac:dyDescent="0.25">
      <c r="A455" s="2">
        <v>46195</v>
      </c>
      <c r="B455" t="s">
        <v>333</v>
      </c>
      <c r="C455" s="1" t="s">
        <v>426</v>
      </c>
      <c r="D455" t="s">
        <v>335</v>
      </c>
      <c r="E455">
        <v>5575</v>
      </c>
      <c r="F455">
        <v>4856.32</v>
      </c>
      <c r="G455">
        <v>718.68</v>
      </c>
      <c r="H455">
        <v>14.8</v>
      </c>
      <c r="I455" t="s">
        <v>18</v>
      </c>
    </row>
    <row r="456" spans="1:10" x14ac:dyDescent="0.25">
      <c r="A456" s="2">
        <v>46195</v>
      </c>
      <c r="B456" t="s">
        <v>333</v>
      </c>
      <c r="C456" s="1" t="s">
        <v>427</v>
      </c>
      <c r="D456" t="s">
        <v>168</v>
      </c>
      <c r="E456">
        <v>5600</v>
      </c>
      <c r="F456">
        <v>4926.7</v>
      </c>
      <c r="G456">
        <v>673.3</v>
      </c>
      <c r="H456">
        <v>13.67</v>
      </c>
      <c r="I456" t="s">
        <v>18</v>
      </c>
    </row>
    <row r="457" spans="1:10" x14ac:dyDescent="0.25">
      <c r="A457" s="2">
        <v>46195</v>
      </c>
      <c r="B457" t="s">
        <v>333</v>
      </c>
      <c r="C457" s="1" t="s">
        <v>428</v>
      </c>
      <c r="D457" t="s">
        <v>335</v>
      </c>
      <c r="E457">
        <v>5575</v>
      </c>
      <c r="F457">
        <v>4856.32</v>
      </c>
      <c r="G457">
        <v>718.68</v>
      </c>
      <c r="H457">
        <v>14.8</v>
      </c>
      <c r="I457" t="s">
        <v>18</v>
      </c>
    </row>
    <row r="458" spans="1:10" x14ac:dyDescent="0.25">
      <c r="A458" s="2">
        <v>46195</v>
      </c>
      <c r="B458" t="s">
        <v>333</v>
      </c>
      <c r="C458" s="1" t="s">
        <v>429</v>
      </c>
      <c r="D458" t="s">
        <v>335</v>
      </c>
      <c r="E458">
        <v>5575</v>
      </c>
      <c r="F458">
        <v>4856.32</v>
      </c>
      <c r="G458">
        <v>718.68</v>
      </c>
      <c r="H458">
        <v>14.8</v>
      </c>
      <c r="I458" t="s">
        <v>18</v>
      </c>
    </row>
    <row r="459" spans="1:10" x14ac:dyDescent="0.25">
      <c r="A459" s="2">
        <v>46196</v>
      </c>
      <c r="B459" t="s">
        <v>430</v>
      </c>
      <c r="C459" s="1">
        <v>352853115426666</v>
      </c>
      <c r="D459" t="s">
        <v>330</v>
      </c>
      <c r="E459">
        <v>670.88</v>
      </c>
      <c r="F459">
        <v>620.25</v>
      </c>
      <c r="G459">
        <v>50.63</v>
      </c>
      <c r="H459">
        <v>8.16</v>
      </c>
      <c r="I459" t="s">
        <v>94</v>
      </c>
    </row>
    <row r="460" spans="1:10" x14ac:dyDescent="0.25">
      <c r="A460" s="2">
        <v>46197</v>
      </c>
      <c r="B460" t="s">
        <v>324</v>
      </c>
      <c r="C460" s="1">
        <v>21225082000617</v>
      </c>
      <c r="D460" t="s">
        <v>156</v>
      </c>
      <c r="E460">
        <v>4200</v>
      </c>
      <c r="F460">
        <v>3086.37</v>
      </c>
      <c r="G460">
        <v>1113.6300000000001</v>
      </c>
      <c r="H460">
        <v>36.08</v>
      </c>
      <c r="I460" t="s">
        <v>326</v>
      </c>
    </row>
    <row r="461" spans="1:10" x14ac:dyDescent="0.25">
      <c r="A461" s="2">
        <v>46197</v>
      </c>
      <c r="B461" t="s">
        <v>324</v>
      </c>
      <c r="C461" s="1">
        <v>21245082000201</v>
      </c>
      <c r="D461" t="s">
        <v>431</v>
      </c>
      <c r="E461">
        <v>4100</v>
      </c>
      <c r="F461">
        <v>3371.04</v>
      </c>
      <c r="G461">
        <v>728.96</v>
      </c>
      <c r="H461">
        <v>21.62</v>
      </c>
      <c r="I461" t="s">
        <v>18</v>
      </c>
    </row>
    <row r="462" spans="1:10" x14ac:dyDescent="0.25">
      <c r="A462" s="2">
        <v>46197</v>
      </c>
      <c r="B462" t="s">
        <v>324</v>
      </c>
      <c r="C462" s="1">
        <v>21245082000207</v>
      </c>
      <c r="D462" t="s">
        <v>17</v>
      </c>
      <c r="E462">
        <v>4100</v>
      </c>
      <c r="F462">
        <v>3374.02</v>
      </c>
      <c r="G462">
        <v>725.98</v>
      </c>
      <c r="H462">
        <v>21.52</v>
      </c>
      <c r="I462" t="s">
        <v>18</v>
      </c>
    </row>
    <row r="463" spans="1:10" x14ac:dyDescent="0.25">
      <c r="A463" s="2">
        <v>46197</v>
      </c>
      <c r="B463" t="s">
        <v>324</v>
      </c>
      <c r="C463" s="1">
        <v>21245082000585</v>
      </c>
      <c r="D463" t="s">
        <v>156</v>
      </c>
      <c r="E463">
        <v>4200</v>
      </c>
      <c r="F463">
        <v>3394.85</v>
      </c>
      <c r="G463">
        <v>805.15</v>
      </c>
      <c r="H463">
        <v>23.72</v>
      </c>
      <c r="I463" t="s">
        <v>326</v>
      </c>
    </row>
    <row r="464" spans="1:10" x14ac:dyDescent="0.25">
      <c r="A464" s="2">
        <v>46197</v>
      </c>
      <c r="B464" t="s">
        <v>324</v>
      </c>
      <c r="C464" s="1">
        <v>21245082000869</v>
      </c>
      <c r="D464" t="s">
        <v>156</v>
      </c>
      <c r="E464">
        <v>4200</v>
      </c>
      <c r="F464">
        <v>3394.85</v>
      </c>
      <c r="G464">
        <v>805.15</v>
      </c>
      <c r="H464">
        <v>23.72</v>
      </c>
      <c r="I464" t="s">
        <v>326</v>
      </c>
    </row>
    <row r="465" spans="1:9" x14ac:dyDescent="0.25">
      <c r="A465" s="2">
        <v>46197</v>
      </c>
      <c r="B465" t="s">
        <v>324</v>
      </c>
      <c r="C465" s="1">
        <v>21245082001507</v>
      </c>
      <c r="D465" t="s">
        <v>114</v>
      </c>
      <c r="E465">
        <v>4200</v>
      </c>
      <c r="F465">
        <v>3371.04</v>
      </c>
      <c r="G465">
        <v>828.96</v>
      </c>
      <c r="H465">
        <v>24.59</v>
      </c>
      <c r="I465" t="s">
        <v>18</v>
      </c>
    </row>
    <row r="466" spans="1:9" x14ac:dyDescent="0.25">
      <c r="A466" s="2">
        <v>46197</v>
      </c>
      <c r="B466" t="s">
        <v>333</v>
      </c>
      <c r="C466" s="1" t="s">
        <v>432</v>
      </c>
      <c r="D466" t="s">
        <v>168</v>
      </c>
      <c r="E466">
        <v>5500</v>
      </c>
      <c r="F466">
        <v>4928.41</v>
      </c>
      <c r="G466">
        <v>571.59</v>
      </c>
      <c r="H466">
        <v>11.6</v>
      </c>
      <c r="I466" t="s">
        <v>18</v>
      </c>
    </row>
    <row r="467" spans="1:9" x14ac:dyDescent="0.25">
      <c r="A467" s="2">
        <v>46197</v>
      </c>
      <c r="B467" t="s">
        <v>333</v>
      </c>
      <c r="C467" s="1" t="s">
        <v>433</v>
      </c>
      <c r="D467" t="s">
        <v>168</v>
      </c>
      <c r="E467">
        <v>5600</v>
      </c>
      <c r="F467">
        <v>4856.32</v>
      </c>
      <c r="G467">
        <v>743.68</v>
      </c>
      <c r="H467">
        <v>15.31</v>
      </c>
      <c r="I467" t="s">
        <v>18</v>
      </c>
    </row>
    <row r="468" spans="1:9" x14ac:dyDescent="0.25">
      <c r="A468" s="2">
        <v>46197</v>
      </c>
      <c r="B468" t="s">
        <v>333</v>
      </c>
      <c r="C468" s="1" t="s">
        <v>434</v>
      </c>
      <c r="D468" t="s">
        <v>168</v>
      </c>
      <c r="E468">
        <v>5500</v>
      </c>
      <c r="F468">
        <v>4928.41</v>
      </c>
      <c r="G468">
        <v>571.59</v>
      </c>
      <c r="H468">
        <v>11.6</v>
      </c>
      <c r="I468" t="s">
        <v>18</v>
      </c>
    </row>
    <row r="469" spans="1:9" x14ac:dyDescent="0.25">
      <c r="A469" s="2">
        <v>46197</v>
      </c>
      <c r="B469" t="s">
        <v>333</v>
      </c>
      <c r="C469" s="1" t="s">
        <v>435</v>
      </c>
      <c r="D469" t="s">
        <v>168</v>
      </c>
      <c r="E469">
        <v>5500</v>
      </c>
      <c r="F469">
        <v>5373.44</v>
      </c>
      <c r="G469">
        <v>126.56</v>
      </c>
      <c r="H469">
        <v>2.36</v>
      </c>
      <c r="I469" t="s">
        <v>18</v>
      </c>
    </row>
    <row r="470" spans="1:9" x14ac:dyDescent="0.25">
      <c r="A470" s="2">
        <v>46197</v>
      </c>
      <c r="B470" t="s">
        <v>333</v>
      </c>
      <c r="C470" s="1" t="s">
        <v>436</v>
      </c>
      <c r="D470" t="s">
        <v>168</v>
      </c>
      <c r="E470">
        <v>5600</v>
      </c>
      <c r="F470">
        <v>4856.32</v>
      </c>
      <c r="G470">
        <v>743.68</v>
      </c>
      <c r="H470">
        <v>15.31</v>
      </c>
      <c r="I470" t="s">
        <v>18</v>
      </c>
    </row>
    <row r="471" spans="1:9" x14ac:dyDescent="0.25">
      <c r="A471" s="2">
        <v>46197</v>
      </c>
      <c r="B471" t="s">
        <v>333</v>
      </c>
      <c r="C471" s="1" t="s">
        <v>437</v>
      </c>
      <c r="D471" t="s">
        <v>168</v>
      </c>
      <c r="E471">
        <v>5500</v>
      </c>
      <c r="F471">
        <v>4928.41</v>
      </c>
      <c r="G471">
        <v>571.59</v>
      </c>
      <c r="H471">
        <v>11.6</v>
      </c>
      <c r="I471" t="s">
        <v>18</v>
      </c>
    </row>
    <row r="472" spans="1:9" x14ac:dyDescent="0.25">
      <c r="A472" s="2">
        <v>46197</v>
      </c>
      <c r="B472" t="s">
        <v>333</v>
      </c>
      <c r="C472" s="1" t="s">
        <v>438</v>
      </c>
      <c r="D472" t="s">
        <v>168</v>
      </c>
      <c r="E472">
        <v>5500</v>
      </c>
      <c r="F472">
        <v>4928.41</v>
      </c>
      <c r="G472">
        <v>571.59</v>
      </c>
      <c r="H472">
        <v>11.6</v>
      </c>
      <c r="I472" t="s">
        <v>18</v>
      </c>
    </row>
    <row r="473" spans="1:9" x14ac:dyDescent="0.25">
      <c r="A473" s="2">
        <v>46197</v>
      </c>
      <c r="B473" t="s">
        <v>333</v>
      </c>
      <c r="C473" s="1" t="s">
        <v>439</v>
      </c>
      <c r="D473" t="s">
        <v>168</v>
      </c>
      <c r="E473">
        <v>5600</v>
      </c>
      <c r="F473">
        <v>4928.41</v>
      </c>
      <c r="G473">
        <v>671.59</v>
      </c>
      <c r="H473">
        <v>13.63</v>
      </c>
      <c r="I473" t="s">
        <v>18</v>
      </c>
    </row>
    <row r="474" spans="1:9" x14ac:dyDescent="0.25">
      <c r="A474" s="2">
        <v>46197</v>
      </c>
      <c r="B474" t="s">
        <v>333</v>
      </c>
      <c r="C474" s="1" t="s">
        <v>440</v>
      </c>
      <c r="D474" t="s">
        <v>168</v>
      </c>
      <c r="E474">
        <v>5600</v>
      </c>
      <c r="F474">
        <v>4928.41</v>
      </c>
      <c r="G474">
        <v>671.59</v>
      </c>
      <c r="H474">
        <v>13.63</v>
      </c>
      <c r="I474" t="s">
        <v>18</v>
      </c>
    </row>
    <row r="475" spans="1:9" x14ac:dyDescent="0.25">
      <c r="A475" s="2">
        <v>46197</v>
      </c>
      <c r="B475" t="s">
        <v>333</v>
      </c>
      <c r="C475" s="1" t="s">
        <v>441</v>
      </c>
      <c r="D475" t="s">
        <v>168</v>
      </c>
      <c r="E475">
        <v>5500</v>
      </c>
      <c r="F475">
        <v>4928.41</v>
      </c>
      <c r="G475">
        <v>571.59</v>
      </c>
      <c r="H475">
        <v>11.6</v>
      </c>
      <c r="I475" t="s">
        <v>18</v>
      </c>
    </row>
    <row r="476" spans="1:9" x14ac:dyDescent="0.25">
      <c r="A476" s="2">
        <v>46197</v>
      </c>
      <c r="B476" t="s">
        <v>333</v>
      </c>
      <c r="C476" s="1" t="s">
        <v>442</v>
      </c>
      <c r="D476" t="s">
        <v>168</v>
      </c>
      <c r="E476">
        <v>5500</v>
      </c>
      <c r="F476">
        <v>5162.2299999999996</v>
      </c>
      <c r="G476">
        <v>337.77</v>
      </c>
      <c r="H476">
        <v>6.54</v>
      </c>
      <c r="I476" t="s">
        <v>18</v>
      </c>
    </row>
    <row r="477" spans="1:9" x14ac:dyDescent="0.25">
      <c r="A477" s="2">
        <v>46197</v>
      </c>
      <c r="B477" t="s">
        <v>333</v>
      </c>
      <c r="C477" s="1" t="s">
        <v>443</v>
      </c>
      <c r="D477" t="s">
        <v>168</v>
      </c>
      <c r="E477">
        <v>5500</v>
      </c>
      <c r="F477">
        <v>4928.41</v>
      </c>
      <c r="G477">
        <v>571.59</v>
      </c>
      <c r="H477">
        <v>11.6</v>
      </c>
      <c r="I477" t="s">
        <v>18</v>
      </c>
    </row>
    <row r="478" spans="1:9" x14ac:dyDescent="0.25">
      <c r="A478" s="2">
        <v>46197</v>
      </c>
      <c r="B478" t="s">
        <v>276</v>
      </c>
      <c r="C478" s="1">
        <v>19909756961</v>
      </c>
      <c r="D478" t="s">
        <v>17</v>
      </c>
      <c r="E478">
        <v>4025</v>
      </c>
      <c r="F478">
        <v>3069.44</v>
      </c>
      <c r="G478">
        <v>955.56</v>
      </c>
      <c r="H478">
        <v>31.13</v>
      </c>
      <c r="I478" t="s">
        <v>18</v>
      </c>
    </row>
    <row r="479" spans="1:9" x14ac:dyDescent="0.25">
      <c r="A479" s="2">
        <v>46197</v>
      </c>
      <c r="B479" t="s">
        <v>276</v>
      </c>
      <c r="C479" s="1">
        <v>29992155069</v>
      </c>
      <c r="D479" t="s">
        <v>17</v>
      </c>
      <c r="E479">
        <v>4025</v>
      </c>
      <c r="F479">
        <v>3143.18</v>
      </c>
      <c r="G479">
        <v>881.82</v>
      </c>
      <c r="H479">
        <v>28.06</v>
      </c>
      <c r="I479" t="s">
        <v>18</v>
      </c>
    </row>
    <row r="480" spans="1:9" x14ac:dyDescent="0.25">
      <c r="A480" s="2">
        <v>46197</v>
      </c>
      <c r="B480" t="s">
        <v>276</v>
      </c>
      <c r="C480" s="1">
        <v>41539044468</v>
      </c>
      <c r="D480" t="s">
        <v>17</v>
      </c>
      <c r="E480">
        <v>4025</v>
      </c>
      <c r="F480">
        <v>3069.44</v>
      </c>
      <c r="G480">
        <v>955.56</v>
      </c>
      <c r="H480">
        <v>31.13</v>
      </c>
      <c r="I480" t="s">
        <v>18</v>
      </c>
    </row>
    <row r="481" spans="1:9" x14ac:dyDescent="0.25">
      <c r="A481" s="2">
        <v>46197</v>
      </c>
      <c r="B481" t="s">
        <v>276</v>
      </c>
      <c r="C481" s="1">
        <v>51530014796</v>
      </c>
      <c r="D481" t="s">
        <v>17</v>
      </c>
      <c r="E481">
        <v>4025</v>
      </c>
      <c r="F481">
        <v>3069.44</v>
      </c>
      <c r="G481">
        <v>955.56</v>
      </c>
      <c r="H481">
        <v>31.13</v>
      </c>
      <c r="I481" t="s">
        <v>18</v>
      </c>
    </row>
    <row r="482" spans="1:9" x14ac:dyDescent="0.25">
      <c r="A482" s="2">
        <v>46197</v>
      </c>
      <c r="B482" t="s">
        <v>276</v>
      </c>
      <c r="C482" s="1">
        <v>51598053499</v>
      </c>
      <c r="D482" t="s">
        <v>17</v>
      </c>
      <c r="E482">
        <v>4025</v>
      </c>
      <c r="F482">
        <v>3143.18</v>
      </c>
      <c r="G482">
        <v>881.82</v>
      </c>
      <c r="H482">
        <v>28.06</v>
      </c>
      <c r="I482" t="s">
        <v>18</v>
      </c>
    </row>
    <row r="483" spans="1:9" x14ac:dyDescent="0.25">
      <c r="A483" s="2">
        <v>46197</v>
      </c>
      <c r="B483" t="s">
        <v>276</v>
      </c>
      <c r="C483" s="1">
        <v>51601063457</v>
      </c>
      <c r="D483" t="s">
        <v>17</v>
      </c>
      <c r="E483">
        <v>4025</v>
      </c>
      <c r="F483">
        <v>3069.44</v>
      </c>
      <c r="G483">
        <v>955.56</v>
      </c>
      <c r="H483">
        <v>31.13</v>
      </c>
      <c r="I483" t="s">
        <v>18</v>
      </c>
    </row>
    <row r="484" spans="1:9" x14ac:dyDescent="0.25">
      <c r="A484" s="2">
        <v>46197</v>
      </c>
      <c r="B484" t="s">
        <v>276</v>
      </c>
      <c r="C484" s="1">
        <v>51619076794</v>
      </c>
      <c r="D484" t="s">
        <v>17</v>
      </c>
      <c r="E484">
        <v>4025</v>
      </c>
      <c r="F484">
        <v>3069.44</v>
      </c>
      <c r="G484">
        <v>955.56</v>
      </c>
      <c r="H484">
        <v>31.13</v>
      </c>
      <c r="I484" t="s">
        <v>18</v>
      </c>
    </row>
    <row r="485" spans="1:9" x14ac:dyDescent="0.25">
      <c r="A485" s="2">
        <v>46197</v>
      </c>
      <c r="B485" t="s">
        <v>276</v>
      </c>
      <c r="C485" s="1">
        <v>51634069468</v>
      </c>
      <c r="D485" t="s">
        <v>17</v>
      </c>
      <c r="E485">
        <v>4025</v>
      </c>
      <c r="F485">
        <v>3143.18</v>
      </c>
      <c r="G485">
        <v>881.82</v>
      </c>
      <c r="H485">
        <v>28.06</v>
      </c>
      <c r="I485" t="s">
        <v>18</v>
      </c>
    </row>
    <row r="486" spans="1:9" x14ac:dyDescent="0.25">
      <c r="A486" s="2">
        <v>46197</v>
      </c>
      <c r="B486" t="s">
        <v>276</v>
      </c>
      <c r="C486" s="1">
        <v>51680068477</v>
      </c>
      <c r="D486" t="s">
        <v>17</v>
      </c>
      <c r="E486">
        <v>4025</v>
      </c>
      <c r="F486">
        <v>3143.18</v>
      </c>
      <c r="G486">
        <v>881.82</v>
      </c>
      <c r="H486">
        <v>28.06</v>
      </c>
      <c r="I486" t="s">
        <v>18</v>
      </c>
    </row>
    <row r="487" spans="1:9" x14ac:dyDescent="0.25">
      <c r="A487" s="2">
        <v>46197</v>
      </c>
      <c r="B487" t="s">
        <v>276</v>
      </c>
      <c r="C487" s="1">
        <v>61564064403</v>
      </c>
      <c r="D487" t="s">
        <v>17</v>
      </c>
      <c r="E487">
        <v>4025</v>
      </c>
      <c r="F487">
        <v>3069.44</v>
      </c>
      <c r="G487">
        <v>955.56</v>
      </c>
      <c r="H487">
        <v>31.13</v>
      </c>
      <c r="I487" t="s">
        <v>18</v>
      </c>
    </row>
    <row r="488" spans="1:9" x14ac:dyDescent="0.25">
      <c r="A488" s="2">
        <v>46197</v>
      </c>
      <c r="B488" t="s">
        <v>276</v>
      </c>
      <c r="C488" s="1">
        <v>61788004432</v>
      </c>
      <c r="D488" t="s">
        <v>17</v>
      </c>
      <c r="E488">
        <v>4025</v>
      </c>
      <c r="F488">
        <v>3143.18</v>
      </c>
      <c r="G488">
        <v>881.82</v>
      </c>
      <c r="H488">
        <v>28.06</v>
      </c>
      <c r="I488" t="s">
        <v>18</v>
      </c>
    </row>
    <row r="489" spans="1:9" x14ac:dyDescent="0.25">
      <c r="A489" s="2">
        <v>46197</v>
      </c>
      <c r="B489" t="s">
        <v>276</v>
      </c>
      <c r="C489" s="1">
        <v>71517009439</v>
      </c>
      <c r="D489" t="s">
        <v>17</v>
      </c>
      <c r="E489">
        <v>4025</v>
      </c>
      <c r="F489">
        <v>3143.18</v>
      </c>
      <c r="G489">
        <v>881.82</v>
      </c>
      <c r="H489">
        <v>28.06</v>
      </c>
      <c r="I489" t="s">
        <v>18</v>
      </c>
    </row>
    <row r="490" spans="1:9" x14ac:dyDescent="0.25">
      <c r="A490" s="2">
        <v>46197</v>
      </c>
      <c r="B490" t="s">
        <v>208</v>
      </c>
      <c r="C490" s="1">
        <v>59469859757</v>
      </c>
      <c r="D490" t="s">
        <v>17</v>
      </c>
      <c r="E490">
        <v>21500</v>
      </c>
      <c r="F490">
        <v>7059.86</v>
      </c>
      <c r="G490">
        <v>14440.14</v>
      </c>
      <c r="H490">
        <v>204.54</v>
      </c>
      <c r="I490" t="s">
        <v>326</v>
      </c>
    </row>
    <row r="491" spans="1:9" x14ac:dyDescent="0.25">
      <c r="A491" s="2">
        <v>46197</v>
      </c>
      <c r="B491" t="s">
        <v>15</v>
      </c>
      <c r="C491" s="1" t="s">
        <v>444</v>
      </c>
      <c r="D491" t="s">
        <v>17</v>
      </c>
      <c r="E491">
        <v>1350</v>
      </c>
      <c r="F491">
        <v>928.27</v>
      </c>
      <c r="G491">
        <v>421.73</v>
      </c>
      <c r="H491">
        <v>45.43</v>
      </c>
      <c r="I491" t="s">
        <v>18</v>
      </c>
    </row>
    <row r="492" spans="1:9" x14ac:dyDescent="0.25">
      <c r="A492" s="2">
        <v>46198</v>
      </c>
      <c r="B492" t="s">
        <v>333</v>
      </c>
      <c r="C492" s="1" t="s">
        <v>445</v>
      </c>
      <c r="D492" t="s">
        <v>168</v>
      </c>
      <c r="E492">
        <v>5550</v>
      </c>
      <c r="F492">
        <v>4928.41</v>
      </c>
      <c r="G492">
        <v>621.59</v>
      </c>
      <c r="H492">
        <v>12.61</v>
      </c>
      <c r="I492" t="s">
        <v>18</v>
      </c>
    </row>
    <row r="493" spans="1:9" x14ac:dyDescent="0.25">
      <c r="A493" s="2">
        <v>46198</v>
      </c>
      <c r="B493" t="s">
        <v>333</v>
      </c>
      <c r="C493" s="1" t="s">
        <v>446</v>
      </c>
      <c r="D493" t="s">
        <v>168</v>
      </c>
      <c r="E493">
        <v>5550</v>
      </c>
      <c r="F493">
        <v>4928.41</v>
      </c>
      <c r="G493">
        <v>621.59</v>
      </c>
      <c r="H493">
        <v>12.61</v>
      </c>
      <c r="I493" t="s">
        <v>18</v>
      </c>
    </row>
    <row r="494" spans="1:9" x14ac:dyDescent="0.25">
      <c r="A494" s="2">
        <v>46198</v>
      </c>
      <c r="B494" t="s">
        <v>333</v>
      </c>
      <c r="C494" s="1" t="s">
        <v>447</v>
      </c>
      <c r="D494" t="s">
        <v>168</v>
      </c>
      <c r="E494">
        <v>5550</v>
      </c>
      <c r="F494">
        <v>4928.41</v>
      </c>
      <c r="G494">
        <v>621.59</v>
      </c>
      <c r="H494">
        <v>12.61</v>
      </c>
      <c r="I494" t="s">
        <v>18</v>
      </c>
    </row>
    <row r="495" spans="1:9" x14ac:dyDescent="0.25">
      <c r="A495" s="2">
        <v>46198</v>
      </c>
      <c r="B495" t="s">
        <v>333</v>
      </c>
      <c r="C495" s="1" t="s">
        <v>448</v>
      </c>
      <c r="D495" t="s">
        <v>168</v>
      </c>
      <c r="E495">
        <v>5550</v>
      </c>
      <c r="F495">
        <v>4928.41</v>
      </c>
      <c r="G495">
        <v>621.59</v>
      </c>
      <c r="H495">
        <v>12.61</v>
      </c>
      <c r="I495" t="s">
        <v>18</v>
      </c>
    </row>
    <row r="496" spans="1:9" x14ac:dyDescent="0.25">
      <c r="A496" s="2">
        <v>46198</v>
      </c>
      <c r="B496" t="s">
        <v>333</v>
      </c>
      <c r="C496" s="1" t="s">
        <v>449</v>
      </c>
      <c r="D496" t="s">
        <v>168</v>
      </c>
      <c r="E496">
        <v>5550</v>
      </c>
      <c r="F496">
        <v>4928.41</v>
      </c>
      <c r="G496">
        <v>621.59</v>
      </c>
      <c r="H496">
        <v>12.61</v>
      </c>
      <c r="I496" t="s">
        <v>18</v>
      </c>
    </row>
    <row r="497" spans="1:9" x14ac:dyDescent="0.25">
      <c r="A497" s="2">
        <v>46198</v>
      </c>
      <c r="B497" t="s">
        <v>171</v>
      </c>
      <c r="C497" s="1" t="s">
        <v>450</v>
      </c>
      <c r="D497" t="s">
        <v>17</v>
      </c>
      <c r="E497">
        <v>1800</v>
      </c>
      <c r="F497">
        <v>1646.13</v>
      </c>
      <c r="G497">
        <v>153.87</v>
      </c>
      <c r="H497">
        <v>9.35</v>
      </c>
      <c r="I497" t="s">
        <v>451</v>
      </c>
    </row>
    <row r="498" spans="1:9" x14ac:dyDescent="0.25">
      <c r="A498" s="2">
        <v>46198</v>
      </c>
      <c r="B498" t="s">
        <v>171</v>
      </c>
      <c r="C498" s="1" t="s">
        <v>452</v>
      </c>
      <c r="D498" t="s">
        <v>17</v>
      </c>
      <c r="E498">
        <v>1800</v>
      </c>
      <c r="F498">
        <v>1646.13</v>
      </c>
      <c r="G498">
        <v>153.87</v>
      </c>
      <c r="H498">
        <v>9.35</v>
      </c>
      <c r="I498" t="s">
        <v>451</v>
      </c>
    </row>
    <row r="499" spans="1:9" x14ac:dyDescent="0.25">
      <c r="A499" s="2">
        <v>46198</v>
      </c>
      <c r="B499" t="s">
        <v>171</v>
      </c>
      <c r="C499" s="1" t="s">
        <v>453</v>
      </c>
      <c r="D499" t="s">
        <v>17</v>
      </c>
      <c r="E499">
        <v>1800</v>
      </c>
      <c r="F499">
        <v>1646.13</v>
      </c>
      <c r="G499">
        <v>153.87</v>
      </c>
      <c r="H499">
        <v>9.35</v>
      </c>
      <c r="I499" t="s">
        <v>451</v>
      </c>
    </row>
    <row r="500" spans="1:9" x14ac:dyDescent="0.25">
      <c r="A500" s="2">
        <v>46198</v>
      </c>
      <c r="B500" t="s">
        <v>171</v>
      </c>
      <c r="C500" s="1" t="s">
        <v>454</v>
      </c>
      <c r="D500" t="s">
        <v>17</v>
      </c>
      <c r="E500">
        <v>1800</v>
      </c>
      <c r="F500">
        <v>1646.13</v>
      </c>
      <c r="G500">
        <v>153.87</v>
      </c>
      <c r="H500">
        <v>9.35</v>
      </c>
      <c r="I500" t="s">
        <v>451</v>
      </c>
    </row>
    <row r="501" spans="1:9" x14ac:dyDescent="0.25">
      <c r="A501" s="2">
        <v>46198</v>
      </c>
      <c r="B501" t="s">
        <v>171</v>
      </c>
      <c r="C501" s="1" t="s">
        <v>455</v>
      </c>
      <c r="D501" t="s">
        <v>17</v>
      </c>
      <c r="E501">
        <v>1800</v>
      </c>
      <c r="F501">
        <v>1646.13</v>
      </c>
      <c r="G501">
        <v>153.87</v>
      </c>
      <c r="H501">
        <v>9.35</v>
      </c>
      <c r="I501" t="s">
        <v>451</v>
      </c>
    </row>
    <row r="502" spans="1:9" x14ac:dyDescent="0.25">
      <c r="A502" s="2">
        <v>46198</v>
      </c>
      <c r="B502" t="s">
        <v>171</v>
      </c>
      <c r="C502" s="1" t="s">
        <v>456</v>
      </c>
      <c r="D502" t="s">
        <v>17</v>
      </c>
      <c r="E502">
        <v>1800</v>
      </c>
      <c r="F502">
        <v>1646.13</v>
      </c>
      <c r="G502">
        <v>153.87</v>
      </c>
      <c r="H502">
        <v>9.35</v>
      </c>
      <c r="I502" t="s">
        <v>451</v>
      </c>
    </row>
    <row r="503" spans="1:9" x14ac:dyDescent="0.25">
      <c r="A503" s="2">
        <v>46198</v>
      </c>
      <c r="B503" t="s">
        <v>171</v>
      </c>
      <c r="C503" s="1" t="s">
        <v>457</v>
      </c>
      <c r="D503" t="s">
        <v>17</v>
      </c>
      <c r="E503">
        <v>1800</v>
      </c>
      <c r="F503">
        <v>1646.13</v>
      </c>
      <c r="G503">
        <v>153.87</v>
      </c>
      <c r="H503">
        <v>9.35</v>
      </c>
      <c r="I503" t="s">
        <v>451</v>
      </c>
    </row>
    <row r="504" spans="1:9" x14ac:dyDescent="0.25">
      <c r="A504" s="2">
        <v>46198</v>
      </c>
      <c r="B504" t="s">
        <v>171</v>
      </c>
      <c r="C504" s="1" t="s">
        <v>458</v>
      </c>
      <c r="D504" t="s">
        <v>17</v>
      </c>
      <c r="E504">
        <v>1800</v>
      </c>
      <c r="F504">
        <v>1646.13</v>
      </c>
      <c r="G504">
        <v>153.87</v>
      </c>
      <c r="H504">
        <v>9.35</v>
      </c>
      <c r="I504" t="s">
        <v>451</v>
      </c>
    </row>
    <row r="505" spans="1:9" x14ac:dyDescent="0.25">
      <c r="A505" s="2">
        <v>46198</v>
      </c>
      <c r="B505" t="s">
        <v>171</v>
      </c>
      <c r="C505" s="1" t="s">
        <v>459</v>
      </c>
      <c r="D505" t="s">
        <v>17</v>
      </c>
      <c r="E505">
        <v>1800</v>
      </c>
      <c r="F505">
        <v>1646.13</v>
      </c>
      <c r="G505">
        <v>153.87</v>
      </c>
      <c r="H505">
        <v>9.35</v>
      </c>
      <c r="I505" t="s">
        <v>451</v>
      </c>
    </row>
    <row r="506" spans="1:9" x14ac:dyDescent="0.25">
      <c r="A506" s="2">
        <v>46198</v>
      </c>
      <c r="B506" t="s">
        <v>171</v>
      </c>
      <c r="C506" s="1" t="s">
        <v>460</v>
      </c>
      <c r="D506" t="s">
        <v>17</v>
      </c>
      <c r="E506">
        <v>1800</v>
      </c>
      <c r="F506">
        <v>1646.13</v>
      </c>
      <c r="G506">
        <v>153.87</v>
      </c>
      <c r="H506">
        <v>9.35</v>
      </c>
      <c r="I506" t="s">
        <v>451</v>
      </c>
    </row>
    <row r="507" spans="1:9" x14ac:dyDescent="0.25">
      <c r="A507" s="2">
        <v>46198</v>
      </c>
      <c r="B507" t="s">
        <v>171</v>
      </c>
      <c r="C507" s="1" t="s">
        <v>461</v>
      </c>
      <c r="D507" t="s">
        <v>17</v>
      </c>
      <c r="E507">
        <v>1800</v>
      </c>
      <c r="F507">
        <v>1646.13</v>
      </c>
      <c r="G507">
        <v>153.87</v>
      </c>
      <c r="H507">
        <v>9.35</v>
      </c>
      <c r="I507" t="s">
        <v>451</v>
      </c>
    </row>
    <row r="508" spans="1:9" x14ac:dyDescent="0.25">
      <c r="A508" s="2">
        <v>46198</v>
      </c>
      <c r="B508" t="s">
        <v>171</v>
      </c>
      <c r="C508" s="1" t="s">
        <v>462</v>
      </c>
      <c r="D508" t="s">
        <v>17</v>
      </c>
      <c r="E508">
        <v>1800</v>
      </c>
      <c r="F508">
        <v>1646.13</v>
      </c>
      <c r="G508">
        <v>153.87</v>
      </c>
      <c r="H508">
        <v>9.35</v>
      </c>
      <c r="I508" t="s">
        <v>451</v>
      </c>
    </row>
    <row r="509" spans="1:9" x14ac:dyDescent="0.25">
      <c r="A509" s="2">
        <v>46198</v>
      </c>
      <c r="B509" t="s">
        <v>171</v>
      </c>
      <c r="C509" s="1" t="s">
        <v>463</v>
      </c>
      <c r="D509" t="s">
        <v>17</v>
      </c>
      <c r="E509">
        <v>1800</v>
      </c>
      <c r="F509">
        <v>1646.13</v>
      </c>
      <c r="G509">
        <v>153.87</v>
      </c>
      <c r="H509">
        <v>9.35</v>
      </c>
      <c r="I509" t="s">
        <v>451</v>
      </c>
    </row>
    <row r="510" spans="1:9" x14ac:dyDescent="0.25">
      <c r="A510" s="2">
        <v>46198</v>
      </c>
      <c r="B510" t="s">
        <v>171</v>
      </c>
      <c r="C510" s="1" t="s">
        <v>464</v>
      </c>
      <c r="D510" t="s">
        <v>17</v>
      </c>
      <c r="E510">
        <v>1800</v>
      </c>
      <c r="F510">
        <v>1646.13</v>
      </c>
      <c r="G510">
        <v>153.87</v>
      </c>
      <c r="H510">
        <v>9.35</v>
      </c>
      <c r="I510" t="s">
        <v>451</v>
      </c>
    </row>
    <row r="511" spans="1:9" x14ac:dyDescent="0.25">
      <c r="A511" s="2">
        <v>46198</v>
      </c>
      <c r="B511" t="s">
        <v>171</v>
      </c>
      <c r="C511" s="1" t="s">
        <v>465</v>
      </c>
      <c r="D511" t="s">
        <v>17</v>
      </c>
      <c r="E511">
        <v>1800</v>
      </c>
      <c r="F511">
        <v>1646.13</v>
      </c>
      <c r="G511">
        <v>153.87</v>
      </c>
      <c r="H511">
        <v>9.35</v>
      </c>
      <c r="I511" t="s">
        <v>451</v>
      </c>
    </row>
    <row r="512" spans="1:9" x14ac:dyDescent="0.25">
      <c r="A512" s="2">
        <v>46198</v>
      </c>
      <c r="B512" t="s">
        <v>171</v>
      </c>
      <c r="C512" s="1" t="s">
        <v>466</v>
      </c>
      <c r="D512" t="s">
        <v>17</v>
      </c>
      <c r="E512">
        <v>1800</v>
      </c>
      <c r="F512">
        <v>1646.13</v>
      </c>
      <c r="G512">
        <v>153.87</v>
      </c>
      <c r="H512">
        <v>9.35</v>
      </c>
      <c r="I512" t="s">
        <v>451</v>
      </c>
    </row>
    <row r="513" spans="1:10" x14ac:dyDescent="0.25">
      <c r="A513" s="2">
        <v>46198</v>
      </c>
      <c r="B513" t="s">
        <v>171</v>
      </c>
      <c r="C513" s="1" t="s">
        <v>467</v>
      </c>
      <c r="D513" t="s">
        <v>17</v>
      </c>
      <c r="E513">
        <v>1800</v>
      </c>
      <c r="F513">
        <v>1646.13</v>
      </c>
      <c r="G513">
        <v>153.87</v>
      </c>
      <c r="H513">
        <v>9.35</v>
      </c>
      <c r="I513" t="s">
        <v>451</v>
      </c>
    </row>
    <row r="514" spans="1:10" x14ac:dyDescent="0.25">
      <c r="A514" s="2">
        <v>46198</v>
      </c>
      <c r="B514" t="s">
        <v>171</v>
      </c>
      <c r="C514" s="1" t="s">
        <v>468</v>
      </c>
      <c r="D514" t="s">
        <v>17</v>
      </c>
      <c r="E514">
        <v>1800</v>
      </c>
      <c r="F514">
        <v>1646.13</v>
      </c>
      <c r="G514">
        <v>153.87</v>
      </c>
      <c r="H514">
        <v>9.35</v>
      </c>
      <c r="I514" t="s">
        <v>451</v>
      </c>
    </row>
    <row r="515" spans="1:10" x14ac:dyDescent="0.25">
      <c r="A515" s="2">
        <v>46198</v>
      </c>
      <c r="B515" t="s">
        <v>171</v>
      </c>
      <c r="C515" s="1" t="s">
        <v>469</v>
      </c>
      <c r="D515" t="s">
        <v>17</v>
      </c>
      <c r="E515">
        <v>1800</v>
      </c>
      <c r="F515">
        <v>1646.13</v>
      </c>
      <c r="G515">
        <v>153.87</v>
      </c>
      <c r="H515">
        <v>9.35</v>
      </c>
      <c r="I515" t="s">
        <v>451</v>
      </c>
    </row>
    <row r="516" spans="1:10" x14ac:dyDescent="0.25">
      <c r="A516" s="2">
        <v>46198</v>
      </c>
      <c r="B516" t="s">
        <v>171</v>
      </c>
      <c r="C516" s="1" t="s">
        <v>470</v>
      </c>
      <c r="D516" t="s">
        <v>17</v>
      </c>
      <c r="E516">
        <v>1800</v>
      </c>
      <c r="F516">
        <v>1646.13</v>
      </c>
      <c r="G516">
        <v>153.87</v>
      </c>
      <c r="H516">
        <v>9.35</v>
      </c>
      <c r="I516" t="s">
        <v>451</v>
      </c>
    </row>
    <row r="517" spans="1:10" x14ac:dyDescent="0.25">
      <c r="A517" s="2">
        <v>46198</v>
      </c>
      <c r="B517" t="s">
        <v>171</v>
      </c>
      <c r="C517" s="1" t="s">
        <v>471</v>
      </c>
      <c r="D517" t="s">
        <v>17</v>
      </c>
      <c r="E517">
        <v>1800</v>
      </c>
      <c r="F517">
        <v>1646.13</v>
      </c>
      <c r="G517">
        <v>153.87</v>
      </c>
      <c r="H517">
        <v>9.35</v>
      </c>
      <c r="I517" t="s">
        <v>451</v>
      </c>
    </row>
    <row r="518" spans="1:10" x14ac:dyDescent="0.25">
      <c r="A518" s="2">
        <v>46198</v>
      </c>
      <c r="B518" t="s">
        <v>171</v>
      </c>
      <c r="C518" s="1" t="s">
        <v>472</v>
      </c>
      <c r="D518" t="s">
        <v>17</v>
      </c>
      <c r="E518">
        <v>1800</v>
      </c>
      <c r="F518">
        <v>1646.13</v>
      </c>
      <c r="G518">
        <v>153.87</v>
      </c>
      <c r="H518">
        <v>9.35</v>
      </c>
      <c r="I518" t="s">
        <v>451</v>
      </c>
    </row>
    <row r="519" spans="1:10" x14ac:dyDescent="0.25">
      <c r="A519" s="2">
        <v>46198</v>
      </c>
      <c r="B519" t="s">
        <v>171</v>
      </c>
      <c r="C519" s="1" t="s">
        <v>473</v>
      </c>
      <c r="D519" t="s">
        <v>17</v>
      </c>
      <c r="E519">
        <v>1800</v>
      </c>
      <c r="F519">
        <v>1646.13</v>
      </c>
      <c r="G519">
        <v>153.87</v>
      </c>
      <c r="H519">
        <v>9.35</v>
      </c>
      <c r="I519" t="s">
        <v>451</v>
      </c>
    </row>
    <row r="520" spans="1:10" x14ac:dyDescent="0.25">
      <c r="A520" s="2">
        <v>46198</v>
      </c>
      <c r="B520" t="s">
        <v>171</v>
      </c>
      <c r="C520" s="1" t="s">
        <v>474</v>
      </c>
      <c r="D520" t="s">
        <v>17</v>
      </c>
      <c r="E520">
        <v>1800</v>
      </c>
      <c r="F520">
        <v>1646.13</v>
      </c>
      <c r="G520">
        <v>153.87</v>
      </c>
      <c r="H520">
        <v>9.35</v>
      </c>
      <c r="I520" t="s">
        <v>451</v>
      </c>
    </row>
    <row r="521" spans="1:10" x14ac:dyDescent="0.25">
      <c r="A521" s="2">
        <v>46198</v>
      </c>
      <c r="B521" t="s">
        <v>171</v>
      </c>
      <c r="C521" s="1" t="s">
        <v>475</v>
      </c>
      <c r="D521" t="s">
        <v>17</v>
      </c>
      <c r="E521">
        <v>1800</v>
      </c>
      <c r="F521">
        <v>1646.13</v>
      </c>
      <c r="G521">
        <v>153.87</v>
      </c>
      <c r="H521">
        <v>9.35</v>
      </c>
      <c r="I521" t="s">
        <v>451</v>
      </c>
    </row>
    <row r="522" spans="1:10" x14ac:dyDescent="0.25">
      <c r="A522" s="2">
        <v>46198</v>
      </c>
      <c r="B522" t="s">
        <v>171</v>
      </c>
      <c r="C522" s="1" t="s">
        <v>476</v>
      </c>
      <c r="D522" t="s">
        <v>17</v>
      </c>
      <c r="E522">
        <v>1800</v>
      </c>
      <c r="F522">
        <v>1646.13</v>
      </c>
      <c r="G522">
        <v>153.87</v>
      </c>
      <c r="H522">
        <v>9.35</v>
      </c>
      <c r="I522" t="s">
        <v>451</v>
      </c>
    </row>
    <row r="523" spans="1:10" x14ac:dyDescent="0.25">
      <c r="A523" s="2">
        <v>46198</v>
      </c>
      <c r="B523" t="s">
        <v>171</v>
      </c>
      <c r="C523" s="1" t="s">
        <v>477</v>
      </c>
      <c r="D523" t="s">
        <v>17</v>
      </c>
      <c r="E523">
        <v>1800</v>
      </c>
      <c r="F523">
        <v>1646.13</v>
      </c>
      <c r="G523">
        <v>153.87</v>
      </c>
      <c r="H523">
        <v>9.35</v>
      </c>
      <c r="I523" t="s">
        <v>451</v>
      </c>
    </row>
    <row r="524" spans="1:10" x14ac:dyDescent="0.25">
      <c r="A524" s="2">
        <v>46198</v>
      </c>
      <c r="B524" t="s">
        <v>171</v>
      </c>
      <c r="C524" s="1" t="s">
        <v>478</v>
      </c>
      <c r="D524" t="s">
        <v>17</v>
      </c>
      <c r="E524">
        <v>1800</v>
      </c>
      <c r="F524">
        <v>1646.13</v>
      </c>
      <c r="G524">
        <v>153.87</v>
      </c>
      <c r="H524">
        <v>9.35</v>
      </c>
      <c r="I524" t="s">
        <v>451</v>
      </c>
    </row>
    <row r="525" spans="1:10" x14ac:dyDescent="0.25">
      <c r="A525" s="2">
        <v>46198</v>
      </c>
      <c r="B525" t="s">
        <v>171</v>
      </c>
      <c r="C525" s="1" t="s">
        <v>479</v>
      </c>
      <c r="D525" t="s">
        <v>17</v>
      </c>
      <c r="E525">
        <v>1800</v>
      </c>
      <c r="F525">
        <v>1646.13</v>
      </c>
      <c r="G525">
        <v>153.87</v>
      </c>
      <c r="H525">
        <v>9.35</v>
      </c>
      <c r="I525" t="s">
        <v>451</v>
      </c>
    </row>
    <row r="526" spans="1:10" x14ac:dyDescent="0.25">
      <c r="A526" s="2">
        <v>46198</v>
      </c>
      <c r="B526" t="s">
        <v>171</v>
      </c>
      <c r="C526" s="1" t="s">
        <v>480</v>
      </c>
      <c r="D526" t="s">
        <v>17</v>
      </c>
      <c r="E526">
        <v>1800</v>
      </c>
      <c r="F526">
        <v>1646.13</v>
      </c>
      <c r="G526">
        <v>153.87</v>
      </c>
      <c r="H526">
        <v>9.35</v>
      </c>
      <c r="I526" t="s">
        <v>451</v>
      </c>
    </row>
    <row r="527" spans="1:10" x14ac:dyDescent="0.25">
      <c r="A527" s="2">
        <v>46198</v>
      </c>
      <c r="B527" t="s">
        <v>171</v>
      </c>
      <c r="C527" s="1" t="s">
        <v>481</v>
      </c>
      <c r="D527" t="s">
        <v>17</v>
      </c>
      <c r="E527">
        <v>1800</v>
      </c>
      <c r="F527">
        <v>1646.13</v>
      </c>
      <c r="G527">
        <v>153.87</v>
      </c>
      <c r="H527">
        <v>9.35</v>
      </c>
      <c r="I527" t="s">
        <v>451</v>
      </c>
    </row>
    <row r="528" spans="1:10" x14ac:dyDescent="0.25">
      <c r="A528" s="2">
        <v>46200</v>
      </c>
      <c r="B528" t="s">
        <v>482</v>
      </c>
      <c r="C528" s="1">
        <v>352905161312222</v>
      </c>
      <c r="E528">
        <v>1797.46</v>
      </c>
      <c r="F528">
        <v>2050</v>
      </c>
      <c r="G528">
        <v>-252.54</v>
      </c>
      <c r="H528">
        <v>-12.32</v>
      </c>
      <c r="I528" t="s">
        <v>35</v>
      </c>
      <c r="J528" t="s">
        <v>55</v>
      </c>
    </row>
    <row r="529" spans="1:10" x14ac:dyDescent="0.25">
      <c r="A529" s="2">
        <v>46200</v>
      </c>
      <c r="B529" t="s">
        <v>482</v>
      </c>
      <c r="C529" s="1">
        <v>356706681272813</v>
      </c>
      <c r="D529" t="s">
        <v>17</v>
      </c>
      <c r="E529">
        <v>1797.46</v>
      </c>
      <c r="F529">
        <v>2000</v>
      </c>
      <c r="G529">
        <v>-202.54</v>
      </c>
      <c r="H529">
        <v>-10.130000000000001</v>
      </c>
      <c r="I529" t="s">
        <v>35</v>
      </c>
      <c r="J529" t="s">
        <v>55</v>
      </c>
    </row>
    <row r="530" spans="1:10" x14ac:dyDescent="0.25">
      <c r="A530" s="2">
        <v>46200</v>
      </c>
      <c r="B530" t="s">
        <v>483</v>
      </c>
      <c r="C530" s="1" t="s">
        <v>484</v>
      </c>
      <c r="D530" t="s">
        <v>485</v>
      </c>
      <c r="E530">
        <v>1120</v>
      </c>
      <c r="F530">
        <v>1017.45</v>
      </c>
      <c r="G530">
        <v>102.55</v>
      </c>
      <c r="H530">
        <v>10.08</v>
      </c>
      <c r="I530" t="s">
        <v>31</v>
      </c>
    </row>
    <row r="531" spans="1:10" x14ac:dyDescent="0.25">
      <c r="A531" s="2">
        <v>46200</v>
      </c>
      <c r="B531" t="s">
        <v>486</v>
      </c>
      <c r="C531" s="1">
        <v>352255852640766</v>
      </c>
      <c r="D531" t="s">
        <v>487</v>
      </c>
      <c r="E531">
        <v>2350</v>
      </c>
      <c r="F531">
        <v>2450</v>
      </c>
      <c r="G531">
        <v>-100</v>
      </c>
      <c r="H531">
        <v>-4.08</v>
      </c>
      <c r="I531" t="s">
        <v>35</v>
      </c>
      <c r="J531" t="s">
        <v>55</v>
      </c>
    </row>
    <row r="532" spans="1:10" x14ac:dyDescent="0.25">
      <c r="A532" s="2">
        <v>46200</v>
      </c>
      <c r="B532" t="s">
        <v>54</v>
      </c>
      <c r="C532" s="1">
        <v>352355705028779</v>
      </c>
      <c r="D532" t="s">
        <v>327</v>
      </c>
      <c r="E532">
        <v>3750</v>
      </c>
      <c r="F532">
        <v>4041.4</v>
      </c>
      <c r="G532">
        <v>-291.39999999999998</v>
      </c>
      <c r="H532">
        <v>-7.21</v>
      </c>
      <c r="I532" t="s">
        <v>209</v>
      </c>
      <c r="J532" t="s">
        <v>55</v>
      </c>
    </row>
    <row r="533" spans="1:10" x14ac:dyDescent="0.25">
      <c r="A533" s="2">
        <v>46200</v>
      </c>
      <c r="B533" t="s">
        <v>54</v>
      </c>
      <c r="C533" s="1">
        <v>352355708102043</v>
      </c>
      <c r="D533" t="s">
        <v>327</v>
      </c>
      <c r="E533">
        <v>3750</v>
      </c>
      <c r="F533">
        <v>4041.4</v>
      </c>
      <c r="G533">
        <v>-291.39999999999998</v>
      </c>
      <c r="H533">
        <v>-7.21</v>
      </c>
      <c r="I533" t="s">
        <v>209</v>
      </c>
      <c r="J533" t="s">
        <v>55</v>
      </c>
    </row>
    <row r="534" spans="1:10" x14ac:dyDescent="0.25">
      <c r="A534" s="2">
        <v>46200</v>
      </c>
      <c r="B534" t="s">
        <v>54</v>
      </c>
      <c r="C534" s="1">
        <v>352355709856035</v>
      </c>
      <c r="D534" t="s">
        <v>488</v>
      </c>
      <c r="E534">
        <v>3600</v>
      </c>
      <c r="F534">
        <v>3500</v>
      </c>
      <c r="G534">
        <v>100</v>
      </c>
      <c r="H534">
        <v>2.86</v>
      </c>
      <c r="I534" t="s">
        <v>35</v>
      </c>
    </row>
    <row r="535" spans="1:10" x14ac:dyDescent="0.25">
      <c r="A535" s="2">
        <v>46200</v>
      </c>
      <c r="B535" t="s">
        <v>489</v>
      </c>
      <c r="C535" s="1">
        <v>352355701394902</v>
      </c>
      <c r="D535" t="s">
        <v>327</v>
      </c>
      <c r="E535">
        <v>4700</v>
      </c>
      <c r="F535">
        <v>4335.32</v>
      </c>
      <c r="G535">
        <v>364.68</v>
      </c>
      <c r="H535">
        <v>8.41</v>
      </c>
      <c r="I535" t="s">
        <v>209</v>
      </c>
    </row>
    <row r="536" spans="1:10" x14ac:dyDescent="0.25">
      <c r="A536" s="2">
        <v>46200</v>
      </c>
      <c r="B536" t="s">
        <v>489</v>
      </c>
      <c r="C536" s="1">
        <v>352355701982037</v>
      </c>
      <c r="D536" t="s">
        <v>327</v>
      </c>
      <c r="E536">
        <v>4700</v>
      </c>
      <c r="F536">
        <v>4335.32</v>
      </c>
      <c r="G536">
        <v>364.68</v>
      </c>
      <c r="H536">
        <v>8.41</v>
      </c>
      <c r="I536" t="s">
        <v>209</v>
      </c>
    </row>
    <row r="537" spans="1:10" x14ac:dyDescent="0.25">
      <c r="A537" s="2">
        <v>46200</v>
      </c>
      <c r="B537" t="s">
        <v>489</v>
      </c>
      <c r="C537" s="1">
        <v>352355703486409</v>
      </c>
      <c r="D537" t="s">
        <v>327</v>
      </c>
      <c r="E537">
        <v>4700</v>
      </c>
      <c r="F537">
        <v>4335.32</v>
      </c>
      <c r="G537">
        <v>364.68</v>
      </c>
      <c r="H537">
        <v>8.41</v>
      </c>
      <c r="I537" t="s">
        <v>209</v>
      </c>
    </row>
    <row r="538" spans="1:10" x14ac:dyDescent="0.25">
      <c r="A538" s="2">
        <v>46200</v>
      </c>
      <c r="B538" t="s">
        <v>489</v>
      </c>
      <c r="C538" s="1">
        <v>352355704770173</v>
      </c>
      <c r="D538" t="s">
        <v>327</v>
      </c>
      <c r="E538">
        <v>4700</v>
      </c>
      <c r="F538">
        <v>4335.32</v>
      </c>
      <c r="G538">
        <v>364.68</v>
      </c>
      <c r="H538">
        <v>8.41</v>
      </c>
      <c r="I538" t="s">
        <v>209</v>
      </c>
    </row>
    <row r="539" spans="1:10" x14ac:dyDescent="0.25">
      <c r="A539" s="2">
        <v>46200</v>
      </c>
      <c r="B539" t="s">
        <v>489</v>
      </c>
      <c r="C539" s="1">
        <v>352355705023697</v>
      </c>
      <c r="D539" t="s">
        <v>327</v>
      </c>
      <c r="E539">
        <v>4700</v>
      </c>
      <c r="F539">
        <v>4335.32</v>
      </c>
      <c r="G539">
        <v>364.68</v>
      </c>
      <c r="H539">
        <v>8.41</v>
      </c>
      <c r="I539" t="s">
        <v>209</v>
      </c>
    </row>
    <row r="540" spans="1:10" x14ac:dyDescent="0.25">
      <c r="A540" s="2">
        <v>46200</v>
      </c>
      <c r="B540" t="s">
        <v>489</v>
      </c>
      <c r="C540" s="1">
        <v>352355706247329</v>
      </c>
      <c r="D540" t="s">
        <v>327</v>
      </c>
      <c r="E540">
        <v>4700</v>
      </c>
      <c r="F540">
        <v>4335.32</v>
      </c>
      <c r="G540">
        <v>364.68</v>
      </c>
      <c r="H540">
        <v>8.41</v>
      </c>
      <c r="I540" t="s">
        <v>209</v>
      </c>
    </row>
    <row r="541" spans="1:10" x14ac:dyDescent="0.25">
      <c r="A541" s="2">
        <v>46200</v>
      </c>
      <c r="B541" t="s">
        <v>489</v>
      </c>
      <c r="C541" s="1">
        <v>352355707802791</v>
      </c>
      <c r="D541" t="s">
        <v>327</v>
      </c>
      <c r="E541">
        <v>4700</v>
      </c>
      <c r="F541">
        <v>4335.32</v>
      </c>
      <c r="G541">
        <v>364.68</v>
      </c>
      <c r="H541">
        <v>8.41</v>
      </c>
      <c r="I541" t="s">
        <v>209</v>
      </c>
    </row>
    <row r="542" spans="1:10" x14ac:dyDescent="0.25">
      <c r="A542" s="2">
        <v>46200</v>
      </c>
      <c r="B542" t="s">
        <v>36</v>
      </c>
      <c r="C542" s="1">
        <v>359178373435016</v>
      </c>
      <c r="D542" t="s">
        <v>332</v>
      </c>
      <c r="E542">
        <v>3367.08</v>
      </c>
      <c r="F542">
        <v>3000</v>
      </c>
      <c r="G542">
        <v>367.08</v>
      </c>
      <c r="H542">
        <v>12.24</v>
      </c>
      <c r="I542" t="s">
        <v>35</v>
      </c>
    </row>
    <row r="543" spans="1:10" x14ac:dyDescent="0.25">
      <c r="A543" s="2">
        <v>46200</v>
      </c>
      <c r="B543" t="s">
        <v>333</v>
      </c>
      <c r="C543" s="1" t="s">
        <v>490</v>
      </c>
      <c r="D543" t="s">
        <v>168</v>
      </c>
      <c r="E543">
        <v>5550</v>
      </c>
      <c r="F543">
        <v>4926.7</v>
      </c>
      <c r="G543">
        <v>623.29999999999995</v>
      </c>
      <c r="H543">
        <v>12.65</v>
      </c>
      <c r="I543" t="s">
        <v>18</v>
      </c>
    </row>
    <row r="544" spans="1:10" x14ac:dyDescent="0.25">
      <c r="A544" s="2">
        <v>46200</v>
      </c>
      <c r="B544" t="s">
        <v>333</v>
      </c>
      <c r="C544" s="1" t="s">
        <v>491</v>
      </c>
      <c r="D544" t="s">
        <v>168</v>
      </c>
      <c r="E544">
        <v>5550</v>
      </c>
      <c r="F544">
        <v>4926.7</v>
      </c>
      <c r="G544">
        <v>623.29999999999995</v>
      </c>
      <c r="H544">
        <v>12.65</v>
      </c>
      <c r="I544" t="s">
        <v>18</v>
      </c>
    </row>
    <row r="545" spans="1:9" x14ac:dyDescent="0.25">
      <c r="A545" s="2">
        <v>46200</v>
      </c>
      <c r="B545" t="s">
        <v>333</v>
      </c>
      <c r="C545" s="1" t="s">
        <v>492</v>
      </c>
      <c r="D545" t="s">
        <v>168</v>
      </c>
      <c r="E545">
        <v>5550</v>
      </c>
      <c r="F545">
        <v>4926.7</v>
      </c>
      <c r="G545">
        <v>623.29999999999995</v>
      </c>
      <c r="H545">
        <v>12.65</v>
      </c>
      <c r="I545" t="s">
        <v>18</v>
      </c>
    </row>
    <row r="546" spans="1:9" x14ac:dyDescent="0.25">
      <c r="A546" s="2">
        <v>46200</v>
      </c>
      <c r="B546" t="s">
        <v>333</v>
      </c>
      <c r="C546" s="1" t="s">
        <v>493</v>
      </c>
      <c r="D546" t="s">
        <v>168</v>
      </c>
      <c r="E546">
        <v>5700</v>
      </c>
      <c r="F546">
        <v>4926.7</v>
      </c>
      <c r="G546">
        <v>773.3</v>
      </c>
      <c r="H546">
        <v>15.7</v>
      </c>
      <c r="I546" t="s">
        <v>18</v>
      </c>
    </row>
    <row r="547" spans="1:9" x14ac:dyDescent="0.25">
      <c r="A547" s="2">
        <v>46200</v>
      </c>
      <c r="B547" t="s">
        <v>333</v>
      </c>
      <c r="C547" s="1" t="s">
        <v>494</v>
      </c>
      <c r="D547" t="s">
        <v>168</v>
      </c>
      <c r="E547">
        <v>5550</v>
      </c>
      <c r="F547">
        <v>4856.32</v>
      </c>
      <c r="G547">
        <v>693.68</v>
      </c>
      <c r="H547">
        <v>14.28</v>
      </c>
      <c r="I547" t="s">
        <v>18</v>
      </c>
    </row>
    <row r="548" spans="1:9" x14ac:dyDescent="0.25">
      <c r="A548" s="2">
        <v>46200</v>
      </c>
      <c r="B548" t="s">
        <v>333</v>
      </c>
      <c r="C548" s="1" t="s">
        <v>495</v>
      </c>
      <c r="D548" t="s">
        <v>168</v>
      </c>
      <c r="E548">
        <v>5550</v>
      </c>
      <c r="F548">
        <v>4928.41</v>
      </c>
      <c r="G548">
        <v>621.59</v>
      </c>
      <c r="H548">
        <v>12.61</v>
      </c>
      <c r="I548" t="s">
        <v>18</v>
      </c>
    </row>
    <row r="549" spans="1:9" x14ac:dyDescent="0.25">
      <c r="A549" s="2">
        <v>46200</v>
      </c>
      <c r="B549" t="s">
        <v>333</v>
      </c>
      <c r="C549" s="1" t="s">
        <v>496</v>
      </c>
      <c r="D549" t="s">
        <v>335</v>
      </c>
      <c r="E549">
        <v>5575</v>
      </c>
      <c r="F549">
        <v>4856.32</v>
      </c>
      <c r="G549">
        <v>718.68</v>
      </c>
      <c r="H549">
        <v>14.8</v>
      </c>
      <c r="I549" t="s">
        <v>18</v>
      </c>
    </row>
    <row r="550" spans="1:9" x14ac:dyDescent="0.25">
      <c r="A550" s="2">
        <v>46200</v>
      </c>
      <c r="B550" t="s">
        <v>333</v>
      </c>
      <c r="C550" s="1" t="s">
        <v>497</v>
      </c>
      <c r="D550" t="s">
        <v>168</v>
      </c>
      <c r="E550">
        <v>5550</v>
      </c>
      <c r="F550">
        <v>4856.32</v>
      </c>
      <c r="G550">
        <v>693.68</v>
      </c>
      <c r="H550">
        <v>14.28</v>
      </c>
      <c r="I550" t="s">
        <v>18</v>
      </c>
    </row>
    <row r="551" spans="1:9" x14ac:dyDescent="0.25">
      <c r="A551" s="2">
        <v>46200</v>
      </c>
      <c r="B551" t="s">
        <v>333</v>
      </c>
      <c r="C551" s="1" t="s">
        <v>498</v>
      </c>
      <c r="D551" t="s">
        <v>168</v>
      </c>
      <c r="E551">
        <v>5550</v>
      </c>
      <c r="F551">
        <v>4926.7</v>
      </c>
      <c r="G551">
        <v>623.29999999999995</v>
      </c>
      <c r="H551">
        <v>12.65</v>
      </c>
      <c r="I551" t="s">
        <v>18</v>
      </c>
    </row>
    <row r="552" spans="1:9" x14ac:dyDescent="0.25">
      <c r="A552" s="2">
        <v>46200</v>
      </c>
      <c r="B552" t="s">
        <v>333</v>
      </c>
      <c r="C552" s="1" t="s">
        <v>499</v>
      </c>
      <c r="D552" t="s">
        <v>168</v>
      </c>
      <c r="E552">
        <v>5550</v>
      </c>
      <c r="F552">
        <v>4928.41</v>
      </c>
      <c r="G552">
        <v>621.59</v>
      </c>
      <c r="H552">
        <v>12.61</v>
      </c>
      <c r="I552" t="s">
        <v>18</v>
      </c>
    </row>
    <row r="553" spans="1:9" x14ac:dyDescent="0.25">
      <c r="A553" s="2">
        <v>46200</v>
      </c>
      <c r="B553" t="s">
        <v>333</v>
      </c>
      <c r="C553" s="1" t="s">
        <v>500</v>
      </c>
      <c r="D553" t="s">
        <v>168</v>
      </c>
      <c r="E553">
        <v>5550</v>
      </c>
      <c r="F553">
        <v>4928.41</v>
      </c>
      <c r="G553">
        <v>621.59</v>
      </c>
      <c r="H553">
        <v>12.61</v>
      </c>
      <c r="I553" t="s">
        <v>18</v>
      </c>
    </row>
    <row r="554" spans="1:9" x14ac:dyDescent="0.25">
      <c r="A554" s="2">
        <v>46200</v>
      </c>
      <c r="B554" t="s">
        <v>333</v>
      </c>
      <c r="C554" s="1" t="s">
        <v>501</v>
      </c>
      <c r="D554" t="s">
        <v>168</v>
      </c>
      <c r="E554">
        <v>5550</v>
      </c>
      <c r="F554">
        <v>4926.7</v>
      </c>
      <c r="G554">
        <v>623.29999999999995</v>
      </c>
      <c r="H554">
        <v>12.65</v>
      </c>
      <c r="I554" t="s">
        <v>18</v>
      </c>
    </row>
    <row r="555" spans="1:9" x14ac:dyDescent="0.25">
      <c r="A555" s="2">
        <v>46200</v>
      </c>
      <c r="B555" t="s">
        <v>333</v>
      </c>
      <c r="C555" s="1" t="s">
        <v>502</v>
      </c>
      <c r="D555" t="s">
        <v>168</v>
      </c>
      <c r="E555">
        <v>5740</v>
      </c>
      <c r="F555">
        <v>4926.7</v>
      </c>
      <c r="G555">
        <v>813.3</v>
      </c>
      <c r="H555">
        <v>16.510000000000002</v>
      </c>
      <c r="I555" t="s">
        <v>18</v>
      </c>
    </row>
    <row r="556" spans="1:9" x14ac:dyDescent="0.25">
      <c r="A556" s="2">
        <v>46200</v>
      </c>
      <c r="B556" t="s">
        <v>333</v>
      </c>
      <c r="C556" s="1" t="s">
        <v>503</v>
      </c>
      <c r="D556" t="s">
        <v>168</v>
      </c>
      <c r="E556">
        <v>5550</v>
      </c>
      <c r="F556">
        <v>4856.32</v>
      </c>
      <c r="G556">
        <v>693.68</v>
      </c>
      <c r="H556">
        <v>14.28</v>
      </c>
      <c r="I556" t="s">
        <v>18</v>
      </c>
    </row>
    <row r="557" spans="1:9" x14ac:dyDescent="0.25">
      <c r="A557" s="2">
        <v>46200</v>
      </c>
      <c r="B557" t="s">
        <v>333</v>
      </c>
      <c r="C557" s="1" t="s">
        <v>504</v>
      </c>
      <c r="D557" t="s">
        <v>168</v>
      </c>
      <c r="E557">
        <v>5550</v>
      </c>
      <c r="F557">
        <v>5014.1400000000003</v>
      </c>
      <c r="G557">
        <v>535.86</v>
      </c>
      <c r="H557">
        <v>10.69</v>
      </c>
      <c r="I557" t="s">
        <v>18</v>
      </c>
    </row>
    <row r="558" spans="1:9" x14ac:dyDescent="0.25">
      <c r="A558" s="2">
        <v>46200</v>
      </c>
      <c r="B558" t="s">
        <v>333</v>
      </c>
      <c r="C558" s="1" t="s">
        <v>505</v>
      </c>
      <c r="D558" t="s">
        <v>168</v>
      </c>
      <c r="E558">
        <v>5740</v>
      </c>
      <c r="F558">
        <v>4926.7</v>
      </c>
      <c r="G558">
        <v>813.3</v>
      </c>
      <c r="H558">
        <v>16.510000000000002</v>
      </c>
      <c r="I558" t="s">
        <v>18</v>
      </c>
    </row>
    <row r="559" spans="1:9" x14ac:dyDescent="0.25">
      <c r="A559" s="2">
        <v>46200</v>
      </c>
      <c r="B559" t="s">
        <v>333</v>
      </c>
      <c r="C559" s="1" t="s">
        <v>506</v>
      </c>
      <c r="D559" t="s">
        <v>168</v>
      </c>
      <c r="E559">
        <v>5550</v>
      </c>
      <c r="F559">
        <v>5014.1400000000003</v>
      </c>
      <c r="G559">
        <v>535.86</v>
      </c>
      <c r="H559">
        <v>10.69</v>
      </c>
      <c r="I559" t="s">
        <v>18</v>
      </c>
    </row>
    <row r="560" spans="1:9" x14ac:dyDescent="0.25">
      <c r="A560" s="2">
        <v>46200</v>
      </c>
      <c r="B560" t="s">
        <v>333</v>
      </c>
      <c r="C560" s="1" t="s">
        <v>507</v>
      </c>
      <c r="D560" t="s">
        <v>168</v>
      </c>
      <c r="E560">
        <v>5550</v>
      </c>
      <c r="F560">
        <v>5014.1400000000003</v>
      </c>
      <c r="G560">
        <v>535.86</v>
      </c>
      <c r="H560">
        <v>10.69</v>
      </c>
      <c r="I560" t="s">
        <v>18</v>
      </c>
    </row>
    <row r="561" spans="1:9" x14ac:dyDescent="0.25">
      <c r="A561" s="2">
        <v>46200</v>
      </c>
      <c r="B561" t="s">
        <v>333</v>
      </c>
      <c r="C561" s="1" t="s">
        <v>508</v>
      </c>
      <c r="D561" t="s">
        <v>168</v>
      </c>
      <c r="E561">
        <v>5550</v>
      </c>
      <c r="F561">
        <v>5014.1400000000003</v>
      </c>
      <c r="G561">
        <v>535.86</v>
      </c>
      <c r="H561">
        <v>10.69</v>
      </c>
      <c r="I561" t="s">
        <v>18</v>
      </c>
    </row>
    <row r="562" spans="1:9" x14ac:dyDescent="0.25">
      <c r="A562" s="2">
        <v>46200</v>
      </c>
      <c r="B562" t="s">
        <v>333</v>
      </c>
      <c r="C562" s="1" t="s">
        <v>509</v>
      </c>
      <c r="D562" t="s">
        <v>335</v>
      </c>
      <c r="E562">
        <v>5550</v>
      </c>
      <c r="F562">
        <v>4856.32</v>
      </c>
      <c r="G562">
        <v>693.68</v>
      </c>
      <c r="H562">
        <v>14.28</v>
      </c>
      <c r="I562" t="s">
        <v>18</v>
      </c>
    </row>
    <row r="563" spans="1:9" x14ac:dyDescent="0.25">
      <c r="A563" s="2">
        <v>46200</v>
      </c>
      <c r="B563" t="s">
        <v>333</v>
      </c>
      <c r="C563" s="1" t="s">
        <v>510</v>
      </c>
      <c r="D563" t="s">
        <v>168</v>
      </c>
      <c r="E563">
        <v>5550</v>
      </c>
      <c r="F563">
        <v>4928.41</v>
      </c>
      <c r="G563">
        <v>621.59</v>
      </c>
      <c r="H563">
        <v>12.61</v>
      </c>
      <c r="I563" t="s">
        <v>18</v>
      </c>
    </row>
    <row r="564" spans="1:9" x14ac:dyDescent="0.25">
      <c r="A564" s="2">
        <v>46200</v>
      </c>
      <c r="B564" t="s">
        <v>333</v>
      </c>
      <c r="C564" s="1" t="s">
        <v>511</v>
      </c>
      <c r="D564" t="s">
        <v>168</v>
      </c>
      <c r="E564">
        <v>5550</v>
      </c>
      <c r="F564">
        <v>4928.41</v>
      </c>
      <c r="G564">
        <v>621.59</v>
      </c>
      <c r="H564">
        <v>12.61</v>
      </c>
      <c r="I564" t="s">
        <v>18</v>
      </c>
    </row>
    <row r="565" spans="1:9" x14ac:dyDescent="0.25">
      <c r="A565" s="2">
        <v>46200</v>
      </c>
      <c r="B565" t="s">
        <v>333</v>
      </c>
      <c r="C565" s="1" t="s">
        <v>512</v>
      </c>
      <c r="D565" t="s">
        <v>168</v>
      </c>
      <c r="E565">
        <v>5550</v>
      </c>
      <c r="F565">
        <v>4856.32</v>
      </c>
      <c r="G565">
        <v>693.68</v>
      </c>
      <c r="H565">
        <v>14.28</v>
      </c>
      <c r="I565" t="s">
        <v>18</v>
      </c>
    </row>
    <row r="566" spans="1:9" x14ac:dyDescent="0.25">
      <c r="A566" s="2">
        <v>46200</v>
      </c>
      <c r="B566" t="s">
        <v>333</v>
      </c>
      <c r="C566" s="1" t="s">
        <v>513</v>
      </c>
      <c r="D566" t="s">
        <v>168</v>
      </c>
      <c r="E566">
        <v>5550</v>
      </c>
      <c r="F566">
        <v>4928.41</v>
      </c>
      <c r="G566">
        <v>621.59</v>
      </c>
      <c r="H566">
        <v>12.61</v>
      </c>
      <c r="I566" t="s">
        <v>18</v>
      </c>
    </row>
    <row r="567" spans="1:9" x14ac:dyDescent="0.25">
      <c r="A567" s="2">
        <v>46200</v>
      </c>
      <c r="B567" t="s">
        <v>333</v>
      </c>
      <c r="C567" s="1" t="s">
        <v>514</v>
      </c>
      <c r="D567" t="s">
        <v>168</v>
      </c>
      <c r="E567">
        <v>5740</v>
      </c>
      <c r="F567">
        <v>4926.7</v>
      </c>
      <c r="G567">
        <v>813.3</v>
      </c>
      <c r="H567">
        <v>16.510000000000002</v>
      </c>
      <c r="I567" t="s">
        <v>18</v>
      </c>
    </row>
    <row r="568" spans="1:9" x14ac:dyDescent="0.25">
      <c r="A568" s="2">
        <v>46200</v>
      </c>
      <c r="B568" t="s">
        <v>333</v>
      </c>
      <c r="C568" s="1" t="s">
        <v>515</v>
      </c>
      <c r="D568" t="s">
        <v>168</v>
      </c>
      <c r="E568">
        <v>5550</v>
      </c>
      <c r="F568">
        <v>4928.41</v>
      </c>
      <c r="G568">
        <v>621.59</v>
      </c>
      <c r="H568">
        <v>12.61</v>
      </c>
      <c r="I568" t="s">
        <v>18</v>
      </c>
    </row>
    <row r="569" spans="1:9" x14ac:dyDescent="0.25">
      <c r="A569" s="2">
        <v>46200</v>
      </c>
      <c r="B569" t="s">
        <v>333</v>
      </c>
      <c r="C569" s="1" t="s">
        <v>516</v>
      </c>
      <c r="D569" t="s">
        <v>168</v>
      </c>
      <c r="E569">
        <v>5550</v>
      </c>
      <c r="F569">
        <v>4926.7</v>
      </c>
      <c r="G569">
        <v>623.29999999999995</v>
      </c>
      <c r="H569">
        <v>12.65</v>
      </c>
      <c r="I569" t="s">
        <v>18</v>
      </c>
    </row>
    <row r="570" spans="1:9" x14ac:dyDescent="0.25">
      <c r="A570" s="2">
        <v>46200</v>
      </c>
      <c r="B570" t="s">
        <v>333</v>
      </c>
      <c r="C570" s="1" t="s">
        <v>517</v>
      </c>
      <c r="D570" t="s">
        <v>168</v>
      </c>
      <c r="E570">
        <v>5550</v>
      </c>
      <c r="F570">
        <v>5373.44</v>
      </c>
      <c r="G570">
        <v>176.56</v>
      </c>
      <c r="H570">
        <v>3.29</v>
      </c>
      <c r="I570" t="s">
        <v>18</v>
      </c>
    </row>
    <row r="571" spans="1:9" x14ac:dyDescent="0.25">
      <c r="A571" s="2">
        <v>46200</v>
      </c>
      <c r="B571" t="s">
        <v>333</v>
      </c>
      <c r="C571" s="1" t="s">
        <v>518</v>
      </c>
      <c r="D571" t="s">
        <v>168</v>
      </c>
      <c r="E571">
        <v>5550</v>
      </c>
      <c r="F571">
        <v>4928.41</v>
      </c>
      <c r="G571">
        <v>621.59</v>
      </c>
      <c r="H571">
        <v>12.61</v>
      </c>
      <c r="I571" t="s">
        <v>18</v>
      </c>
    </row>
    <row r="572" spans="1:9" x14ac:dyDescent="0.25">
      <c r="A572" s="2">
        <v>46200</v>
      </c>
      <c r="B572" t="s">
        <v>333</v>
      </c>
      <c r="C572" s="1" t="s">
        <v>519</v>
      </c>
      <c r="D572" t="s">
        <v>168</v>
      </c>
      <c r="E572">
        <v>5550</v>
      </c>
      <c r="F572">
        <v>5014.1400000000003</v>
      </c>
      <c r="G572">
        <v>535.86</v>
      </c>
      <c r="H572">
        <v>10.69</v>
      </c>
      <c r="I572" t="s">
        <v>18</v>
      </c>
    </row>
    <row r="573" spans="1:9" x14ac:dyDescent="0.25">
      <c r="A573" s="2">
        <v>46200</v>
      </c>
      <c r="B573" t="s">
        <v>333</v>
      </c>
      <c r="C573" s="1" t="s">
        <v>520</v>
      </c>
      <c r="D573" t="s">
        <v>168</v>
      </c>
      <c r="E573">
        <v>5575</v>
      </c>
      <c r="F573">
        <v>4928.41</v>
      </c>
      <c r="G573">
        <v>646.59</v>
      </c>
      <c r="H573">
        <v>13.12</v>
      </c>
      <c r="I573" t="s">
        <v>18</v>
      </c>
    </row>
    <row r="574" spans="1:9" x14ac:dyDescent="0.25">
      <c r="A574" s="2">
        <v>46200</v>
      </c>
      <c r="B574" t="s">
        <v>333</v>
      </c>
      <c r="C574" s="1" t="s">
        <v>521</v>
      </c>
      <c r="D574" t="s">
        <v>168</v>
      </c>
      <c r="E574">
        <v>5550</v>
      </c>
      <c r="F574">
        <v>4928.41</v>
      </c>
      <c r="G574">
        <v>621.59</v>
      </c>
      <c r="H574">
        <v>12.61</v>
      </c>
      <c r="I574" t="s">
        <v>18</v>
      </c>
    </row>
    <row r="575" spans="1:9" x14ac:dyDescent="0.25">
      <c r="A575" s="2">
        <v>46200</v>
      </c>
      <c r="B575" t="s">
        <v>333</v>
      </c>
      <c r="C575" s="1" t="s">
        <v>522</v>
      </c>
      <c r="D575" t="s">
        <v>168</v>
      </c>
      <c r="E575">
        <v>5550</v>
      </c>
      <c r="F575">
        <v>4928.41</v>
      </c>
      <c r="G575">
        <v>621.59</v>
      </c>
      <c r="H575">
        <v>12.61</v>
      </c>
      <c r="I575" t="s">
        <v>18</v>
      </c>
    </row>
    <row r="576" spans="1:9" x14ac:dyDescent="0.25">
      <c r="A576" s="2">
        <v>46200</v>
      </c>
      <c r="B576" t="s">
        <v>333</v>
      </c>
      <c r="C576" s="1" t="s">
        <v>523</v>
      </c>
      <c r="D576" t="s">
        <v>168</v>
      </c>
      <c r="E576">
        <v>5550</v>
      </c>
      <c r="F576">
        <v>4926.7</v>
      </c>
      <c r="G576">
        <v>623.29999999999995</v>
      </c>
      <c r="H576">
        <v>12.65</v>
      </c>
      <c r="I576" t="s">
        <v>18</v>
      </c>
    </row>
    <row r="577" spans="1:9" x14ac:dyDescent="0.25">
      <c r="A577" s="2">
        <v>46200</v>
      </c>
      <c r="B577" t="s">
        <v>333</v>
      </c>
      <c r="C577" s="1" t="s">
        <v>524</v>
      </c>
      <c r="D577" t="s">
        <v>335</v>
      </c>
      <c r="E577">
        <v>5550</v>
      </c>
      <c r="F577">
        <v>4928.41</v>
      </c>
      <c r="G577">
        <v>621.59</v>
      </c>
      <c r="H577">
        <v>12.61</v>
      </c>
      <c r="I577" t="s">
        <v>18</v>
      </c>
    </row>
    <row r="578" spans="1:9" x14ac:dyDescent="0.25">
      <c r="A578" s="2">
        <v>46200</v>
      </c>
      <c r="B578" t="s">
        <v>333</v>
      </c>
      <c r="C578" s="1" t="s">
        <v>525</v>
      </c>
      <c r="D578" t="s">
        <v>168</v>
      </c>
      <c r="E578">
        <v>5550</v>
      </c>
      <c r="F578">
        <v>4928.41</v>
      </c>
      <c r="G578">
        <v>621.59</v>
      </c>
      <c r="H578">
        <v>12.61</v>
      </c>
      <c r="I578" t="s">
        <v>18</v>
      </c>
    </row>
    <row r="579" spans="1:9" x14ac:dyDescent="0.25">
      <c r="A579" s="2">
        <v>46200</v>
      </c>
      <c r="B579" t="s">
        <v>333</v>
      </c>
      <c r="C579" s="1" t="s">
        <v>526</v>
      </c>
      <c r="D579" t="s">
        <v>335</v>
      </c>
      <c r="E579">
        <v>5550</v>
      </c>
      <c r="F579">
        <v>4928.41</v>
      </c>
      <c r="G579">
        <v>621.59</v>
      </c>
      <c r="H579">
        <v>12.61</v>
      </c>
      <c r="I579" t="s">
        <v>18</v>
      </c>
    </row>
    <row r="580" spans="1:9" x14ac:dyDescent="0.25">
      <c r="A580" s="2">
        <v>46200</v>
      </c>
      <c r="B580" t="s">
        <v>333</v>
      </c>
      <c r="C580" s="1" t="s">
        <v>527</v>
      </c>
      <c r="D580" t="s">
        <v>168</v>
      </c>
      <c r="E580">
        <v>5550</v>
      </c>
      <c r="F580">
        <v>4928.41</v>
      </c>
      <c r="G580">
        <v>621.59</v>
      </c>
      <c r="H580">
        <v>12.61</v>
      </c>
      <c r="I580" t="s">
        <v>18</v>
      </c>
    </row>
    <row r="581" spans="1:9" x14ac:dyDescent="0.25">
      <c r="A581" s="2">
        <v>46200</v>
      </c>
      <c r="B581" t="s">
        <v>333</v>
      </c>
      <c r="C581" s="1" t="s">
        <v>528</v>
      </c>
      <c r="D581" t="s">
        <v>168</v>
      </c>
      <c r="E581">
        <v>5700</v>
      </c>
      <c r="F581">
        <v>4926.7</v>
      </c>
      <c r="G581">
        <v>773.3</v>
      </c>
      <c r="H581">
        <v>15.7</v>
      </c>
      <c r="I581" t="s">
        <v>18</v>
      </c>
    </row>
    <row r="582" spans="1:9" x14ac:dyDescent="0.25">
      <c r="A582" s="2">
        <v>46200</v>
      </c>
      <c r="B582" t="s">
        <v>333</v>
      </c>
      <c r="C582" s="1" t="s">
        <v>529</v>
      </c>
      <c r="D582" t="s">
        <v>168</v>
      </c>
      <c r="E582">
        <v>5550</v>
      </c>
      <c r="F582">
        <v>4928.41</v>
      </c>
      <c r="G582">
        <v>621.59</v>
      </c>
      <c r="H582">
        <v>12.61</v>
      </c>
      <c r="I582" t="s">
        <v>18</v>
      </c>
    </row>
    <row r="583" spans="1:9" x14ac:dyDescent="0.25">
      <c r="A583" s="2">
        <v>46200</v>
      </c>
      <c r="B583" t="s">
        <v>333</v>
      </c>
      <c r="C583" s="1" t="s">
        <v>530</v>
      </c>
      <c r="D583" t="s">
        <v>335</v>
      </c>
      <c r="E583">
        <v>5550</v>
      </c>
      <c r="F583">
        <v>4856.32</v>
      </c>
      <c r="G583">
        <v>693.68</v>
      </c>
      <c r="H583">
        <v>14.28</v>
      </c>
      <c r="I583" t="s">
        <v>18</v>
      </c>
    </row>
    <row r="584" spans="1:9" x14ac:dyDescent="0.25">
      <c r="A584" s="2">
        <v>46200</v>
      </c>
      <c r="B584" t="s">
        <v>333</v>
      </c>
      <c r="C584" s="1" t="s">
        <v>531</v>
      </c>
      <c r="D584" t="s">
        <v>168</v>
      </c>
      <c r="E584">
        <v>5550</v>
      </c>
      <c r="F584">
        <v>4856.32</v>
      </c>
      <c r="G584">
        <v>693.68</v>
      </c>
      <c r="H584">
        <v>14.28</v>
      </c>
      <c r="I584" t="s">
        <v>18</v>
      </c>
    </row>
    <row r="585" spans="1:9" x14ac:dyDescent="0.25">
      <c r="A585" s="2">
        <v>46200</v>
      </c>
      <c r="B585" t="s">
        <v>532</v>
      </c>
      <c r="C585" s="1" t="s">
        <v>533</v>
      </c>
      <c r="D585" t="s">
        <v>534</v>
      </c>
      <c r="E585">
        <v>1245</v>
      </c>
      <c r="F585">
        <v>1071</v>
      </c>
      <c r="G585">
        <v>174</v>
      </c>
      <c r="H585">
        <v>16.25</v>
      </c>
      <c r="I585" t="s">
        <v>31</v>
      </c>
    </row>
    <row r="586" spans="1:9" x14ac:dyDescent="0.25">
      <c r="A586" s="2">
        <v>46200</v>
      </c>
      <c r="B586" t="s">
        <v>532</v>
      </c>
      <c r="C586" s="1" t="s">
        <v>535</v>
      </c>
      <c r="D586" t="s">
        <v>536</v>
      </c>
      <c r="E586">
        <v>1245</v>
      </c>
      <c r="F586">
        <v>1071</v>
      </c>
      <c r="G586">
        <v>174</v>
      </c>
      <c r="H586">
        <v>16.25</v>
      </c>
      <c r="I586" t="s">
        <v>31</v>
      </c>
    </row>
    <row r="587" spans="1:9" x14ac:dyDescent="0.25">
      <c r="A587" s="2">
        <v>46200</v>
      </c>
      <c r="B587" t="s">
        <v>537</v>
      </c>
      <c r="C587" s="1" t="s">
        <v>538</v>
      </c>
      <c r="D587" t="s">
        <v>536</v>
      </c>
      <c r="E587">
        <v>1245</v>
      </c>
      <c r="F587">
        <v>1071</v>
      </c>
      <c r="G587">
        <v>174</v>
      </c>
      <c r="H587">
        <v>16.25</v>
      </c>
      <c r="I587" t="s">
        <v>31</v>
      </c>
    </row>
    <row r="588" spans="1:9" x14ac:dyDescent="0.25">
      <c r="A588" s="2">
        <v>46200</v>
      </c>
      <c r="B588" t="s">
        <v>59</v>
      </c>
      <c r="C588" s="1" t="s">
        <v>539</v>
      </c>
      <c r="D588" t="s">
        <v>285</v>
      </c>
      <c r="E588">
        <v>1245</v>
      </c>
      <c r="F588">
        <v>1071</v>
      </c>
      <c r="G588">
        <v>174</v>
      </c>
      <c r="H588">
        <v>16.25</v>
      </c>
      <c r="I588" t="s">
        <v>31</v>
      </c>
    </row>
    <row r="589" spans="1:9" x14ac:dyDescent="0.25">
      <c r="A589" s="2">
        <v>46200</v>
      </c>
      <c r="B589" t="s">
        <v>59</v>
      </c>
      <c r="C589" s="1" t="s">
        <v>540</v>
      </c>
      <c r="D589" t="s">
        <v>281</v>
      </c>
      <c r="E589">
        <v>1440</v>
      </c>
      <c r="F589">
        <v>1071</v>
      </c>
      <c r="G589">
        <v>369</v>
      </c>
      <c r="H589">
        <v>34.450000000000003</v>
      </c>
      <c r="I589" t="s">
        <v>31</v>
      </c>
    </row>
    <row r="590" spans="1:9" x14ac:dyDescent="0.25">
      <c r="A590" s="2">
        <v>46200</v>
      </c>
      <c r="B590" t="s">
        <v>59</v>
      </c>
      <c r="C590" s="1" t="s">
        <v>541</v>
      </c>
      <c r="D590" t="s">
        <v>285</v>
      </c>
      <c r="E590">
        <v>1440</v>
      </c>
      <c r="F590">
        <v>1071</v>
      </c>
      <c r="G590">
        <v>369</v>
      </c>
      <c r="H590">
        <v>34.450000000000003</v>
      </c>
      <c r="I590" t="s">
        <v>31</v>
      </c>
    </row>
    <row r="591" spans="1:9" x14ac:dyDescent="0.25">
      <c r="A591" s="2">
        <v>46200</v>
      </c>
      <c r="B591" t="s">
        <v>59</v>
      </c>
      <c r="C591" s="1" t="s">
        <v>542</v>
      </c>
      <c r="D591" t="s">
        <v>285</v>
      </c>
      <c r="E591">
        <v>1245</v>
      </c>
      <c r="F591">
        <v>1071</v>
      </c>
      <c r="G591">
        <v>174</v>
      </c>
      <c r="H591">
        <v>16.25</v>
      </c>
      <c r="I591" t="s">
        <v>31</v>
      </c>
    </row>
    <row r="592" spans="1:9" x14ac:dyDescent="0.25">
      <c r="A592" s="2">
        <v>46200</v>
      </c>
      <c r="B592" t="s">
        <v>59</v>
      </c>
      <c r="C592" s="1" t="s">
        <v>543</v>
      </c>
      <c r="D592" t="s">
        <v>285</v>
      </c>
      <c r="E592">
        <v>1245</v>
      </c>
      <c r="F592">
        <v>1071</v>
      </c>
      <c r="G592">
        <v>174</v>
      </c>
      <c r="H592">
        <v>16.25</v>
      </c>
      <c r="I592" t="s">
        <v>31</v>
      </c>
    </row>
    <row r="593" spans="1:9" x14ac:dyDescent="0.25">
      <c r="A593" s="2">
        <v>46200</v>
      </c>
      <c r="B593" t="s">
        <v>59</v>
      </c>
      <c r="C593" s="1" t="s">
        <v>544</v>
      </c>
      <c r="D593" t="s">
        <v>285</v>
      </c>
      <c r="E593">
        <v>1245</v>
      </c>
      <c r="F593">
        <v>1071</v>
      </c>
      <c r="G593">
        <v>174</v>
      </c>
      <c r="H593">
        <v>16.25</v>
      </c>
      <c r="I593" t="s">
        <v>31</v>
      </c>
    </row>
    <row r="594" spans="1:9" x14ac:dyDescent="0.25">
      <c r="A594" s="2">
        <v>46200</v>
      </c>
      <c r="B594" t="s">
        <v>59</v>
      </c>
      <c r="C594" s="1" t="s">
        <v>545</v>
      </c>
      <c r="D594" t="s">
        <v>281</v>
      </c>
      <c r="E594">
        <v>1440</v>
      </c>
      <c r="F594">
        <v>1071</v>
      </c>
      <c r="G594">
        <v>369</v>
      </c>
      <c r="H594">
        <v>34.450000000000003</v>
      </c>
      <c r="I594" t="s">
        <v>31</v>
      </c>
    </row>
    <row r="595" spans="1:9" x14ac:dyDescent="0.25">
      <c r="A595" s="2">
        <v>46200</v>
      </c>
      <c r="B595" t="s">
        <v>276</v>
      </c>
      <c r="C595" s="1">
        <v>41521060716</v>
      </c>
      <c r="D595" t="s">
        <v>17</v>
      </c>
      <c r="E595">
        <v>4000</v>
      </c>
      <c r="F595">
        <v>3440</v>
      </c>
      <c r="G595">
        <v>560</v>
      </c>
      <c r="H595">
        <v>16.28</v>
      </c>
      <c r="I595" t="s">
        <v>326</v>
      </c>
    </row>
    <row r="596" spans="1:9" x14ac:dyDescent="0.25">
      <c r="A596" s="2">
        <v>46200</v>
      </c>
      <c r="B596" t="s">
        <v>276</v>
      </c>
      <c r="C596" s="1">
        <v>51485094755</v>
      </c>
      <c r="D596" t="s">
        <v>17</v>
      </c>
      <c r="E596">
        <v>4000</v>
      </c>
      <c r="F596">
        <v>3440</v>
      </c>
      <c r="G596">
        <v>560</v>
      </c>
      <c r="H596">
        <v>16.28</v>
      </c>
      <c r="I596" t="s">
        <v>326</v>
      </c>
    </row>
    <row r="597" spans="1:9" x14ac:dyDescent="0.25">
      <c r="A597" s="2">
        <v>46200</v>
      </c>
      <c r="B597" t="s">
        <v>276</v>
      </c>
      <c r="C597" s="1">
        <v>51492087441</v>
      </c>
      <c r="D597" t="s">
        <v>17</v>
      </c>
      <c r="E597">
        <v>4000</v>
      </c>
      <c r="F597">
        <v>3440</v>
      </c>
      <c r="G597">
        <v>560</v>
      </c>
      <c r="H597">
        <v>16.28</v>
      </c>
      <c r="I597" t="s">
        <v>326</v>
      </c>
    </row>
    <row r="598" spans="1:9" x14ac:dyDescent="0.25">
      <c r="A598" s="2">
        <v>46200</v>
      </c>
      <c r="B598" t="s">
        <v>276</v>
      </c>
      <c r="C598" s="1">
        <v>51522027412</v>
      </c>
      <c r="D598" t="s">
        <v>17</v>
      </c>
      <c r="E598">
        <v>4000</v>
      </c>
      <c r="F598">
        <v>3440</v>
      </c>
      <c r="G598">
        <v>560</v>
      </c>
      <c r="H598">
        <v>16.28</v>
      </c>
      <c r="I598" t="s">
        <v>326</v>
      </c>
    </row>
    <row r="599" spans="1:9" x14ac:dyDescent="0.25">
      <c r="A599" s="2">
        <v>46200</v>
      </c>
      <c r="B599" t="s">
        <v>276</v>
      </c>
      <c r="C599" s="1">
        <v>51561059438</v>
      </c>
      <c r="D599" t="s">
        <v>17</v>
      </c>
      <c r="E599">
        <v>4000</v>
      </c>
      <c r="F599">
        <v>3440</v>
      </c>
      <c r="G599">
        <v>560</v>
      </c>
      <c r="H599">
        <v>16.28</v>
      </c>
      <c r="I599" t="s">
        <v>326</v>
      </c>
    </row>
    <row r="600" spans="1:9" x14ac:dyDescent="0.25">
      <c r="A600" s="2">
        <v>46200</v>
      </c>
      <c r="B600" t="s">
        <v>276</v>
      </c>
      <c r="C600" s="1">
        <v>51571009420</v>
      </c>
      <c r="D600" t="s">
        <v>17</v>
      </c>
      <c r="E600">
        <v>4000</v>
      </c>
      <c r="F600">
        <v>3440</v>
      </c>
      <c r="G600">
        <v>560</v>
      </c>
      <c r="H600">
        <v>16.28</v>
      </c>
      <c r="I600" t="s">
        <v>326</v>
      </c>
    </row>
    <row r="601" spans="1:9" x14ac:dyDescent="0.25">
      <c r="A601" s="2">
        <v>46200</v>
      </c>
      <c r="B601" t="s">
        <v>276</v>
      </c>
      <c r="C601" s="1">
        <v>51695082427</v>
      </c>
      <c r="D601" t="s">
        <v>17</v>
      </c>
      <c r="E601">
        <v>4000</v>
      </c>
      <c r="F601">
        <v>3440</v>
      </c>
      <c r="G601">
        <v>560</v>
      </c>
      <c r="H601">
        <v>16.28</v>
      </c>
      <c r="I601" t="s">
        <v>326</v>
      </c>
    </row>
    <row r="602" spans="1:9" x14ac:dyDescent="0.25">
      <c r="A602" s="2">
        <v>46200</v>
      </c>
      <c r="B602" t="s">
        <v>276</v>
      </c>
      <c r="C602" s="1">
        <v>61443088466</v>
      </c>
      <c r="D602" t="s">
        <v>17</v>
      </c>
      <c r="E602">
        <v>4000</v>
      </c>
      <c r="F602">
        <v>3440</v>
      </c>
      <c r="G602">
        <v>560</v>
      </c>
      <c r="H602">
        <v>16.28</v>
      </c>
      <c r="I602" t="s">
        <v>326</v>
      </c>
    </row>
    <row r="603" spans="1:9" x14ac:dyDescent="0.25">
      <c r="A603" s="2">
        <v>46200</v>
      </c>
      <c r="B603" t="s">
        <v>276</v>
      </c>
      <c r="C603" s="1">
        <v>61626068403</v>
      </c>
      <c r="D603" t="s">
        <v>17</v>
      </c>
      <c r="E603">
        <v>4000</v>
      </c>
      <c r="F603">
        <v>3440</v>
      </c>
      <c r="G603">
        <v>560</v>
      </c>
      <c r="H603">
        <v>16.28</v>
      </c>
      <c r="I603" t="s">
        <v>326</v>
      </c>
    </row>
    <row r="604" spans="1:9" x14ac:dyDescent="0.25">
      <c r="A604" s="2">
        <v>46200</v>
      </c>
      <c r="B604" t="s">
        <v>276</v>
      </c>
      <c r="C604" s="1">
        <v>61656053480</v>
      </c>
      <c r="D604" t="s">
        <v>17</v>
      </c>
      <c r="E604">
        <v>4000</v>
      </c>
      <c r="F604">
        <v>3440</v>
      </c>
      <c r="G604">
        <v>560</v>
      </c>
      <c r="H604">
        <v>16.28</v>
      </c>
      <c r="I604" t="s">
        <v>326</v>
      </c>
    </row>
    <row r="605" spans="1:9" x14ac:dyDescent="0.25">
      <c r="A605" s="2">
        <v>46200</v>
      </c>
      <c r="B605" t="s">
        <v>276</v>
      </c>
      <c r="C605" s="1">
        <v>71637097455</v>
      </c>
      <c r="D605" t="s">
        <v>17</v>
      </c>
      <c r="E605">
        <v>4000</v>
      </c>
      <c r="F605">
        <v>3440</v>
      </c>
      <c r="G605">
        <v>560</v>
      </c>
      <c r="H605">
        <v>16.28</v>
      </c>
      <c r="I605" t="s">
        <v>326</v>
      </c>
    </row>
    <row r="606" spans="1:9" x14ac:dyDescent="0.25">
      <c r="A606" s="2">
        <v>46200</v>
      </c>
      <c r="B606" t="s">
        <v>276</v>
      </c>
      <c r="C606" s="1">
        <v>71641071478</v>
      </c>
      <c r="D606" t="s">
        <v>17</v>
      </c>
      <c r="E606">
        <v>4000</v>
      </c>
      <c r="F606">
        <v>3440</v>
      </c>
      <c r="G606">
        <v>560</v>
      </c>
      <c r="H606">
        <v>16.28</v>
      </c>
      <c r="I606" t="s">
        <v>326</v>
      </c>
    </row>
    <row r="607" spans="1:9" x14ac:dyDescent="0.25">
      <c r="A607" s="2">
        <v>46200</v>
      </c>
      <c r="B607" t="s">
        <v>15</v>
      </c>
      <c r="C607" s="1" t="s">
        <v>546</v>
      </c>
      <c r="D607" t="s">
        <v>547</v>
      </c>
      <c r="E607">
        <v>1400</v>
      </c>
      <c r="F607">
        <v>1108.27</v>
      </c>
      <c r="G607">
        <v>291.73</v>
      </c>
      <c r="H607">
        <v>26.32</v>
      </c>
      <c r="I607" t="s">
        <v>18</v>
      </c>
    </row>
    <row r="608" spans="1:9" x14ac:dyDescent="0.25">
      <c r="A608" s="2">
        <v>46200</v>
      </c>
      <c r="B608" t="s">
        <v>15</v>
      </c>
      <c r="C608" s="1" t="s">
        <v>548</v>
      </c>
      <c r="D608" t="s">
        <v>547</v>
      </c>
      <c r="E608">
        <v>1400</v>
      </c>
      <c r="F608">
        <v>932.94</v>
      </c>
      <c r="G608">
        <v>467.06</v>
      </c>
      <c r="H608">
        <v>50.06</v>
      </c>
      <c r="I608" t="s">
        <v>18</v>
      </c>
    </row>
    <row r="609" spans="1:9" x14ac:dyDescent="0.25">
      <c r="A609" s="2">
        <v>46200</v>
      </c>
      <c r="B609" t="s">
        <v>15</v>
      </c>
      <c r="C609" s="1" t="s">
        <v>549</v>
      </c>
      <c r="D609" t="s">
        <v>547</v>
      </c>
      <c r="E609">
        <v>1400</v>
      </c>
      <c r="F609">
        <v>1108.27</v>
      </c>
      <c r="G609">
        <v>291.73</v>
      </c>
      <c r="H609">
        <v>26.32</v>
      </c>
      <c r="I609" t="s">
        <v>18</v>
      </c>
    </row>
    <row r="610" spans="1:9" x14ac:dyDescent="0.25">
      <c r="A610" s="2">
        <v>46202</v>
      </c>
      <c r="B610" t="s">
        <v>550</v>
      </c>
      <c r="C610" s="1" t="s">
        <v>551</v>
      </c>
      <c r="D610" t="s">
        <v>17</v>
      </c>
      <c r="E610">
        <v>734.17</v>
      </c>
      <c r="F610">
        <v>714</v>
      </c>
      <c r="G610">
        <v>20.170000000000002</v>
      </c>
      <c r="H610">
        <v>2.82</v>
      </c>
      <c r="I610" t="s">
        <v>31</v>
      </c>
    </row>
    <row r="611" spans="1:9" x14ac:dyDescent="0.25">
      <c r="A611" s="2">
        <v>46202</v>
      </c>
      <c r="B611" t="s">
        <v>324</v>
      </c>
      <c r="C611" s="1">
        <v>21215082000333</v>
      </c>
      <c r="D611" t="s">
        <v>156</v>
      </c>
      <c r="E611">
        <v>4125</v>
      </c>
      <c r="F611">
        <v>3394.85</v>
      </c>
      <c r="G611">
        <v>730.15</v>
      </c>
      <c r="H611">
        <v>21.51</v>
      </c>
      <c r="I611" t="s">
        <v>326</v>
      </c>
    </row>
    <row r="612" spans="1:9" x14ac:dyDescent="0.25">
      <c r="A612" s="2">
        <v>46202</v>
      </c>
      <c r="B612" t="s">
        <v>324</v>
      </c>
      <c r="C612" s="1">
        <v>21215082000334</v>
      </c>
      <c r="D612" t="s">
        <v>156</v>
      </c>
      <c r="E612">
        <v>4125</v>
      </c>
      <c r="F612">
        <v>3394.85</v>
      </c>
      <c r="G612">
        <v>730.15</v>
      </c>
      <c r="H612">
        <v>21.51</v>
      </c>
      <c r="I612" t="s">
        <v>326</v>
      </c>
    </row>
    <row r="613" spans="1:9" x14ac:dyDescent="0.25">
      <c r="A613" s="2">
        <v>46202</v>
      </c>
      <c r="B613" t="s">
        <v>324</v>
      </c>
      <c r="C613" s="1">
        <v>21215082000337</v>
      </c>
      <c r="D613" t="s">
        <v>156</v>
      </c>
      <c r="E613">
        <v>4125</v>
      </c>
      <c r="F613">
        <v>3394.85</v>
      </c>
      <c r="G613">
        <v>730.15</v>
      </c>
      <c r="H613">
        <v>21.51</v>
      </c>
      <c r="I613" t="s">
        <v>326</v>
      </c>
    </row>
    <row r="614" spans="1:9" x14ac:dyDescent="0.25">
      <c r="A614" s="2">
        <v>46202</v>
      </c>
      <c r="B614" t="s">
        <v>324</v>
      </c>
      <c r="C614" s="1">
        <v>21215082000340</v>
      </c>
      <c r="D614" t="s">
        <v>156</v>
      </c>
      <c r="E614">
        <v>4125</v>
      </c>
      <c r="F614">
        <v>3394.85</v>
      </c>
      <c r="G614">
        <v>730.15</v>
      </c>
      <c r="H614">
        <v>21.51</v>
      </c>
      <c r="I614" t="s">
        <v>326</v>
      </c>
    </row>
    <row r="615" spans="1:9" x14ac:dyDescent="0.25">
      <c r="A615" s="2">
        <v>46202</v>
      </c>
      <c r="B615" t="s">
        <v>324</v>
      </c>
      <c r="C615" s="1">
        <v>21225082000255</v>
      </c>
      <c r="D615" t="s">
        <v>156</v>
      </c>
      <c r="E615">
        <v>4125</v>
      </c>
      <c r="F615">
        <v>3394.85</v>
      </c>
      <c r="G615">
        <v>730.15</v>
      </c>
      <c r="H615">
        <v>21.51</v>
      </c>
      <c r="I615" t="s">
        <v>326</v>
      </c>
    </row>
    <row r="616" spans="1:9" x14ac:dyDescent="0.25">
      <c r="A616" s="2">
        <v>46202</v>
      </c>
      <c r="B616" t="s">
        <v>324</v>
      </c>
      <c r="C616" s="1">
        <v>21225082000624</v>
      </c>
      <c r="D616" t="s">
        <v>156</v>
      </c>
      <c r="E616">
        <v>4125</v>
      </c>
      <c r="F616">
        <v>3394.85</v>
      </c>
      <c r="G616">
        <v>730.15</v>
      </c>
      <c r="H616">
        <v>21.51</v>
      </c>
      <c r="I616" t="s">
        <v>326</v>
      </c>
    </row>
    <row r="617" spans="1:9" x14ac:dyDescent="0.25">
      <c r="A617" s="2">
        <v>46202</v>
      </c>
      <c r="B617" t="s">
        <v>324</v>
      </c>
      <c r="C617" s="1">
        <v>21225082000626</v>
      </c>
      <c r="D617" t="s">
        <v>156</v>
      </c>
      <c r="E617">
        <v>4125</v>
      </c>
      <c r="F617">
        <v>3394.85</v>
      </c>
      <c r="G617">
        <v>730.15</v>
      </c>
      <c r="H617">
        <v>21.51</v>
      </c>
      <c r="I617" t="s">
        <v>326</v>
      </c>
    </row>
    <row r="618" spans="1:9" x14ac:dyDescent="0.25">
      <c r="A618" s="2">
        <v>46202</v>
      </c>
      <c r="B618" t="s">
        <v>324</v>
      </c>
      <c r="C618" s="1">
        <v>21225082000627</v>
      </c>
      <c r="D618" t="s">
        <v>156</v>
      </c>
      <c r="E618">
        <v>4125</v>
      </c>
      <c r="F618">
        <v>3394.85</v>
      </c>
      <c r="G618">
        <v>730.15</v>
      </c>
      <c r="H618">
        <v>21.51</v>
      </c>
      <c r="I618" t="s">
        <v>326</v>
      </c>
    </row>
    <row r="619" spans="1:9" x14ac:dyDescent="0.25">
      <c r="A619" s="2">
        <v>46202</v>
      </c>
      <c r="B619" t="s">
        <v>324</v>
      </c>
      <c r="C619" s="1">
        <v>21245082000785</v>
      </c>
      <c r="D619" t="s">
        <v>156</v>
      </c>
      <c r="E619">
        <v>4125</v>
      </c>
      <c r="F619">
        <v>3394.85</v>
      </c>
      <c r="G619">
        <v>730.15</v>
      </c>
      <c r="H619">
        <v>21.51</v>
      </c>
      <c r="I619" t="s">
        <v>326</v>
      </c>
    </row>
    <row r="620" spans="1:9" x14ac:dyDescent="0.25">
      <c r="A620" s="2">
        <v>46202</v>
      </c>
      <c r="B620" t="s">
        <v>324</v>
      </c>
      <c r="C620" s="1">
        <v>21245082001200</v>
      </c>
      <c r="D620" t="s">
        <v>156</v>
      </c>
      <c r="E620">
        <v>4125</v>
      </c>
      <c r="F620">
        <v>3394.85</v>
      </c>
      <c r="G620">
        <v>730.15</v>
      </c>
      <c r="H620">
        <v>21.51</v>
      </c>
      <c r="I620" t="s">
        <v>326</v>
      </c>
    </row>
    <row r="621" spans="1:9" x14ac:dyDescent="0.25">
      <c r="A621" s="2">
        <v>46202</v>
      </c>
      <c r="B621" t="s">
        <v>552</v>
      </c>
      <c r="C621" s="1" t="s">
        <v>553</v>
      </c>
      <c r="D621" t="s">
        <v>17</v>
      </c>
      <c r="E621">
        <v>11600</v>
      </c>
      <c r="F621">
        <v>10527.57</v>
      </c>
      <c r="G621">
        <v>1072.43</v>
      </c>
      <c r="H621">
        <v>10.19</v>
      </c>
      <c r="I621" t="s">
        <v>18</v>
      </c>
    </row>
    <row r="622" spans="1:9" x14ac:dyDescent="0.25">
      <c r="A622" s="2">
        <v>46202</v>
      </c>
      <c r="B622" t="s">
        <v>554</v>
      </c>
      <c r="C622" s="1">
        <v>355079365252746</v>
      </c>
      <c r="D622" t="s">
        <v>99</v>
      </c>
      <c r="E622">
        <v>3253.16</v>
      </c>
      <c r="F622">
        <v>2700</v>
      </c>
      <c r="G622">
        <v>553.16</v>
      </c>
      <c r="H622">
        <v>20.49</v>
      </c>
      <c r="I622" t="s">
        <v>35</v>
      </c>
    </row>
    <row r="623" spans="1:9" x14ac:dyDescent="0.25">
      <c r="A623" s="2">
        <v>46202</v>
      </c>
      <c r="B623" t="s">
        <v>36</v>
      </c>
      <c r="C623" s="1">
        <v>359652124265419</v>
      </c>
      <c r="D623" t="s">
        <v>555</v>
      </c>
      <c r="E623">
        <v>3518.98</v>
      </c>
      <c r="F623">
        <v>3200</v>
      </c>
      <c r="G623">
        <v>318.98</v>
      </c>
      <c r="H623">
        <v>9.9700000000000006</v>
      </c>
      <c r="I623" t="s">
        <v>35</v>
      </c>
    </row>
    <row r="624" spans="1:9" x14ac:dyDescent="0.25">
      <c r="A624" s="2">
        <v>46202</v>
      </c>
      <c r="B624" t="s">
        <v>276</v>
      </c>
      <c r="C624" s="1">
        <v>39784450551</v>
      </c>
      <c r="D624" t="s">
        <v>17</v>
      </c>
      <c r="E624">
        <v>4175</v>
      </c>
      <c r="F624">
        <v>3143.18</v>
      </c>
      <c r="G624">
        <v>1031.82</v>
      </c>
      <c r="H624">
        <v>32.83</v>
      </c>
      <c r="I624" t="s">
        <v>18</v>
      </c>
    </row>
    <row r="625" spans="1:10" x14ac:dyDescent="0.25">
      <c r="A625" s="2">
        <v>46202</v>
      </c>
      <c r="B625" t="s">
        <v>208</v>
      </c>
      <c r="C625" s="1">
        <v>61703007420</v>
      </c>
      <c r="D625" t="s">
        <v>17</v>
      </c>
      <c r="E625">
        <v>21500</v>
      </c>
      <c r="F625">
        <v>7059.86</v>
      </c>
      <c r="G625">
        <v>14440.14</v>
      </c>
      <c r="H625">
        <v>204.54</v>
      </c>
      <c r="I625" t="s">
        <v>326</v>
      </c>
    </row>
    <row r="626" spans="1:10" x14ac:dyDescent="0.25">
      <c r="A626" s="2">
        <v>46202</v>
      </c>
      <c r="B626" t="s">
        <v>208</v>
      </c>
      <c r="C626" s="1">
        <v>61790006667</v>
      </c>
      <c r="D626" t="s">
        <v>17</v>
      </c>
      <c r="E626">
        <v>21500</v>
      </c>
      <c r="F626">
        <v>7092.85</v>
      </c>
      <c r="G626">
        <v>14407.15</v>
      </c>
      <c r="H626">
        <v>203.12</v>
      </c>
      <c r="I626" t="s">
        <v>326</v>
      </c>
    </row>
    <row r="627" spans="1:10" x14ac:dyDescent="0.25">
      <c r="A627" s="2">
        <v>46202</v>
      </c>
      <c r="B627" t="s">
        <v>123</v>
      </c>
      <c r="C627" s="1" t="s">
        <v>556</v>
      </c>
      <c r="D627" t="s">
        <v>17</v>
      </c>
      <c r="E627">
        <v>3100</v>
      </c>
      <c r="F627">
        <v>2534.6999999999998</v>
      </c>
      <c r="G627">
        <v>565.29999999999995</v>
      </c>
      <c r="H627">
        <v>22.3</v>
      </c>
      <c r="I627" t="s">
        <v>31</v>
      </c>
    </row>
    <row r="628" spans="1:10" x14ac:dyDescent="0.25">
      <c r="A628" s="2">
        <v>46202</v>
      </c>
      <c r="B628" t="s">
        <v>123</v>
      </c>
      <c r="C628" s="1" t="s">
        <v>557</v>
      </c>
      <c r="D628" t="s">
        <v>17</v>
      </c>
      <c r="E628">
        <v>3100</v>
      </c>
      <c r="F628">
        <v>2534.6999999999998</v>
      </c>
      <c r="G628">
        <v>565.29999999999995</v>
      </c>
      <c r="H628">
        <v>22.3</v>
      </c>
      <c r="I628" t="s">
        <v>31</v>
      </c>
    </row>
    <row r="629" spans="1:10" x14ac:dyDescent="0.25">
      <c r="A629" s="2">
        <v>46202</v>
      </c>
      <c r="B629" t="s">
        <v>123</v>
      </c>
      <c r="C629" s="1" t="s">
        <v>558</v>
      </c>
      <c r="D629" t="s">
        <v>17</v>
      </c>
      <c r="E629">
        <v>3100</v>
      </c>
      <c r="F629">
        <v>2534.6999999999998</v>
      </c>
      <c r="G629">
        <v>565.29999999999995</v>
      </c>
      <c r="H629">
        <v>22.3</v>
      </c>
      <c r="I629" t="s">
        <v>31</v>
      </c>
    </row>
    <row r="630" spans="1:10" x14ac:dyDescent="0.25">
      <c r="A630" s="2">
        <v>46202</v>
      </c>
      <c r="B630" t="s">
        <v>123</v>
      </c>
      <c r="C630" s="1" t="s">
        <v>559</v>
      </c>
      <c r="D630" t="s">
        <v>17</v>
      </c>
      <c r="E630">
        <v>3100</v>
      </c>
      <c r="F630">
        <v>2534.6999999999998</v>
      </c>
      <c r="G630">
        <v>565.29999999999995</v>
      </c>
      <c r="H630">
        <v>22.3</v>
      </c>
      <c r="I630" t="s">
        <v>31</v>
      </c>
    </row>
    <row r="631" spans="1:10" x14ac:dyDescent="0.25">
      <c r="A631" s="2">
        <v>46202</v>
      </c>
      <c r="B631" t="s">
        <v>145</v>
      </c>
      <c r="C631" s="1" t="s">
        <v>560</v>
      </c>
      <c r="D631" t="s">
        <v>561</v>
      </c>
      <c r="E631">
        <v>2150</v>
      </c>
      <c r="F631">
        <v>1527.53</v>
      </c>
      <c r="G631">
        <v>622.47</v>
      </c>
      <c r="H631">
        <v>40.75</v>
      </c>
      <c r="I631" t="s">
        <v>18</v>
      </c>
    </row>
    <row r="632" spans="1:10" x14ac:dyDescent="0.25">
      <c r="A632" s="2">
        <v>46202</v>
      </c>
      <c r="B632" t="s">
        <v>145</v>
      </c>
      <c r="C632" s="1" t="s">
        <v>562</v>
      </c>
      <c r="D632" t="s">
        <v>561</v>
      </c>
      <c r="E632">
        <v>2150</v>
      </c>
      <c r="F632">
        <v>1527.53</v>
      </c>
      <c r="G632">
        <v>622.47</v>
      </c>
      <c r="H632">
        <v>40.75</v>
      </c>
      <c r="I632" t="s">
        <v>18</v>
      </c>
    </row>
    <row r="633" spans="1:10" x14ac:dyDescent="0.25">
      <c r="A633" s="2">
        <v>46203</v>
      </c>
      <c r="B633" t="s">
        <v>36</v>
      </c>
      <c r="C633" s="1">
        <v>350651441751316</v>
      </c>
      <c r="D633" t="s">
        <v>563</v>
      </c>
      <c r="E633">
        <v>4784.8100000000004</v>
      </c>
      <c r="F633">
        <v>5144.47</v>
      </c>
      <c r="G633">
        <v>-359.66</v>
      </c>
      <c r="H633">
        <v>-6.99</v>
      </c>
      <c r="I633" t="s">
        <v>18</v>
      </c>
      <c r="J633" t="s">
        <v>55</v>
      </c>
    </row>
    <row r="634" spans="1:10" x14ac:dyDescent="0.25">
      <c r="A634" s="2">
        <v>46203</v>
      </c>
      <c r="B634" t="s">
        <v>276</v>
      </c>
      <c r="C634" s="1">
        <v>19670053861</v>
      </c>
      <c r="D634" t="s">
        <v>17</v>
      </c>
      <c r="E634">
        <v>4000</v>
      </c>
      <c r="F634">
        <v>3115</v>
      </c>
      <c r="G634">
        <v>885</v>
      </c>
      <c r="H634">
        <v>28.41</v>
      </c>
      <c r="I634" t="s">
        <v>18</v>
      </c>
    </row>
    <row r="635" spans="1:10" x14ac:dyDescent="0.25">
      <c r="A635" s="2">
        <v>46203</v>
      </c>
      <c r="B635" t="s">
        <v>276</v>
      </c>
      <c r="C635" s="1">
        <v>19753958452</v>
      </c>
      <c r="D635" t="s">
        <v>17</v>
      </c>
      <c r="E635">
        <v>4000</v>
      </c>
      <c r="F635">
        <v>3393.08</v>
      </c>
      <c r="G635">
        <v>606.91999999999996</v>
      </c>
      <c r="H635">
        <v>17.89</v>
      </c>
      <c r="I635" t="s">
        <v>209</v>
      </c>
    </row>
    <row r="636" spans="1:10" x14ac:dyDescent="0.25">
      <c r="A636" s="2">
        <v>46203</v>
      </c>
      <c r="B636" t="s">
        <v>276</v>
      </c>
      <c r="C636" s="1">
        <v>29151959754</v>
      </c>
      <c r="D636" t="s">
        <v>17</v>
      </c>
      <c r="E636">
        <v>4000</v>
      </c>
      <c r="F636">
        <v>3115</v>
      </c>
      <c r="G636">
        <v>885</v>
      </c>
      <c r="H636">
        <v>28.41</v>
      </c>
      <c r="I636" t="s">
        <v>18</v>
      </c>
    </row>
    <row r="637" spans="1:10" x14ac:dyDescent="0.25">
      <c r="A637" s="2">
        <v>46203</v>
      </c>
      <c r="B637" t="s">
        <v>276</v>
      </c>
      <c r="C637" s="1">
        <v>29690452568</v>
      </c>
      <c r="D637" t="s">
        <v>17</v>
      </c>
      <c r="E637">
        <v>4000</v>
      </c>
      <c r="F637">
        <v>3115</v>
      </c>
      <c r="G637">
        <v>885</v>
      </c>
      <c r="H637">
        <v>28.41</v>
      </c>
      <c r="I637" t="s">
        <v>18</v>
      </c>
    </row>
    <row r="638" spans="1:10" x14ac:dyDescent="0.25">
      <c r="A638" s="2">
        <v>46203</v>
      </c>
      <c r="B638" t="s">
        <v>276</v>
      </c>
      <c r="C638" s="1">
        <v>41511018445</v>
      </c>
      <c r="D638" t="s">
        <v>17</v>
      </c>
      <c r="E638">
        <v>4000</v>
      </c>
      <c r="F638">
        <v>3115</v>
      </c>
      <c r="G638">
        <v>885</v>
      </c>
      <c r="H638">
        <v>28.41</v>
      </c>
      <c r="I638" t="s">
        <v>18</v>
      </c>
    </row>
    <row r="639" spans="1:10" x14ac:dyDescent="0.25">
      <c r="A639" s="2">
        <v>46203</v>
      </c>
      <c r="B639" t="s">
        <v>276</v>
      </c>
      <c r="C639" s="1">
        <v>41539033418</v>
      </c>
      <c r="D639" t="s">
        <v>17</v>
      </c>
      <c r="E639">
        <v>4000</v>
      </c>
      <c r="F639">
        <v>3115</v>
      </c>
      <c r="G639">
        <v>885</v>
      </c>
      <c r="H639">
        <v>28.41</v>
      </c>
      <c r="I639" t="s">
        <v>18</v>
      </c>
    </row>
    <row r="640" spans="1:10" x14ac:dyDescent="0.25">
      <c r="A640" s="2">
        <v>46203</v>
      </c>
      <c r="B640" t="s">
        <v>276</v>
      </c>
      <c r="C640" s="1">
        <v>41614067465</v>
      </c>
      <c r="D640" t="s">
        <v>17</v>
      </c>
      <c r="E640">
        <v>4000</v>
      </c>
      <c r="F640">
        <v>3115</v>
      </c>
      <c r="G640">
        <v>885</v>
      </c>
      <c r="H640">
        <v>28.41</v>
      </c>
      <c r="I640" t="s">
        <v>18</v>
      </c>
    </row>
    <row r="641" spans="1:10" x14ac:dyDescent="0.25">
      <c r="A641" s="2">
        <v>46203</v>
      </c>
      <c r="B641" t="s">
        <v>276</v>
      </c>
      <c r="C641" s="1">
        <v>41673061439</v>
      </c>
      <c r="D641" t="s">
        <v>17</v>
      </c>
      <c r="E641">
        <v>4000</v>
      </c>
      <c r="F641">
        <v>3393.08</v>
      </c>
      <c r="G641">
        <v>606.91999999999996</v>
      </c>
      <c r="H641">
        <v>17.89</v>
      </c>
      <c r="I641" t="s">
        <v>209</v>
      </c>
    </row>
    <row r="642" spans="1:10" x14ac:dyDescent="0.25">
      <c r="A642" s="2">
        <v>46203</v>
      </c>
      <c r="B642" t="s">
        <v>276</v>
      </c>
      <c r="C642" s="1">
        <v>41745009481</v>
      </c>
      <c r="D642" t="s">
        <v>17</v>
      </c>
      <c r="E642">
        <v>4000</v>
      </c>
      <c r="F642">
        <v>3115</v>
      </c>
      <c r="G642">
        <v>885</v>
      </c>
      <c r="H642">
        <v>28.41</v>
      </c>
      <c r="I642" t="s">
        <v>18</v>
      </c>
    </row>
    <row r="643" spans="1:10" x14ac:dyDescent="0.25">
      <c r="A643" s="2">
        <v>46203</v>
      </c>
      <c r="B643" t="s">
        <v>276</v>
      </c>
      <c r="C643" s="1">
        <v>51475082422</v>
      </c>
      <c r="D643" t="s">
        <v>17</v>
      </c>
      <c r="E643">
        <v>4000</v>
      </c>
      <c r="F643">
        <v>3393.08</v>
      </c>
      <c r="G643">
        <v>606.91999999999996</v>
      </c>
      <c r="H643">
        <v>17.89</v>
      </c>
      <c r="I643" t="s">
        <v>209</v>
      </c>
    </row>
    <row r="644" spans="1:10" x14ac:dyDescent="0.25">
      <c r="A644" s="2">
        <v>46203</v>
      </c>
      <c r="B644" t="s">
        <v>276</v>
      </c>
      <c r="C644" s="1">
        <v>51559056134</v>
      </c>
      <c r="D644" t="s">
        <v>17</v>
      </c>
      <c r="E644">
        <v>4000</v>
      </c>
      <c r="F644">
        <v>3115</v>
      </c>
      <c r="G644">
        <v>885</v>
      </c>
      <c r="H644">
        <v>28.41</v>
      </c>
      <c r="I644" t="s">
        <v>18</v>
      </c>
    </row>
    <row r="645" spans="1:10" x14ac:dyDescent="0.25">
      <c r="A645" s="2">
        <v>46203</v>
      </c>
      <c r="B645" t="s">
        <v>276</v>
      </c>
      <c r="C645" s="1">
        <v>51650070425</v>
      </c>
      <c r="D645" t="s">
        <v>17</v>
      </c>
      <c r="E645">
        <v>4000</v>
      </c>
      <c r="F645">
        <v>3393.08</v>
      </c>
      <c r="G645">
        <v>606.91999999999996</v>
      </c>
      <c r="H645">
        <v>17.89</v>
      </c>
      <c r="I645" t="s">
        <v>209</v>
      </c>
    </row>
    <row r="646" spans="1:10" x14ac:dyDescent="0.25">
      <c r="A646" s="2">
        <v>46203</v>
      </c>
      <c r="B646" t="s">
        <v>276</v>
      </c>
      <c r="C646" s="1">
        <v>59796557268</v>
      </c>
      <c r="D646" t="s">
        <v>17</v>
      </c>
      <c r="E646">
        <v>4000</v>
      </c>
      <c r="F646">
        <v>3393.08</v>
      </c>
      <c r="G646">
        <v>606.91999999999996</v>
      </c>
      <c r="H646">
        <v>17.89</v>
      </c>
      <c r="I646" t="s">
        <v>209</v>
      </c>
    </row>
    <row r="647" spans="1:10" x14ac:dyDescent="0.25">
      <c r="A647" s="2">
        <v>46203</v>
      </c>
      <c r="B647" t="s">
        <v>276</v>
      </c>
      <c r="C647" s="1">
        <v>61625090487</v>
      </c>
      <c r="D647" t="s">
        <v>17</v>
      </c>
      <c r="E647">
        <v>4000</v>
      </c>
      <c r="F647">
        <v>3393.08</v>
      </c>
      <c r="G647">
        <v>606.91999999999996</v>
      </c>
      <c r="H647">
        <v>17.89</v>
      </c>
      <c r="I647" t="s">
        <v>209</v>
      </c>
    </row>
    <row r="648" spans="1:10" x14ac:dyDescent="0.25">
      <c r="A648" s="2">
        <v>46203</v>
      </c>
      <c r="B648" t="s">
        <v>276</v>
      </c>
      <c r="C648" s="1">
        <v>61670053428</v>
      </c>
      <c r="D648" t="s">
        <v>17</v>
      </c>
      <c r="E648">
        <v>4000</v>
      </c>
      <c r="F648">
        <v>3115</v>
      </c>
      <c r="G648">
        <v>885</v>
      </c>
      <c r="H648">
        <v>28.41</v>
      </c>
      <c r="I648" t="s">
        <v>18</v>
      </c>
    </row>
    <row r="649" spans="1:10" x14ac:dyDescent="0.25">
      <c r="A649" s="2">
        <v>46203</v>
      </c>
      <c r="B649" t="s">
        <v>276</v>
      </c>
      <c r="C649" s="1">
        <v>61699071496</v>
      </c>
      <c r="D649" t="s">
        <v>17</v>
      </c>
      <c r="E649">
        <v>4000</v>
      </c>
      <c r="F649">
        <v>3115</v>
      </c>
      <c r="G649">
        <v>885</v>
      </c>
      <c r="H649">
        <v>28.41</v>
      </c>
      <c r="I649" t="s">
        <v>18</v>
      </c>
    </row>
    <row r="650" spans="1:10" x14ac:dyDescent="0.25">
      <c r="A650" s="2">
        <v>46203</v>
      </c>
      <c r="B650" t="s">
        <v>276</v>
      </c>
      <c r="C650" s="1">
        <v>69548862359</v>
      </c>
      <c r="D650" t="s">
        <v>17</v>
      </c>
      <c r="E650">
        <v>4000</v>
      </c>
      <c r="F650">
        <v>3115</v>
      </c>
      <c r="G650">
        <v>885</v>
      </c>
      <c r="H650">
        <v>28.41</v>
      </c>
      <c r="I650" t="s">
        <v>18</v>
      </c>
    </row>
    <row r="651" spans="1:10" x14ac:dyDescent="0.25">
      <c r="A651" s="2">
        <v>46203</v>
      </c>
      <c r="B651" t="s">
        <v>276</v>
      </c>
      <c r="C651" s="1">
        <v>79645154464</v>
      </c>
      <c r="D651" t="s">
        <v>17</v>
      </c>
      <c r="E651">
        <v>4000</v>
      </c>
      <c r="F651">
        <v>3115</v>
      </c>
      <c r="G651">
        <v>885</v>
      </c>
      <c r="H651">
        <v>28.41</v>
      </c>
      <c r="I651" t="s">
        <v>18</v>
      </c>
    </row>
    <row r="652" spans="1:10" x14ac:dyDescent="0.25">
      <c r="A652" s="2">
        <v>46203</v>
      </c>
      <c r="B652" t="s">
        <v>276</v>
      </c>
      <c r="C652" s="1">
        <v>79760568862</v>
      </c>
      <c r="D652" t="s">
        <v>17</v>
      </c>
      <c r="E652">
        <v>4000</v>
      </c>
      <c r="F652">
        <v>3393.08</v>
      </c>
      <c r="G652">
        <v>606.91999999999996</v>
      </c>
      <c r="H652">
        <v>17.89</v>
      </c>
      <c r="I652" t="s">
        <v>209</v>
      </c>
    </row>
    <row r="653" spans="1:10" x14ac:dyDescent="0.25">
      <c r="A653" s="2">
        <v>46203</v>
      </c>
      <c r="B653" t="s">
        <v>276</v>
      </c>
      <c r="C653" s="1">
        <v>89048444551</v>
      </c>
      <c r="D653" t="s">
        <v>17</v>
      </c>
      <c r="E653">
        <v>4000</v>
      </c>
      <c r="F653">
        <v>3115</v>
      </c>
      <c r="G653">
        <v>885</v>
      </c>
      <c r="H653">
        <v>28.41</v>
      </c>
      <c r="I653" t="s">
        <v>18</v>
      </c>
    </row>
    <row r="654" spans="1:10" x14ac:dyDescent="0.25">
      <c r="A654" s="2">
        <v>46203</v>
      </c>
      <c r="B654" t="s">
        <v>36</v>
      </c>
      <c r="C654" s="1">
        <v>353427330787076</v>
      </c>
      <c r="D654" t="s">
        <v>555</v>
      </c>
      <c r="E654">
        <v>3518.98</v>
      </c>
      <c r="F654">
        <v>3105.9</v>
      </c>
      <c r="G654">
        <v>413.08</v>
      </c>
      <c r="H654">
        <v>28.41</v>
      </c>
      <c r="I654" t="s">
        <v>31</v>
      </c>
    </row>
    <row r="655" spans="1:10" x14ac:dyDescent="0.25">
      <c r="A655" t="s">
        <v>564</v>
      </c>
      <c r="C655" s="1"/>
      <c r="E655">
        <v>1</v>
      </c>
      <c r="F655">
        <v>927</v>
      </c>
      <c r="G655">
        <v>428.32</v>
      </c>
      <c r="H655">
        <v>1</v>
      </c>
      <c r="I655">
        <v>642</v>
      </c>
      <c r="J655">
        <v>605.49</v>
      </c>
    </row>
  </sheetData>
  <autoFilter ref="A6:I655" xr:uid="{9BB2F6C6-EF2F-424D-9FFF-ECB06C81F028}"/>
  <conditionalFormatting sqref="C1:C655">
    <cfRule type="duplicateValues" dxfId="4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DDCE-7628-4239-A22E-AFC54CBF13AA}">
  <dimension ref="A1:L218"/>
  <sheetViews>
    <sheetView topLeftCell="A192" workbookViewId="0">
      <selection activeCell="B214" sqref="B214"/>
    </sheetView>
  </sheetViews>
  <sheetFormatPr defaultRowHeight="15" x14ac:dyDescent="0.25"/>
  <cols>
    <col min="1" max="1" width="11" customWidth="1"/>
    <col min="2" max="2" width="42.28515625" customWidth="1"/>
    <col min="3" max="3" width="32" customWidth="1"/>
    <col min="4" max="4" width="19.28515625" customWidth="1"/>
    <col min="5" max="5" width="14.42578125" customWidth="1"/>
    <col min="6" max="6" width="14.85546875" customWidth="1"/>
    <col min="7" max="7" width="16.5703125" style="3" customWidth="1"/>
    <col min="8" max="8" width="18.140625" customWidth="1"/>
    <col min="9" max="9" width="16.140625" customWidth="1"/>
    <col min="10" max="10" width="21.42578125" style="4" customWidth="1"/>
    <col min="11" max="11" width="27.140625" customWidth="1"/>
  </cols>
  <sheetData>
    <row r="1" spans="1:12" ht="18.75" customHeight="1" x14ac:dyDescent="0.25">
      <c r="A1" s="12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565</v>
      </c>
      <c r="H1" s="12" t="s">
        <v>566</v>
      </c>
      <c r="I1" s="12" t="s">
        <v>11</v>
      </c>
      <c r="J1" s="12" t="s">
        <v>12</v>
      </c>
      <c r="K1" s="12" t="s">
        <v>13</v>
      </c>
      <c r="L1" s="11"/>
    </row>
    <row r="2" spans="1:12" x14ac:dyDescent="0.25">
      <c r="A2" s="17">
        <v>46174</v>
      </c>
      <c r="B2" s="11" t="s">
        <v>15</v>
      </c>
      <c r="C2" s="14" t="s">
        <v>16</v>
      </c>
      <c r="D2" s="11" t="s">
        <v>17</v>
      </c>
      <c r="E2" s="11">
        <v>1260</v>
      </c>
      <c r="F2" s="11">
        <v>1013.35</v>
      </c>
      <c r="G2" s="15">
        <f>F2/11</f>
        <v>92.122727272727275</v>
      </c>
      <c r="H2" s="15">
        <f>F2-G2</f>
        <v>921.22727272727275</v>
      </c>
      <c r="I2" s="15">
        <f>E2-H2</f>
        <v>338.77272727272725</v>
      </c>
      <c r="J2" s="16">
        <f>(E2-H2)/H2</f>
        <v>0.36774066216016182</v>
      </c>
      <c r="K2" s="11" t="s">
        <v>18</v>
      </c>
      <c r="L2" s="11"/>
    </row>
    <row r="3" spans="1:12" x14ac:dyDescent="0.25">
      <c r="A3" s="17">
        <v>46174</v>
      </c>
      <c r="B3" s="11" t="s">
        <v>15</v>
      </c>
      <c r="C3" s="14" t="s">
        <v>19</v>
      </c>
      <c r="D3" s="11" t="s">
        <v>17</v>
      </c>
      <c r="E3" s="11">
        <v>1260</v>
      </c>
      <c r="F3" s="11">
        <v>1013.35</v>
      </c>
      <c r="G3" s="15">
        <f>F3/11</f>
        <v>92.122727272727275</v>
      </c>
      <c r="H3" s="15">
        <f>F3-G3</f>
        <v>921.22727272727275</v>
      </c>
      <c r="I3" s="15">
        <f>E3-H3</f>
        <v>338.77272727272725</v>
      </c>
      <c r="J3" s="16">
        <f>(E3-H3)/H3</f>
        <v>0.36774066216016182</v>
      </c>
      <c r="K3" s="11" t="s">
        <v>18</v>
      </c>
      <c r="L3" s="11"/>
    </row>
    <row r="4" spans="1:12" x14ac:dyDescent="0.25">
      <c r="A4" s="17">
        <v>46174</v>
      </c>
      <c r="B4" s="11" t="s">
        <v>15</v>
      </c>
      <c r="C4" s="14" t="s">
        <v>20</v>
      </c>
      <c r="D4" s="11" t="s">
        <v>17</v>
      </c>
      <c r="E4" s="11">
        <v>1260</v>
      </c>
      <c r="F4" s="11">
        <v>1013.35</v>
      </c>
      <c r="G4" s="15">
        <f>F4/11</f>
        <v>92.122727272727275</v>
      </c>
      <c r="H4" s="15">
        <f>F4-G4</f>
        <v>921.22727272727275</v>
      </c>
      <c r="I4" s="15">
        <f>E4-H4</f>
        <v>338.77272727272725</v>
      </c>
      <c r="J4" s="16">
        <f>(E4-H4)/H4</f>
        <v>0.36774066216016182</v>
      </c>
      <c r="K4" s="11" t="s">
        <v>18</v>
      </c>
      <c r="L4" s="11"/>
    </row>
    <row r="5" spans="1:12" x14ac:dyDescent="0.25">
      <c r="A5" s="17">
        <v>46174</v>
      </c>
      <c r="B5" s="11" t="s">
        <v>15</v>
      </c>
      <c r="C5" s="14" t="s">
        <v>21</v>
      </c>
      <c r="D5" s="11" t="s">
        <v>17</v>
      </c>
      <c r="E5" s="11">
        <v>1260</v>
      </c>
      <c r="F5" s="11">
        <v>1013.35</v>
      </c>
      <c r="G5" s="15">
        <f>F5/11</f>
        <v>92.122727272727275</v>
      </c>
      <c r="H5" s="15">
        <f>F5-G5</f>
        <v>921.22727272727275</v>
      </c>
      <c r="I5" s="15">
        <f>E5-H5</f>
        <v>338.77272727272725</v>
      </c>
      <c r="J5" s="16">
        <f>(E5-H5)/H5</f>
        <v>0.36774066216016182</v>
      </c>
      <c r="K5" s="11" t="s">
        <v>18</v>
      </c>
      <c r="L5" s="11"/>
    </row>
    <row r="6" spans="1:12" x14ac:dyDescent="0.25">
      <c r="A6" s="17">
        <v>46174</v>
      </c>
      <c r="B6" s="11" t="s">
        <v>15</v>
      </c>
      <c r="C6" s="14" t="s">
        <v>22</v>
      </c>
      <c r="D6" s="11" t="s">
        <v>17</v>
      </c>
      <c r="E6" s="11">
        <v>1260</v>
      </c>
      <c r="F6" s="11">
        <v>1013.35</v>
      </c>
      <c r="G6" s="15">
        <f>F6/11</f>
        <v>92.122727272727275</v>
      </c>
      <c r="H6" s="15">
        <f>F6-G6</f>
        <v>921.22727272727275</v>
      </c>
      <c r="I6" s="15">
        <f>E6-H6</f>
        <v>338.77272727272725</v>
      </c>
      <c r="J6" s="16">
        <f>(E6-H6)/H6</f>
        <v>0.36774066216016182</v>
      </c>
      <c r="K6" s="11" t="s">
        <v>18</v>
      </c>
      <c r="L6" s="11"/>
    </row>
    <row r="7" spans="1:12" x14ac:dyDescent="0.25">
      <c r="A7" s="17">
        <v>46174</v>
      </c>
      <c r="B7" s="11" t="s">
        <v>15</v>
      </c>
      <c r="C7" s="14" t="s">
        <v>23</v>
      </c>
      <c r="D7" s="11" t="s">
        <v>17</v>
      </c>
      <c r="E7" s="11">
        <v>1260</v>
      </c>
      <c r="F7" s="11">
        <v>1013.35</v>
      </c>
      <c r="G7" s="15">
        <f>F7/11</f>
        <v>92.122727272727275</v>
      </c>
      <c r="H7" s="15">
        <f>F7-G7</f>
        <v>921.22727272727275</v>
      </c>
      <c r="I7" s="15">
        <f>E7-H7</f>
        <v>338.77272727272725</v>
      </c>
      <c r="J7" s="16">
        <f>(E7-H7)/H7</f>
        <v>0.36774066216016182</v>
      </c>
      <c r="K7" s="11" t="s">
        <v>18</v>
      </c>
      <c r="L7" s="11"/>
    </row>
    <row r="8" spans="1:12" x14ac:dyDescent="0.25">
      <c r="A8" s="17">
        <v>46174</v>
      </c>
      <c r="B8" s="11" t="s">
        <v>15</v>
      </c>
      <c r="C8" s="14" t="s">
        <v>24</v>
      </c>
      <c r="D8" s="11" t="s">
        <v>17</v>
      </c>
      <c r="E8" s="11">
        <v>1260</v>
      </c>
      <c r="F8" s="11">
        <v>1013.35</v>
      </c>
      <c r="G8" s="15">
        <f>F8/11</f>
        <v>92.122727272727275</v>
      </c>
      <c r="H8" s="15">
        <f>F8-G8</f>
        <v>921.22727272727275</v>
      </c>
      <c r="I8" s="15">
        <f>E8-H8</f>
        <v>338.77272727272725</v>
      </c>
      <c r="J8" s="16">
        <f>(E8-H8)/H8</f>
        <v>0.36774066216016182</v>
      </c>
      <c r="K8" s="11" t="s">
        <v>18</v>
      </c>
      <c r="L8" s="11"/>
    </row>
    <row r="9" spans="1:12" x14ac:dyDescent="0.25">
      <c r="A9" s="17">
        <v>46174</v>
      </c>
      <c r="B9" s="11" t="s">
        <v>15</v>
      </c>
      <c r="C9" s="14" t="s">
        <v>25</v>
      </c>
      <c r="D9" s="11" t="s">
        <v>17</v>
      </c>
      <c r="E9" s="11">
        <v>1260</v>
      </c>
      <c r="F9" s="11">
        <v>1013.35</v>
      </c>
      <c r="G9" s="15">
        <f>F9/11</f>
        <v>92.122727272727275</v>
      </c>
      <c r="H9" s="15">
        <f>F9-G9</f>
        <v>921.22727272727275</v>
      </c>
      <c r="I9" s="15">
        <f>E9-H9</f>
        <v>338.77272727272725</v>
      </c>
      <c r="J9" s="16">
        <f>(E9-H9)/H9</f>
        <v>0.36774066216016182</v>
      </c>
      <c r="K9" s="11" t="s">
        <v>18</v>
      </c>
      <c r="L9" s="11"/>
    </row>
    <row r="10" spans="1:12" x14ac:dyDescent="0.25">
      <c r="A10" s="17">
        <v>46174</v>
      </c>
      <c r="B10" s="11" t="s">
        <v>15</v>
      </c>
      <c r="C10" s="14" t="s">
        <v>26</v>
      </c>
      <c r="D10" s="11" t="s">
        <v>17</v>
      </c>
      <c r="E10" s="11">
        <v>1260</v>
      </c>
      <c r="F10" s="11">
        <v>1013.35</v>
      </c>
      <c r="G10" s="15">
        <f>F10/11</f>
        <v>92.122727272727275</v>
      </c>
      <c r="H10" s="15">
        <f>F10-G10</f>
        <v>921.22727272727275</v>
      </c>
      <c r="I10" s="15">
        <f>E10-H10</f>
        <v>338.77272727272725</v>
      </c>
      <c r="J10" s="16">
        <f>(E10-H10)/H10</f>
        <v>0.36774066216016182</v>
      </c>
      <c r="K10" s="11" t="s">
        <v>18</v>
      </c>
      <c r="L10" s="11"/>
    </row>
    <row r="11" spans="1:12" x14ac:dyDescent="0.25">
      <c r="A11" s="17">
        <v>46174</v>
      </c>
      <c r="B11" s="11" t="s">
        <v>15</v>
      </c>
      <c r="C11" s="14" t="s">
        <v>27</v>
      </c>
      <c r="D11" s="11" t="s">
        <v>17</v>
      </c>
      <c r="E11" s="11">
        <v>1260</v>
      </c>
      <c r="F11" s="11">
        <v>1013.35</v>
      </c>
      <c r="G11" s="15">
        <f>F11/11</f>
        <v>92.122727272727275</v>
      </c>
      <c r="H11" s="15">
        <f>F11-G11</f>
        <v>921.22727272727275</v>
      </c>
      <c r="I11" s="15">
        <f>E11-H11</f>
        <v>338.77272727272725</v>
      </c>
      <c r="J11" s="16">
        <f>(E11-H11)/H11</f>
        <v>0.36774066216016182</v>
      </c>
      <c r="K11" s="11" t="s">
        <v>18</v>
      </c>
      <c r="L11" s="11"/>
    </row>
    <row r="12" spans="1:12" x14ac:dyDescent="0.25">
      <c r="A12" s="17">
        <v>46174</v>
      </c>
      <c r="B12" s="11" t="s">
        <v>15</v>
      </c>
      <c r="C12" s="14" t="s">
        <v>28</v>
      </c>
      <c r="D12" s="11" t="s">
        <v>17</v>
      </c>
      <c r="E12" s="11">
        <v>1260</v>
      </c>
      <c r="F12" s="11">
        <v>1013.35</v>
      </c>
      <c r="G12" s="15">
        <f>F12/11</f>
        <v>92.122727272727275</v>
      </c>
      <c r="H12" s="15">
        <f>F12-G12</f>
        <v>921.22727272727275</v>
      </c>
      <c r="I12" s="15">
        <f>E12-H12</f>
        <v>338.77272727272725</v>
      </c>
      <c r="J12" s="16">
        <f>(E12-H12)/H12</f>
        <v>0.36774066216016182</v>
      </c>
      <c r="K12" s="11" t="s">
        <v>18</v>
      </c>
      <c r="L12" s="11"/>
    </row>
    <row r="13" spans="1:12" x14ac:dyDescent="0.25">
      <c r="A13" s="17">
        <v>46178</v>
      </c>
      <c r="B13" s="11" t="s">
        <v>131</v>
      </c>
      <c r="C13" s="14" t="s">
        <v>134</v>
      </c>
      <c r="D13" s="11"/>
      <c r="E13" s="11">
        <v>1760</v>
      </c>
      <c r="F13" s="11">
        <v>1158.3900000000001</v>
      </c>
      <c r="G13" s="15">
        <f>F13/11</f>
        <v>105.30818181818182</v>
      </c>
      <c r="H13" s="15">
        <f>F13-G13</f>
        <v>1053.0818181818183</v>
      </c>
      <c r="I13" s="15">
        <f>E13-H13</f>
        <v>706.91818181818167</v>
      </c>
      <c r="J13" s="16">
        <f>(E13-H13)/H13</f>
        <v>0.67128514576265308</v>
      </c>
      <c r="K13" s="11" t="s">
        <v>18</v>
      </c>
      <c r="L13" s="11"/>
    </row>
    <row r="14" spans="1:12" x14ac:dyDescent="0.25">
      <c r="A14" s="17">
        <v>46178</v>
      </c>
      <c r="B14" s="11" t="s">
        <v>131</v>
      </c>
      <c r="C14" s="14" t="s">
        <v>135</v>
      </c>
      <c r="D14" s="11"/>
      <c r="E14" s="11">
        <v>1760</v>
      </c>
      <c r="F14" s="11">
        <v>1158.3900000000001</v>
      </c>
      <c r="G14" s="15">
        <f>F14/11</f>
        <v>105.30818181818182</v>
      </c>
      <c r="H14" s="15">
        <f>F14-G14</f>
        <v>1053.0818181818183</v>
      </c>
      <c r="I14" s="15">
        <f>E14-H14</f>
        <v>706.91818181818167</v>
      </c>
      <c r="J14" s="16">
        <f>(E14-H14)/H14</f>
        <v>0.67128514576265308</v>
      </c>
      <c r="K14" s="11" t="s">
        <v>18</v>
      </c>
      <c r="L14" s="11"/>
    </row>
    <row r="15" spans="1:12" x14ac:dyDescent="0.25">
      <c r="A15" s="17">
        <v>46178</v>
      </c>
      <c r="B15" s="11" t="s">
        <v>131</v>
      </c>
      <c r="C15" s="14" t="s">
        <v>136</v>
      </c>
      <c r="D15" s="11"/>
      <c r="E15" s="11">
        <v>1760</v>
      </c>
      <c r="F15" s="11">
        <v>1158.3900000000001</v>
      </c>
      <c r="G15" s="15">
        <f>F15/11</f>
        <v>105.30818181818182</v>
      </c>
      <c r="H15" s="15">
        <f>F15-G15</f>
        <v>1053.0818181818183</v>
      </c>
      <c r="I15" s="15">
        <f>E15-H15</f>
        <v>706.91818181818167</v>
      </c>
      <c r="J15" s="16">
        <f>(E15-H15)/H15</f>
        <v>0.67128514576265308</v>
      </c>
      <c r="K15" s="11" t="s">
        <v>18</v>
      </c>
      <c r="L15" s="11"/>
    </row>
    <row r="16" spans="1:12" x14ac:dyDescent="0.25">
      <c r="A16" s="17">
        <v>46178</v>
      </c>
      <c r="B16" s="11" t="s">
        <v>131</v>
      </c>
      <c r="C16" s="14" t="s">
        <v>137</v>
      </c>
      <c r="D16" s="11"/>
      <c r="E16" s="11">
        <v>1760</v>
      </c>
      <c r="F16" s="11">
        <v>1158.3900000000001</v>
      </c>
      <c r="G16" s="15">
        <f>F16/11</f>
        <v>105.30818181818182</v>
      </c>
      <c r="H16" s="15">
        <f>F16-G16</f>
        <v>1053.0818181818183</v>
      </c>
      <c r="I16" s="15">
        <f>E16-H16</f>
        <v>706.91818181818167</v>
      </c>
      <c r="J16" s="16">
        <f>(E16-H16)/H16</f>
        <v>0.67128514576265308</v>
      </c>
      <c r="K16" s="11" t="s">
        <v>18</v>
      </c>
      <c r="L16" s="11"/>
    </row>
    <row r="17" spans="1:12" x14ac:dyDescent="0.25">
      <c r="A17" s="17">
        <v>46178</v>
      </c>
      <c r="B17" s="11" t="s">
        <v>131</v>
      </c>
      <c r="C17" s="14" t="s">
        <v>138</v>
      </c>
      <c r="D17" s="11"/>
      <c r="E17" s="11">
        <v>1760</v>
      </c>
      <c r="F17" s="11">
        <v>1158.3900000000001</v>
      </c>
      <c r="G17" s="15">
        <f>F17/11</f>
        <v>105.30818181818182</v>
      </c>
      <c r="H17" s="15">
        <f>F17-G17</f>
        <v>1053.0818181818183</v>
      </c>
      <c r="I17" s="15">
        <f>E17-H17</f>
        <v>706.91818181818167</v>
      </c>
      <c r="J17" s="16">
        <f>(E17-H17)/H17</f>
        <v>0.67128514576265308</v>
      </c>
      <c r="K17" s="11" t="s">
        <v>18</v>
      </c>
      <c r="L17" s="11"/>
    </row>
    <row r="18" spans="1:12" x14ac:dyDescent="0.25">
      <c r="A18" s="17">
        <v>46178</v>
      </c>
      <c r="B18" s="11" t="s">
        <v>131</v>
      </c>
      <c r="C18" s="14" t="s">
        <v>139</v>
      </c>
      <c r="D18" s="11"/>
      <c r="E18" s="11">
        <v>1760</v>
      </c>
      <c r="F18" s="11">
        <v>1158.3900000000001</v>
      </c>
      <c r="G18" s="15">
        <f>F18/11</f>
        <v>105.30818181818182</v>
      </c>
      <c r="H18" s="15">
        <f>F18-G18</f>
        <v>1053.0818181818183</v>
      </c>
      <c r="I18" s="15">
        <f>E18-H18</f>
        <v>706.91818181818167</v>
      </c>
      <c r="J18" s="16">
        <f>(E18-H18)/H18</f>
        <v>0.67128514576265308</v>
      </c>
      <c r="K18" s="11" t="s">
        <v>18</v>
      </c>
      <c r="L18" s="11"/>
    </row>
    <row r="19" spans="1:12" x14ac:dyDescent="0.25">
      <c r="A19" s="17">
        <v>46178</v>
      </c>
      <c r="B19" s="11" t="s">
        <v>145</v>
      </c>
      <c r="C19" s="14" t="s">
        <v>146</v>
      </c>
      <c r="D19" s="11"/>
      <c r="E19" s="11">
        <v>2033.33</v>
      </c>
      <c r="F19" s="11">
        <v>1513.37</v>
      </c>
      <c r="G19" s="15">
        <f>F19/11</f>
        <v>137.57909090909089</v>
      </c>
      <c r="H19" s="15">
        <f>F19-G19</f>
        <v>1375.7909090909091</v>
      </c>
      <c r="I19" s="15">
        <f>E19-H19</f>
        <v>657.53909090909087</v>
      </c>
      <c r="J19" s="16">
        <f>(E19-H19)/H19</f>
        <v>0.47793533636850205</v>
      </c>
      <c r="K19" s="11" t="s">
        <v>147</v>
      </c>
      <c r="L19" s="11"/>
    </row>
    <row r="20" spans="1:12" x14ac:dyDescent="0.25">
      <c r="A20" s="17">
        <v>46178</v>
      </c>
      <c r="B20" s="11" t="s">
        <v>145</v>
      </c>
      <c r="C20" s="14" t="s">
        <v>148</v>
      </c>
      <c r="D20" s="11"/>
      <c r="E20" s="11">
        <v>2033.33</v>
      </c>
      <c r="F20" s="11">
        <v>1513.37</v>
      </c>
      <c r="G20" s="15">
        <f>F20/11</f>
        <v>137.57909090909089</v>
      </c>
      <c r="H20" s="15">
        <f>F20-G20</f>
        <v>1375.7909090909091</v>
      </c>
      <c r="I20" s="15">
        <f>E20-H20</f>
        <v>657.53909090909087</v>
      </c>
      <c r="J20" s="16">
        <f>(E20-H20)/H20</f>
        <v>0.47793533636850205</v>
      </c>
      <c r="K20" s="11" t="s">
        <v>147</v>
      </c>
      <c r="L20" s="11"/>
    </row>
    <row r="21" spans="1:12" x14ac:dyDescent="0.25">
      <c r="A21" s="17">
        <v>46178</v>
      </c>
      <c r="B21" s="11" t="s">
        <v>145</v>
      </c>
      <c r="C21" s="14" t="s">
        <v>149</v>
      </c>
      <c r="D21" s="11"/>
      <c r="E21" s="11">
        <v>1900</v>
      </c>
      <c r="F21" s="11">
        <v>1513.37</v>
      </c>
      <c r="G21" s="15">
        <f>F21/11</f>
        <v>137.57909090909089</v>
      </c>
      <c r="H21" s="15">
        <f>F21-G21</f>
        <v>1375.7909090909091</v>
      </c>
      <c r="I21" s="15">
        <f>E21-H21</f>
        <v>524.20909090909095</v>
      </c>
      <c r="J21" s="16">
        <f>(E21-H21)/H21</f>
        <v>0.38102380779320327</v>
      </c>
      <c r="K21" s="11" t="s">
        <v>147</v>
      </c>
      <c r="L21" s="11"/>
    </row>
    <row r="22" spans="1:12" x14ac:dyDescent="0.25">
      <c r="A22" s="17">
        <v>46178</v>
      </c>
      <c r="B22" s="11" t="s">
        <v>145</v>
      </c>
      <c r="C22" s="14" t="s">
        <v>150</v>
      </c>
      <c r="D22" s="11"/>
      <c r="E22" s="11">
        <v>1900</v>
      </c>
      <c r="F22" s="11">
        <v>1513.37</v>
      </c>
      <c r="G22" s="15">
        <f>F22/11</f>
        <v>137.57909090909089</v>
      </c>
      <c r="H22" s="15">
        <f>F22-G22</f>
        <v>1375.7909090909091</v>
      </c>
      <c r="I22" s="15">
        <f>E22-H22</f>
        <v>524.20909090909095</v>
      </c>
      <c r="J22" s="16">
        <f>(E22-H22)/H22</f>
        <v>0.38102380779320327</v>
      </c>
      <c r="K22" s="11" t="s">
        <v>147</v>
      </c>
      <c r="L22" s="11"/>
    </row>
    <row r="23" spans="1:12" x14ac:dyDescent="0.25">
      <c r="A23" s="17">
        <v>46178</v>
      </c>
      <c r="B23" s="11" t="s">
        <v>145</v>
      </c>
      <c r="C23" s="14" t="s">
        <v>151</v>
      </c>
      <c r="D23" s="11"/>
      <c r="E23" s="11">
        <v>2033.33</v>
      </c>
      <c r="F23" s="11">
        <v>1513.37</v>
      </c>
      <c r="G23" s="15">
        <f>F23/11</f>
        <v>137.57909090909089</v>
      </c>
      <c r="H23" s="15">
        <f>F23-G23</f>
        <v>1375.7909090909091</v>
      </c>
      <c r="I23" s="15">
        <f>E23-H23</f>
        <v>657.53909090909087</v>
      </c>
      <c r="J23" s="16">
        <f>(E23-H23)/H23</f>
        <v>0.47793533636850205</v>
      </c>
      <c r="K23" s="11" t="s">
        <v>147</v>
      </c>
      <c r="L23" s="11"/>
    </row>
    <row r="24" spans="1:12" x14ac:dyDescent="0.25">
      <c r="A24" s="17">
        <v>46181</v>
      </c>
      <c r="B24" s="11" t="s">
        <v>200</v>
      </c>
      <c r="C24" s="14" t="s">
        <v>201</v>
      </c>
      <c r="D24" s="11" t="s">
        <v>17</v>
      </c>
      <c r="E24" s="11">
        <v>150</v>
      </c>
      <c r="F24" s="11">
        <v>100</v>
      </c>
      <c r="G24" s="15">
        <f>F24/11</f>
        <v>9.0909090909090917</v>
      </c>
      <c r="H24" s="15">
        <f>F24-G24</f>
        <v>90.909090909090907</v>
      </c>
      <c r="I24" s="15">
        <f>E24-H24</f>
        <v>59.090909090909093</v>
      </c>
      <c r="J24" s="16">
        <f>(E24-H24)/H24</f>
        <v>0.65</v>
      </c>
      <c r="K24" s="11" t="s">
        <v>18</v>
      </c>
      <c r="L24" s="11"/>
    </row>
    <row r="25" spans="1:12" x14ac:dyDescent="0.25">
      <c r="A25" s="17">
        <v>46181</v>
      </c>
      <c r="B25" s="11" t="s">
        <v>200</v>
      </c>
      <c r="C25" s="14" t="s">
        <v>202</v>
      </c>
      <c r="D25" s="11" t="s">
        <v>17</v>
      </c>
      <c r="E25" s="11">
        <v>150</v>
      </c>
      <c r="F25" s="11">
        <v>100</v>
      </c>
      <c r="G25" s="15">
        <f>F25/11</f>
        <v>9.0909090909090917</v>
      </c>
      <c r="H25" s="15">
        <f>F25-G25</f>
        <v>90.909090909090907</v>
      </c>
      <c r="I25" s="15">
        <f>E25-H25</f>
        <v>59.090909090909093</v>
      </c>
      <c r="J25" s="16">
        <f>(E25-H25)/H25</f>
        <v>0.65</v>
      </c>
      <c r="K25" s="11" t="s">
        <v>18</v>
      </c>
      <c r="L25" s="11"/>
    </row>
    <row r="26" spans="1:12" x14ac:dyDescent="0.25">
      <c r="A26" s="17">
        <v>46181</v>
      </c>
      <c r="B26" s="11" t="s">
        <v>200</v>
      </c>
      <c r="C26" s="14" t="s">
        <v>203</v>
      </c>
      <c r="D26" s="11" t="s">
        <v>17</v>
      </c>
      <c r="E26" s="11">
        <v>150</v>
      </c>
      <c r="F26" s="11">
        <v>100</v>
      </c>
      <c r="G26" s="15">
        <f>F26/11</f>
        <v>9.0909090909090917</v>
      </c>
      <c r="H26" s="15">
        <f>F26-G26</f>
        <v>90.909090909090907</v>
      </c>
      <c r="I26" s="15">
        <f>E26-H26</f>
        <v>59.090909090909093</v>
      </c>
      <c r="J26" s="16">
        <f>(E26-H26)/H26</f>
        <v>0.65</v>
      </c>
      <c r="K26" s="11" t="s">
        <v>18</v>
      </c>
      <c r="L26" s="11"/>
    </row>
    <row r="27" spans="1:12" x14ac:dyDescent="0.25">
      <c r="A27" s="17">
        <v>46181</v>
      </c>
      <c r="B27" s="11" t="s">
        <v>200</v>
      </c>
      <c r="C27" s="14" t="s">
        <v>204</v>
      </c>
      <c r="D27" s="11" t="s">
        <v>17</v>
      </c>
      <c r="E27" s="11">
        <v>150</v>
      </c>
      <c r="F27" s="11">
        <v>100</v>
      </c>
      <c r="G27" s="15">
        <f>F27/11</f>
        <v>9.0909090909090917</v>
      </c>
      <c r="H27" s="15">
        <f>F27-G27</f>
        <v>90.909090909090907</v>
      </c>
      <c r="I27" s="15">
        <f>E27-H27</f>
        <v>59.090909090909093</v>
      </c>
      <c r="J27" s="16">
        <f>(E27-H27)/H27</f>
        <v>0.65</v>
      </c>
      <c r="K27" s="11" t="s">
        <v>18</v>
      </c>
      <c r="L27" s="11"/>
    </row>
    <row r="28" spans="1:12" x14ac:dyDescent="0.25">
      <c r="A28" s="18">
        <v>46191</v>
      </c>
      <c r="B28" s="19" t="s">
        <v>312</v>
      </c>
      <c r="C28" s="20" t="s">
        <v>313</v>
      </c>
      <c r="D28" s="19"/>
      <c r="E28" s="19">
        <v>1700</v>
      </c>
      <c r="F28" s="19">
        <v>2082.41</v>
      </c>
      <c r="G28" s="21">
        <f>F28/11</f>
        <v>189.30999999999997</v>
      </c>
      <c r="H28" s="21">
        <f>F28-G28</f>
        <v>1893.1</v>
      </c>
      <c r="I28" s="21">
        <f>E28-H28</f>
        <v>-193.09999999999991</v>
      </c>
      <c r="J28" s="22">
        <f>(E28-H28)/H28</f>
        <v>-0.10200200728963073</v>
      </c>
      <c r="K28" s="19" t="s">
        <v>147</v>
      </c>
      <c r="L28" s="19" t="s">
        <v>55</v>
      </c>
    </row>
    <row r="29" spans="1:12" x14ac:dyDescent="0.25">
      <c r="A29" s="18">
        <v>46191</v>
      </c>
      <c r="B29" s="19" t="s">
        <v>312</v>
      </c>
      <c r="C29" s="20" t="s">
        <v>314</v>
      </c>
      <c r="D29" s="19"/>
      <c r="E29" s="19">
        <v>1700</v>
      </c>
      <c r="F29" s="19">
        <v>2082.41</v>
      </c>
      <c r="G29" s="21">
        <f>F29/11</f>
        <v>189.30999999999997</v>
      </c>
      <c r="H29" s="21">
        <f>F29-G29</f>
        <v>1893.1</v>
      </c>
      <c r="I29" s="21">
        <f>E29-H29</f>
        <v>-193.09999999999991</v>
      </c>
      <c r="J29" s="22">
        <f>(E29-H29)/H29</f>
        <v>-0.10200200728963073</v>
      </c>
      <c r="K29" s="19" t="s">
        <v>147</v>
      </c>
      <c r="L29" s="19" t="s">
        <v>55</v>
      </c>
    </row>
    <row r="30" spans="1:12" x14ac:dyDescent="0.25">
      <c r="A30" s="18">
        <v>46191</v>
      </c>
      <c r="B30" s="19" t="s">
        <v>312</v>
      </c>
      <c r="C30" s="20" t="s">
        <v>315</v>
      </c>
      <c r="D30" s="19"/>
      <c r="E30" s="19">
        <v>1700</v>
      </c>
      <c r="F30" s="19">
        <v>2082.41</v>
      </c>
      <c r="G30" s="21">
        <f>F30/11</f>
        <v>189.30999999999997</v>
      </c>
      <c r="H30" s="21">
        <f>F30-G30</f>
        <v>1893.1</v>
      </c>
      <c r="I30" s="21">
        <f>E30-H30</f>
        <v>-193.09999999999991</v>
      </c>
      <c r="J30" s="22">
        <f>(E30-H30)/H30</f>
        <v>-0.10200200728963073</v>
      </c>
      <c r="K30" s="19" t="s">
        <v>147</v>
      </c>
      <c r="L30" s="19" t="s">
        <v>55</v>
      </c>
    </row>
    <row r="31" spans="1:12" x14ac:dyDescent="0.25">
      <c r="A31" s="18">
        <v>46191</v>
      </c>
      <c r="B31" s="19" t="s">
        <v>312</v>
      </c>
      <c r="C31" s="20" t="s">
        <v>316</v>
      </c>
      <c r="D31" s="19"/>
      <c r="E31" s="19">
        <v>1700</v>
      </c>
      <c r="F31" s="19">
        <v>2082.41</v>
      </c>
      <c r="G31" s="21">
        <f>F31/11</f>
        <v>189.30999999999997</v>
      </c>
      <c r="H31" s="21">
        <f>F31-G31</f>
        <v>1893.1</v>
      </c>
      <c r="I31" s="21">
        <f>E31-H31</f>
        <v>-193.09999999999991</v>
      </c>
      <c r="J31" s="22">
        <f>(E31-H31)/H31</f>
        <v>-0.10200200728963073</v>
      </c>
      <c r="K31" s="19" t="s">
        <v>147</v>
      </c>
      <c r="L31" s="19" t="s">
        <v>55</v>
      </c>
    </row>
    <row r="32" spans="1:12" x14ac:dyDescent="0.25">
      <c r="A32" s="18">
        <v>46191</v>
      </c>
      <c r="B32" s="19" t="s">
        <v>312</v>
      </c>
      <c r="C32" s="20" t="s">
        <v>317</v>
      </c>
      <c r="D32" s="19"/>
      <c r="E32" s="19">
        <v>1700</v>
      </c>
      <c r="F32" s="19">
        <v>2082.41</v>
      </c>
      <c r="G32" s="21">
        <f>F32/11</f>
        <v>189.30999999999997</v>
      </c>
      <c r="H32" s="21">
        <f>F32-G32</f>
        <v>1893.1</v>
      </c>
      <c r="I32" s="21">
        <f>E32-H32</f>
        <v>-193.09999999999991</v>
      </c>
      <c r="J32" s="22">
        <f>(E32-H32)/H32</f>
        <v>-0.10200200728963073</v>
      </c>
      <c r="K32" s="19" t="s">
        <v>147</v>
      </c>
      <c r="L32" s="19" t="s">
        <v>55</v>
      </c>
    </row>
    <row r="33" spans="1:12" x14ac:dyDescent="0.25">
      <c r="A33" s="18">
        <v>46191</v>
      </c>
      <c r="B33" s="19" t="s">
        <v>312</v>
      </c>
      <c r="C33" s="20" t="s">
        <v>318</v>
      </c>
      <c r="D33" s="19"/>
      <c r="E33" s="19">
        <v>1700</v>
      </c>
      <c r="F33" s="19">
        <v>2082.41</v>
      </c>
      <c r="G33" s="21">
        <f>F33/11</f>
        <v>189.30999999999997</v>
      </c>
      <c r="H33" s="21">
        <f>F33-G33</f>
        <v>1893.1</v>
      </c>
      <c r="I33" s="21">
        <f>E33-H33</f>
        <v>-193.09999999999991</v>
      </c>
      <c r="J33" s="22">
        <f>(E33-H33)/H33</f>
        <v>-0.10200200728963073</v>
      </c>
      <c r="K33" s="19" t="s">
        <v>147</v>
      </c>
      <c r="L33" s="19" t="s">
        <v>55</v>
      </c>
    </row>
    <row r="34" spans="1:12" x14ac:dyDescent="0.25">
      <c r="A34" s="18">
        <v>46191</v>
      </c>
      <c r="B34" s="19" t="s">
        <v>312</v>
      </c>
      <c r="C34" s="20" t="s">
        <v>319</v>
      </c>
      <c r="D34" s="19"/>
      <c r="E34" s="19">
        <v>1700</v>
      </c>
      <c r="F34" s="19">
        <v>2082.41</v>
      </c>
      <c r="G34" s="21">
        <f>F34/11</f>
        <v>189.30999999999997</v>
      </c>
      <c r="H34" s="21">
        <f>F34-G34</f>
        <v>1893.1</v>
      </c>
      <c r="I34" s="21">
        <f>E34-H34</f>
        <v>-193.09999999999991</v>
      </c>
      <c r="J34" s="22">
        <f>(E34-H34)/H34</f>
        <v>-0.10200200728963073</v>
      </c>
      <c r="K34" s="19" t="s">
        <v>147</v>
      </c>
      <c r="L34" s="19" t="s">
        <v>55</v>
      </c>
    </row>
    <row r="35" spans="1:12" x14ac:dyDescent="0.25">
      <c r="A35" s="18">
        <v>46191</v>
      </c>
      <c r="B35" s="19" t="s">
        <v>312</v>
      </c>
      <c r="C35" s="20" t="s">
        <v>320</v>
      </c>
      <c r="D35" s="19"/>
      <c r="E35" s="19">
        <v>1700</v>
      </c>
      <c r="F35" s="19">
        <v>2082.41</v>
      </c>
      <c r="G35" s="21">
        <f>F35/11</f>
        <v>189.30999999999997</v>
      </c>
      <c r="H35" s="21">
        <f>F35-G35</f>
        <v>1893.1</v>
      </c>
      <c r="I35" s="21">
        <f>E35-H35</f>
        <v>-193.09999999999991</v>
      </c>
      <c r="J35" s="22">
        <f>(E35-H35)/H35</f>
        <v>-0.10200200728963073</v>
      </c>
      <c r="K35" s="19" t="s">
        <v>147</v>
      </c>
      <c r="L35" s="19" t="s">
        <v>55</v>
      </c>
    </row>
    <row r="36" spans="1:12" x14ac:dyDescent="0.25">
      <c r="A36" s="18">
        <v>46191</v>
      </c>
      <c r="B36" s="19" t="s">
        <v>312</v>
      </c>
      <c r="C36" s="20" t="s">
        <v>321</v>
      </c>
      <c r="D36" s="19"/>
      <c r="E36" s="19">
        <v>1700</v>
      </c>
      <c r="F36" s="19">
        <v>2082.41</v>
      </c>
      <c r="G36" s="21">
        <f>F36/11</f>
        <v>189.30999999999997</v>
      </c>
      <c r="H36" s="21">
        <f>F36-G36</f>
        <v>1893.1</v>
      </c>
      <c r="I36" s="21">
        <f>E36-H36</f>
        <v>-193.09999999999991</v>
      </c>
      <c r="J36" s="22">
        <f>(E36-H36)/H36</f>
        <v>-0.10200200728963073</v>
      </c>
      <c r="K36" s="19" t="s">
        <v>147</v>
      </c>
      <c r="L36" s="19" t="s">
        <v>55</v>
      </c>
    </row>
    <row r="37" spans="1:12" x14ac:dyDescent="0.25">
      <c r="A37" s="18">
        <v>46191</v>
      </c>
      <c r="B37" s="19" t="s">
        <v>312</v>
      </c>
      <c r="C37" s="20" t="s">
        <v>322</v>
      </c>
      <c r="D37" s="19"/>
      <c r="E37" s="19">
        <v>1700</v>
      </c>
      <c r="F37" s="19">
        <v>2082.41</v>
      </c>
      <c r="G37" s="21">
        <f>F37/11</f>
        <v>189.30999999999997</v>
      </c>
      <c r="H37" s="21">
        <f>F37-G37</f>
        <v>1893.1</v>
      </c>
      <c r="I37" s="21">
        <f>E37-H37</f>
        <v>-193.09999999999991</v>
      </c>
      <c r="J37" s="22">
        <f>(E37-H37)/H37</f>
        <v>-0.10200200728963073</v>
      </c>
      <c r="K37" s="19" t="s">
        <v>147</v>
      </c>
      <c r="L37" s="19" t="s">
        <v>55</v>
      </c>
    </row>
    <row r="38" spans="1:12" x14ac:dyDescent="0.25">
      <c r="A38" s="17">
        <v>46192</v>
      </c>
      <c r="B38" s="11" t="s">
        <v>333</v>
      </c>
      <c r="C38" s="14" t="s">
        <v>334</v>
      </c>
      <c r="D38" s="11" t="s">
        <v>335</v>
      </c>
      <c r="E38" s="11">
        <v>5650</v>
      </c>
      <c r="F38" s="11">
        <v>4856.32</v>
      </c>
      <c r="G38" s="15">
        <f>F38/11</f>
        <v>441.48363636363632</v>
      </c>
      <c r="H38" s="15">
        <f>F38-G38</f>
        <v>4414.8363636363638</v>
      </c>
      <c r="I38" s="15">
        <f>E38-H38</f>
        <v>1235.1636363636362</v>
      </c>
      <c r="J38" s="16">
        <f>(E38-H38)/H38</f>
        <v>0.27977563257775429</v>
      </c>
      <c r="K38" s="11" t="s">
        <v>18</v>
      </c>
      <c r="L38" s="11"/>
    </row>
    <row r="39" spans="1:12" x14ac:dyDescent="0.25">
      <c r="A39" s="17">
        <v>46192</v>
      </c>
      <c r="B39" s="11" t="s">
        <v>333</v>
      </c>
      <c r="C39" s="14" t="s">
        <v>336</v>
      </c>
      <c r="D39" s="11" t="s">
        <v>335</v>
      </c>
      <c r="E39" s="11">
        <v>5600</v>
      </c>
      <c r="F39" s="11">
        <v>4928.41</v>
      </c>
      <c r="G39" s="15">
        <f>F39/11</f>
        <v>448.03727272727269</v>
      </c>
      <c r="H39" s="15">
        <f>F39-G39</f>
        <v>4480.3727272727274</v>
      </c>
      <c r="I39" s="15">
        <f>E39-H39</f>
        <v>1119.6272727272726</v>
      </c>
      <c r="J39" s="16">
        <f>(E39-H39)/H39</f>
        <v>0.24989601108673992</v>
      </c>
      <c r="K39" s="11" t="s">
        <v>18</v>
      </c>
      <c r="L39" s="11"/>
    </row>
    <row r="40" spans="1:12" x14ac:dyDescent="0.25">
      <c r="A40" s="17">
        <v>46192</v>
      </c>
      <c r="B40" s="11" t="s">
        <v>333</v>
      </c>
      <c r="C40" s="14" t="s">
        <v>337</v>
      </c>
      <c r="D40" s="11" t="s">
        <v>335</v>
      </c>
      <c r="E40" s="11">
        <v>5600</v>
      </c>
      <c r="F40" s="11">
        <v>4928.41</v>
      </c>
      <c r="G40" s="15">
        <f>F40/11</f>
        <v>448.03727272727269</v>
      </c>
      <c r="H40" s="15">
        <f>F40-G40</f>
        <v>4480.3727272727274</v>
      </c>
      <c r="I40" s="15">
        <f>E40-H40</f>
        <v>1119.6272727272726</v>
      </c>
      <c r="J40" s="16">
        <f>(E40-H40)/H40</f>
        <v>0.24989601108673992</v>
      </c>
      <c r="K40" s="11" t="s">
        <v>18</v>
      </c>
      <c r="L40" s="11"/>
    </row>
    <row r="41" spans="1:12" x14ac:dyDescent="0.25">
      <c r="A41" s="17">
        <v>46192</v>
      </c>
      <c r="B41" s="11" t="s">
        <v>333</v>
      </c>
      <c r="C41" s="14" t="s">
        <v>338</v>
      </c>
      <c r="D41" s="11" t="s">
        <v>335</v>
      </c>
      <c r="E41" s="11">
        <v>5650</v>
      </c>
      <c r="F41" s="11">
        <v>4856.32</v>
      </c>
      <c r="G41" s="15">
        <f>F41/11</f>
        <v>441.48363636363632</v>
      </c>
      <c r="H41" s="15">
        <f>F41-G41</f>
        <v>4414.8363636363638</v>
      </c>
      <c r="I41" s="15">
        <f>E41-H41</f>
        <v>1235.1636363636362</v>
      </c>
      <c r="J41" s="16">
        <f>(E41-H41)/H41</f>
        <v>0.27977563257775429</v>
      </c>
      <c r="K41" s="11" t="s">
        <v>18</v>
      </c>
      <c r="L41" s="11"/>
    </row>
    <row r="42" spans="1:12" x14ac:dyDescent="0.25">
      <c r="A42" s="17">
        <v>46192</v>
      </c>
      <c r="B42" s="11" t="s">
        <v>15</v>
      </c>
      <c r="C42" s="14" t="s">
        <v>339</v>
      </c>
      <c r="D42" s="11" t="s">
        <v>17</v>
      </c>
      <c r="E42" s="11">
        <v>1335</v>
      </c>
      <c r="F42" s="11">
        <v>928.34</v>
      </c>
      <c r="G42" s="15">
        <f>F42/11</f>
        <v>84.394545454545451</v>
      </c>
      <c r="H42" s="15">
        <f>F42-G42</f>
        <v>843.9454545454546</v>
      </c>
      <c r="I42" s="15">
        <f>E42-H42</f>
        <v>491.0545454545454</v>
      </c>
      <c r="J42" s="16">
        <f>(E42-H42)/H42</f>
        <v>0.58185578559579454</v>
      </c>
      <c r="K42" s="11" t="s">
        <v>18</v>
      </c>
      <c r="L42" s="11"/>
    </row>
    <row r="43" spans="1:12" x14ac:dyDescent="0.25">
      <c r="A43" s="17">
        <v>46192</v>
      </c>
      <c r="B43" s="11" t="s">
        <v>15</v>
      </c>
      <c r="C43" s="14" t="s">
        <v>340</v>
      </c>
      <c r="D43" s="11" t="s">
        <v>17</v>
      </c>
      <c r="E43" s="11">
        <v>1335</v>
      </c>
      <c r="F43" s="11">
        <v>1013.35</v>
      </c>
      <c r="G43" s="15">
        <f>F43/11</f>
        <v>92.122727272727275</v>
      </c>
      <c r="H43" s="15">
        <f>F43-G43</f>
        <v>921.22727272727275</v>
      </c>
      <c r="I43" s="15">
        <f>E43-H43</f>
        <v>413.77272727272725</v>
      </c>
      <c r="J43" s="16">
        <f>(E43-H43)/H43</f>
        <v>0.44915379681255241</v>
      </c>
      <c r="K43" s="11" t="s">
        <v>18</v>
      </c>
      <c r="L43" s="11"/>
    </row>
    <row r="44" spans="1:12" x14ac:dyDescent="0.25">
      <c r="A44" s="17">
        <v>46192</v>
      </c>
      <c r="B44" s="11" t="s">
        <v>15</v>
      </c>
      <c r="C44" s="14" t="s">
        <v>341</v>
      </c>
      <c r="D44" s="11" t="s">
        <v>17</v>
      </c>
      <c r="E44" s="11">
        <v>1335</v>
      </c>
      <c r="F44" s="11">
        <v>1013.35</v>
      </c>
      <c r="G44" s="15">
        <f>F44/11</f>
        <v>92.122727272727275</v>
      </c>
      <c r="H44" s="15">
        <f>F44-G44</f>
        <v>921.22727272727275</v>
      </c>
      <c r="I44" s="15">
        <f>E44-H44</f>
        <v>413.77272727272725</v>
      </c>
      <c r="J44" s="16">
        <f>(E44-H44)/H44</f>
        <v>0.44915379681255241</v>
      </c>
      <c r="K44" s="11" t="s">
        <v>18</v>
      </c>
      <c r="L44" s="11"/>
    </row>
    <row r="45" spans="1:12" x14ac:dyDescent="0.25">
      <c r="A45" s="17">
        <v>46192</v>
      </c>
      <c r="B45" s="11" t="s">
        <v>15</v>
      </c>
      <c r="C45" s="14" t="s">
        <v>342</v>
      </c>
      <c r="D45" s="11" t="s">
        <v>17</v>
      </c>
      <c r="E45" s="11">
        <v>1335</v>
      </c>
      <c r="F45" s="11">
        <v>1018.84</v>
      </c>
      <c r="G45" s="15">
        <f>F45/11</f>
        <v>92.621818181818185</v>
      </c>
      <c r="H45" s="15">
        <f>F45-G45</f>
        <v>926.21818181818185</v>
      </c>
      <c r="I45" s="15">
        <f>E45-H45</f>
        <v>408.78181818181815</v>
      </c>
      <c r="J45" s="16">
        <f>(E45-H45)/H45</f>
        <v>0.44134505908680455</v>
      </c>
      <c r="K45" s="11" t="s">
        <v>18</v>
      </c>
      <c r="L45" s="11"/>
    </row>
    <row r="46" spans="1:12" x14ac:dyDescent="0.25">
      <c r="A46" s="17">
        <v>46192</v>
      </c>
      <c r="B46" s="11" t="s">
        <v>15</v>
      </c>
      <c r="C46" s="14" t="s">
        <v>343</v>
      </c>
      <c r="D46" s="11" t="s">
        <v>17</v>
      </c>
      <c r="E46" s="11">
        <v>1335</v>
      </c>
      <c r="F46" s="11">
        <v>928.34</v>
      </c>
      <c r="G46" s="15">
        <f>F46/11</f>
        <v>84.394545454545451</v>
      </c>
      <c r="H46" s="15">
        <f>F46-G46</f>
        <v>843.9454545454546</v>
      </c>
      <c r="I46" s="15">
        <f>E46-H46</f>
        <v>491.0545454545454</v>
      </c>
      <c r="J46" s="16">
        <f>(E46-H46)/H46</f>
        <v>0.58185578559579454</v>
      </c>
      <c r="K46" s="11" t="s">
        <v>18</v>
      </c>
      <c r="L46" s="11"/>
    </row>
    <row r="47" spans="1:12" x14ac:dyDescent="0.25">
      <c r="A47" s="17">
        <v>46192</v>
      </c>
      <c r="B47" s="11" t="s">
        <v>15</v>
      </c>
      <c r="C47" s="14" t="s">
        <v>344</v>
      </c>
      <c r="D47" s="11" t="s">
        <v>17</v>
      </c>
      <c r="E47" s="11">
        <v>1335</v>
      </c>
      <c r="F47" s="11">
        <v>1013.35</v>
      </c>
      <c r="G47" s="15">
        <f>F47/11</f>
        <v>92.122727272727275</v>
      </c>
      <c r="H47" s="15">
        <f>F47-G47</f>
        <v>921.22727272727275</v>
      </c>
      <c r="I47" s="15">
        <f>E47-H47</f>
        <v>413.77272727272725</v>
      </c>
      <c r="J47" s="16">
        <f>(E47-H47)/H47</f>
        <v>0.44915379681255241</v>
      </c>
      <c r="K47" s="11" t="s">
        <v>18</v>
      </c>
      <c r="L47" s="11"/>
    </row>
    <row r="48" spans="1:12" x14ac:dyDescent="0.25">
      <c r="A48" s="17">
        <v>46192</v>
      </c>
      <c r="B48" s="11" t="s">
        <v>15</v>
      </c>
      <c r="C48" s="14" t="s">
        <v>345</v>
      </c>
      <c r="D48" s="11" t="s">
        <v>17</v>
      </c>
      <c r="E48" s="11">
        <v>1335</v>
      </c>
      <c r="F48" s="11">
        <v>1013.35</v>
      </c>
      <c r="G48" s="15">
        <f>F48/11</f>
        <v>92.122727272727275</v>
      </c>
      <c r="H48" s="15">
        <f>F48-G48</f>
        <v>921.22727272727275</v>
      </c>
      <c r="I48" s="15">
        <f>E48-H48</f>
        <v>413.77272727272725</v>
      </c>
      <c r="J48" s="16">
        <f>(E48-H48)/H48</f>
        <v>0.44915379681255241</v>
      </c>
      <c r="K48" s="11" t="s">
        <v>18</v>
      </c>
      <c r="L48" s="11"/>
    </row>
    <row r="49" spans="1:12" x14ac:dyDescent="0.25">
      <c r="A49" s="17">
        <v>46192</v>
      </c>
      <c r="B49" s="11" t="s">
        <v>15</v>
      </c>
      <c r="C49" s="14" t="s">
        <v>346</v>
      </c>
      <c r="D49" s="11" t="s">
        <v>17</v>
      </c>
      <c r="E49" s="11">
        <v>1335</v>
      </c>
      <c r="F49" s="11">
        <v>1108.27</v>
      </c>
      <c r="G49" s="15">
        <f>F49/11</f>
        <v>100.75181818181818</v>
      </c>
      <c r="H49" s="15">
        <f>F49-G49</f>
        <v>1007.5181818181818</v>
      </c>
      <c r="I49" s="15">
        <f>E49-H49</f>
        <v>327.4818181818182</v>
      </c>
      <c r="J49" s="16">
        <f>(E49-H49)/H49</f>
        <v>0.32503812247917929</v>
      </c>
      <c r="K49" s="11" t="s">
        <v>18</v>
      </c>
      <c r="L49" s="11"/>
    </row>
    <row r="50" spans="1:12" x14ac:dyDescent="0.25">
      <c r="A50" s="17">
        <v>46192</v>
      </c>
      <c r="B50" s="11" t="s">
        <v>15</v>
      </c>
      <c r="C50" s="14" t="s">
        <v>347</v>
      </c>
      <c r="D50" s="11" t="s">
        <v>17</v>
      </c>
      <c r="E50" s="11">
        <v>1335</v>
      </c>
      <c r="F50" s="11">
        <v>1013.35</v>
      </c>
      <c r="G50" s="15">
        <f>F50/11</f>
        <v>92.122727272727275</v>
      </c>
      <c r="H50" s="15">
        <f>F50-G50</f>
        <v>921.22727272727275</v>
      </c>
      <c r="I50" s="15">
        <f>E50-H50</f>
        <v>413.77272727272725</v>
      </c>
      <c r="J50" s="16">
        <f>(E50-H50)/H50</f>
        <v>0.44915379681255241</v>
      </c>
      <c r="K50" s="11" t="s">
        <v>18</v>
      </c>
      <c r="L50" s="11"/>
    </row>
    <row r="51" spans="1:12" x14ac:dyDescent="0.25">
      <c r="A51" s="17">
        <v>46192</v>
      </c>
      <c r="B51" s="11" t="s">
        <v>15</v>
      </c>
      <c r="C51" s="14" t="s">
        <v>348</v>
      </c>
      <c r="D51" s="11" t="s">
        <v>17</v>
      </c>
      <c r="E51" s="11">
        <v>1335</v>
      </c>
      <c r="F51" s="11">
        <v>1108.27</v>
      </c>
      <c r="G51" s="15">
        <f>F51/11</f>
        <v>100.75181818181818</v>
      </c>
      <c r="H51" s="15">
        <f>F51-G51</f>
        <v>1007.5181818181818</v>
      </c>
      <c r="I51" s="15">
        <f>E51-H51</f>
        <v>327.4818181818182</v>
      </c>
      <c r="J51" s="16">
        <f>(E51-H51)/H51</f>
        <v>0.32503812247917929</v>
      </c>
      <c r="K51" s="11" t="s">
        <v>18</v>
      </c>
      <c r="L51" s="11"/>
    </row>
    <row r="52" spans="1:12" x14ac:dyDescent="0.25">
      <c r="A52" s="17">
        <v>46192</v>
      </c>
      <c r="B52" s="11" t="s">
        <v>15</v>
      </c>
      <c r="C52" s="14" t="s">
        <v>349</v>
      </c>
      <c r="D52" s="11" t="s">
        <v>17</v>
      </c>
      <c r="E52" s="11">
        <v>1335</v>
      </c>
      <c r="F52" s="11">
        <v>1013.35</v>
      </c>
      <c r="G52" s="15">
        <f>F52/11</f>
        <v>92.122727272727275</v>
      </c>
      <c r="H52" s="15">
        <f>F52-G52</f>
        <v>921.22727272727275</v>
      </c>
      <c r="I52" s="15">
        <f>E52-H52</f>
        <v>413.77272727272725</v>
      </c>
      <c r="J52" s="16">
        <f>(E52-H52)/H52</f>
        <v>0.44915379681255241</v>
      </c>
      <c r="K52" s="11" t="s">
        <v>18</v>
      </c>
      <c r="L52" s="11"/>
    </row>
    <row r="53" spans="1:12" x14ac:dyDescent="0.25">
      <c r="A53" s="17">
        <v>46192</v>
      </c>
      <c r="B53" s="11" t="s">
        <v>15</v>
      </c>
      <c r="C53" s="14" t="s">
        <v>350</v>
      </c>
      <c r="D53" s="11" t="s">
        <v>17</v>
      </c>
      <c r="E53" s="11">
        <v>1335</v>
      </c>
      <c r="F53" s="11">
        <v>1108.27</v>
      </c>
      <c r="G53" s="15">
        <f>F53/11</f>
        <v>100.75181818181818</v>
      </c>
      <c r="H53" s="15">
        <f>F53-G53</f>
        <v>1007.5181818181818</v>
      </c>
      <c r="I53" s="15">
        <f>E53-H53</f>
        <v>327.4818181818182</v>
      </c>
      <c r="J53" s="16">
        <f>(E53-H53)/H53</f>
        <v>0.32503812247917929</v>
      </c>
      <c r="K53" s="11" t="s">
        <v>18</v>
      </c>
      <c r="L53" s="11"/>
    </row>
    <row r="54" spans="1:12" x14ac:dyDescent="0.25">
      <c r="A54" s="17">
        <v>46192</v>
      </c>
      <c r="B54" s="11" t="s">
        <v>15</v>
      </c>
      <c r="C54" s="14" t="s">
        <v>351</v>
      </c>
      <c r="D54" s="11" t="s">
        <v>17</v>
      </c>
      <c r="E54" s="11">
        <v>1335</v>
      </c>
      <c r="F54" s="11">
        <v>1013.35</v>
      </c>
      <c r="G54" s="15">
        <f>F54/11</f>
        <v>92.122727272727275</v>
      </c>
      <c r="H54" s="15">
        <f>F54-G54</f>
        <v>921.22727272727275</v>
      </c>
      <c r="I54" s="15">
        <f>E54-H54</f>
        <v>413.77272727272725</v>
      </c>
      <c r="J54" s="16">
        <f>(E54-H54)/H54</f>
        <v>0.44915379681255241</v>
      </c>
      <c r="K54" s="11" t="s">
        <v>18</v>
      </c>
      <c r="L54" s="11"/>
    </row>
    <row r="55" spans="1:12" x14ac:dyDescent="0.25">
      <c r="A55" s="17">
        <v>46192</v>
      </c>
      <c r="B55" s="11" t="s">
        <v>15</v>
      </c>
      <c r="C55" s="14" t="s">
        <v>352</v>
      </c>
      <c r="D55" s="11" t="s">
        <v>17</v>
      </c>
      <c r="E55" s="11">
        <v>1335</v>
      </c>
      <c r="F55" s="11">
        <v>1108.27</v>
      </c>
      <c r="G55" s="15">
        <f>F55/11</f>
        <v>100.75181818181818</v>
      </c>
      <c r="H55" s="15">
        <f>F55-G55</f>
        <v>1007.5181818181818</v>
      </c>
      <c r="I55" s="15">
        <f>E55-H55</f>
        <v>327.4818181818182</v>
      </c>
      <c r="J55" s="16">
        <f>(E55-H55)/H55</f>
        <v>0.32503812247917929</v>
      </c>
      <c r="K55" s="11" t="s">
        <v>18</v>
      </c>
      <c r="L55" s="11"/>
    </row>
    <row r="56" spans="1:12" x14ac:dyDescent="0.25">
      <c r="A56" s="17">
        <v>46192</v>
      </c>
      <c r="B56" s="11" t="s">
        <v>15</v>
      </c>
      <c r="C56" s="14" t="s">
        <v>353</v>
      </c>
      <c r="D56" s="11" t="s">
        <v>17</v>
      </c>
      <c r="E56" s="11">
        <v>1335</v>
      </c>
      <c r="F56" s="11">
        <v>1013.35</v>
      </c>
      <c r="G56" s="15">
        <f>F56/11</f>
        <v>92.122727272727275</v>
      </c>
      <c r="H56" s="15">
        <f>F56-G56</f>
        <v>921.22727272727275</v>
      </c>
      <c r="I56" s="15">
        <f>E56-H56</f>
        <v>413.77272727272725</v>
      </c>
      <c r="J56" s="16">
        <f>(E56-H56)/H56</f>
        <v>0.44915379681255241</v>
      </c>
      <c r="K56" s="11" t="s">
        <v>18</v>
      </c>
      <c r="L56" s="11"/>
    </row>
    <row r="57" spans="1:12" x14ac:dyDescent="0.25">
      <c r="A57" s="17">
        <v>46192</v>
      </c>
      <c r="B57" s="11" t="s">
        <v>15</v>
      </c>
      <c r="C57" s="14" t="s">
        <v>354</v>
      </c>
      <c r="D57" s="11" t="s">
        <v>17</v>
      </c>
      <c r="E57" s="11">
        <v>1335</v>
      </c>
      <c r="F57" s="11">
        <v>1108.27</v>
      </c>
      <c r="G57" s="15">
        <f>F57/11</f>
        <v>100.75181818181818</v>
      </c>
      <c r="H57" s="15">
        <f>F57-G57</f>
        <v>1007.5181818181818</v>
      </c>
      <c r="I57" s="15">
        <f>E57-H57</f>
        <v>327.4818181818182</v>
      </c>
      <c r="J57" s="16">
        <f>(E57-H57)/H57</f>
        <v>0.32503812247917929</v>
      </c>
      <c r="K57" s="11" t="s">
        <v>18</v>
      </c>
      <c r="L57" s="11"/>
    </row>
    <row r="58" spans="1:12" x14ac:dyDescent="0.25">
      <c r="A58" s="17">
        <v>46192</v>
      </c>
      <c r="B58" s="11" t="s">
        <v>15</v>
      </c>
      <c r="C58" s="14" t="s">
        <v>355</v>
      </c>
      <c r="D58" s="11" t="s">
        <v>17</v>
      </c>
      <c r="E58" s="11">
        <v>1335</v>
      </c>
      <c r="F58" s="11">
        <v>1108.27</v>
      </c>
      <c r="G58" s="15">
        <f>F58/11</f>
        <v>100.75181818181818</v>
      </c>
      <c r="H58" s="15">
        <f>F58-G58</f>
        <v>1007.5181818181818</v>
      </c>
      <c r="I58" s="15">
        <f>E58-H58</f>
        <v>327.4818181818182</v>
      </c>
      <c r="J58" s="16">
        <f>(E58-H58)/H58</f>
        <v>0.32503812247917929</v>
      </c>
      <c r="K58" s="11" t="s">
        <v>18</v>
      </c>
      <c r="L58" s="11"/>
    </row>
    <row r="59" spans="1:12" x14ac:dyDescent="0.25">
      <c r="A59" s="17">
        <v>46192</v>
      </c>
      <c r="B59" s="11" t="s">
        <v>15</v>
      </c>
      <c r="C59" s="14" t="s">
        <v>356</v>
      </c>
      <c r="D59" s="11" t="s">
        <v>17</v>
      </c>
      <c r="E59" s="11">
        <v>1335</v>
      </c>
      <c r="F59" s="11">
        <v>928.34</v>
      </c>
      <c r="G59" s="15">
        <f>F59/11</f>
        <v>84.394545454545451</v>
      </c>
      <c r="H59" s="15">
        <f>F59-G59</f>
        <v>843.9454545454546</v>
      </c>
      <c r="I59" s="15">
        <f>E59-H59</f>
        <v>491.0545454545454</v>
      </c>
      <c r="J59" s="16">
        <f>(E59-H59)/H59</f>
        <v>0.58185578559579454</v>
      </c>
      <c r="K59" s="11" t="s">
        <v>18</v>
      </c>
      <c r="L59" s="11"/>
    </row>
    <row r="60" spans="1:12" x14ac:dyDescent="0.25">
      <c r="A60" s="17">
        <v>46192</v>
      </c>
      <c r="B60" s="11" t="s">
        <v>15</v>
      </c>
      <c r="C60" s="14" t="s">
        <v>357</v>
      </c>
      <c r="D60" s="11" t="s">
        <v>17</v>
      </c>
      <c r="E60" s="11">
        <v>1335</v>
      </c>
      <c r="F60" s="11">
        <v>1108.27</v>
      </c>
      <c r="G60" s="15">
        <f>F60/11</f>
        <v>100.75181818181818</v>
      </c>
      <c r="H60" s="15">
        <f>F60-G60</f>
        <v>1007.5181818181818</v>
      </c>
      <c r="I60" s="15">
        <f>E60-H60</f>
        <v>327.4818181818182</v>
      </c>
      <c r="J60" s="16">
        <f>(E60-H60)/H60</f>
        <v>0.32503812247917929</v>
      </c>
      <c r="K60" s="11" t="s">
        <v>18</v>
      </c>
      <c r="L60" s="11"/>
    </row>
    <row r="61" spans="1:12" x14ac:dyDescent="0.25">
      <c r="A61" s="17">
        <v>46192</v>
      </c>
      <c r="B61" s="11" t="s">
        <v>15</v>
      </c>
      <c r="C61" s="14" t="s">
        <v>358</v>
      </c>
      <c r="D61" s="11" t="s">
        <v>17</v>
      </c>
      <c r="E61" s="11">
        <v>1335</v>
      </c>
      <c r="F61" s="11">
        <v>1013.35</v>
      </c>
      <c r="G61" s="15">
        <f>F61/11</f>
        <v>92.122727272727275</v>
      </c>
      <c r="H61" s="15">
        <f>F61-G61</f>
        <v>921.22727272727275</v>
      </c>
      <c r="I61" s="15">
        <f>E61-H61</f>
        <v>413.77272727272725</v>
      </c>
      <c r="J61" s="16">
        <f>(E61-H61)/H61</f>
        <v>0.44915379681255241</v>
      </c>
      <c r="K61" s="11" t="s">
        <v>18</v>
      </c>
      <c r="L61" s="11"/>
    </row>
    <row r="62" spans="1:12" x14ac:dyDescent="0.25">
      <c r="A62" s="17">
        <v>46192</v>
      </c>
      <c r="B62" s="11" t="s">
        <v>15</v>
      </c>
      <c r="C62" s="14" t="s">
        <v>359</v>
      </c>
      <c r="D62" s="11" t="s">
        <v>17</v>
      </c>
      <c r="E62" s="11">
        <v>1335</v>
      </c>
      <c r="F62" s="11">
        <v>928.34</v>
      </c>
      <c r="G62" s="15">
        <f>F62/11</f>
        <v>84.394545454545451</v>
      </c>
      <c r="H62" s="15">
        <f>F62-G62</f>
        <v>843.9454545454546</v>
      </c>
      <c r="I62" s="15">
        <f>E62-H62</f>
        <v>491.0545454545454</v>
      </c>
      <c r="J62" s="16">
        <f>(E62-H62)/H62</f>
        <v>0.58185578559579454</v>
      </c>
      <c r="K62" s="11" t="s">
        <v>18</v>
      </c>
      <c r="L62" s="11"/>
    </row>
    <row r="63" spans="1:12" x14ac:dyDescent="0.25">
      <c r="A63" s="17">
        <v>46192</v>
      </c>
      <c r="B63" s="11" t="s">
        <v>15</v>
      </c>
      <c r="C63" s="14" t="s">
        <v>360</v>
      </c>
      <c r="D63" s="11" t="s">
        <v>17</v>
      </c>
      <c r="E63" s="11">
        <v>1335</v>
      </c>
      <c r="F63" s="11">
        <v>1108.27</v>
      </c>
      <c r="G63" s="15">
        <f>F63/11</f>
        <v>100.75181818181818</v>
      </c>
      <c r="H63" s="15">
        <f>F63-G63</f>
        <v>1007.5181818181818</v>
      </c>
      <c r="I63" s="15">
        <f>E63-H63</f>
        <v>327.4818181818182</v>
      </c>
      <c r="J63" s="16">
        <f>(E63-H63)/H63</f>
        <v>0.32503812247917929</v>
      </c>
      <c r="K63" s="11" t="s">
        <v>18</v>
      </c>
      <c r="L63" s="11"/>
    </row>
    <row r="64" spans="1:12" x14ac:dyDescent="0.25">
      <c r="A64" s="17">
        <v>46192</v>
      </c>
      <c r="B64" s="11" t="s">
        <v>15</v>
      </c>
      <c r="C64" s="14" t="s">
        <v>361</v>
      </c>
      <c r="D64" s="11" t="s">
        <v>17</v>
      </c>
      <c r="E64" s="11">
        <v>1335</v>
      </c>
      <c r="F64" s="11">
        <v>1108.27</v>
      </c>
      <c r="G64" s="15">
        <f>F64/11</f>
        <v>100.75181818181818</v>
      </c>
      <c r="H64" s="15">
        <f>F64-G64</f>
        <v>1007.5181818181818</v>
      </c>
      <c r="I64" s="15">
        <f>E64-H64</f>
        <v>327.4818181818182</v>
      </c>
      <c r="J64" s="16">
        <f>(E64-H64)/H64</f>
        <v>0.32503812247917929</v>
      </c>
      <c r="K64" s="11" t="s">
        <v>18</v>
      </c>
      <c r="L64" s="11"/>
    </row>
    <row r="65" spans="1:12" x14ac:dyDescent="0.25">
      <c r="A65" s="17">
        <v>46192</v>
      </c>
      <c r="B65" s="11" t="s">
        <v>15</v>
      </c>
      <c r="C65" s="14" t="s">
        <v>362</v>
      </c>
      <c r="D65" s="11" t="s">
        <v>17</v>
      </c>
      <c r="E65" s="11">
        <v>1335</v>
      </c>
      <c r="F65" s="11">
        <v>1013.35</v>
      </c>
      <c r="G65" s="15">
        <f>F65/11</f>
        <v>92.122727272727275</v>
      </c>
      <c r="H65" s="15">
        <f>F65-G65</f>
        <v>921.22727272727275</v>
      </c>
      <c r="I65" s="15">
        <f>E65-H65</f>
        <v>413.77272727272725</v>
      </c>
      <c r="J65" s="16">
        <f>(E65-H65)/H65</f>
        <v>0.44915379681255241</v>
      </c>
      <c r="K65" s="11" t="s">
        <v>18</v>
      </c>
      <c r="L65" s="11"/>
    </row>
    <row r="66" spans="1:12" x14ac:dyDescent="0.25">
      <c r="A66" s="17">
        <v>46192</v>
      </c>
      <c r="B66" s="11" t="s">
        <v>15</v>
      </c>
      <c r="C66" s="14" t="s">
        <v>363</v>
      </c>
      <c r="D66" s="11" t="s">
        <v>17</v>
      </c>
      <c r="E66" s="11">
        <v>1335</v>
      </c>
      <c r="F66" s="11">
        <v>928.34</v>
      </c>
      <c r="G66" s="15">
        <f>F66/11</f>
        <v>84.394545454545451</v>
      </c>
      <c r="H66" s="15">
        <f>F66-G66</f>
        <v>843.9454545454546</v>
      </c>
      <c r="I66" s="15">
        <f>E66-H66</f>
        <v>491.0545454545454</v>
      </c>
      <c r="J66" s="16">
        <f>(E66-H66)/H66</f>
        <v>0.58185578559579454</v>
      </c>
      <c r="K66" s="11" t="s">
        <v>18</v>
      </c>
      <c r="L66" s="11"/>
    </row>
    <row r="67" spans="1:12" x14ac:dyDescent="0.25">
      <c r="A67" s="17">
        <v>46192</v>
      </c>
      <c r="B67" s="11" t="s">
        <v>15</v>
      </c>
      <c r="C67" s="14" t="s">
        <v>364</v>
      </c>
      <c r="D67" s="11" t="s">
        <v>17</v>
      </c>
      <c r="E67" s="11">
        <v>1335</v>
      </c>
      <c r="F67" s="11">
        <v>1013.35</v>
      </c>
      <c r="G67" s="15">
        <f t="shared" ref="G67:G130" si="0">F67/11</f>
        <v>92.122727272727275</v>
      </c>
      <c r="H67" s="15">
        <f t="shared" ref="H67:H130" si="1">F67-G67</f>
        <v>921.22727272727275</v>
      </c>
      <c r="I67" s="15">
        <f t="shared" ref="I67:I130" si="2">E67-H67</f>
        <v>413.77272727272725</v>
      </c>
      <c r="J67" s="16">
        <f t="shared" ref="J67:J130" si="3">(E67-H67)/H67</f>
        <v>0.44915379681255241</v>
      </c>
      <c r="K67" s="11" t="s">
        <v>18</v>
      </c>
      <c r="L67" s="11"/>
    </row>
    <row r="68" spans="1:12" x14ac:dyDescent="0.25">
      <c r="A68" s="17">
        <v>46192</v>
      </c>
      <c r="B68" s="11" t="s">
        <v>15</v>
      </c>
      <c r="C68" s="14" t="s">
        <v>365</v>
      </c>
      <c r="D68" s="11" t="s">
        <v>17</v>
      </c>
      <c r="E68" s="11">
        <v>1335</v>
      </c>
      <c r="F68" s="11">
        <v>928.34</v>
      </c>
      <c r="G68" s="15">
        <f t="shared" si="0"/>
        <v>84.394545454545451</v>
      </c>
      <c r="H68" s="15">
        <f t="shared" si="1"/>
        <v>843.9454545454546</v>
      </c>
      <c r="I68" s="15">
        <f t="shared" si="2"/>
        <v>491.0545454545454</v>
      </c>
      <c r="J68" s="16">
        <f t="shared" si="3"/>
        <v>0.58185578559579454</v>
      </c>
      <c r="K68" s="11" t="s">
        <v>18</v>
      </c>
      <c r="L68" s="11"/>
    </row>
    <row r="69" spans="1:12" x14ac:dyDescent="0.25">
      <c r="A69" s="17">
        <v>46192</v>
      </c>
      <c r="B69" s="11" t="s">
        <v>15</v>
      </c>
      <c r="C69" s="14" t="s">
        <v>366</v>
      </c>
      <c r="D69" s="11" t="s">
        <v>17</v>
      </c>
      <c r="E69" s="11">
        <v>1335</v>
      </c>
      <c r="F69" s="11">
        <v>1034</v>
      </c>
      <c r="G69" s="15">
        <f t="shared" si="0"/>
        <v>94</v>
      </c>
      <c r="H69" s="15">
        <f t="shared" si="1"/>
        <v>940</v>
      </c>
      <c r="I69" s="15">
        <f t="shared" si="2"/>
        <v>395</v>
      </c>
      <c r="J69" s="16">
        <f t="shared" si="3"/>
        <v>0.42021276595744683</v>
      </c>
      <c r="K69" s="11" t="s">
        <v>18</v>
      </c>
      <c r="L69" s="11"/>
    </row>
    <row r="70" spans="1:12" x14ac:dyDescent="0.25">
      <c r="A70" s="17">
        <v>46192</v>
      </c>
      <c r="B70" s="11" t="s">
        <v>15</v>
      </c>
      <c r="C70" s="14" t="s">
        <v>367</v>
      </c>
      <c r="D70" s="11" t="s">
        <v>17</v>
      </c>
      <c r="E70" s="11">
        <v>1335</v>
      </c>
      <c r="F70" s="11">
        <v>1034</v>
      </c>
      <c r="G70" s="15">
        <f t="shared" si="0"/>
        <v>94</v>
      </c>
      <c r="H70" s="15">
        <f t="shared" si="1"/>
        <v>940</v>
      </c>
      <c r="I70" s="15">
        <f t="shared" si="2"/>
        <v>395</v>
      </c>
      <c r="J70" s="16">
        <f t="shared" si="3"/>
        <v>0.42021276595744683</v>
      </c>
      <c r="K70" s="11" t="s">
        <v>18</v>
      </c>
      <c r="L70" s="11"/>
    </row>
    <row r="71" spans="1:12" x14ac:dyDescent="0.25">
      <c r="A71" s="17">
        <v>46192</v>
      </c>
      <c r="B71" s="11" t="s">
        <v>15</v>
      </c>
      <c r="C71" s="14" t="s">
        <v>368</v>
      </c>
      <c r="D71" s="11" t="s">
        <v>17</v>
      </c>
      <c r="E71" s="11">
        <v>1335</v>
      </c>
      <c r="F71" s="11">
        <v>1034</v>
      </c>
      <c r="G71" s="15">
        <f t="shared" si="0"/>
        <v>94</v>
      </c>
      <c r="H71" s="15">
        <f t="shared" si="1"/>
        <v>940</v>
      </c>
      <c r="I71" s="15">
        <f t="shared" si="2"/>
        <v>395</v>
      </c>
      <c r="J71" s="16">
        <f t="shared" si="3"/>
        <v>0.42021276595744683</v>
      </c>
      <c r="K71" s="11" t="s">
        <v>18</v>
      </c>
      <c r="L71" s="11"/>
    </row>
    <row r="72" spans="1:12" x14ac:dyDescent="0.25">
      <c r="A72" s="17">
        <v>46192</v>
      </c>
      <c r="B72" s="11" t="s">
        <v>15</v>
      </c>
      <c r="C72" s="14" t="s">
        <v>369</v>
      </c>
      <c r="D72" s="11" t="s">
        <v>17</v>
      </c>
      <c r="E72" s="11">
        <v>1335</v>
      </c>
      <c r="F72" s="11">
        <v>923.17</v>
      </c>
      <c r="G72" s="15">
        <f t="shared" si="0"/>
        <v>83.924545454545452</v>
      </c>
      <c r="H72" s="15">
        <f t="shared" si="1"/>
        <v>839.24545454545455</v>
      </c>
      <c r="I72" s="15">
        <f t="shared" si="2"/>
        <v>495.75454545454545</v>
      </c>
      <c r="J72" s="16">
        <f t="shared" si="3"/>
        <v>0.59071460294420308</v>
      </c>
      <c r="K72" s="11" t="s">
        <v>18</v>
      </c>
      <c r="L72" s="11"/>
    </row>
    <row r="73" spans="1:12" x14ac:dyDescent="0.25">
      <c r="A73" s="17">
        <v>46192</v>
      </c>
      <c r="B73" s="11" t="s">
        <v>15</v>
      </c>
      <c r="C73" s="14" t="s">
        <v>370</v>
      </c>
      <c r="D73" s="11" t="s">
        <v>17</v>
      </c>
      <c r="E73" s="11">
        <v>1335</v>
      </c>
      <c r="F73" s="11">
        <v>923.17</v>
      </c>
      <c r="G73" s="15">
        <f t="shared" si="0"/>
        <v>83.924545454545452</v>
      </c>
      <c r="H73" s="15">
        <f t="shared" si="1"/>
        <v>839.24545454545455</v>
      </c>
      <c r="I73" s="15">
        <f t="shared" si="2"/>
        <v>495.75454545454545</v>
      </c>
      <c r="J73" s="16">
        <f t="shared" si="3"/>
        <v>0.59071460294420308</v>
      </c>
      <c r="K73" s="11" t="s">
        <v>18</v>
      </c>
      <c r="L73" s="11"/>
    </row>
    <row r="74" spans="1:12" x14ac:dyDescent="0.25">
      <c r="A74" s="17">
        <v>46192</v>
      </c>
      <c r="B74" s="11" t="s">
        <v>15</v>
      </c>
      <c r="C74" s="14" t="s">
        <v>371</v>
      </c>
      <c r="D74" s="11" t="s">
        <v>17</v>
      </c>
      <c r="E74" s="11">
        <v>1335</v>
      </c>
      <c r="F74" s="11">
        <v>1034</v>
      </c>
      <c r="G74" s="15">
        <f t="shared" si="0"/>
        <v>94</v>
      </c>
      <c r="H74" s="15">
        <f t="shared" si="1"/>
        <v>940</v>
      </c>
      <c r="I74" s="15">
        <f t="shared" si="2"/>
        <v>395</v>
      </c>
      <c r="J74" s="16">
        <f t="shared" si="3"/>
        <v>0.42021276595744683</v>
      </c>
      <c r="K74" s="11" t="s">
        <v>18</v>
      </c>
      <c r="L74" s="11"/>
    </row>
    <row r="75" spans="1:12" x14ac:dyDescent="0.25">
      <c r="A75" s="17">
        <v>46192</v>
      </c>
      <c r="B75" s="11" t="s">
        <v>15</v>
      </c>
      <c r="C75" s="14" t="s">
        <v>372</v>
      </c>
      <c r="D75" s="11" t="s">
        <v>17</v>
      </c>
      <c r="E75" s="11">
        <v>1335</v>
      </c>
      <c r="F75" s="11">
        <v>1034</v>
      </c>
      <c r="G75" s="15">
        <f t="shared" si="0"/>
        <v>94</v>
      </c>
      <c r="H75" s="15">
        <f t="shared" si="1"/>
        <v>940</v>
      </c>
      <c r="I75" s="15">
        <f t="shared" si="2"/>
        <v>395</v>
      </c>
      <c r="J75" s="16">
        <f t="shared" si="3"/>
        <v>0.42021276595744683</v>
      </c>
      <c r="K75" s="11" t="s">
        <v>18</v>
      </c>
      <c r="L75" s="11"/>
    </row>
    <row r="76" spans="1:12" x14ac:dyDescent="0.25">
      <c r="A76" s="17">
        <v>46192</v>
      </c>
      <c r="B76" s="11" t="s">
        <v>15</v>
      </c>
      <c r="C76" s="14" t="s">
        <v>373</v>
      </c>
      <c r="D76" s="11" t="s">
        <v>17</v>
      </c>
      <c r="E76" s="11">
        <v>1335</v>
      </c>
      <c r="F76" s="11">
        <v>1034</v>
      </c>
      <c r="G76" s="15">
        <f t="shared" si="0"/>
        <v>94</v>
      </c>
      <c r="H76" s="15">
        <f t="shared" si="1"/>
        <v>940</v>
      </c>
      <c r="I76" s="15">
        <f t="shared" si="2"/>
        <v>395</v>
      </c>
      <c r="J76" s="16">
        <f t="shared" si="3"/>
        <v>0.42021276595744683</v>
      </c>
      <c r="K76" s="11" t="s">
        <v>18</v>
      </c>
      <c r="L76" s="11"/>
    </row>
    <row r="77" spans="1:12" x14ac:dyDescent="0.25">
      <c r="A77" s="17">
        <v>46192</v>
      </c>
      <c r="B77" s="11" t="s">
        <v>15</v>
      </c>
      <c r="C77" s="14" t="s">
        <v>374</v>
      </c>
      <c r="D77" s="11" t="s">
        <v>17</v>
      </c>
      <c r="E77" s="11">
        <v>1335</v>
      </c>
      <c r="F77" s="11">
        <v>1034</v>
      </c>
      <c r="G77" s="15">
        <f t="shared" si="0"/>
        <v>94</v>
      </c>
      <c r="H77" s="15">
        <f t="shared" si="1"/>
        <v>940</v>
      </c>
      <c r="I77" s="15">
        <f t="shared" si="2"/>
        <v>395</v>
      </c>
      <c r="J77" s="16">
        <f t="shared" si="3"/>
        <v>0.42021276595744683</v>
      </c>
      <c r="K77" s="11" t="s">
        <v>18</v>
      </c>
      <c r="L77" s="11"/>
    </row>
    <row r="78" spans="1:12" x14ac:dyDescent="0.25">
      <c r="A78" s="17">
        <v>46192</v>
      </c>
      <c r="B78" s="11" t="s">
        <v>15</v>
      </c>
      <c r="C78" s="14" t="s">
        <v>375</v>
      </c>
      <c r="D78" s="11" t="s">
        <v>17</v>
      </c>
      <c r="E78" s="11">
        <v>1335</v>
      </c>
      <c r="F78" s="11">
        <v>1034</v>
      </c>
      <c r="G78" s="15">
        <f t="shared" si="0"/>
        <v>94</v>
      </c>
      <c r="H78" s="15">
        <f t="shared" si="1"/>
        <v>940</v>
      </c>
      <c r="I78" s="15">
        <f t="shared" si="2"/>
        <v>395</v>
      </c>
      <c r="J78" s="16">
        <f t="shared" si="3"/>
        <v>0.42021276595744683</v>
      </c>
      <c r="K78" s="11" t="s">
        <v>18</v>
      </c>
      <c r="L78" s="11"/>
    </row>
    <row r="79" spans="1:12" x14ac:dyDescent="0.25">
      <c r="A79" s="17">
        <v>46192</v>
      </c>
      <c r="B79" s="11" t="s">
        <v>15</v>
      </c>
      <c r="C79" s="14" t="s">
        <v>376</v>
      </c>
      <c r="D79" s="11" t="s">
        <v>17</v>
      </c>
      <c r="E79" s="11">
        <v>1335</v>
      </c>
      <c r="F79" s="11">
        <v>1034</v>
      </c>
      <c r="G79" s="15">
        <f t="shared" si="0"/>
        <v>94</v>
      </c>
      <c r="H79" s="15">
        <f t="shared" si="1"/>
        <v>940</v>
      </c>
      <c r="I79" s="15">
        <f t="shared" si="2"/>
        <v>395</v>
      </c>
      <c r="J79" s="16">
        <f t="shared" si="3"/>
        <v>0.42021276595744683</v>
      </c>
      <c r="K79" s="11" t="s">
        <v>18</v>
      </c>
      <c r="L79" s="11"/>
    </row>
    <row r="80" spans="1:12" x14ac:dyDescent="0.25">
      <c r="A80" s="17">
        <v>46192</v>
      </c>
      <c r="B80" s="11" t="s">
        <v>15</v>
      </c>
      <c r="C80" s="14" t="s">
        <v>377</v>
      </c>
      <c r="D80" s="11" t="s">
        <v>17</v>
      </c>
      <c r="E80" s="11">
        <v>1335</v>
      </c>
      <c r="F80" s="11">
        <v>928.34</v>
      </c>
      <c r="G80" s="15">
        <f t="shared" si="0"/>
        <v>84.394545454545451</v>
      </c>
      <c r="H80" s="15">
        <f t="shared" si="1"/>
        <v>843.9454545454546</v>
      </c>
      <c r="I80" s="15">
        <f t="shared" si="2"/>
        <v>491.0545454545454</v>
      </c>
      <c r="J80" s="16">
        <f t="shared" si="3"/>
        <v>0.58185578559579454</v>
      </c>
      <c r="K80" s="11" t="s">
        <v>18</v>
      </c>
      <c r="L80" s="11"/>
    </row>
    <row r="81" spans="1:12" x14ac:dyDescent="0.25">
      <c r="A81" s="17">
        <v>46192</v>
      </c>
      <c r="B81" s="11" t="s">
        <v>15</v>
      </c>
      <c r="C81" s="14" t="s">
        <v>378</v>
      </c>
      <c r="D81" s="11" t="s">
        <v>17</v>
      </c>
      <c r="E81" s="11">
        <v>1335</v>
      </c>
      <c r="F81" s="11">
        <v>1034</v>
      </c>
      <c r="G81" s="15">
        <f t="shared" si="0"/>
        <v>94</v>
      </c>
      <c r="H81" s="15">
        <f t="shared" si="1"/>
        <v>940</v>
      </c>
      <c r="I81" s="15">
        <f t="shared" si="2"/>
        <v>395</v>
      </c>
      <c r="J81" s="16">
        <f t="shared" si="3"/>
        <v>0.42021276595744683</v>
      </c>
      <c r="K81" s="11" t="s">
        <v>18</v>
      </c>
      <c r="L81" s="11"/>
    </row>
    <row r="82" spans="1:12" x14ac:dyDescent="0.25">
      <c r="A82" s="17">
        <v>46192</v>
      </c>
      <c r="B82" s="11" t="s">
        <v>15</v>
      </c>
      <c r="C82" s="14" t="s">
        <v>379</v>
      </c>
      <c r="D82" s="11" t="s">
        <v>17</v>
      </c>
      <c r="E82" s="11">
        <v>1335</v>
      </c>
      <c r="F82" s="11">
        <v>1034</v>
      </c>
      <c r="G82" s="15">
        <f t="shared" si="0"/>
        <v>94</v>
      </c>
      <c r="H82" s="15">
        <f t="shared" si="1"/>
        <v>940</v>
      </c>
      <c r="I82" s="15">
        <f t="shared" si="2"/>
        <v>395</v>
      </c>
      <c r="J82" s="16">
        <f t="shared" si="3"/>
        <v>0.42021276595744683</v>
      </c>
      <c r="K82" s="11" t="s">
        <v>18</v>
      </c>
      <c r="L82" s="11"/>
    </row>
    <row r="83" spans="1:12" x14ac:dyDescent="0.25">
      <c r="A83" s="17">
        <v>46192</v>
      </c>
      <c r="B83" s="11" t="s">
        <v>15</v>
      </c>
      <c r="C83" s="14" t="s">
        <v>380</v>
      </c>
      <c r="D83" s="11" t="s">
        <v>17</v>
      </c>
      <c r="E83" s="11">
        <v>1335</v>
      </c>
      <c r="F83" s="11">
        <v>1034</v>
      </c>
      <c r="G83" s="15">
        <f t="shared" si="0"/>
        <v>94</v>
      </c>
      <c r="H83" s="15">
        <f t="shared" si="1"/>
        <v>940</v>
      </c>
      <c r="I83" s="15">
        <f t="shared" si="2"/>
        <v>395</v>
      </c>
      <c r="J83" s="16">
        <f t="shared" si="3"/>
        <v>0.42021276595744683</v>
      </c>
      <c r="K83" s="11" t="s">
        <v>18</v>
      </c>
      <c r="L83" s="11"/>
    </row>
    <row r="84" spans="1:12" x14ac:dyDescent="0.25">
      <c r="A84" s="17">
        <v>46192</v>
      </c>
      <c r="B84" s="11" t="s">
        <v>15</v>
      </c>
      <c r="C84" s="14" t="s">
        <v>381</v>
      </c>
      <c r="D84" s="11" t="s">
        <v>17</v>
      </c>
      <c r="E84" s="11">
        <v>1335</v>
      </c>
      <c r="F84" s="11">
        <v>923.17</v>
      </c>
      <c r="G84" s="15">
        <f t="shared" si="0"/>
        <v>83.924545454545452</v>
      </c>
      <c r="H84" s="15">
        <f t="shared" si="1"/>
        <v>839.24545454545455</v>
      </c>
      <c r="I84" s="15">
        <f t="shared" si="2"/>
        <v>495.75454545454545</v>
      </c>
      <c r="J84" s="16">
        <f t="shared" si="3"/>
        <v>0.59071460294420308</v>
      </c>
      <c r="K84" s="11" t="s">
        <v>18</v>
      </c>
      <c r="L84" s="11"/>
    </row>
    <row r="85" spans="1:12" x14ac:dyDescent="0.25">
      <c r="A85" s="17">
        <v>46192</v>
      </c>
      <c r="B85" s="11" t="s">
        <v>15</v>
      </c>
      <c r="C85" s="14" t="s">
        <v>382</v>
      </c>
      <c r="D85" s="11" t="s">
        <v>17</v>
      </c>
      <c r="E85" s="11">
        <v>1335</v>
      </c>
      <c r="F85" s="11">
        <v>1034</v>
      </c>
      <c r="G85" s="15">
        <f t="shared" si="0"/>
        <v>94</v>
      </c>
      <c r="H85" s="15">
        <f t="shared" si="1"/>
        <v>940</v>
      </c>
      <c r="I85" s="15">
        <f t="shared" si="2"/>
        <v>395</v>
      </c>
      <c r="J85" s="16">
        <f t="shared" si="3"/>
        <v>0.42021276595744683</v>
      </c>
      <c r="K85" s="11" t="s">
        <v>18</v>
      </c>
      <c r="L85" s="11"/>
    </row>
    <row r="86" spans="1:12" x14ac:dyDescent="0.25">
      <c r="A86" s="17">
        <v>46192</v>
      </c>
      <c r="B86" s="11" t="s">
        <v>15</v>
      </c>
      <c r="C86" s="14" t="s">
        <v>383</v>
      </c>
      <c r="D86" s="11" t="s">
        <v>17</v>
      </c>
      <c r="E86" s="11">
        <v>1335</v>
      </c>
      <c r="F86" s="11">
        <v>1034</v>
      </c>
      <c r="G86" s="15">
        <f t="shared" si="0"/>
        <v>94</v>
      </c>
      <c r="H86" s="15">
        <f t="shared" si="1"/>
        <v>940</v>
      </c>
      <c r="I86" s="15">
        <f t="shared" si="2"/>
        <v>395</v>
      </c>
      <c r="J86" s="16">
        <f t="shared" si="3"/>
        <v>0.42021276595744683</v>
      </c>
      <c r="K86" s="11" t="s">
        <v>18</v>
      </c>
      <c r="L86" s="11"/>
    </row>
    <row r="87" spans="1:12" x14ac:dyDescent="0.25">
      <c r="A87" s="17">
        <v>46192</v>
      </c>
      <c r="B87" s="11" t="s">
        <v>15</v>
      </c>
      <c r="C87" s="14" t="s">
        <v>384</v>
      </c>
      <c r="D87" s="11" t="s">
        <v>17</v>
      </c>
      <c r="E87" s="11">
        <v>1335</v>
      </c>
      <c r="F87" s="11">
        <v>1034</v>
      </c>
      <c r="G87" s="15">
        <f t="shared" si="0"/>
        <v>94</v>
      </c>
      <c r="H87" s="15">
        <f t="shared" si="1"/>
        <v>940</v>
      </c>
      <c r="I87" s="15">
        <f t="shared" si="2"/>
        <v>395</v>
      </c>
      <c r="J87" s="16">
        <f t="shared" si="3"/>
        <v>0.42021276595744683</v>
      </c>
      <c r="K87" s="11" t="s">
        <v>18</v>
      </c>
      <c r="L87" s="11"/>
    </row>
    <row r="88" spans="1:12" x14ac:dyDescent="0.25">
      <c r="A88" s="17">
        <v>46192</v>
      </c>
      <c r="B88" s="11" t="s">
        <v>15</v>
      </c>
      <c r="C88" s="14" t="s">
        <v>385</v>
      </c>
      <c r="D88" s="11" t="s">
        <v>17</v>
      </c>
      <c r="E88" s="11">
        <v>1335</v>
      </c>
      <c r="F88" s="11">
        <v>1018.84</v>
      </c>
      <c r="G88" s="15">
        <f t="shared" si="0"/>
        <v>92.621818181818185</v>
      </c>
      <c r="H88" s="15">
        <f t="shared" si="1"/>
        <v>926.21818181818185</v>
      </c>
      <c r="I88" s="15">
        <f t="shared" si="2"/>
        <v>408.78181818181815</v>
      </c>
      <c r="J88" s="16">
        <f t="shared" si="3"/>
        <v>0.44134505908680455</v>
      </c>
      <c r="K88" s="11" t="s">
        <v>18</v>
      </c>
      <c r="L88" s="11"/>
    </row>
    <row r="89" spans="1:12" x14ac:dyDescent="0.25">
      <c r="A89" s="17">
        <v>46192</v>
      </c>
      <c r="B89" s="11" t="s">
        <v>15</v>
      </c>
      <c r="C89" s="14" t="s">
        <v>386</v>
      </c>
      <c r="D89" s="11" t="s">
        <v>17</v>
      </c>
      <c r="E89" s="11">
        <v>1335</v>
      </c>
      <c r="F89" s="11">
        <v>1031.77</v>
      </c>
      <c r="G89" s="15">
        <f t="shared" si="0"/>
        <v>93.797272727272727</v>
      </c>
      <c r="H89" s="15">
        <f t="shared" si="1"/>
        <v>937.9727272727273</v>
      </c>
      <c r="I89" s="15">
        <f t="shared" si="2"/>
        <v>397.0272727272727</v>
      </c>
      <c r="J89" s="16">
        <f t="shared" si="3"/>
        <v>0.42328232067224281</v>
      </c>
      <c r="K89" s="11" t="s">
        <v>18</v>
      </c>
      <c r="L89" s="11"/>
    </row>
    <row r="90" spans="1:12" x14ac:dyDescent="0.25">
      <c r="A90" s="17">
        <v>46192</v>
      </c>
      <c r="B90" s="11" t="s">
        <v>15</v>
      </c>
      <c r="C90" s="14" t="s">
        <v>387</v>
      </c>
      <c r="D90" s="11" t="s">
        <v>17</v>
      </c>
      <c r="E90" s="11">
        <v>1335</v>
      </c>
      <c r="F90" s="11">
        <v>1034</v>
      </c>
      <c r="G90" s="15">
        <f t="shared" si="0"/>
        <v>94</v>
      </c>
      <c r="H90" s="15">
        <f t="shared" si="1"/>
        <v>940</v>
      </c>
      <c r="I90" s="15">
        <f t="shared" si="2"/>
        <v>395</v>
      </c>
      <c r="J90" s="16">
        <f t="shared" si="3"/>
        <v>0.42021276595744683</v>
      </c>
      <c r="K90" s="11" t="s">
        <v>18</v>
      </c>
      <c r="L90" s="11"/>
    </row>
    <row r="91" spans="1:12" x14ac:dyDescent="0.25">
      <c r="A91" s="17">
        <v>46192</v>
      </c>
      <c r="B91" s="11" t="s">
        <v>15</v>
      </c>
      <c r="C91" s="14" t="s">
        <v>388</v>
      </c>
      <c r="D91" s="11" t="s">
        <v>17</v>
      </c>
      <c r="E91" s="11">
        <v>1335</v>
      </c>
      <c r="F91" s="11">
        <v>1034</v>
      </c>
      <c r="G91" s="15">
        <f t="shared" si="0"/>
        <v>94</v>
      </c>
      <c r="H91" s="15">
        <f t="shared" si="1"/>
        <v>940</v>
      </c>
      <c r="I91" s="15">
        <f t="shared" si="2"/>
        <v>395</v>
      </c>
      <c r="J91" s="16">
        <f t="shared" si="3"/>
        <v>0.42021276595744683</v>
      </c>
      <c r="K91" s="11" t="s">
        <v>18</v>
      </c>
      <c r="L91" s="11"/>
    </row>
    <row r="92" spans="1:12" x14ac:dyDescent="0.25">
      <c r="A92" s="17">
        <v>46192</v>
      </c>
      <c r="B92" s="11" t="s">
        <v>15</v>
      </c>
      <c r="C92" s="14" t="s">
        <v>389</v>
      </c>
      <c r="D92" s="11" t="s">
        <v>17</v>
      </c>
      <c r="E92" s="11">
        <v>1335</v>
      </c>
      <c r="F92" s="11">
        <v>1031.77</v>
      </c>
      <c r="G92" s="15">
        <f t="shared" si="0"/>
        <v>93.797272727272727</v>
      </c>
      <c r="H92" s="15">
        <f t="shared" si="1"/>
        <v>937.9727272727273</v>
      </c>
      <c r="I92" s="15">
        <f t="shared" si="2"/>
        <v>397.0272727272727</v>
      </c>
      <c r="J92" s="16">
        <f t="shared" si="3"/>
        <v>0.42328232067224281</v>
      </c>
      <c r="K92" s="11" t="s">
        <v>18</v>
      </c>
      <c r="L92" s="11"/>
    </row>
    <row r="93" spans="1:12" x14ac:dyDescent="0.25">
      <c r="A93" s="17">
        <v>46192</v>
      </c>
      <c r="B93" s="11" t="s">
        <v>15</v>
      </c>
      <c r="C93" s="14" t="s">
        <v>390</v>
      </c>
      <c r="D93" s="11" t="s">
        <v>17</v>
      </c>
      <c r="E93" s="11">
        <v>1335</v>
      </c>
      <c r="F93" s="11">
        <v>1034</v>
      </c>
      <c r="G93" s="15">
        <f t="shared" si="0"/>
        <v>94</v>
      </c>
      <c r="H93" s="15">
        <f t="shared" si="1"/>
        <v>940</v>
      </c>
      <c r="I93" s="15">
        <f t="shared" si="2"/>
        <v>395</v>
      </c>
      <c r="J93" s="16">
        <f t="shared" si="3"/>
        <v>0.42021276595744683</v>
      </c>
      <c r="K93" s="11" t="s">
        <v>18</v>
      </c>
      <c r="L93" s="11"/>
    </row>
    <row r="94" spans="1:12" x14ac:dyDescent="0.25">
      <c r="A94" s="17">
        <v>46192</v>
      </c>
      <c r="B94" s="11" t="s">
        <v>15</v>
      </c>
      <c r="C94" s="14" t="s">
        <v>391</v>
      </c>
      <c r="D94" s="11" t="s">
        <v>17</v>
      </c>
      <c r="E94" s="11">
        <v>1335</v>
      </c>
      <c r="F94" s="11">
        <v>1034</v>
      </c>
      <c r="G94" s="15">
        <f t="shared" si="0"/>
        <v>94</v>
      </c>
      <c r="H94" s="15">
        <f t="shared" si="1"/>
        <v>940</v>
      </c>
      <c r="I94" s="15">
        <f t="shared" si="2"/>
        <v>395</v>
      </c>
      <c r="J94" s="16">
        <f t="shared" si="3"/>
        <v>0.42021276595744683</v>
      </c>
      <c r="K94" s="11" t="s">
        <v>18</v>
      </c>
      <c r="L94" s="11"/>
    </row>
    <row r="95" spans="1:12" x14ac:dyDescent="0.25">
      <c r="A95" s="17">
        <v>46192</v>
      </c>
      <c r="B95" s="11" t="s">
        <v>15</v>
      </c>
      <c r="C95" s="14" t="s">
        <v>392</v>
      </c>
      <c r="D95" s="11" t="s">
        <v>17</v>
      </c>
      <c r="E95" s="11">
        <v>1335</v>
      </c>
      <c r="F95" s="11">
        <v>1034</v>
      </c>
      <c r="G95" s="15">
        <f t="shared" si="0"/>
        <v>94</v>
      </c>
      <c r="H95" s="15">
        <f t="shared" si="1"/>
        <v>940</v>
      </c>
      <c r="I95" s="15">
        <f t="shared" si="2"/>
        <v>395</v>
      </c>
      <c r="J95" s="16">
        <f t="shared" si="3"/>
        <v>0.42021276595744683</v>
      </c>
      <c r="K95" s="11" t="s">
        <v>18</v>
      </c>
      <c r="L95" s="11"/>
    </row>
    <row r="96" spans="1:12" x14ac:dyDescent="0.25">
      <c r="A96" s="17">
        <v>46192</v>
      </c>
      <c r="B96" s="11" t="s">
        <v>15</v>
      </c>
      <c r="C96" s="14" t="s">
        <v>393</v>
      </c>
      <c r="D96" s="11" t="s">
        <v>17</v>
      </c>
      <c r="E96" s="11">
        <v>1335</v>
      </c>
      <c r="F96" s="11">
        <v>1018.84</v>
      </c>
      <c r="G96" s="15">
        <f t="shared" si="0"/>
        <v>92.621818181818185</v>
      </c>
      <c r="H96" s="15">
        <f t="shared" si="1"/>
        <v>926.21818181818185</v>
      </c>
      <c r="I96" s="15">
        <f t="shared" si="2"/>
        <v>408.78181818181815</v>
      </c>
      <c r="J96" s="16">
        <f t="shared" si="3"/>
        <v>0.44134505908680455</v>
      </c>
      <c r="K96" s="11" t="s">
        <v>18</v>
      </c>
      <c r="L96" s="11"/>
    </row>
    <row r="97" spans="1:12" x14ac:dyDescent="0.25">
      <c r="A97" s="17">
        <v>46193</v>
      </c>
      <c r="B97" s="11" t="s">
        <v>396</v>
      </c>
      <c r="C97" s="14" t="s">
        <v>397</v>
      </c>
      <c r="D97" s="11" t="s">
        <v>398</v>
      </c>
      <c r="E97" s="11">
        <v>340</v>
      </c>
      <c r="F97" s="11">
        <v>304.64</v>
      </c>
      <c r="G97" s="15">
        <f t="shared" si="0"/>
        <v>27.694545454545452</v>
      </c>
      <c r="H97" s="15">
        <f t="shared" si="1"/>
        <v>276.94545454545454</v>
      </c>
      <c r="I97" s="15">
        <f t="shared" si="2"/>
        <v>63.054545454545462</v>
      </c>
      <c r="J97" s="16">
        <f t="shared" si="3"/>
        <v>0.22767857142857145</v>
      </c>
      <c r="K97" s="11" t="s">
        <v>18</v>
      </c>
      <c r="L97" s="11"/>
    </row>
    <row r="98" spans="1:12" x14ac:dyDescent="0.25">
      <c r="A98" s="17">
        <v>46193</v>
      </c>
      <c r="B98" s="11" t="s">
        <v>396</v>
      </c>
      <c r="C98" s="14" t="s">
        <v>399</v>
      </c>
      <c r="D98" s="11" t="s">
        <v>398</v>
      </c>
      <c r="E98" s="11">
        <v>340</v>
      </c>
      <c r="F98" s="11">
        <v>289.41000000000003</v>
      </c>
      <c r="G98" s="15">
        <f t="shared" si="0"/>
        <v>26.310000000000002</v>
      </c>
      <c r="H98" s="15">
        <f t="shared" si="1"/>
        <v>263.10000000000002</v>
      </c>
      <c r="I98" s="15">
        <f t="shared" si="2"/>
        <v>76.899999999999977</v>
      </c>
      <c r="J98" s="16">
        <f t="shared" si="3"/>
        <v>0.29228430254656013</v>
      </c>
      <c r="K98" s="11" t="s">
        <v>18</v>
      </c>
      <c r="L98" s="11"/>
    </row>
    <row r="99" spans="1:12" x14ac:dyDescent="0.25">
      <c r="A99" s="17">
        <v>46193</v>
      </c>
      <c r="B99" s="11" t="s">
        <v>396</v>
      </c>
      <c r="C99" s="14" t="s">
        <v>400</v>
      </c>
      <c r="D99" s="11" t="s">
        <v>398</v>
      </c>
      <c r="E99" s="11">
        <v>340</v>
      </c>
      <c r="F99" s="11">
        <v>304.64</v>
      </c>
      <c r="G99" s="15">
        <f t="shared" si="0"/>
        <v>27.694545454545452</v>
      </c>
      <c r="H99" s="15">
        <f t="shared" si="1"/>
        <v>276.94545454545454</v>
      </c>
      <c r="I99" s="15">
        <f t="shared" si="2"/>
        <v>63.054545454545462</v>
      </c>
      <c r="J99" s="16">
        <f t="shared" si="3"/>
        <v>0.22767857142857145</v>
      </c>
      <c r="K99" s="11" t="s">
        <v>18</v>
      </c>
      <c r="L99" s="11"/>
    </row>
    <row r="100" spans="1:12" x14ac:dyDescent="0.25">
      <c r="A100" s="17">
        <v>46193</v>
      </c>
      <c r="B100" s="11" t="s">
        <v>396</v>
      </c>
      <c r="C100" s="14" t="s">
        <v>401</v>
      </c>
      <c r="D100" s="11" t="s">
        <v>398</v>
      </c>
      <c r="E100" s="11">
        <v>340</v>
      </c>
      <c r="F100" s="11">
        <v>304.64</v>
      </c>
      <c r="G100" s="15">
        <f t="shared" si="0"/>
        <v>27.694545454545452</v>
      </c>
      <c r="H100" s="15">
        <f t="shared" si="1"/>
        <v>276.94545454545454</v>
      </c>
      <c r="I100" s="15">
        <f t="shared" si="2"/>
        <v>63.054545454545462</v>
      </c>
      <c r="J100" s="16">
        <f t="shared" si="3"/>
        <v>0.22767857142857145</v>
      </c>
      <c r="K100" s="11" t="s">
        <v>18</v>
      </c>
      <c r="L100" s="11"/>
    </row>
    <row r="101" spans="1:12" x14ac:dyDescent="0.25">
      <c r="A101" s="17">
        <v>46193</v>
      </c>
      <c r="B101" s="11" t="s">
        <v>396</v>
      </c>
      <c r="C101" s="14" t="s">
        <v>402</v>
      </c>
      <c r="D101" s="11" t="s">
        <v>403</v>
      </c>
      <c r="E101" s="11">
        <v>340</v>
      </c>
      <c r="F101" s="11">
        <v>304.64</v>
      </c>
      <c r="G101" s="15">
        <f t="shared" si="0"/>
        <v>27.694545454545452</v>
      </c>
      <c r="H101" s="15">
        <f t="shared" si="1"/>
        <v>276.94545454545454</v>
      </c>
      <c r="I101" s="15">
        <f t="shared" si="2"/>
        <v>63.054545454545462</v>
      </c>
      <c r="J101" s="16">
        <f t="shared" si="3"/>
        <v>0.22767857142857145</v>
      </c>
      <c r="K101" s="11" t="s">
        <v>18</v>
      </c>
      <c r="L101" s="11"/>
    </row>
    <row r="102" spans="1:12" x14ac:dyDescent="0.25">
      <c r="A102" s="17">
        <v>46193</v>
      </c>
      <c r="B102" s="11" t="s">
        <v>396</v>
      </c>
      <c r="C102" s="14" t="s">
        <v>407</v>
      </c>
      <c r="D102" s="11" t="s">
        <v>408</v>
      </c>
      <c r="E102" s="11">
        <v>340</v>
      </c>
      <c r="F102" s="11">
        <v>286.98</v>
      </c>
      <c r="G102" s="15">
        <f t="shared" si="0"/>
        <v>26.08909090909091</v>
      </c>
      <c r="H102" s="15">
        <f t="shared" si="1"/>
        <v>260.89090909090913</v>
      </c>
      <c r="I102" s="15">
        <f t="shared" si="2"/>
        <v>79.109090909090867</v>
      </c>
      <c r="J102" s="16">
        <f t="shared" si="3"/>
        <v>0.30322670569377635</v>
      </c>
      <c r="K102" s="11" t="s">
        <v>18</v>
      </c>
      <c r="L102" s="11"/>
    </row>
    <row r="103" spans="1:12" x14ac:dyDescent="0.25">
      <c r="A103" s="17">
        <v>46193</v>
      </c>
      <c r="B103" s="11" t="s">
        <v>396</v>
      </c>
      <c r="C103" s="14" t="s">
        <v>409</v>
      </c>
      <c r="D103" s="11" t="s">
        <v>398</v>
      </c>
      <c r="E103" s="11">
        <v>340</v>
      </c>
      <c r="F103" s="11">
        <v>304.64</v>
      </c>
      <c r="G103" s="15">
        <f t="shared" si="0"/>
        <v>27.694545454545452</v>
      </c>
      <c r="H103" s="15">
        <f t="shared" si="1"/>
        <v>276.94545454545454</v>
      </c>
      <c r="I103" s="15">
        <f t="shared" si="2"/>
        <v>63.054545454545462</v>
      </c>
      <c r="J103" s="16">
        <f t="shared" si="3"/>
        <v>0.22767857142857145</v>
      </c>
      <c r="K103" s="11" t="s">
        <v>18</v>
      </c>
      <c r="L103" s="11"/>
    </row>
    <row r="104" spans="1:12" x14ac:dyDescent="0.25">
      <c r="A104" s="17">
        <v>46193</v>
      </c>
      <c r="B104" s="11" t="s">
        <v>396</v>
      </c>
      <c r="C104" s="14" t="s">
        <v>410</v>
      </c>
      <c r="D104" s="11" t="s">
        <v>403</v>
      </c>
      <c r="E104" s="11">
        <v>340</v>
      </c>
      <c r="F104" s="11">
        <v>304.64</v>
      </c>
      <c r="G104" s="15">
        <f t="shared" si="0"/>
        <v>27.694545454545452</v>
      </c>
      <c r="H104" s="15">
        <f t="shared" si="1"/>
        <v>276.94545454545454</v>
      </c>
      <c r="I104" s="15">
        <f t="shared" si="2"/>
        <v>63.054545454545462</v>
      </c>
      <c r="J104" s="16">
        <f t="shared" si="3"/>
        <v>0.22767857142857145</v>
      </c>
      <c r="K104" s="11" t="s">
        <v>18</v>
      </c>
      <c r="L104" s="11"/>
    </row>
    <row r="105" spans="1:12" x14ac:dyDescent="0.25">
      <c r="A105" s="17">
        <v>46193</v>
      </c>
      <c r="B105" s="11" t="s">
        <v>396</v>
      </c>
      <c r="C105" s="14" t="s">
        <v>411</v>
      </c>
      <c r="D105" s="11" t="s">
        <v>408</v>
      </c>
      <c r="E105" s="11">
        <v>340</v>
      </c>
      <c r="F105" s="11">
        <v>272.7</v>
      </c>
      <c r="G105" s="15">
        <f t="shared" si="0"/>
        <v>24.790909090909089</v>
      </c>
      <c r="H105" s="15">
        <f t="shared" si="1"/>
        <v>247.90909090909091</v>
      </c>
      <c r="I105" s="15">
        <f t="shared" si="2"/>
        <v>92.090909090909093</v>
      </c>
      <c r="J105" s="16">
        <f t="shared" si="3"/>
        <v>0.37147048038137148</v>
      </c>
      <c r="K105" s="11" t="s">
        <v>18</v>
      </c>
      <c r="L105" s="11"/>
    </row>
    <row r="106" spans="1:12" x14ac:dyDescent="0.25">
      <c r="A106" s="17">
        <v>46193</v>
      </c>
      <c r="B106" s="11" t="s">
        <v>396</v>
      </c>
      <c r="C106" s="14" t="s">
        <v>412</v>
      </c>
      <c r="D106" s="11" t="s">
        <v>408</v>
      </c>
      <c r="E106" s="11">
        <v>340</v>
      </c>
      <c r="F106" s="11">
        <v>272.7</v>
      </c>
      <c r="G106" s="15">
        <f t="shared" si="0"/>
        <v>24.790909090909089</v>
      </c>
      <c r="H106" s="15">
        <f t="shared" si="1"/>
        <v>247.90909090909091</v>
      </c>
      <c r="I106" s="15">
        <f t="shared" si="2"/>
        <v>92.090909090909093</v>
      </c>
      <c r="J106" s="16">
        <f t="shared" si="3"/>
        <v>0.37147048038137148</v>
      </c>
      <c r="K106" s="11" t="s">
        <v>18</v>
      </c>
      <c r="L106" s="11"/>
    </row>
    <row r="107" spans="1:12" x14ac:dyDescent="0.25">
      <c r="A107" s="17">
        <v>46193</v>
      </c>
      <c r="B107" s="11" t="s">
        <v>396</v>
      </c>
      <c r="C107" s="14" t="s">
        <v>413</v>
      </c>
      <c r="D107" s="11" t="s">
        <v>408</v>
      </c>
      <c r="E107" s="11">
        <v>340</v>
      </c>
      <c r="F107" s="11">
        <v>272.7</v>
      </c>
      <c r="G107" s="15">
        <f t="shared" si="0"/>
        <v>24.790909090909089</v>
      </c>
      <c r="H107" s="15">
        <f t="shared" si="1"/>
        <v>247.90909090909091</v>
      </c>
      <c r="I107" s="15">
        <f t="shared" si="2"/>
        <v>92.090909090909093</v>
      </c>
      <c r="J107" s="16">
        <f t="shared" si="3"/>
        <v>0.37147048038137148</v>
      </c>
      <c r="K107" s="11" t="s">
        <v>18</v>
      </c>
      <c r="L107" s="11"/>
    </row>
    <row r="108" spans="1:12" x14ac:dyDescent="0.25">
      <c r="A108" s="17">
        <v>46193</v>
      </c>
      <c r="B108" s="11" t="s">
        <v>396</v>
      </c>
      <c r="C108" s="14" t="s">
        <v>414</v>
      </c>
      <c r="D108" s="11" t="s">
        <v>408</v>
      </c>
      <c r="E108" s="11">
        <v>340</v>
      </c>
      <c r="F108" s="11">
        <v>286.98</v>
      </c>
      <c r="G108" s="15">
        <f t="shared" si="0"/>
        <v>26.08909090909091</v>
      </c>
      <c r="H108" s="15">
        <f t="shared" si="1"/>
        <v>260.89090909090913</v>
      </c>
      <c r="I108" s="15">
        <f t="shared" si="2"/>
        <v>79.109090909090867</v>
      </c>
      <c r="J108" s="16">
        <f t="shared" si="3"/>
        <v>0.30322670569377635</v>
      </c>
      <c r="K108" s="11" t="s">
        <v>18</v>
      </c>
      <c r="L108" s="11"/>
    </row>
    <row r="109" spans="1:12" x14ac:dyDescent="0.25">
      <c r="A109" s="17">
        <v>46195</v>
      </c>
      <c r="B109" s="11" t="s">
        <v>333</v>
      </c>
      <c r="C109" s="14" t="s">
        <v>423</v>
      </c>
      <c r="D109" s="11" t="s">
        <v>335</v>
      </c>
      <c r="E109" s="11">
        <v>5575</v>
      </c>
      <c r="F109" s="11">
        <v>4856.32</v>
      </c>
      <c r="G109" s="15">
        <f t="shared" si="0"/>
        <v>441.48363636363632</v>
      </c>
      <c r="H109" s="15">
        <f t="shared" si="1"/>
        <v>4414.8363636363638</v>
      </c>
      <c r="I109" s="15">
        <f t="shared" si="2"/>
        <v>1160.1636363636362</v>
      </c>
      <c r="J109" s="16">
        <f t="shared" si="3"/>
        <v>0.26278746046389029</v>
      </c>
      <c r="K109" s="11" t="s">
        <v>18</v>
      </c>
      <c r="L109" s="11"/>
    </row>
    <row r="110" spans="1:12" x14ac:dyDescent="0.25">
      <c r="A110" s="17">
        <v>46195</v>
      </c>
      <c r="B110" s="11" t="s">
        <v>333</v>
      </c>
      <c r="C110" s="14" t="s">
        <v>424</v>
      </c>
      <c r="D110" s="11" t="s">
        <v>168</v>
      </c>
      <c r="E110" s="11">
        <v>5600</v>
      </c>
      <c r="F110" s="11">
        <v>4926.7</v>
      </c>
      <c r="G110" s="15">
        <f t="shared" si="0"/>
        <v>447.88181818181818</v>
      </c>
      <c r="H110" s="15">
        <f t="shared" si="1"/>
        <v>4478.818181818182</v>
      </c>
      <c r="I110" s="15">
        <f t="shared" si="2"/>
        <v>1121.181818181818</v>
      </c>
      <c r="J110" s="16">
        <f t="shared" si="3"/>
        <v>0.25032983538677001</v>
      </c>
      <c r="K110" s="11" t="s">
        <v>18</v>
      </c>
      <c r="L110" s="11"/>
    </row>
    <row r="111" spans="1:12" x14ac:dyDescent="0.25">
      <c r="A111" s="17">
        <v>46195</v>
      </c>
      <c r="B111" s="11" t="s">
        <v>333</v>
      </c>
      <c r="C111" s="14" t="s">
        <v>425</v>
      </c>
      <c r="D111" s="11" t="s">
        <v>335</v>
      </c>
      <c r="E111" s="11">
        <v>5575</v>
      </c>
      <c r="F111" s="11">
        <v>4856.32</v>
      </c>
      <c r="G111" s="15">
        <f t="shared" si="0"/>
        <v>441.48363636363632</v>
      </c>
      <c r="H111" s="15">
        <f t="shared" si="1"/>
        <v>4414.8363636363638</v>
      </c>
      <c r="I111" s="15">
        <f t="shared" si="2"/>
        <v>1160.1636363636362</v>
      </c>
      <c r="J111" s="16">
        <f t="shared" si="3"/>
        <v>0.26278746046389029</v>
      </c>
      <c r="K111" s="11" t="s">
        <v>18</v>
      </c>
      <c r="L111" s="11"/>
    </row>
    <row r="112" spans="1:12" x14ac:dyDescent="0.25">
      <c r="A112" s="17">
        <v>46195</v>
      </c>
      <c r="B112" s="11" t="s">
        <v>333</v>
      </c>
      <c r="C112" s="14" t="s">
        <v>426</v>
      </c>
      <c r="D112" s="11" t="s">
        <v>335</v>
      </c>
      <c r="E112" s="11">
        <v>5575</v>
      </c>
      <c r="F112" s="11">
        <v>4856.32</v>
      </c>
      <c r="G112" s="15">
        <f t="shared" si="0"/>
        <v>441.48363636363632</v>
      </c>
      <c r="H112" s="15">
        <f t="shared" si="1"/>
        <v>4414.8363636363638</v>
      </c>
      <c r="I112" s="15">
        <f t="shared" si="2"/>
        <v>1160.1636363636362</v>
      </c>
      <c r="J112" s="16">
        <f t="shared" si="3"/>
        <v>0.26278746046389029</v>
      </c>
      <c r="K112" s="11" t="s">
        <v>18</v>
      </c>
      <c r="L112" s="11"/>
    </row>
    <row r="113" spans="1:12" x14ac:dyDescent="0.25">
      <c r="A113" s="17">
        <v>46195</v>
      </c>
      <c r="B113" s="11" t="s">
        <v>333</v>
      </c>
      <c r="C113" s="14" t="s">
        <v>427</v>
      </c>
      <c r="D113" s="11" t="s">
        <v>168</v>
      </c>
      <c r="E113" s="11">
        <v>5600</v>
      </c>
      <c r="F113" s="11">
        <v>4926.7</v>
      </c>
      <c r="G113" s="15">
        <f t="shared" si="0"/>
        <v>447.88181818181818</v>
      </c>
      <c r="H113" s="15">
        <f t="shared" si="1"/>
        <v>4478.818181818182</v>
      </c>
      <c r="I113" s="15">
        <f t="shared" si="2"/>
        <v>1121.181818181818</v>
      </c>
      <c r="J113" s="16">
        <f t="shared" si="3"/>
        <v>0.25032983538677001</v>
      </c>
      <c r="K113" s="11" t="s">
        <v>18</v>
      </c>
      <c r="L113" s="11"/>
    </row>
    <row r="114" spans="1:12" x14ac:dyDescent="0.25">
      <c r="A114" s="17">
        <v>46195</v>
      </c>
      <c r="B114" s="11" t="s">
        <v>333</v>
      </c>
      <c r="C114" s="14" t="s">
        <v>428</v>
      </c>
      <c r="D114" s="11" t="s">
        <v>335</v>
      </c>
      <c r="E114" s="11">
        <v>5575</v>
      </c>
      <c r="F114" s="11">
        <v>4856.32</v>
      </c>
      <c r="G114" s="15">
        <f t="shared" si="0"/>
        <v>441.48363636363632</v>
      </c>
      <c r="H114" s="15">
        <f t="shared" si="1"/>
        <v>4414.8363636363638</v>
      </c>
      <c r="I114" s="15">
        <f t="shared" si="2"/>
        <v>1160.1636363636362</v>
      </c>
      <c r="J114" s="16">
        <f t="shared" si="3"/>
        <v>0.26278746046389029</v>
      </c>
      <c r="K114" s="11" t="s">
        <v>18</v>
      </c>
      <c r="L114" s="11"/>
    </row>
    <row r="115" spans="1:12" x14ac:dyDescent="0.25">
      <c r="A115" s="17">
        <v>46195</v>
      </c>
      <c r="B115" s="11" t="s">
        <v>333</v>
      </c>
      <c r="C115" s="14" t="s">
        <v>429</v>
      </c>
      <c r="D115" s="11" t="s">
        <v>335</v>
      </c>
      <c r="E115" s="11">
        <v>5575</v>
      </c>
      <c r="F115" s="11">
        <v>4856.32</v>
      </c>
      <c r="G115" s="15">
        <f t="shared" si="0"/>
        <v>441.48363636363632</v>
      </c>
      <c r="H115" s="15">
        <f t="shared" si="1"/>
        <v>4414.8363636363638</v>
      </c>
      <c r="I115" s="15">
        <f t="shared" si="2"/>
        <v>1160.1636363636362</v>
      </c>
      <c r="J115" s="16">
        <f t="shared" si="3"/>
        <v>0.26278746046389029</v>
      </c>
      <c r="K115" s="11" t="s">
        <v>18</v>
      </c>
      <c r="L115" s="11"/>
    </row>
    <row r="116" spans="1:12" x14ac:dyDescent="0.25">
      <c r="A116" s="17">
        <v>46197</v>
      </c>
      <c r="B116" s="11" t="s">
        <v>324</v>
      </c>
      <c r="C116" s="14">
        <v>21245082000201</v>
      </c>
      <c r="D116" s="11" t="s">
        <v>431</v>
      </c>
      <c r="E116" s="11">
        <v>4100</v>
      </c>
      <c r="F116" s="11">
        <v>3371.04</v>
      </c>
      <c r="G116" s="15">
        <f t="shared" si="0"/>
        <v>306.4581818181818</v>
      </c>
      <c r="H116" s="15">
        <f t="shared" si="1"/>
        <v>3064.5818181818181</v>
      </c>
      <c r="I116" s="15">
        <f t="shared" si="2"/>
        <v>1035.4181818181819</v>
      </c>
      <c r="J116" s="16">
        <f t="shared" si="3"/>
        <v>0.33786605913901946</v>
      </c>
      <c r="K116" s="11" t="s">
        <v>18</v>
      </c>
      <c r="L116" s="11"/>
    </row>
    <row r="117" spans="1:12" x14ac:dyDescent="0.25">
      <c r="A117" s="17">
        <v>46197</v>
      </c>
      <c r="B117" s="11" t="s">
        <v>324</v>
      </c>
      <c r="C117" s="14">
        <v>21245082000207</v>
      </c>
      <c r="D117" s="11" t="s">
        <v>17</v>
      </c>
      <c r="E117" s="11">
        <v>4100</v>
      </c>
      <c r="F117" s="11">
        <v>3374.02</v>
      </c>
      <c r="G117" s="15">
        <f t="shared" si="0"/>
        <v>306.72909090909093</v>
      </c>
      <c r="H117" s="15">
        <f t="shared" si="1"/>
        <v>3067.2909090909088</v>
      </c>
      <c r="I117" s="15">
        <f t="shared" si="2"/>
        <v>1032.7090909090912</v>
      </c>
      <c r="J117" s="16">
        <f t="shared" si="3"/>
        <v>0.33668442984926006</v>
      </c>
      <c r="K117" s="11" t="s">
        <v>18</v>
      </c>
      <c r="L117" s="11"/>
    </row>
    <row r="118" spans="1:12" x14ac:dyDescent="0.25">
      <c r="A118" s="17">
        <v>46197</v>
      </c>
      <c r="B118" s="11" t="s">
        <v>324</v>
      </c>
      <c r="C118" s="14">
        <v>21245082001507</v>
      </c>
      <c r="D118" s="11" t="s">
        <v>114</v>
      </c>
      <c r="E118" s="11">
        <v>4200</v>
      </c>
      <c r="F118" s="11">
        <v>3371.04</v>
      </c>
      <c r="G118" s="15">
        <f t="shared" si="0"/>
        <v>306.4581818181818</v>
      </c>
      <c r="H118" s="15">
        <f t="shared" si="1"/>
        <v>3064.5818181818181</v>
      </c>
      <c r="I118" s="15">
        <f t="shared" si="2"/>
        <v>1135.4181818181819</v>
      </c>
      <c r="J118" s="16">
        <f t="shared" si="3"/>
        <v>0.37049693863021504</v>
      </c>
      <c r="K118" s="11" t="s">
        <v>18</v>
      </c>
      <c r="L118" s="11"/>
    </row>
    <row r="119" spans="1:12" x14ac:dyDescent="0.25">
      <c r="A119" s="17">
        <v>46197</v>
      </c>
      <c r="B119" s="11" t="s">
        <v>333</v>
      </c>
      <c r="C119" s="14" t="s">
        <v>432</v>
      </c>
      <c r="D119" s="11" t="s">
        <v>168</v>
      </c>
      <c r="E119" s="11">
        <v>5500</v>
      </c>
      <c r="F119" s="11">
        <v>4928.41</v>
      </c>
      <c r="G119" s="15">
        <f t="shared" si="0"/>
        <v>448.03727272727269</v>
      </c>
      <c r="H119" s="15">
        <f t="shared" si="1"/>
        <v>4480.3727272727274</v>
      </c>
      <c r="I119" s="15">
        <f t="shared" si="2"/>
        <v>1019.6272727272726</v>
      </c>
      <c r="J119" s="16">
        <f t="shared" si="3"/>
        <v>0.22757643946019099</v>
      </c>
      <c r="K119" s="11" t="s">
        <v>18</v>
      </c>
      <c r="L119" s="11"/>
    </row>
    <row r="120" spans="1:12" x14ac:dyDescent="0.25">
      <c r="A120" s="17">
        <v>46197</v>
      </c>
      <c r="B120" s="11" t="s">
        <v>333</v>
      </c>
      <c r="C120" s="14" t="s">
        <v>433</v>
      </c>
      <c r="D120" s="11" t="s">
        <v>168</v>
      </c>
      <c r="E120" s="11">
        <v>5600</v>
      </c>
      <c r="F120" s="11">
        <v>4856.32</v>
      </c>
      <c r="G120" s="15">
        <f t="shared" si="0"/>
        <v>441.48363636363632</v>
      </c>
      <c r="H120" s="15">
        <f t="shared" si="1"/>
        <v>4414.8363636363638</v>
      </c>
      <c r="I120" s="15">
        <f t="shared" si="2"/>
        <v>1185.1636363636362</v>
      </c>
      <c r="J120" s="16">
        <f t="shared" si="3"/>
        <v>0.26845018450184499</v>
      </c>
      <c r="K120" s="11" t="s">
        <v>18</v>
      </c>
      <c r="L120" s="11"/>
    </row>
    <row r="121" spans="1:12" x14ac:dyDescent="0.25">
      <c r="A121" s="17">
        <v>46197</v>
      </c>
      <c r="B121" s="11" t="s">
        <v>333</v>
      </c>
      <c r="C121" s="14" t="s">
        <v>434</v>
      </c>
      <c r="D121" s="11" t="s">
        <v>168</v>
      </c>
      <c r="E121" s="11">
        <v>5500</v>
      </c>
      <c r="F121" s="11">
        <v>4928.41</v>
      </c>
      <c r="G121" s="15">
        <f t="shared" si="0"/>
        <v>448.03727272727269</v>
      </c>
      <c r="H121" s="15">
        <f t="shared" si="1"/>
        <v>4480.3727272727274</v>
      </c>
      <c r="I121" s="15">
        <f t="shared" si="2"/>
        <v>1019.6272727272726</v>
      </c>
      <c r="J121" s="16">
        <f t="shared" si="3"/>
        <v>0.22757643946019099</v>
      </c>
      <c r="K121" s="11" t="s">
        <v>18</v>
      </c>
      <c r="L121" s="11"/>
    </row>
    <row r="122" spans="1:12" x14ac:dyDescent="0.25">
      <c r="A122" s="17">
        <v>46197</v>
      </c>
      <c r="B122" s="11" t="s">
        <v>333</v>
      </c>
      <c r="C122" s="14" t="s">
        <v>435</v>
      </c>
      <c r="D122" s="11" t="s">
        <v>168</v>
      </c>
      <c r="E122" s="11">
        <v>5500</v>
      </c>
      <c r="F122" s="11">
        <v>5373.44</v>
      </c>
      <c r="G122" s="15">
        <f t="shared" si="0"/>
        <v>488.4945454545454</v>
      </c>
      <c r="H122" s="15">
        <f t="shared" si="1"/>
        <v>4884.9454545454546</v>
      </c>
      <c r="I122" s="15">
        <f t="shared" si="2"/>
        <v>615.0545454545454</v>
      </c>
      <c r="J122" s="16">
        <f t="shared" si="3"/>
        <v>0.12590817055740827</v>
      </c>
      <c r="K122" s="11" t="s">
        <v>18</v>
      </c>
      <c r="L122" s="11"/>
    </row>
    <row r="123" spans="1:12" x14ac:dyDescent="0.25">
      <c r="A123" s="17">
        <v>46197</v>
      </c>
      <c r="B123" s="11" t="s">
        <v>333</v>
      </c>
      <c r="C123" s="14" t="s">
        <v>436</v>
      </c>
      <c r="D123" s="11" t="s">
        <v>168</v>
      </c>
      <c r="E123" s="11">
        <v>5600</v>
      </c>
      <c r="F123" s="11">
        <v>4856.32</v>
      </c>
      <c r="G123" s="15">
        <f t="shared" si="0"/>
        <v>441.48363636363632</v>
      </c>
      <c r="H123" s="15">
        <f t="shared" si="1"/>
        <v>4414.8363636363638</v>
      </c>
      <c r="I123" s="15">
        <f t="shared" si="2"/>
        <v>1185.1636363636362</v>
      </c>
      <c r="J123" s="16">
        <f t="shared" si="3"/>
        <v>0.26845018450184499</v>
      </c>
      <c r="K123" s="11" t="s">
        <v>18</v>
      </c>
      <c r="L123" s="11"/>
    </row>
    <row r="124" spans="1:12" x14ac:dyDescent="0.25">
      <c r="A124" s="17">
        <v>46197</v>
      </c>
      <c r="B124" s="11" t="s">
        <v>333</v>
      </c>
      <c r="C124" s="14" t="s">
        <v>437</v>
      </c>
      <c r="D124" s="11" t="s">
        <v>168</v>
      </c>
      <c r="E124" s="11">
        <v>5500</v>
      </c>
      <c r="F124" s="11">
        <v>4928.41</v>
      </c>
      <c r="G124" s="15">
        <f t="shared" si="0"/>
        <v>448.03727272727269</v>
      </c>
      <c r="H124" s="15">
        <f t="shared" si="1"/>
        <v>4480.3727272727274</v>
      </c>
      <c r="I124" s="15">
        <f t="shared" si="2"/>
        <v>1019.6272727272726</v>
      </c>
      <c r="J124" s="16">
        <f t="shared" si="3"/>
        <v>0.22757643946019099</v>
      </c>
      <c r="K124" s="11" t="s">
        <v>18</v>
      </c>
      <c r="L124" s="11"/>
    </row>
    <row r="125" spans="1:12" x14ac:dyDescent="0.25">
      <c r="A125" s="17">
        <v>46197</v>
      </c>
      <c r="B125" s="11" t="s">
        <v>333</v>
      </c>
      <c r="C125" s="14" t="s">
        <v>438</v>
      </c>
      <c r="D125" s="11" t="s">
        <v>168</v>
      </c>
      <c r="E125" s="11">
        <v>5500</v>
      </c>
      <c r="F125" s="11">
        <v>4928.41</v>
      </c>
      <c r="G125" s="15">
        <f t="shared" si="0"/>
        <v>448.03727272727269</v>
      </c>
      <c r="H125" s="15">
        <f t="shared" si="1"/>
        <v>4480.3727272727274</v>
      </c>
      <c r="I125" s="15">
        <f t="shared" si="2"/>
        <v>1019.6272727272726</v>
      </c>
      <c r="J125" s="16">
        <f t="shared" si="3"/>
        <v>0.22757643946019099</v>
      </c>
      <c r="K125" s="11" t="s">
        <v>18</v>
      </c>
      <c r="L125" s="11"/>
    </row>
    <row r="126" spans="1:12" x14ac:dyDescent="0.25">
      <c r="A126" s="17">
        <v>46197</v>
      </c>
      <c r="B126" s="11" t="s">
        <v>333</v>
      </c>
      <c r="C126" s="14" t="s">
        <v>439</v>
      </c>
      <c r="D126" s="11" t="s">
        <v>168</v>
      </c>
      <c r="E126" s="11">
        <v>5600</v>
      </c>
      <c r="F126" s="11">
        <v>4928.41</v>
      </c>
      <c r="G126" s="15">
        <f t="shared" si="0"/>
        <v>448.03727272727269</v>
      </c>
      <c r="H126" s="15">
        <f t="shared" si="1"/>
        <v>4480.3727272727274</v>
      </c>
      <c r="I126" s="15">
        <f t="shared" si="2"/>
        <v>1119.6272727272726</v>
      </c>
      <c r="J126" s="16">
        <f t="shared" si="3"/>
        <v>0.24989601108673992</v>
      </c>
      <c r="K126" s="11" t="s">
        <v>18</v>
      </c>
      <c r="L126" s="11"/>
    </row>
    <row r="127" spans="1:12" x14ac:dyDescent="0.25">
      <c r="A127" s="17">
        <v>46197</v>
      </c>
      <c r="B127" s="11" t="s">
        <v>333</v>
      </c>
      <c r="C127" s="14" t="s">
        <v>440</v>
      </c>
      <c r="D127" s="11" t="s">
        <v>168</v>
      </c>
      <c r="E127" s="11">
        <v>5600</v>
      </c>
      <c r="F127" s="11">
        <v>4928.41</v>
      </c>
      <c r="G127" s="15">
        <f t="shared" si="0"/>
        <v>448.03727272727269</v>
      </c>
      <c r="H127" s="15">
        <f t="shared" si="1"/>
        <v>4480.3727272727274</v>
      </c>
      <c r="I127" s="15">
        <f t="shared" si="2"/>
        <v>1119.6272727272726</v>
      </c>
      <c r="J127" s="16">
        <f t="shared" si="3"/>
        <v>0.24989601108673992</v>
      </c>
      <c r="K127" s="11" t="s">
        <v>18</v>
      </c>
      <c r="L127" s="11"/>
    </row>
    <row r="128" spans="1:12" x14ac:dyDescent="0.25">
      <c r="A128" s="17">
        <v>46197</v>
      </c>
      <c r="B128" s="11" t="s">
        <v>333</v>
      </c>
      <c r="C128" s="14" t="s">
        <v>441</v>
      </c>
      <c r="D128" s="11" t="s">
        <v>168</v>
      </c>
      <c r="E128" s="11">
        <v>5500</v>
      </c>
      <c r="F128" s="11">
        <v>4928.41</v>
      </c>
      <c r="G128" s="15">
        <f t="shared" si="0"/>
        <v>448.03727272727269</v>
      </c>
      <c r="H128" s="15">
        <f t="shared" si="1"/>
        <v>4480.3727272727274</v>
      </c>
      <c r="I128" s="15">
        <f t="shared" si="2"/>
        <v>1019.6272727272726</v>
      </c>
      <c r="J128" s="16">
        <f t="shared" si="3"/>
        <v>0.22757643946019099</v>
      </c>
      <c r="K128" s="11" t="s">
        <v>18</v>
      </c>
      <c r="L128" s="11"/>
    </row>
    <row r="129" spans="1:12" x14ac:dyDescent="0.25">
      <c r="A129" s="17">
        <v>46197</v>
      </c>
      <c r="B129" s="11" t="s">
        <v>333</v>
      </c>
      <c r="C129" s="14" t="s">
        <v>442</v>
      </c>
      <c r="D129" s="11" t="s">
        <v>168</v>
      </c>
      <c r="E129" s="11">
        <v>5500</v>
      </c>
      <c r="F129" s="11">
        <v>5162.2299999999996</v>
      </c>
      <c r="G129" s="15">
        <f t="shared" si="0"/>
        <v>469.29363636363632</v>
      </c>
      <c r="H129" s="15">
        <f t="shared" si="1"/>
        <v>4692.9363636363632</v>
      </c>
      <c r="I129" s="15">
        <f t="shared" si="2"/>
        <v>807.06363636363676</v>
      </c>
      <c r="J129" s="16">
        <f t="shared" si="3"/>
        <v>0.17197412746041935</v>
      </c>
      <c r="K129" s="11" t="s">
        <v>18</v>
      </c>
      <c r="L129" s="11"/>
    </row>
    <row r="130" spans="1:12" x14ac:dyDescent="0.25">
      <c r="A130" s="17">
        <v>46197</v>
      </c>
      <c r="B130" s="11" t="s">
        <v>333</v>
      </c>
      <c r="C130" s="14" t="s">
        <v>443</v>
      </c>
      <c r="D130" s="11" t="s">
        <v>168</v>
      </c>
      <c r="E130" s="11">
        <v>5500</v>
      </c>
      <c r="F130" s="11">
        <v>4928.41</v>
      </c>
      <c r="G130" s="15">
        <f t="shared" si="0"/>
        <v>448.03727272727269</v>
      </c>
      <c r="H130" s="15">
        <f t="shared" si="1"/>
        <v>4480.3727272727274</v>
      </c>
      <c r="I130" s="15">
        <f t="shared" si="2"/>
        <v>1019.6272727272726</v>
      </c>
      <c r="J130" s="16">
        <f t="shared" si="3"/>
        <v>0.22757643946019099</v>
      </c>
      <c r="K130" s="11" t="s">
        <v>18</v>
      </c>
      <c r="L130" s="11"/>
    </row>
    <row r="131" spans="1:12" x14ac:dyDescent="0.25">
      <c r="A131" s="17">
        <v>46197</v>
      </c>
      <c r="B131" s="11" t="s">
        <v>276</v>
      </c>
      <c r="C131" s="14">
        <v>19909756961</v>
      </c>
      <c r="D131" s="11" t="s">
        <v>17</v>
      </c>
      <c r="E131" s="11">
        <v>4025</v>
      </c>
      <c r="F131" s="11">
        <v>3069.44</v>
      </c>
      <c r="G131" s="15">
        <f t="shared" ref="G131:G194" si="4">F131/11</f>
        <v>279.04000000000002</v>
      </c>
      <c r="H131" s="15">
        <f t="shared" ref="H131:H194" si="5">F131-G131</f>
        <v>2790.4</v>
      </c>
      <c r="I131" s="15">
        <f t="shared" ref="I131:I194" si="6">E131-H131</f>
        <v>1234.5999999999999</v>
      </c>
      <c r="J131" s="16">
        <f t="shared" ref="J131:J194" si="7">(E131-H131)/H131</f>
        <v>0.44244552752293576</v>
      </c>
      <c r="K131" s="11" t="s">
        <v>18</v>
      </c>
      <c r="L131" s="11"/>
    </row>
    <row r="132" spans="1:12" x14ac:dyDescent="0.25">
      <c r="A132" s="17">
        <v>46197</v>
      </c>
      <c r="B132" s="11" t="s">
        <v>276</v>
      </c>
      <c r="C132" s="14">
        <v>29992155069</v>
      </c>
      <c r="D132" s="11" t="s">
        <v>17</v>
      </c>
      <c r="E132" s="11">
        <v>4025</v>
      </c>
      <c r="F132" s="11">
        <v>3143.18</v>
      </c>
      <c r="G132" s="15">
        <f t="shared" si="4"/>
        <v>285.74363636363637</v>
      </c>
      <c r="H132" s="15">
        <f t="shared" si="5"/>
        <v>2857.4363636363632</v>
      </c>
      <c r="I132" s="15">
        <f t="shared" si="6"/>
        <v>1167.5636363636368</v>
      </c>
      <c r="J132" s="16">
        <f t="shared" si="7"/>
        <v>0.40860529781940602</v>
      </c>
      <c r="K132" s="11" t="s">
        <v>18</v>
      </c>
      <c r="L132" s="11"/>
    </row>
    <row r="133" spans="1:12" x14ac:dyDescent="0.25">
      <c r="A133" s="17">
        <v>46197</v>
      </c>
      <c r="B133" s="11" t="s">
        <v>276</v>
      </c>
      <c r="C133" s="14">
        <v>41539044468</v>
      </c>
      <c r="D133" s="11" t="s">
        <v>17</v>
      </c>
      <c r="E133" s="11">
        <v>4025</v>
      </c>
      <c r="F133" s="11">
        <v>3069.44</v>
      </c>
      <c r="G133" s="15">
        <f t="shared" si="4"/>
        <v>279.04000000000002</v>
      </c>
      <c r="H133" s="15">
        <f t="shared" si="5"/>
        <v>2790.4</v>
      </c>
      <c r="I133" s="15">
        <f t="shared" si="6"/>
        <v>1234.5999999999999</v>
      </c>
      <c r="J133" s="16">
        <f t="shared" si="7"/>
        <v>0.44244552752293576</v>
      </c>
      <c r="K133" s="11" t="s">
        <v>18</v>
      </c>
      <c r="L133" s="11"/>
    </row>
    <row r="134" spans="1:12" x14ac:dyDescent="0.25">
      <c r="A134" s="17">
        <v>46197</v>
      </c>
      <c r="B134" s="11" t="s">
        <v>276</v>
      </c>
      <c r="C134" s="14">
        <v>51530014796</v>
      </c>
      <c r="D134" s="11" t="s">
        <v>17</v>
      </c>
      <c r="E134" s="11">
        <v>4025</v>
      </c>
      <c r="F134" s="11">
        <v>3069.44</v>
      </c>
      <c r="G134" s="15">
        <f t="shared" si="4"/>
        <v>279.04000000000002</v>
      </c>
      <c r="H134" s="15">
        <f t="shared" si="5"/>
        <v>2790.4</v>
      </c>
      <c r="I134" s="15">
        <f t="shared" si="6"/>
        <v>1234.5999999999999</v>
      </c>
      <c r="J134" s="16">
        <f t="shared" si="7"/>
        <v>0.44244552752293576</v>
      </c>
      <c r="K134" s="11" t="s">
        <v>18</v>
      </c>
      <c r="L134" s="11"/>
    </row>
    <row r="135" spans="1:12" x14ac:dyDescent="0.25">
      <c r="A135" s="17">
        <v>46197</v>
      </c>
      <c r="B135" s="11" t="s">
        <v>276</v>
      </c>
      <c r="C135" s="14">
        <v>51598053499</v>
      </c>
      <c r="D135" s="11" t="s">
        <v>17</v>
      </c>
      <c r="E135" s="11">
        <v>4025</v>
      </c>
      <c r="F135" s="11">
        <v>3143.18</v>
      </c>
      <c r="G135" s="15">
        <f t="shared" si="4"/>
        <v>285.74363636363637</v>
      </c>
      <c r="H135" s="15">
        <f t="shared" si="5"/>
        <v>2857.4363636363632</v>
      </c>
      <c r="I135" s="15">
        <f t="shared" si="6"/>
        <v>1167.5636363636368</v>
      </c>
      <c r="J135" s="16">
        <f t="shared" si="7"/>
        <v>0.40860529781940602</v>
      </c>
      <c r="K135" s="11" t="s">
        <v>18</v>
      </c>
      <c r="L135" s="11"/>
    </row>
    <row r="136" spans="1:12" x14ac:dyDescent="0.25">
      <c r="A136" s="17">
        <v>46197</v>
      </c>
      <c r="B136" s="11" t="s">
        <v>276</v>
      </c>
      <c r="C136" s="14">
        <v>51601063457</v>
      </c>
      <c r="D136" s="11" t="s">
        <v>17</v>
      </c>
      <c r="E136" s="11">
        <v>4025</v>
      </c>
      <c r="F136" s="11">
        <v>3069.44</v>
      </c>
      <c r="G136" s="15">
        <f t="shared" si="4"/>
        <v>279.04000000000002</v>
      </c>
      <c r="H136" s="15">
        <f t="shared" si="5"/>
        <v>2790.4</v>
      </c>
      <c r="I136" s="15">
        <f t="shared" si="6"/>
        <v>1234.5999999999999</v>
      </c>
      <c r="J136" s="16">
        <f t="shared" si="7"/>
        <v>0.44244552752293576</v>
      </c>
      <c r="K136" s="11" t="s">
        <v>18</v>
      </c>
      <c r="L136" s="11"/>
    </row>
    <row r="137" spans="1:12" x14ac:dyDescent="0.25">
      <c r="A137" s="17">
        <v>46197</v>
      </c>
      <c r="B137" s="11" t="s">
        <v>276</v>
      </c>
      <c r="C137" s="14">
        <v>51619076794</v>
      </c>
      <c r="D137" s="11" t="s">
        <v>17</v>
      </c>
      <c r="E137" s="11">
        <v>4025</v>
      </c>
      <c r="F137" s="11">
        <v>3069.44</v>
      </c>
      <c r="G137" s="15">
        <f t="shared" si="4"/>
        <v>279.04000000000002</v>
      </c>
      <c r="H137" s="15">
        <f t="shared" si="5"/>
        <v>2790.4</v>
      </c>
      <c r="I137" s="15">
        <f t="shared" si="6"/>
        <v>1234.5999999999999</v>
      </c>
      <c r="J137" s="16">
        <f t="shared" si="7"/>
        <v>0.44244552752293576</v>
      </c>
      <c r="K137" s="11" t="s">
        <v>18</v>
      </c>
      <c r="L137" s="11"/>
    </row>
    <row r="138" spans="1:12" x14ac:dyDescent="0.25">
      <c r="A138" s="17">
        <v>46197</v>
      </c>
      <c r="B138" s="11" t="s">
        <v>276</v>
      </c>
      <c r="C138" s="14">
        <v>51634069468</v>
      </c>
      <c r="D138" s="11" t="s">
        <v>17</v>
      </c>
      <c r="E138" s="11">
        <v>4025</v>
      </c>
      <c r="F138" s="11">
        <v>3143.18</v>
      </c>
      <c r="G138" s="15">
        <f t="shared" si="4"/>
        <v>285.74363636363637</v>
      </c>
      <c r="H138" s="15">
        <f t="shared" si="5"/>
        <v>2857.4363636363632</v>
      </c>
      <c r="I138" s="15">
        <f t="shared" si="6"/>
        <v>1167.5636363636368</v>
      </c>
      <c r="J138" s="16">
        <f t="shared" si="7"/>
        <v>0.40860529781940602</v>
      </c>
      <c r="K138" s="11" t="s">
        <v>18</v>
      </c>
      <c r="L138" s="11"/>
    </row>
    <row r="139" spans="1:12" x14ac:dyDescent="0.25">
      <c r="A139" s="17">
        <v>46197</v>
      </c>
      <c r="B139" s="11" t="s">
        <v>276</v>
      </c>
      <c r="C139" s="14">
        <v>51680068477</v>
      </c>
      <c r="D139" s="11" t="s">
        <v>17</v>
      </c>
      <c r="E139" s="11">
        <v>4025</v>
      </c>
      <c r="F139" s="11">
        <v>3143.18</v>
      </c>
      <c r="G139" s="15">
        <f t="shared" si="4"/>
        <v>285.74363636363637</v>
      </c>
      <c r="H139" s="15">
        <f t="shared" si="5"/>
        <v>2857.4363636363632</v>
      </c>
      <c r="I139" s="15">
        <f t="shared" si="6"/>
        <v>1167.5636363636368</v>
      </c>
      <c r="J139" s="16">
        <f t="shared" si="7"/>
        <v>0.40860529781940602</v>
      </c>
      <c r="K139" s="11" t="s">
        <v>18</v>
      </c>
      <c r="L139" s="11"/>
    </row>
    <row r="140" spans="1:12" x14ac:dyDescent="0.25">
      <c r="A140" s="17">
        <v>46197</v>
      </c>
      <c r="B140" s="11" t="s">
        <v>276</v>
      </c>
      <c r="C140" s="14">
        <v>61564064403</v>
      </c>
      <c r="D140" s="11" t="s">
        <v>17</v>
      </c>
      <c r="E140" s="11">
        <v>4025</v>
      </c>
      <c r="F140" s="11">
        <v>3069.44</v>
      </c>
      <c r="G140" s="15">
        <f t="shared" si="4"/>
        <v>279.04000000000002</v>
      </c>
      <c r="H140" s="15">
        <f t="shared" si="5"/>
        <v>2790.4</v>
      </c>
      <c r="I140" s="15">
        <f t="shared" si="6"/>
        <v>1234.5999999999999</v>
      </c>
      <c r="J140" s="16">
        <f t="shared" si="7"/>
        <v>0.44244552752293576</v>
      </c>
      <c r="K140" s="11" t="s">
        <v>18</v>
      </c>
      <c r="L140" s="11"/>
    </row>
    <row r="141" spans="1:12" x14ac:dyDescent="0.25">
      <c r="A141" s="17">
        <v>46197</v>
      </c>
      <c r="B141" s="11" t="s">
        <v>276</v>
      </c>
      <c r="C141" s="14">
        <v>61788004432</v>
      </c>
      <c r="D141" s="11" t="s">
        <v>17</v>
      </c>
      <c r="E141" s="11">
        <v>4025</v>
      </c>
      <c r="F141" s="11">
        <v>3143.18</v>
      </c>
      <c r="G141" s="15">
        <f t="shared" si="4"/>
        <v>285.74363636363637</v>
      </c>
      <c r="H141" s="15">
        <f t="shared" si="5"/>
        <v>2857.4363636363632</v>
      </c>
      <c r="I141" s="15">
        <f t="shared" si="6"/>
        <v>1167.5636363636368</v>
      </c>
      <c r="J141" s="16">
        <f t="shared" si="7"/>
        <v>0.40860529781940602</v>
      </c>
      <c r="K141" s="11" t="s">
        <v>18</v>
      </c>
      <c r="L141" s="11"/>
    </row>
    <row r="142" spans="1:12" x14ac:dyDescent="0.25">
      <c r="A142" s="17">
        <v>46197</v>
      </c>
      <c r="B142" s="11" t="s">
        <v>276</v>
      </c>
      <c r="C142" s="14">
        <v>71517009439</v>
      </c>
      <c r="D142" s="11" t="s">
        <v>17</v>
      </c>
      <c r="E142" s="11">
        <v>4025</v>
      </c>
      <c r="F142" s="11">
        <v>3143.18</v>
      </c>
      <c r="G142" s="15">
        <f t="shared" si="4"/>
        <v>285.74363636363637</v>
      </c>
      <c r="H142" s="15">
        <f t="shared" si="5"/>
        <v>2857.4363636363632</v>
      </c>
      <c r="I142" s="15">
        <f t="shared" si="6"/>
        <v>1167.5636363636368</v>
      </c>
      <c r="J142" s="16">
        <f t="shared" si="7"/>
        <v>0.40860529781940602</v>
      </c>
      <c r="K142" s="11" t="s">
        <v>18</v>
      </c>
      <c r="L142" s="11"/>
    </row>
    <row r="143" spans="1:12" x14ac:dyDescent="0.25">
      <c r="A143" s="17">
        <v>46197</v>
      </c>
      <c r="B143" s="11" t="s">
        <v>15</v>
      </c>
      <c r="C143" s="14" t="s">
        <v>444</v>
      </c>
      <c r="D143" s="11" t="s">
        <v>17</v>
      </c>
      <c r="E143" s="11">
        <v>1350</v>
      </c>
      <c r="F143" s="11">
        <v>928.27</v>
      </c>
      <c r="G143" s="15">
        <f t="shared" si="4"/>
        <v>84.38818181818182</v>
      </c>
      <c r="H143" s="15">
        <f t="shared" si="5"/>
        <v>843.88181818181818</v>
      </c>
      <c r="I143" s="15">
        <f t="shared" si="6"/>
        <v>506.11818181818182</v>
      </c>
      <c r="J143" s="16">
        <f t="shared" si="7"/>
        <v>0.59975007271591241</v>
      </c>
      <c r="K143" s="11" t="s">
        <v>18</v>
      </c>
      <c r="L143" s="11"/>
    </row>
    <row r="144" spans="1:12" x14ac:dyDescent="0.25">
      <c r="A144" s="17">
        <v>46198</v>
      </c>
      <c r="B144" s="11" t="s">
        <v>333</v>
      </c>
      <c r="C144" s="14" t="s">
        <v>445</v>
      </c>
      <c r="D144" s="11" t="s">
        <v>168</v>
      </c>
      <c r="E144" s="11">
        <v>5550</v>
      </c>
      <c r="F144" s="11">
        <v>4928.41</v>
      </c>
      <c r="G144" s="15">
        <f t="shared" si="4"/>
        <v>448.03727272727269</v>
      </c>
      <c r="H144" s="15">
        <f t="shared" si="5"/>
        <v>4480.3727272727274</v>
      </c>
      <c r="I144" s="15">
        <f t="shared" si="6"/>
        <v>1069.6272727272726</v>
      </c>
      <c r="J144" s="16">
        <f t="shared" si="7"/>
        <v>0.23873622527346544</v>
      </c>
      <c r="K144" s="11" t="s">
        <v>18</v>
      </c>
      <c r="L144" s="11"/>
    </row>
    <row r="145" spans="1:12" x14ac:dyDescent="0.25">
      <c r="A145" s="17">
        <v>46198</v>
      </c>
      <c r="B145" s="11" t="s">
        <v>333</v>
      </c>
      <c r="C145" s="14" t="s">
        <v>446</v>
      </c>
      <c r="D145" s="11" t="s">
        <v>168</v>
      </c>
      <c r="E145" s="11">
        <v>5550</v>
      </c>
      <c r="F145" s="11">
        <v>4928.41</v>
      </c>
      <c r="G145" s="15">
        <f t="shared" si="4"/>
        <v>448.03727272727269</v>
      </c>
      <c r="H145" s="15">
        <f t="shared" si="5"/>
        <v>4480.3727272727274</v>
      </c>
      <c r="I145" s="15">
        <f t="shared" si="6"/>
        <v>1069.6272727272726</v>
      </c>
      <c r="J145" s="16">
        <f t="shared" si="7"/>
        <v>0.23873622527346544</v>
      </c>
      <c r="K145" s="11" t="s">
        <v>18</v>
      </c>
      <c r="L145" s="11"/>
    </row>
    <row r="146" spans="1:12" x14ac:dyDescent="0.25">
      <c r="A146" s="17">
        <v>46198</v>
      </c>
      <c r="B146" s="11" t="s">
        <v>333</v>
      </c>
      <c r="C146" s="14" t="s">
        <v>447</v>
      </c>
      <c r="D146" s="11" t="s">
        <v>168</v>
      </c>
      <c r="E146" s="11">
        <v>5550</v>
      </c>
      <c r="F146" s="11">
        <v>4928.41</v>
      </c>
      <c r="G146" s="15">
        <f t="shared" si="4"/>
        <v>448.03727272727269</v>
      </c>
      <c r="H146" s="15">
        <f t="shared" si="5"/>
        <v>4480.3727272727274</v>
      </c>
      <c r="I146" s="15">
        <f t="shared" si="6"/>
        <v>1069.6272727272726</v>
      </c>
      <c r="J146" s="16">
        <f t="shared" si="7"/>
        <v>0.23873622527346544</v>
      </c>
      <c r="K146" s="11" t="s">
        <v>18</v>
      </c>
      <c r="L146" s="11"/>
    </row>
    <row r="147" spans="1:12" x14ac:dyDescent="0.25">
      <c r="A147" s="17">
        <v>46198</v>
      </c>
      <c r="B147" s="11" t="s">
        <v>333</v>
      </c>
      <c r="C147" s="14" t="s">
        <v>448</v>
      </c>
      <c r="D147" s="11" t="s">
        <v>168</v>
      </c>
      <c r="E147" s="11">
        <v>5550</v>
      </c>
      <c r="F147" s="11">
        <v>4928.41</v>
      </c>
      <c r="G147" s="15">
        <f t="shared" si="4"/>
        <v>448.03727272727269</v>
      </c>
      <c r="H147" s="15">
        <f t="shared" si="5"/>
        <v>4480.3727272727274</v>
      </c>
      <c r="I147" s="15">
        <f t="shared" si="6"/>
        <v>1069.6272727272726</v>
      </c>
      <c r="J147" s="16">
        <f t="shared" si="7"/>
        <v>0.23873622527346544</v>
      </c>
      <c r="K147" s="11" t="s">
        <v>18</v>
      </c>
      <c r="L147" s="11"/>
    </row>
    <row r="148" spans="1:12" x14ac:dyDescent="0.25">
      <c r="A148" s="17">
        <v>46198</v>
      </c>
      <c r="B148" s="11" t="s">
        <v>333</v>
      </c>
      <c r="C148" s="14" t="s">
        <v>449</v>
      </c>
      <c r="D148" s="11" t="s">
        <v>168</v>
      </c>
      <c r="E148" s="11">
        <v>5550</v>
      </c>
      <c r="F148" s="11">
        <v>4928.41</v>
      </c>
      <c r="G148" s="15">
        <f t="shared" si="4"/>
        <v>448.03727272727269</v>
      </c>
      <c r="H148" s="15">
        <f t="shared" si="5"/>
        <v>4480.3727272727274</v>
      </c>
      <c r="I148" s="15">
        <f t="shared" si="6"/>
        <v>1069.6272727272726</v>
      </c>
      <c r="J148" s="16">
        <f t="shared" si="7"/>
        <v>0.23873622527346544</v>
      </c>
      <c r="K148" s="11" t="s">
        <v>18</v>
      </c>
      <c r="L148" s="11"/>
    </row>
    <row r="149" spans="1:12" x14ac:dyDescent="0.25">
      <c r="A149" s="17">
        <v>46200</v>
      </c>
      <c r="B149" s="11" t="s">
        <v>333</v>
      </c>
      <c r="C149" s="14" t="s">
        <v>490</v>
      </c>
      <c r="D149" s="11" t="s">
        <v>168</v>
      </c>
      <c r="E149" s="11">
        <v>5550</v>
      </c>
      <c r="F149" s="11">
        <v>4926.7</v>
      </c>
      <c r="G149" s="15">
        <f t="shared" si="4"/>
        <v>447.88181818181818</v>
      </c>
      <c r="H149" s="15">
        <f t="shared" si="5"/>
        <v>4478.818181818182</v>
      </c>
      <c r="I149" s="15">
        <f t="shared" si="6"/>
        <v>1071.181818181818</v>
      </c>
      <c r="J149" s="16">
        <f t="shared" si="7"/>
        <v>0.23916617614224528</v>
      </c>
      <c r="K149" s="11" t="s">
        <v>18</v>
      </c>
      <c r="L149" s="11"/>
    </row>
    <row r="150" spans="1:12" x14ac:dyDescent="0.25">
      <c r="A150" s="17">
        <v>46200</v>
      </c>
      <c r="B150" s="11" t="s">
        <v>333</v>
      </c>
      <c r="C150" s="14" t="s">
        <v>491</v>
      </c>
      <c r="D150" s="11" t="s">
        <v>168</v>
      </c>
      <c r="E150" s="11">
        <v>5550</v>
      </c>
      <c r="F150" s="11">
        <v>4926.7</v>
      </c>
      <c r="G150" s="15">
        <f t="shared" si="4"/>
        <v>447.88181818181818</v>
      </c>
      <c r="H150" s="15">
        <f t="shared" si="5"/>
        <v>4478.818181818182</v>
      </c>
      <c r="I150" s="15">
        <f t="shared" si="6"/>
        <v>1071.181818181818</v>
      </c>
      <c r="J150" s="16">
        <f t="shared" si="7"/>
        <v>0.23916617614224528</v>
      </c>
      <c r="K150" s="11" t="s">
        <v>18</v>
      </c>
      <c r="L150" s="11"/>
    </row>
    <row r="151" spans="1:12" x14ac:dyDescent="0.25">
      <c r="A151" s="17">
        <v>46200</v>
      </c>
      <c r="B151" s="11" t="s">
        <v>333</v>
      </c>
      <c r="C151" s="14" t="s">
        <v>492</v>
      </c>
      <c r="D151" s="11" t="s">
        <v>168</v>
      </c>
      <c r="E151" s="11">
        <v>5550</v>
      </c>
      <c r="F151" s="11">
        <v>4926.7</v>
      </c>
      <c r="G151" s="15">
        <f t="shared" si="4"/>
        <v>447.88181818181818</v>
      </c>
      <c r="H151" s="15">
        <f t="shared" si="5"/>
        <v>4478.818181818182</v>
      </c>
      <c r="I151" s="15">
        <f t="shared" si="6"/>
        <v>1071.181818181818</v>
      </c>
      <c r="J151" s="16">
        <f t="shared" si="7"/>
        <v>0.23916617614224528</v>
      </c>
      <c r="K151" s="11" t="s">
        <v>18</v>
      </c>
      <c r="L151" s="11"/>
    </row>
    <row r="152" spans="1:12" x14ac:dyDescent="0.25">
      <c r="A152" s="17">
        <v>46200</v>
      </c>
      <c r="B152" s="11" t="s">
        <v>333</v>
      </c>
      <c r="C152" s="14" t="s">
        <v>493</v>
      </c>
      <c r="D152" s="11" t="s">
        <v>168</v>
      </c>
      <c r="E152" s="11">
        <v>5700</v>
      </c>
      <c r="F152" s="11">
        <v>4926.7</v>
      </c>
      <c r="G152" s="15">
        <f t="shared" si="4"/>
        <v>447.88181818181818</v>
      </c>
      <c r="H152" s="15">
        <f t="shared" si="5"/>
        <v>4478.818181818182</v>
      </c>
      <c r="I152" s="15">
        <f t="shared" si="6"/>
        <v>1221.181818181818</v>
      </c>
      <c r="J152" s="16">
        <f t="shared" si="7"/>
        <v>0.27265715387581946</v>
      </c>
      <c r="K152" s="11" t="s">
        <v>18</v>
      </c>
      <c r="L152" s="11"/>
    </row>
    <row r="153" spans="1:12" x14ac:dyDescent="0.25">
      <c r="A153" s="17">
        <v>46200</v>
      </c>
      <c r="B153" s="11" t="s">
        <v>333</v>
      </c>
      <c r="C153" s="14" t="s">
        <v>494</v>
      </c>
      <c r="D153" s="11" t="s">
        <v>168</v>
      </c>
      <c r="E153" s="11">
        <v>5550</v>
      </c>
      <c r="F153" s="11">
        <v>4856.32</v>
      </c>
      <c r="G153" s="15">
        <f t="shared" si="4"/>
        <v>441.48363636363632</v>
      </c>
      <c r="H153" s="15">
        <f t="shared" si="5"/>
        <v>4414.8363636363638</v>
      </c>
      <c r="I153" s="15">
        <f t="shared" si="6"/>
        <v>1135.1636363636362</v>
      </c>
      <c r="J153" s="16">
        <f t="shared" si="7"/>
        <v>0.25712473642593564</v>
      </c>
      <c r="K153" s="11" t="s">
        <v>18</v>
      </c>
      <c r="L153" s="11"/>
    </row>
    <row r="154" spans="1:12" x14ac:dyDescent="0.25">
      <c r="A154" s="17">
        <v>46200</v>
      </c>
      <c r="B154" s="11" t="s">
        <v>333</v>
      </c>
      <c r="C154" s="14" t="s">
        <v>495</v>
      </c>
      <c r="D154" s="11" t="s">
        <v>168</v>
      </c>
      <c r="E154" s="11">
        <v>5550</v>
      </c>
      <c r="F154" s="11">
        <v>4928.41</v>
      </c>
      <c r="G154" s="15">
        <f t="shared" si="4"/>
        <v>448.03727272727269</v>
      </c>
      <c r="H154" s="15">
        <f t="shared" si="5"/>
        <v>4480.3727272727274</v>
      </c>
      <c r="I154" s="15">
        <f t="shared" si="6"/>
        <v>1069.6272727272726</v>
      </c>
      <c r="J154" s="16">
        <f t="shared" si="7"/>
        <v>0.23873622527346544</v>
      </c>
      <c r="K154" s="11" t="s">
        <v>18</v>
      </c>
      <c r="L154" s="11"/>
    </row>
    <row r="155" spans="1:12" x14ac:dyDescent="0.25">
      <c r="A155" s="17">
        <v>46200</v>
      </c>
      <c r="B155" s="11" t="s">
        <v>333</v>
      </c>
      <c r="C155" s="14" t="s">
        <v>496</v>
      </c>
      <c r="D155" s="11" t="s">
        <v>335</v>
      </c>
      <c r="E155" s="11">
        <v>5575</v>
      </c>
      <c r="F155" s="11">
        <v>4856.32</v>
      </c>
      <c r="G155" s="15">
        <f t="shared" si="4"/>
        <v>441.48363636363632</v>
      </c>
      <c r="H155" s="15">
        <f t="shared" si="5"/>
        <v>4414.8363636363638</v>
      </c>
      <c r="I155" s="15">
        <f t="shared" si="6"/>
        <v>1160.1636363636362</v>
      </c>
      <c r="J155" s="16">
        <f t="shared" si="7"/>
        <v>0.26278746046389029</v>
      </c>
      <c r="K155" s="11" t="s">
        <v>18</v>
      </c>
      <c r="L155" s="11"/>
    </row>
    <row r="156" spans="1:12" x14ac:dyDescent="0.25">
      <c r="A156" s="17">
        <v>46200</v>
      </c>
      <c r="B156" s="11" t="s">
        <v>333</v>
      </c>
      <c r="C156" s="14" t="s">
        <v>497</v>
      </c>
      <c r="D156" s="11" t="s">
        <v>168</v>
      </c>
      <c r="E156" s="11">
        <v>5550</v>
      </c>
      <c r="F156" s="11">
        <v>4856.32</v>
      </c>
      <c r="G156" s="15">
        <f t="shared" si="4"/>
        <v>441.48363636363632</v>
      </c>
      <c r="H156" s="15">
        <f t="shared" si="5"/>
        <v>4414.8363636363638</v>
      </c>
      <c r="I156" s="15">
        <f t="shared" si="6"/>
        <v>1135.1636363636362</v>
      </c>
      <c r="J156" s="16">
        <f t="shared" si="7"/>
        <v>0.25712473642593564</v>
      </c>
      <c r="K156" s="11" t="s">
        <v>18</v>
      </c>
      <c r="L156" s="11"/>
    </row>
    <row r="157" spans="1:12" x14ac:dyDescent="0.25">
      <c r="A157" s="17">
        <v>46200</v>
      </c>
      <c r="B157" s="11" t="s">
        <v>333</v>
      </c>
      <c r="C157" s="14" t="s">
        <v>498</v>
      </c>
      <c r="D157" s="11" t="s">
        <v>168</v>
      </c>
      <c r="E157" s="11">
        <v>5550</v>
      </c>
      <c r="F157" s="11">
        <v>4926.7</v>
      </c>
      <c r="G157" s="15">
        <f t="shared" si="4"/>
        <v>447.88181818181818</v>
      </c>
      <c r="H157" s="15">
        <f t="shared" si="5"/>
        <v>4478.818181818182</v>
      </c>
      <c r="I157" s="15">
        <f t="shared" si="6"/>
        <v>1071.181818181818</v>
      </c>
      <c r="J157" s="16">
        <f t="shared" si="7"/>
        <v>0.23916617614224528</v>
      </c>
      <c r="K157" s="11" t="s">
        <v>18</v>
      </c>
      <c r="L157" s="11"/>
    </row>
    <row r="158" spans="1:12" x14ac:dyDescent="0.25">
      <c r="A158" s="17">
        <v>46200</v>
      </c>
      <c r="B158" s="11" t="s">
        <v>333</v>
      </c>
      <c r="C158" s="14" t="s">
        <v>499</v>
      </c>
      <c r="D158" s="11" t="s">
        <v>168</v>
      </c>
      <c r="E158" s="11">
        <v>5550</v>
      </c>
      <c r="F158" s="11">
        <v>4928.41</v>
      </c>
      <c r="G158" s="15">
        <f t="shared" si="4"/>
        <v>448.03727272727269</v>
      </c>
      <c r="H158" s="15">
        <f t="shared" si="5"/>
        <v>4480.3727272727274</v>
      </c>
      <c r="I158" s="15">
        <f t="shared" si="6"/>
        <v>1069.6272727272726</v>
      </c>
      <c r="J158" s="16">
        <f t="shared" si="7"/>
        <v>0.23873622527346544</v>
      </c>
      <c r="K158" s="11" t="s">
        <v>18</v>
      </c>
      <c r="L158" s="11"/>
    </row>
    <row r="159" spans="1:12" x14ac:dyDescent="0.25">
      <c r="A159" s="17">
        <v>46200</v>
      </c>
      <c r="B159" s="11" t="s">
        <v>333</v>
      </c>
      <c r="C159" s="14" t="s">
        <v>500</v>
      </c>
      <c r="D159" s="11" t="s">
        <v>168</v>
      </c>
      <c r="E159" s="11">
        <v>5550</v>
      </c>
      <c r="F159" s="11">
        <v>4928.41</v>
      </c>
      <c r="G159" s="15">
        <f t="shared" si="4"/>
        <v>448.03727272727269</v>
      </c>
      <c r="H159" s="15">
        <f t="shared" si="5"/>
        <v>4480.3727272727274</v>
      </c>
      <c r="I159" s="15">
        <f t="shared" si="6"/>
        <v>1069.6272727272726</v>
      </c>
      <c r="J159" s="16">
        <f t="shared" si="7"/>
        <v>0.23873622527346544</v>
      </c>
      <c r="K159" s="11" t="s">
        <v>18</v>
      </c>
      <c r="L159" s="11"/>
    </row>
    <row r="160" spans="1:12" x14ac:dyDescent="0.25">
      <c r="A160" s="17">
        <v>46200</v>
      </c>
      <c r="B160" s="11" t="s">
        <v>333</v>
      </c>
      <c r="C160" s="14" t="s">
        <v>501</v>
      </c>
      <c r="D160" s="11" t="s">
        <v>168</v>
      </c>
      <c r="E160" s="11">
        <v>5550</v>
      </c>
      <c r="F160" s="11">
        <v>4926.7</v>
      </c>
      <c r="G160" s="15">
        <f t="shared" si="4"/>
        <v>447.88181818181818</v>
      </c>
      <c r="H160" s="15">
        <f t="shared" si="5"/>
        <v>4478.818181818182</v>
      </c>
      <c r="I160" s="15">
        <f t="shared" si="6"/>
        <v>1071.181818181818</v>
      </c>
      <c r="J160" s="16">
        <f t="shared" si="7"/>
        <v>0.23916617614224528</v>
      </c>
      <c r="K160" s="11" t="s">
        <v>18</v>
      </c>
      <c r="L160" s="11"/>
    </row>
    <row r="161" spans="1:12" x14ac:dyDescent="0.25">
      <c r="A161" s="17">
        <v>46200</v>
      </c>
      <c r="B161" s="11" t="s">
        <v>333</v>
      </c>
      <c r="C161" s="14" t="s">
        <v>502</v>
      </c>
      <c r="D161" s="11" t="s">
        <v>168</v>
      </c>
      <c r="E161" s="11">
        <v>5740</v>
      </c>
      <c r="F161" s="11">
        <v>4926.7</v>
      </c>
      <c r="G161" s="15">
        <f t="shared" si="4"/>
        <v>447.88181818181818</v>
      </c>
      <c r="H161" s="15">
        <f t="shared" si="5"/>
        <v>4478.818181818182</v>
      </c>
      <c r="I161" s="15">
        <f t="shared" si="6"/>
        <v>1261.181818181818</v>
      </c>
      <c r="J161" s="16">
        <f t="shared" si="7"/>
        <v>0.28158808127143925</v>
      </c>
      <c r="K161" s="11" t="s">
        <v>18</v>
      </c>
      <c r="L161" s="11"/>
    </row>
    <row r="162" spans="1:12" x14ac:dyDescent="0.25">
      <c r="A162" s="17">
        <v>46200</v>
      </c>
      <c r="B162" s="11" t="s">
        <v>333</v>
      </c>
      <c r="C162" s="14" t="s">
        <v>503</v>
      </c>
      <c r="D162" s="11" t="s">
        <v>168</v>
      </c>
      <c r="E162" s="11">
        <v>5550</v>
      </c>
      <c r="F162" s="11">
        <v>4856.32</v>
      </c>
      <c r="G162" s="15">
        <f t="shared" si="4"/>
        <v>441.48363636363632</v>
      </c>
      <c r="H162" s="15">
        <f t="shared" si="5"/>
        <v>4414.8363636363638</v>
      </c>
      <c r="I162" s="15">
        <f t="shared" si="6"/>
        <v>1135.1636363636362</v>
      </c>
      <c r="J162" s="16">
        <f t="shared" si="7"/>
        <v>0.25712473642593564</v>
      </c>
      <c r="K162" s="11" t="s">
        <v>18</v>
      </c>
      <c r="L162" s="11"/>
    </row>
    <row r="163" spans="1:12" x14ac:dyDescent="0.25">
      <c r="A163" s="17">
        <v>46200</v>
      </c>
      <c r="B163" s="11" t="s">
        <v>333</v>
      </c>
      <c r="C163" s="14" t="s">
        <v>504</v>
      </c>
      <c r="D163" s="11" t="s">
        <v>168</v>
      </c>
      <c r="E163" s="11">
        <v>5550</v>
      </c>
      <c r="F163" s="11">
        <v>5014.1400000000003</v>
      </c>
      <c r="G163" s="15">
        <f t="shared" si="4"/>
        <v>455.83090909090913</v>
      </c>
      <c r="H163" s="15">
        <f t="shared" si="5"/>
        <v>4558.3090909090915</v>
      </c>
      <c r="I163" s="15">
        <f t="shared" si="6"/>
        <v>991.69090909090846</v>
      </c>
      <c r="J163" s="16">
        <f t="shared" si="7"/>
        <v>0.21755674951237883</v>
      </c>
      <c r="K163" s="11" t="s">
        <v>18</v>
      </c>
      <c r="L163" s="11"/>
    </row>
    <row r="164" spans="1:12" x14ac:dyDescent="0.25">
      <c r="A164" s="17">
        <v>46200</v>
      </c>
      <c r="B164" s="11" t="s">
        <v>333</v>
      </c>
      <c r="C164" s="14" t="s">
        <v>505</v>
      </c>
      <c r="D164" s="11" t="s">
        <v>168</v>
      </c>
      <c r="E164" s="11">
        <v>5740</v>
      </c>
      <c r="F164" s="11">
        <v>4926.7</v>
      </c>
      <c r="G164" s="15">
        <f t="shared" si="4"/>
        <v>447.88181818181818</v>
      </c>
      <c r="H164" s="15">
        <f t="shared" si="5"/>
        <v>4478.818181818182</v>
      </c>
      <c r="I164" s="15">
        <f t="shared" si="6"/>
        <v>1261.181818181818</v>
      </c>
      <c r="J164" s="16">
        <f t="shared" si="7"/>
        <v>0.28158808127143925</v>
      </c>
      <c r="K164" s="11" t="s">
        <v>18</v>
      </c>
      <c r="L164" s="11"/>
    </row>
    <row r="165" spans="1:12" x14ac:dyDescent="0.25">
      <c r="A165" s="17">
        <v>46200</v>
      </c>
      <c r="B165" s="11" t="s">
        <v>333</v>
      </c>
      <c r="C165" s="14" t="s">
        <v>506</v>
      </c>
      <c r="D165" s="11" t="s">
        <v>168</v>
      </c>
      <c r="E165" s="11">
        <v>5550</v>
      </c>
      <c r="F165" s="11">
        <v>5014.1400000000003</v>
      </c>
      <c r="G165" s="15">
        <f t="shared" si="4"/>
        <v>455.83090909090913</v>
      </c>
      <c r="H165" s="15">
        <f t="shared" si="5"/>
        <v>4558.3090909090915</v>
      </c>
      <c r="I165" s="15">
        <f t="shared" si="6"/>
        <v>991.69090909090846</v>
      </c>
      <c r="J165" s="16">
        <f t="shared" si="7"/>
        <v>0.21755674951237883</v>
      </c>
      <c r="K165" s="11" t="s">
        <v>18</v>
      </c>
      <c r="L165" s="11"/>
    </row>
    <row r="166" spans="1:12" x14ac:dyDescent="0.25">
      <c r="A166" s="17">
        <v>46200</v>
      </c>
      <c r="B166" s="11" t="s">
        <v>333</v>
      </c>
      <c r="C166" s="14" t="s">
        <v>507</v>
      </c>
      <c r="D166" s="11" t="s">
        <v>168</v>
      </c>
      <c r="E166" s="11">
        <v>5550</v>
      </c>
      <c r="F166" s="11">
        <v>5014.1400000000003</v>
      </c>
      <c r="G166" s="15">
        <f t="shared" si="4"/>
        <v>455.83090909090913</v>
      </c>
      <c r="H166" s="15">
        <f t="shared" si="5"/>
        <v>4558.3090909090915</v>
      </c>
      <c r="I166" s="15">
        <f t="shared" si="6"/>
        <v>991.69090909090846</v>
      </c>
      <c r="J166" s="16">
        <f t="shared" si="7"/>
        <v>0.21755674951237883</v>
      </c>
      <c r="K166" s="11" t="s">
        <v>18</v>
      </c>
      <c r="L166" s="11"/>
    </row>
    <row r="167" spans="1:12" x14ac:dyDescent="0.25">
      <c r="A167" s="17">
        <v>46200</v>
      </c>
      <c r="B167" s="11" t="s">
        <v>333</v>
      </c>
      <c r="C167" s="14" t="s">
        <v>508</v>
      </c>
      <c r="D167" s="11" t="s">
        <v>168</v>
      </c>
      <c r="E167" s="11">
        <v>5550</v>
      </c>
      <c r="F167" s="11">
        <v>5014.1400000000003</v>
      </c>
      <c r="G167" s="15">
        <f t="shared" si="4"/>
        <v>455.83090909090913</v>
      </c>
      <c r="H167" s="15">
        <f t="shared" si="5"/>
        <v>4558.3090909090915</v>
      </c>
      <c r="I167" s="15">
        <f t="shared" si="6"/>
        <v>991.69090909090846</v>
      </c>
      <c r="J167" s="16">
        <f t="shared" si="7"/>
        <v>0.21755674951237883</v>
      </c>
      <c r="K167" s="11" t="s">
        <v>18</v>
      </c>
      <c r="L167" s="11"/>
    </row>
    <row r="168" spans="1:12" x14ac:dyDescent="0.25">
      <c r="A168" s="17">
        <v>46200</v>
      </c>
      <c r="B168" s="11" t="s">
        <v>333</v>
      </c>
      <c r="C168" s="14" t="s">
        <v>509</v>
      </c>
      <c r="D168" s="11" t="s">
        <v>335</v>
      </c>
      <c r="E168" s="11">
        <v>5550</v>
      </c>
      <c r="F168" s="11">
        <v>4856.32</v>
      </c>
      <c r="G168" s="15">
        <f t="shared" si="4"/>
        <v>441.48363636363632</v>
      </c>
      <c r="H168" s="15">
        <f t="shared" si="5"/>
        <v>4414.8363636363638</v>
      </c>
      <c r="I168" s="15">
        <f t="shared" si="6"/>
        <v>1135.1636363636362</v>
      </c>
      <c r="J168" s="16">
        <f t="shared" si="7"/>
        <v>0.25712473642593564</v>
      </c>
      <c r="K168" s="11" t="s">
        <v>18</v>
      </c>
      <c r="L168" s="11"/>
    </row>
    <row r="169" spans="1:12" x14ac:dyDescent="0.25">
      <c r="A169" s="17">
        <v>46200</v>
      </c>
      <c r="B169" s="11" t="s">
        <v>333</v>
      </c>
      <c r="C169" s="14" t="s">
        <v>510</v>
      </c>
      <c r="D169" s="11" t="s">
        <v>168</v>
      </c>
      <c r="E169" s="11">
        <v>5550</v>
      </c>
      <c r="F169" s="11">
        <v>4928.41</v>
      </c>
      <c r="G169" s="15">
        <f t="shared" si="4"/>
        <v>448.03727272727269</v>
      </c>
      <c r="H169" s="15">
        <f t="shared" si="5"/>
        <v>4480.3727272727274</v>
      </c>
      <c r="I169" s="15">
        <f t="shared" si="6"/>
        <v>1069.6272727272726</v>
      </c>
      <c r="J169" s="16">
        <f t="shared" si="7"/>
        <v>0.23873622527346544</v>
      </c>
      <c r="K169" s="11" t="s">
        <v>18</v>
      </c>
      <c r="L169" s="11"/>
    </row>
    <row r="170" spans="1:12" x14ac:dyDescent="0.25">
      <c r="A170" s="17">
        <v>46200</v>
      </c>
      <c r="B170" s="11" t="s">
        <v>333</v>
      </c>
      <c r="C170" s="14" t="s">
        <v>511</v>
      </c>
      <c r="D170" s="11" t="s">
        <v>168</v>
      </c>
      <c r="E170" s="11">
        <v>5550</v>
      </c>
      <c r="F170" s="11">
        <v>4928.41</v>
      </c>
      <c r="G170" s="15">
        <f t="shared" si="4"/>
        <v>448.03727272727269</v>
      </c>
      <c r="H170" s="15">
        <f t="shared" si="5"/>
        <v>4480.3727272727274</v>
      </c>
      <c r="I170" s="15">
        <f t="shared" si="6"/>
        <v>1069.6272727272726</v>
      </c>
      <c r="J170" s="16">
        <f t="shared" si="7"/>
        <v>0.23873622527346544</v>
      </c>
      <c r="K170" s="11" t="s">
        <v>18</v>
      </c>
      <c r="L170" s="11"/>
    </row>
    <row r="171" spans="1:12" x14ac:dyDescent="0.25">
      <c r="A171" s="17">
        <v>46200</v>
      </c>
      <c r="B171" s="11" t="s">
        <v>333</v>
      </c>
      <c r="C171" s="14" t="s">
        <v>512</v>
      </c>
      <c r="D171" s="11" t="s">
        <v>168</v>
      </c>
      <c r="E171" s="11">
        <v>5550</v>
      </c>
      <c r="F171" s="11">
        <v>4856.32</v>
      </c>
      <c r="G171" s="15">
        <f t="shared" si="4"/>
        <v>441.48363636363632</v>
      </c>
      <c r="H171" s="15">
        <f t="shared" si="5"/>
        <v>4414.8363636363638</v>
      </c>
      <c r="I171" s="15">
        <f t="shared" si="6"/>
        <v>1135.1636363636362</v>
      </c>
      <c r="J171" s="16">
        <f t="shared" si="7"/>
        <v>0.25712473642593564</v>
      </c>
      <c r="K171" s="11" t="s">
        <v>18</v>
      </c>
      <c r="L171" s="11"/>
    </row>
    <row r="172" spans="1:12" x14ac:dyDescent="0.25">
      <c r="A172" s="17">
        <v>46200</v>
      </c>
      <c r="B172" s="11" t="s">
        <v>333</v>
      </c>
      <c r="C172" s="14" t="s">
        <v>513</v>
      </c>
      <c r="D172" s="11" t="s">
        <v>168</v>
      </c>
      <c r="E172" s="11">
        <v>5550</v>
      </c>
      <c r="F172" s="11">
        <v>4928.41</v>
      </c>
      <c r="G172" s="15">
        <f t="shared" si="4"/>
        <v>448.03727272727269</v>
      </c>
      <c r="H172" s="15">
        <f t="shared" si="5"/>
        <v>4480.3727272727274</v>
      </c>
      <c r="I172" s="15">
        <f t="shared" si="6"/>
        <v>1069.6272727272726</v>
      </c>
      <c r="J172" s="16">
        <f t="shared" si="7"/>
        <v>0.23873622527346544</v>
      </c>
      <c r="K172" s="11" t="s">
        <v>18</v>
      </c>
      <c r="L172" s="11"/>
    </row>
    <row r="173" spans="1:12" x14ac:dyDescent="0.25">
      <c r="A173" s="17">
        <v>46200</v>
      </c>
      <c r="B173" s="11" t="s">
        <v>333</v>
      </c>
      <c r="C173" s="14" t="s">
        <v>514</v>
      </c>
      <c r="D173" s="11" t="s">
        <v>168</v>
      </c>
      <c r="E173" s="11">
        <v>5740</v>
      </c>
      <c r="F173" s="11">
        <v>4926.7</v>
      </c>
      <c r="G173" s="15">
        <f t="shared" si="4"/>
        <v>447.88181818181818</v>
      </c>
      <c r="H173" s="15">
        <f t="shared" si="5"/>
        <v>4478.818181818182</v>
      </c>
      <c r="I173" s="15">
        <f t="shared" si="6"/>
        <v>1261.181818181818</v>
      </c>
      <c r="J173" s="16">
        <f t="shared" si="7"/>
        <v>0.28158808127143925</v>
      </c>
      <c r="K173" s="11" t="s">
        <v>18</v>
      </c>
      <c r="L173" s="11"/>
    </row>
    <row r="174" spans="1:12" x14ac:dyDescent="0.25">
      <c r="A174" s="17">
        <v>46200</v>
      </c>
      <c r="B174" s="11" t="s">
        <v>333</v>
      </c>
      <c r="C174" s="14" t="s">
        <v>515</v>
      </c>
      <c r="D174" s="11" t="s">
        <v>168</v>
      </c>
      <c r="E174" s="11">
        <v>5550</v>
      </c>
      <c r="F174" s="11">
        <v>4928.41</v>
      </c>
      <c r="G174" s="15">
        <f t="shared" si="4"/>
        <v>448.03727272727269</v>
      </c>
      <c r="H174" s="15">
        <f t="shared" si="5"/>
        <v>4480.3727272727274</v>
      </c>
      <c r="I174" s="15">
        <f t="shared" si="6"/>
        <v>1069.6272727272726</v>
      </c>
      <c r="J174" s="16">
        <f t="shared" si="7"/>
        <v>0.23873622527346544</v>
      </c>
      <c r="K174" s="11" t="s">
        <v>18</v>
      </c>
      <c r="L174" s="11"/>
    </row>
    <row r="175" spans="1:12" x14ac:dyDescent="0.25">
      <c r="A175" s="17">
        <v>46200</v>
      </c>
      <c r="B175" s="11" t="s">
        <v>333</v>
      </c>
      <c r="C175" s="14" t="s">
        <v>516</v>
      </c>
      <c r="D175" s="11" t="s">
        <v>168</v>
      </c>
      <c r="E175" s="11">
        <v>5550</v>
      </c>
      <c r="F175" s="11">
        <v>4926.7</v>
      </c>
      <c r="G175" s="15">
        <f t="shared" si="4"/>
        <v>447.88181818181818</v>
      </c>
      <c r="H175" s="15">
        <f t="shared" si="5"/>
        <v>4478.818181818182</v>
      </c>
      <c r="I175" s="15">
        <f t="shared" si="6"/>
        <v>1071.181818181818</v>
      </c>
      <c r="J175" s="16">
        <f t="shared" si="7"/>
        <v>0.23916617614224528</v>
      </c>
      <c r="K175" s="11" t="s">
        <v>18</v>
      </c>
      <c r="L175" s="11"/>
    </row>
    <row r="176" spans="1:12" x14ac:dyDescent="0.25">
      <c r="A176" s="17">
        <v>46200</v>
      </c>
      <c r="B176" s="11" t="s">
        <v>333</v>
      </c>
      <c r="C176" s="14" t="s">
        <v>517</v>
      </c>
      <c r="D176" s="11" t="s">
        <v>168</v>
      </c>
      <c r="E176" s="11">
        <v>5550</v>
      </c>
      <c r="F176" s="11">
        <v>5373.44</v>
      </c>
      <c r="G176" s="15">
        <f t="shared" si="4"/>
        <v>488.4945454545454</v>
      </c>
      <c r="H176" s="15">
        <f t="shared" si="5"/>
        <v>4884.9454545454546</v>
      </c>
      <c r="I176" s="15">
        <f t="shared" si="6"/>
        <v>665.0545454545454</v>
      </c>
      <c r="J176" s="16">
        <f t="shared" si="7"/>
        <v>0.13614369938065746</v>
      </c>
      <c r="K176" s="11" t="s">
        <v>18</v>
      </c>
      <c r="L176" s="11"/>
    </row>
    <row r="177" spans="1:12" x14ac:dyDescent="0.25">
      <c r="A177" s="17">
        <v>46200</v>
      </c>
      <c r="B177" s="11" t="s">
        <v>333</v>
      </c>
      <c r="C177" s="14" t="s">
        <v>518</v>
      </c>
      <c r="D177" s="11" t="s">
        <v>168</v>
      </c>
      <c r="E177" s="11">
        <v>5550</v>
      </c>
      <c r="F177" s="11">
        <v>4928.41</v>
      </c>
      <c r="G177" s="15">
        <f t="shared" si="4"/>
        <v>448.03727272727269</v>
      </c>
      <c r="H177" s="15">
        <f t="shared" si="5"/>
        <v>4480.3727272727274</v>
      </c>
      <c r="I177" s="15">
        <f t="shared" si="6"/>
        <v>1069.6272727272726</v>
      </c>
      <c r="J177" s="16">
        <f t="shared" si="7"/>
        <v>0.23873622527346544</v>
      </c>
      <c r="K177" s="11" t="s">
        <v>18</v>
      </c>
      <c r="L177" s="11"/>
    </row>
    <row r="178" spans="1:12" x14ac:dyDescent="0.25">
      <c r="A178" s="17">
        <v>46200</v>
      </c>
      <c r="B178" s="11" t="s">
        <v>333</v>
      </c>
      <c r="C178" s="14" t="s">
        <v>519</v>
      </c>
      <c r="D178" s="11" t="s">
        <v>168</v>
      </c>
      <c r="E178" s="11">
        <v>5550</v>
      </c>
      <c r="F178" s="11">
        <v>5014.1400000000003</v>
      </c>
      <c r="G178" s="15">
        <f t="shared" si="4"/>
        <v>455.83090909090913</v>
      </c>
      <c r="H178" s="15">
        <f t="shared" si="5"/>
        <v>4558.3090909090915</v>
      </c>
      <c r="I178" s="15">
        <f t="shared" si="6"/>
        <v>991.69090909090846</v>
      </c>
      <c r="J178" s="16">
        <f t="shared" si="7"/>
        <v>0.21755674951237883</v>
      </c>
      <c r="K178" s="11" t="s">
        <v>18</v>
      </c>
      <c r="L178" s="11"/>
    </row>
    <row r="179" spans="1:12" x14ac:dyDescent="0.25">
      <c r="A179" s="17">
        <v>46200</v>
      </c>
      <c r="B179" s="11" t="s">
        <v>333</v>
      </c>
      <c r="C179" s="14" t="s">
        <v>520</v>
      </c>
      <c r="D179" s="11" t="s">
        <v>168</v>
      </c>
      <c r="E179" s="11">
        <v>5575</v>
      </c>
      <c r="F179" s="11">
        <v>4928.41</v>
      </c>
      <c r="G179" s="15">
        <f t="shared" si="4"/>
        <v>448.03727272727269</v>
      </c>
      <c r="H179" s="15">
        <f t="shared" si="5"/>
        <v>4480.3727272727274</v>
      </c>
      <c r="I179" s="15">
        <f t="shared" si="6"/>
        <v>1094.6272727272726</v>
      </c>
      <c r="J179" s="16">
        <f t="shared" si="7"/>
        <v>0.24431611818010268</v>
      </c>
      <c r="K179" s="11" t="s">
        <v>18</v>
      </c>
      <c r="L179" s="11"/>
    </row>
    <row r="180" spans="1:12" x14ac:dyDescent="0.25">
      <c r="A180" s="17">
        <v>46200</v>
      </c>
      <c r="B180" s="11" t="s">
        <v>333</v>
      </c>
      <c r="C180" s="14" t="s">
        <v>521</v>
      </c>
      <c r="D180" s="11" t="s">
        <v>168</v>
      </c>
      <c r="E180" s="11">
        <v>5550</v>
      </c>
      <c r="F180" s="11">
        <v>4928.41</v>
      </c>
      <c r="G180" s="15">
        <f t="shared" si="4"/>
        <v>448.03727272727269</v>
      </c>
      <c r="H180" s="15">
        <f t="shared" si="5"/>
        <v>4480.3727272727274</v>
      </c>
      <c r="I180" s="15">
        <f t="shared" si="6"/>
        <v>1069.6272727272726</v>
      </c>
      <c r="J180" s="16">
        <f t="shared" si="7"/>
        <v>0.23873622527346544</v>
      </c>
      <c r="K180" s="11" t="s">
        <v>18</v>
      </c>
      <c r="L180" s="11"/>
    </row>
    <row r="181" spans="1:12" x14ac:dyDescent="0.25">
      <c r="A181" s="17">
        <v>46200</v>
      </c>
      <c r="B181" s="11" t="s">
        <v>333</v>
      </c>
      <c r="C181" s="14" t="s">
        <v>522</v>
      </c>
      <c r="D181" s="11" t="s">
        <v>168</v>
      </c>
      <c r="E181" s="11">
        <v>5550</v>
      </c>
      <c r="F181" s="11">
        <v>4928.41</v>
      </c>
      <c r="G181" s="15">
        <f t="shared" si="4"/>
        <v>448.03727272727269</v>
      </c>
      <c r="H181" s="15">
        <f t="shared" si="5"/>
        <v>4480.3727272727274</v>
      </c>
      <c r="I181" s="15">
        <f t="shared" si="6"/>
        <v>1069.6272727272726</v>
      </c>
      <c r="J181" s="16">
        <f t="shared" si="7"/>
        <v>0.23873622527346544</v>
      </c>
      <c r="K181" s="11" t="s">
        <v>18</v>
      </c>
      <c r="L181" s="11"/>
    </row>
    <row r="182" spans="1:12" x14ac:dyDescent="0.25">
      <c r="A182" s="17">
        <v>46200</v>
      </c>
      <c r="B182" s="11" t="s">
        <v>333</v>
      </c>
      <c r="C182" s="14" t="s">
        <v>523</v>
      </c>
      <c r="D182" s="11" t="s">
        <v>168</v>
      </c>
      <c r="E182" s="11">
        <v>5550</v>
      </c>
      <c r="F182" s="11">
        <v>4926.7</v>
      </c>
      <c r="G182" s="15">
        <f t="shared" si="4"/>
        <v>447.88181818181818</v>
      </c>
      <c r="H182" s="15">
        <f t="shared" si="5"/>
        <v>4478.818181818182</v>
      </c>
      <c r="I182" s="15">
        <f t="shared" si="6"/>
        <v>1071.181818181818</v>
      </c>
      <c r="J182" s="16">
        <f t="shared" si="7"/>
        <v>0.23916617614224528</v>
      </c>
      <c r="K182" s="11" t="s">
        <v>18</v>
      </c>
      <c r="L182" s="11"/>
    </row>
    <row r="183" spans="1:12" x14ac:dyDescent="0.25">
      <c r="A183" s="17">
        <v>46200</v>
      </c>
      <c r="B183" s="11" t="s">
        <v>333</v>
      </c>
      <c r="C183" s="14" t="s">
        <v>524</v>
      </c>
      <c r="D183" s="11" t="s">
        <v>335</v>
      </c>
      <c r="E183" s="11">
        <v>5550</v>
      </c>
      <c r="F183" s="11">
        <v>4928.41</v>
      </c>
      <c r="G183" s="15">
        <f t="shared" si="4"/>
        <v>448.03727272727269</v>
      </c>
      <c r="H183" s="15">
        <f t="shared" si="5"/>
        <v>4480.3727272727274</v>
      </c>
      <c r="I183" s="15">
        <f t="shared" si="6"/>
        <v>1069.6272727272726</v>
      </c>
      <c r="J183" s="16">
        <f t="shared" si="7"/>
        <v>0.23873622527346544</v>
      </c>
      <c r="K183" s="11" t="s">
        <v>18</v>
      </c>
      <c r="L183" s="11"/>
    </row>
    <row r="184" spans="1:12" x14ac:dyDescent="0.25">
      <c r="A184" s="17">
        <v>46200</v>
      </c>
      <c r="B184" s="11" t="s">
        <v>333</v>
      </c>
      <c r="C184" s="14" t="s">
        <v>525</v>
      </c>
      <c r="D184" s="11" t="s">
        <v>168</v>
      </c>
      <c r="E184" s="11">
        <v>5550</v>
      </c>
      <c r="F184" s="11">
        <v>4928.41</v>
      </c>
      <c r="G184" s="15">
        <f t="shared" si="4"/>
        <v>448.03727272727269</v>
      </c>
      <c r="H184" s="15">
        <f t="shared" si="5"/>
        <v>4480.3727272727274</v>
      </c>
      <c r="I184" s="15">
        <f t="shared" si="6"/>
        <v>1069.6272727272726</v>
      </c>
      <c r="J184" s="16">
        <f t="shared" si="7"/>
        <v>0.23873622527346544</v>
      </c>
      <c r="K184" s="11" t="s">
        <v>18</v>
      </c>
      <c r="L184" s="11"/>
    </row>
    <row r="185" spans="1:12" x14ac:dyDescent="0.25">
      <c r="A185" s="17">
        <v>46200</v>
      </c>
      <c r="B185" s="11" t="s">
        <v>333</v>
      </c>
      <c r="C185" s="14" t="s">
        <v>526</v>
      </c>
      <c r="D185" s="11" t="s">
        <v>335</v>
      </c>
      <c r="E185" s="11">
        <v>5550</v>
      </c>
      <c r="F185" s="11">
        <v>4928.41</v>
      </c>
      <c r="G185" s="15">
        <f t="shared" si="4"/>
        <v>448.03727272727269</v>
      </c>
      <c r="H185" s="15">
        <f t="shared" si="5"/>
        <v>4480.3727272727274</v>
      </c>
      <c r="I185" s="15">
        <f t="shared" si="6"/>
        <v>1069.6272727272726</v>
      </c>
      <c r="J185" s="16">
        <f t="shared" si="7"/>
        <v>0.23873622527346544</v>
      </c>
      <c r="K185" s="11" t="s">
        <v>18</v>
      </c>
      <c r="L185" s="11"/>
    </row>
    <row r="186" spans="1:12" x14ac:dyDescent="0.25">
      <c r="A186" s="17">
        <v>46200</v>
      </c>
      <c r="B186" s="11" t="s">
        <v>333</v>
      </c>
      <c r="C186" s="14" t="s">
        <v>527</v>
      </c>
      <c r="D186" s="11" t="s">
        <v>168</v>
      </c>
      <c r="E186" s="11">
        <v>5550</v>
      </c>
      <c r="F186" s="11">
        <v>4928.41</v>
      </c>
      <c r="G186" s="15">
        <f t="shared" si="4"/>
        <v>448.03727272727269</v>
      </c>
      <c r="H186" s="15">
        <f t="shared" si="5"/>
        <v>4480.3727272727274</v>
      </c>
      <c r="I186" s="15">
        <f t="shared" si="6"/>
        <v>1069.6272727272726</v>
      </c>
      <c r="J186" s="16">
        <f t="shared" si="7"/>
        <v>0.23873622527346544</v>
      </c>
      <c r="K186" s="11" t="s">
        <v>18</v>
      </c>
      <c r="L186" s="11"/>
    </row>
    <row r="187" spans="1:12" x14ac:dyDescent="0.25">
      <c r="A187" s="17">
        <v>46200</v>
      </c>
      <c r="B187" s="11" t="s">
        <v>333</v>
      </c>
      <c r="C187" s="14" t="s">
        <v>528</v>
      </c>
      <c r="D187" s="11" t="s">
        <v>168</v>
      </c>
      <c r="E187" s="11">
        <v>5700</v>
      </c>
      <c r="F187" s="11">
        <v>4926.7</v>
      </c>
      <c r="G187" s="15">
        <f t="shared" si="4"/>
        <v>447.88181818181818</v>
      </c>
      <c r="H187" s="15">
        <f t="shared" si="5"/>
        <v>4478.818181818182</v>
      </c>
      <c r="I187" s="15">
        <f t="shared" si="6"/>
        <v>1221.181818181818</v>
      </c>
      <c r="J187" s="16">
        <f t="shared" si="7"/>
        <v>0.27265715387581946</v>
      </c>
      <c r="K187" s="11" t="s">
        <v>18</v>
      </c>
      <c r="L187" s="11"/>
    </row>
    <row r="188" spans="1:12" x14ac:dyDescent="0.25">
      <c r="A188" s="17">
        <v>46200</v>
      </c>
      <c r="B188" s="11" t="s">
        <v>333</v>
      </c>
      <c r="C188" s="14" t="s">
        <v>529</v>
      </c>
      <c r="D188" s="11" t="s">
        <v>168</v>
      </c>
      <c r="E188" s="11">
        <v>5550</v>
      </c>
      <c r="F188" s="11">
        <v>4928.41</v>
      </c>
      <c r="G188" s="15">
        <f t="shared" si="4"/>
        <v>448.03727272727269</v>
      </c>
      <c r="H188" s="15">
        <f t="shared" si="5"/>
        <v>4480.3727272727274</v>
      </c>
      <c r="I188" s="15">
        <f t="shared" si="6"/>
        <v>1069.6272727272726</v>
      </c>
      <c r="J188" s="16">
        <f t="shared" si="7"/>
        <v>0.23873622527346544</v>
      </c>
      <c r="K188" s="11" t="s">
        <v>18</v>
      </c>
      <c r="L188" s="11"/>
    </row>
    <row r="189" spans="1:12" x14ac:dyDescent="0.25">
      <c r="A189" s="17">
        <v>46200</v>
      </c>
      <c r="B189" s="11" t="s">
        <v>333</v>
      </c>
      <c r="C189" s="14" t="s">
        <v>530</v>
      </c>
      <c r="D189" s="11" t="s">
        <v>335</v>
      </c>
      <c r="E189" s="11">
        <v>5550</v>
      </c>
      <c r="F189" s="11">
        <v>4856.32</v>
      </c>
      <c r="G189" s="15">
        <f t="shared" si="4"/>
        <v>441.48363636363632</v>
      </c>
      <c r="H189" s="15">
        <f t="shared" si="5"/>
        <v>4414.8363636363638</v>
      </c>
      <c r="I189" s="15">
        <f t="shared" si="6"/>
        <v>1135.1636363636362</v>
      </c>
      <c r="J189" s="16">
        <f t="shared" si="7"/>
        <v>0.25712473642593564</v>
      </c>
      <c r="K189" s="11" t="s">
        <v>18</v>
      </c>
      <c r="L189" s="11"/>
    </row>
    <row r="190" spans="1:12" x14ac:dyDescent="0.25">
      <c r="A190" s="17">
        <v>46200</v>
      </c>
      <c r="B190" s="11" t="s">
        <v>333</v>
      </c>
      <c r="C190" s="14" t="s">
        <v>531</v>
      </c>
      <c r="D190" s="11" t="s">
        <v>168</v>
      </c>
      <c r="E190" s="11">
        <v>5550</v>
      </c>
      <c r="F190" s="11">
        <v>4856.32</v>
      </c>
      <c r="G190" s="15">
        <f t="shared" si="4"/>
        <v>441.48363636363632</v>
      </c>
      <c r="H190" s="15">
        <f t="shared" si="5"/>
        <v>4414.8363636363638</v>
      </c>
      <c r="I190" s="15">
        <f t="shared" si="6"/>
        <v>1135.1636363636362</v>
      </c>
      <c r="J190" s="16">
        <f t="shared" si="7"/>
        <v>0.25712473642593564</v>
      </c>
      <c r="K190" s="11" t="s">
        <v>18</v>
      </c>
      <c r="L190" s="11"/>
    </row>
    <row r="191" spans="1:12" x14ac:dyDescent="0.25">
      <c r="A191" s="17">
        <v>46200</v>
      </c>
      <c r="B191" s="11" t="s">
        <v>15</v>
      </c>
      <c r="C191" s="14" t="s">
        <v>546</v>
      </c>
      <c r="D191" s="11" t="s">
        <v>547</v>
      </c>
      <c r="E191" s="11">
        <v>1400</v>
      </c>
      <c r="F191" s="11">
        <v>1108.27</v>
      </c>
      <c r="G191" s="15">
        <f t="shared" si="4"/>
        <v>100.75181818181818</v>
      </c>
      <c r="H191" s="15">
        <f t="shared" si="5"/>
        <v>1007.5181818181818</v>
      </c>
      <c r="I191" s="15">
        <f t="shared" si="6"/>
        <v>392.4818181818182</v>
      </c>
      <c r="J191" s="16">
        <f t="shared" si="7"/>
        <v>0.38955308724408316</v>
      </c>
      <c r="K191" s="11" t="s">
        <v>18</v>
      </c>
      <c r="L191" s="11"/>
    </row>
    <row r="192" spans="1:12" x14ac:dyDescent="0.25">
      <c r="A192" s="17">
        <v>46200</v>
      </c>
      <c r="B192" s="11" t="s">
        <v>15</v>
      </c>
      <c r="C192" s="14" t="s">
        <v>548</v>
      </c>
      <c r="D192" s="11" t="s">
        <v>547</v>
      </c>
      <c r="E192" s="11">
        <v>1400</v>
      </c>
      <c r="F192" s="11">
        <v>932.94</v>
      </c>
      <c r="G192" s="15">
        <f t="shared" si="4"/>
        <v>84.812727272727273</v>
      </c>
      <c r="H192" s="15">
        <f t="shared" si="5"/>
        <v>848.12727272727284</v>
      </c>
      <c r="I192" s="15">
        <f t="shared" si="6"/>
        <v>551.87272727272716</v>
      </c>
      <c r="J192" s="16">
        <f t="shared" si="7"/>
        <v>0.65069565030977317</v>
      </c>
      <c r="K192" s="11" t="s">
        <v>18</v>
      </c>
      <c r="L192" s="11"/>
    </row>
    <row r="193" spans="1:12" x14ac:dyDescent="0.25">
      <c r="A193" s="17">
        <v>46200</v>
      </c>
      <c r="B193" s="11" t="s">
        <v>15</v>
      </c>
      <c r="C193" s="14" t="s">
        <v>549</v>
      </c>
      <c r="D193" s="11" t="s">
        <v>547</v>
      </c>
      <c r="E193" s="11">
        <v>1400</v>
      </c>
      <c r="F193" s="11">
        <v>1108.27</v>
      </c>
      <c r="G193" s="15">
        <f t="shared" si="4"/>
        <v>100.75181818181818</v>
      </c>
      <c r="H193" s="15">
        <f t="shared" si="5"/>
        <v>1007.5181818181818</v>
      </c>
      <c r="I193" s="15">
        <f t="shared" si="6"/>
        <v>392.4818181818182</v>
      </c>
      <c r="J193" s="16">
        <f t="shared" si="7"/>
        <v>0.38955308724408316</v>
      </c>
      <c r="K193" s="11" t="s">
        <v>18</v>
      </c>
      <c r="L193" s="11"/>
    </row>
    <row r="194" spans="1:12" x14ac:dyDescent="0.25">
      <c r="A194" s="17">
        <v>46202</v>
      </c>
      <c r="B194" s="11" t="s">
        <v>552</v>
      </c>
      <c r="C194" s="14" t="s">
        <v>553</v>
      </c>
      <c r="D194" s="11" t="s">
        <v>17</v>
      </c>
      <c r="E194" s="11">
        <v>11600</v>
      </c>
      <c r="F194" s="11">
        <v>10527.57</v>
      </c>
      <c r="G194" s="15">
        <f t="shared" si="4"/>
        <v>957.05181818181813</v>
      </c>
      <c r="H194" s="15">
        <f t="shared" si="5"/>
        <v>9570.5181818181809</v>
      </c>
      <c r="I194" s="15">
        <f t="shared" si="6"/>
        <v>2029.4818181818191</v>
      </c>
      <c r="J194" s="16">
        <f t="shared" si="7"/>
        <v>0.21205558357721691</v>
      </c>
      <c r="K194" s="11" t="s">
        <v>18</v>
      </c>
      <c r="L194" s="11"/>
    </row>
    <row r="195" spans="1:12" x14ac:dyDescent="0.25">
      <c r="A195" s="17">
        <v>46202</v>
      </c>
      <c r="B195" s="11" t="s">
        <v>276</v>
      </c>
      <c r="C195" s="14">
        <v>39784450551</v>
      </c>
      <c r="D195" s="11" t="s">
        <v>17</v>
      </c>
      <c r="E195" s="11">
        <v>4175</v>
      </c>
      <c r="F195" s="11">
        <v>3143.18</v>
      </c>
      <c r="G195" s="15">
        <f>F195/11</f>
        <v>285.74363636363637</v>
      </c>
      <c r="H195" s="15">
        <f>F195-G195</f>
        <v>2857.4363636363632</v>
      </c>
      <c r="I195" s="15">
        <f>E195-H195</f>
        <v>1317.5636363636368</v>
      </c>
      <c r="J195" s="16">
        <f>(E195-H195)/H195</f>
        <v>0.4610999051915578</v>
      </c>
      <c r="K195" s="11" t="s">
        <v>18</v>
      </c>
      <c r="L195" s="11"/>
    </row>
    <row r="196" spans="1:12" x14ac:dyDescent="0.25">
      <c r="A196" s="17">
        <v>46202</v>
      </c>
      <c r="B196" s="11" t="s">
        <v>145</v>
      </c>
      <c r="C196" s="14" t="s">
        <v>560</v>
      </c>
      <c r="D196" s="11" t="s">
        <v>561</v>
      </c>
      <c r="E196" s="11">
        <v>2070</v>
      </c>
      <c r="F196" s="11">
        <v>1527.53</v>
      </c>
      <c r="G196" s="15">
        <f>F196/11</f>
        <v>138.86636363636364</v>
      </c>
      <c r="H196" s="15">
        <f>F196-G196</f>
        <v>1388.6636363636362</v>
      </c>
      <c r="I196" s="15">
        <f>E196-H196</f>
        <v>681.33636363636379</v>
      </c>
      <c r="J196" s="16">
        <f>(E196-H196)/H196</f>
        <v>0.49064175499008217</v>
      </c>
      <c r="K196" s="11" t="s">
        <v>18</v>
      </c>
      <c r="L196" s="11"/>
    </row>
    <row r="197" spans="1:12" x14ac:dyDescent="0.25">
      <c r="A197" s="17">
        <v>46202</v>
      </c>
      <c r="B197" s="11" t="s">
        <v>145</v>
      </c>
      <c r="C197" s="14" t="s">
        <v>562</v>
      </c>
      <c r="D197" s="11" t="s">
        <v>561</v>
      </c>
      <c r="E197" s="11">
        <v>2070</v>
      </c>
      <c r="F197" s="11">
        <v>1527.53</v>
      </c>
      <c r="G197" s="15">
        <f>F197/11</f>
        <v>138.86636363636364</v>
      </c>
      <c r="H197" s="15">
        <f>F197-G197</f>
        <v>1388.6636363636362</v>
      </c>
      <c r="I197" s="15">
        <f>E197-H197</f>
        <v>681.33636363636379</v>
      </c>
      <c r="J197" s="16">
        <f>(E197-H197)/H197</f>
        <v>0.49064175499008217</v>
      </c>
      <c r="K197" s="11" t="s">
        <v>18</v>
      </c>
      <c r="L197" s="11"/>
    </row>
    <row r="198" spans="1:12" x14ac:dyDescent="0.25">
      <c r="A198" s="17">
        <v>46203</v>
      </c>
      <c r="B198" s="11" t="s">
        <v>276</v>
      </c>
      <c r="C198" s="14">
        <v>19670053861</v>
      </c>
      <c r="D198" s="11" t="s">
        <v>17</v>
      </c>
      <c r="E198" s="11">
        <v>4000</v>
      </c>
      <c r="F198" s="11">
        <v>3115</v>
      </c>
      <c r="G198" s="15">
        <f>F198/11</f>
        <v>283.18181818181819</v>
      </c>
      <c r="H198" s="15">
        <f>F198-G198</f>
        <v>2831.818181818182</v>
      </c>
      <c r="I198" s="15">
        <f>E198-H198</f>
        <v>1168.181818181818</v>
      </c>
      <c r="J198" s="16">
        <f>(E198-H198)/H198</f>
        <v>0.41252006420545739</v>
      </c>
      <c r="K198" s="11" t="s">
        <v>18</v>
      </c>
      <c r="L198" s="11"/>
    </row>
    <row r="199" spans="1:12" x14ac:dyDescent="0.25">
      <c r="A199" s="17">
        <v>46203</v>
      </c>
      <c r="B199" s="11" t="s">
        <v>276</v>
      </c>
      <c r="C199" s="14">
        <v>29151959754</v>
      </c>
      <c r="D199" s="11" t="s">
        <v>17</v>
      </c>
      <c r="E199" s="11">
        <v>4000</v>
      </c>
      <c r="F199" s="11">
        <v>3115</v>
      </c>
      <c r="G199" s="15">
        <f>F199/11</f>
        <v>283.18181818181819</v>
      </c>
      <c r="H199" s="15">
        <f>F199-G199</f>
        <v>2831.818181818182</v>
      </c>
      <c r="I199" s="15">
        <f>E199-H199</f>
        <v>1168.181818181818</v>
      </c>
      <c r="J199" s="16">
        <f>(E199-H199)/H199</f>
        <v>0.41252006420545739</v>
      </c>
      <c r="K199" s="11" t="s">
        <v>18</v>
      </c>
      <c r="L199" s="11"/>
    </row>
    <row r="200" spans="1:12" x14ac:dyDescent="0.25">
      <c r="A200" s="17">
        <v>46203</v>
      </c>
      <c r="B200" s="11" t="s">
        <v>276</v>
      </c>
      <c r="C200" s="14">
        <v>29690452568</v>
      </c>
      <c r="D200" s="11" t="s">
        <v>17</v>
      </c>
      <c r="E200" s="11">
        <v>4000</v>
      </c>
      <c r="F200" s="11">
        <v>3115</v>
      </c>
      <c r="G200" s="15">
        <f>F200/11</f>
        <v>283.18181818181819</v>
      </c>
      <c r="H200" s="15">
        <f>F200-G200</f>
        <v>2831.818181818182</v>
      </c>
      <c r="I200" s="15">
        <f>E200-H200</f>
        <v>1168.181818181818</v>
      </c>
      <c r="J200" s="16">
        <f>(E200-H200)/H200</f>
        <v>0.41252006420545739</v>
      </c>
      <c r="K200" s="11" t="s">
        <v>18</v>
      </c>
      <c r="L200" s="11"/>
    </row>
    <row r="201" spans="1:12" x14ac:dyDescent="0.25">
      <c r="A201" s="17">
        <v>46203</v>
      </c>
      <c r="B201" s="11" t="s">
        <v>276</v>
      </c>
      <c r="C201" s="14">
        <v>41511018445</v>
      </c>
      <c r="D201" s="11" t="s">
        <v>17</v>
      </c>
      <c r="E201" s="11">
        <v>4000</v>
      </c>
      <c r="F201" s="11">
        <v>3115</v>
      </c>
      <c r="G201" s="15">
        <f>F201/11</f>
        <v>283.18181818181819</v>
      </c>
      <c r="H201" s="15">
        <f>F201-G201</f>
        <v>2831.818181818182</v>
      </c>
      <c r="I201" s="15">
        <f>E201-H201</f>
        <v>1168.181818181818</v>
      </c>
      <c r="J201" s="16">
        <f>(E201-H201)/H201</f>
        <v>0.41252006420545739</v>
      </c>
      <c r="K201" s="11" t="s">
        <v>18</v>
      </c>
      <c r="L201" s="11"/>
    </row>
    <row r="202" spans="1:12" x14ac:dyDescent="0.25">
      <c r="A202" s="17">
        <v>46203</v>
      </c>
      <c r="B202" s="11" t="s">
        <v>276</v>
      </c>
      <c r="C202" s="14">
        <v>41539033418</v>
      </c>
      <c r="D202" s="11" t="s">
        <v>17</v>
      </c>
      <c r="E202" s="11">
        <v>4000</v>
      </c>
      <c r="F202" s="11">
        <v>3115</v>
      </c>
      <c r="G202" s="15">
        <f>F202/11</f>
        <v>283.18181818181819</v>
      </c>
      <c r="H202" s="15">
        <f>F202-G202</f>
        <v>2831.818181818182</v>
      </c>
      <c r="I202" s="15">
        <f>E202-H202</f>
        <v>1168.181818181818</v>
      </c>
      <c r="J202" s="16">
        <f>(E202-H202)/H202</f>
        <v>0.41252006420545739</v>
      </c>
      <c r="K202" s="11" t="s">
        <v>18</v>
      </c>
      <c r="L202" s="11"/>
    </row>
    <row r="203" spans="1:12" x14ac:dyDescent="0.25">
      <c r="A203" s="17">
        <v>46203</v>
      </c>
      <c r="B203" s="11" t="s">
        <v>276</v>
      </c>
      <c r="C203" s="14">
        <v>41614067465</v>
      </c>
      <c r="D203" s="11" t="s">
        <v>17</v>
      </c>
      <c r="E203" s="11">
        <v>4000</v>
      </c>
      <c r="F203" s="11">
        <v>3115</v>
      </c>
      <c r="G203" s="15">
        <f>F203/11</f>
        <v>283.18181818181819</v>
      </c>
      <c r="H203" s="15">
        <f>F203-G203</f>
        <v>2831.818181818182</v>
      </c>
      <c r="I203" s="15">
        <f>E203-H203</f>
        <v>1168.181818181818</v>
      </c>
      <c r="J203" s="16">
        <f>(E203-H203)/H203</f>
        <v>0.41252006420545739</v>
      </c>
      <c r="K203" s="11" t="s">
        <v>18</v>
      </c>
      <c r="L203" s="11"/>
    </row>
    <row r="204" spans="1:12" x14ac:dyDescent="0.25">
      <c r="A204" s="17">
        <v>46203</v>
      </c>
      <c r="B204" s="11" t="s">
        <v>276</v>
      </c>
      <c r="C204" s="14">
        <v>41745009481</v>
      </c>
      <c r="D204" s="11" t="s">
        <v>17</v>
      </c>
      <c r="E204" s="11">
        <v>4000</v>
      </c>
      <c r="F204" s="11">
        <v>3115</v>
      </c>
      <c r="G204" s="15">
        <f>F204/11</f>
        <v>283.18181818181819</v>
      </c>
      <c r="H204" s="15">
        <f>F204-G204</f>
        <v>2831.818181818182</v>
      </c>
      <c r="I204" s="15">
        <f>E204-H204</f>
        <v>1168.181818181818</v>
      </c>
      <c r="J204" s="16">
        <f>(E204-H204)/H204</f>
        <v>0.41252006420545739</v>
      </c>
      <c r="K204" s="11" t="s">
        <v>18</v>
      </c>
      <c r="L204" s="11"/>
    </row>
    <row r="205" spans="1:12" x14ac:dyDescent="0.25">
      <c r="A205" s="17">
        <v>46203</v>
      </c>
      <c r="B205" s="11" t="s">
        <v>276</v>
      </c>
      <c r="C205" s="14">
        <v>51559056134</v>
      </c>
      <c r="D205" s="11" t="s">
        <v>17</v>
      </c>
      <c r="E205" s="11">
        <v>4000</v>
      </c>
      <c r="F205" s="11">
        <v>3115</v>
      </c>
      <c r="G205" s="15">
        <f>F205/11</f>
        <v>283.18181818181819</v>
      </c>
      <c r="H205" s="15">
        <f>F205-G205</f>
        <v>2831.818181818182</v>
      </c>
      <c r="I205" s="15">
        <f>E205-H205</f>
        <v>1168.181818181818</v>
      </c>
      <c r="J205" s="16">
        <f>(E205-H205)/H205</f>
        <v>0.41252006420545739</v>
      </c>
      <c r="K205" s="11" t="s">
        <v>18</v>
      </c>
      <c r="L205" s="11"/>
    </row>
    <row r="206" spans="1:12" x14ac:dyDescent="0.25">
      <c r="A206" s="17">
        <v>46203</v>
      </c>
      <c r="B206" s="11" t="s">
        <v>276</v>
      </c>
      <c r="C206" s="14">
        <v>61670053428</v>
      </c>
      <c r="D206" s="11" t="s">
        <v>17</v>
      </c>
      <c r="E206" s="11">
        <v>4000</v>
      </c>
      <c r="F206" s="11">
        <v>3115</v>
      </c>
      <c r="G206" s="15">
        <f>F206/11</f>
        <v>283.18181818181819</v>
      </c>
      <c r="H206" s="15">
        <f>F206-G206</f>
        <v>2831.818181818182</v>
      </c>
      <c r="I206" s="15">
        <f>E206-H206</f>
        <v>1168.181818181818</v>
      </c>
      <c r="J206" s="16">
        <f>(E206-H206)/H206</f>
        <v>0.41252006420545739</v>
      </c>
      <c r="K206" s="11" t="s">
        <v>18</v>
      </c>
      <c r="L206" s="11"/>
    </row>
    <row r="207" spans="1:12" x14ac:dyDescent="0.25">
      <c r="A207" s="17">
        <v>46203</v>
      </c>
      <c r="B207" s="11" t="s">
        <v>276</v>
      </c>
      <c r="C207" s="14">
        <v>61699071496</v>
      </c>
      <c r="D207" s="11" t="s">
        <v>17</v>
      </c>
      <c r="E207" s="11">
        <v>4000</v>
      </c>
      <c r="F207" s="11">
        <v>3115</v>
      </c>
      <c r="G207" s="15">
        <f>F207/11</f>
        <v>283.18181818181819</v>
      </c>
      <c r="H207" s="15">
        <f>F207-G207</f>
        <v>2831.818181818182</v>
      </c>
      <c r="I207" s="15">
        <f>E207-H207</f>
        <v>1168.181818181818</v>
      </c>
      <c r="J207" s="16">
        <f>(E207-H207)/H207</f>
        <v>0.41252006420545739</v>
      </c>
      <c r="K207" s="11" t="s">
        <v>18</v>
      </c>
      <c r="L207" s="11"/>
    </row>
    <row r="208" spans="1:12" x14ac:dyDescent="0.25">
      <c r="A208" s="17">
        <v>46203</v>
      </c>
      <c r="B208" s="11" t="s">
        <v>276</v>
      </c>
      <c r="C208" s="14">
        <v>69548862359</v>
      </c>
      <c r="D208" s="11" t="s">
        <v>17</v>
      </c>
      <c r="E208" s="11">
        <v>4000</v>
      </c>
      <c r="F208" s="11">
        <v>3115</v>
      </c>
      <c r="G208" s="15">
        <f>F208/11</f>
        <v>283.18181818181819</v>
      </c>
      <c r="H208" s="15">
        <f>F208-G208</f>
        <v>2831.818181818182</v>
      </c>
      <c r="I208" s="15">
        <f>E208-H208</f>
        <v>1168.181818181818</v>
      </c>
      <c r="J208" s="16">
        <f>(E208-H208)/H208</f>
        <v>0.41252006420545739</v>
      </c>
      <c r="K208" s="11" t="s">
        <v>18</v>
      </c>
      <c r="L208" s="11"/>
    </row>
    <row r="209" spans="1:12" x14ac:dyDescent="0.25">
      <c r="A209" s="17">
        <v>46203</v>
      </c>
      <c r="B209" s="11" t="s">
        <v>276</v>
      </c>
      <c r="C209" s="14">
        <v>79645154464</v>
      </c>
      <c r="D209" s="11" t="s">
        <v>17</v>
      </c>
      <c r="E209" s="11">
        <v>4000</v>
      </c>
      <c r="F209" s="11">
        <v>3115</v>
      </c>
      <c r="G209" s="15">
        <f>F209/11</f>
        <v>283.18181818181819</v>
      </c>
      <c r="H209" s="15">
        <f>F209-G209</f>
        <v>2831.818181818182</v>
      </c>
      <c r="I209" s="15">
        <f>E209-H209</f>
        <v>1168.181818181818</v>
      </c>
      <c r="J209" s="16">
        <f>(E209-H209)/H209</f>
        <v>0.41252006420545739</v>
      </c>
      <c r="K209" s="11" t="s">
        <v>18</v>
      </c>
      <c r="L209" s="11"/>
    </row>
    <row r="210" spans="1:12" x14ac:dyDescent="0.25">
      <c r="A210" s="17">
        <v>46203</v>
      </c>
      <c r="B210" s="11" t="s">
        <v>276</v>
      </c>
      <c r="C210" s="14">
        <v>89048444551</v>
      </c>
      <c r="D210" s="11" t="s">
        <v>17</v>
      </c>
      <c r="E210" s="11">
        <v>4000</v>
      </c>
      <c r="F210" s="11">
        <v>3115</v>
      </c>
      <c r="G210" s="15">
        <f>F210/11</f>
        <v>283.18181818181819</v>
      </c>
      <c r="H210" s="15">
        <f>F210-G210</f>
        <v>2831.818181818182</v>
      </c>
      <c r="I210" s="15">
        <f>E210-H210</f>
        <v>1168.181818181818</v>
      </c>
      <c r="J210" s="16">
        <f>(E210-H210)/H210</f>
        <v>0.41252006420545739</v>
      </c>
      <c r="K210" s="11" t="s">
        <v>18</v>
      </c>
      <c r="L210" s="11"/>
    </row>
    <row r="211" spans="1:12" x14ac:dyDescent="0.25">
      <c r="E211" s="12" t="s">
        <v>567</v>
      </c>
      <c r="F211" s="12" t="s">
        <v>568</v>
      </c>
      <c r="G211" s="13" t="s">
        <v>569</v>
      </c>
      <c r="H211" s="13" t="s">
        <v>570</v>
      </c>
      <c r="I211" s="13" t="s">
        <v>571</v>
      </c>
      <c r="J211" s="6" t="s">
        <v>572</v>
      </c>
      <c r="K211" s="11"/>
      <c r="L211" s="11"/>
    </row>
    <row r="212" spans="1:12" x14ac:dyDescent="0.25">
      <c r="E212" s="8">
        <f>SUM(E2:E211)</f>
        <v>657334.99</v>
      </c>
      <c r="F212" s="8">
        <f>SUM(F2:F211)</f>
        <v>560568.82000000007</v>
      </c>
      <c r="G212" s="9">
        <f>SUM(G2:G211)</f>
        <v>50960.801818181768</v>
      </c>
      <c r="H212" s="9">
        <f>SUM(H2:H211)</f>
        <v>509608.01818181848</v>
      </c>
      <c r="I212" s="9">
        <f>SUM(I2:I211)</f>
        <v>147726.97181818192</v>
      </c>
      <c r="J212" s="10">
        <f>AVERAGE(J2:J211)</f>
        <v>0.34285112332236367</v>
      </c>
      <c r="K212" s="11"/>
      <c r="L212" s="11"/>
    </row>
    <row r="218" spans="1:12" x14ac:dyDescent="0.25">
      <c r="C218" s="35"/>
    </row>
  </sheetData>
  <conditionalFormatting sqref="C218">
    <cfRule type="duplicateValues" dxfId="46" priority="3"/>
  </conditionalFormatting>
  <conditionalFormatting sqref="C218">
    <cfRule type="duplicateValues" dxfId="45" priority="2"/>
  </conditionalFormatting>
  <conditionalFormatting sqref="C1:C1048576">
    <cfRule type="duplicateValues" dxfId="44" priority="1"/>
  </conditionalFormatting>
  <conditionalFormatting sqref="C2:C210">
    <cfRule type="duplicateValues" dxfId="0" priority="3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EA52-4A09-4771-8155-97F59FDF1D1A}">
  <dimension ref="A1:K87"/>
  <sheetViews>
    <sheetView topLeftCell="A49" workbookViewId="0">
      <selection activeCell="F88" sqref="F88"/>
    </sheetView>
  </sheetViews>
  <sheetFormatPr defaultRowHeight="15" x14ac:dyDescent="0.25"/>
  <cols>
    <col min="1" max="1" width="14.5703125" style="25" customWidth="1"/>
    <col min="2" max="2" width="34.7109375" customWidth="1"/>
    <col min="3" max="3" width="35" style="25" customWidth="1"/>
    <col min="4" max="4" width="14.85546875" style="25" bestFit="1" customWidth="1"/>
    <col min="5" max="5" width="16.5703125" customWidth="1"/>
    <col min="6" max="6" width="14" bestFit="1" customWidth="1"/>
    <col min="7" max="7" width="14" style="3" customWidth="1"/>
    <col min="8" max="8" width="16.85546875" customWidth="1"/>
    <col min="9" max="9" width="19.28515625" customWidth="1"/>
    <col min="10" max="10" width="20.28515625" style="4" customWidth="1"/>
    <col min="11" max="11" width="29.140625" customWidth="1"/>
  </cols>
  <sheetData>
    <row r="1" spans="1:1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565</v>
      </c>
      <c r="H1" s="6" t="s">
        <v>573</v>
      </c>
      <c r="I1" s="6" t="s">
        <v>11</v>
      </c>
      <c r="J1" s="23" t="s">
        <v>12</v>
      </c>
      <c r="K1" s="6" t="s">
        <v>13</v>
      </c>
    </row>
    <row r="2" spans="1:11" x14ac:dyDescent="0.25">
      <c r="A2" s="27">
        <v>46192</v>
      </c>
      <c r="B2" s="11" t="s">
        <v>324</v>
      </c>
      <c r="C2" s="26">
        <v>21105082001253</v>
      </c>
      <c r="D2" s="24" t="s">
        <v>325</v>
      </c>
      <c r="E2" s="11">
        <v>3950</v>
      </c>
      <c r="F2" s="11">
        <v>3473.8</v>
      </c>
      <c r="G2" s="15">
        <f>F2*13.04/100</f>
        <v>452.98352</v>
      </c>
      <c r="H2" s="15">
        <f>F2-G2</f>
        <v>3020.8164800000004</v>
      </c>
      <c r="I2" s="15">
        <f>E2-H2</f>
        <v>929.18351999999959</v>
      </c>
      <c r="J2" s="16">
        <f>(E2-H2)/H2</f>
        <v>0.30759350200578867</v>
      </c>
      <c r="K2" s="11" t="s">
        <v>326</v>
      </c>
    </row>
    <row r="3" spans="1:11" x14ac:dyDescent="0.25">
      <c r="A3" s="27">
        <v>46192</v>
      </c>
      <c r="B3" s="11" t="s">
        <v>324</v>
      </c>
      <c r="C3" s="26">
        <v>21215082000339</v>
      </c>
      <c r="D3" s="24" t="s">
        <v>156</v>
      </c>
      <c r="E3" s="11">
        <v>4120</v>
      </c>
      <c r="F3" s="11">
        <v>3394.85</v>
      </c>
      <c r="G3" s="15">
        <f t="shared" ref="G3:G66" si="0">F3*13.04/100</f>
        <v>442.68843999999996</v>
      </c>
      <c r="H3" s="15">
        <f t="shared" ref="H3:H66" si="1">F3-G3</f>
        <v>2952.16156</v>
      </c>
      <c r="I3" s="15">
        <f t="shared" ref="I3:I66" si="2">E3-H3</f>
        <v>1167.83844</v>
      </c>
      <c r="J3" s="16">
        <f t="shared" ref="J3:J66" si="3">(E3-H3)/H3</f>
        <v>0.3955875775308178</v>
      </c>
      <c r="K3" s="11" t="s">
        <v>326</v>
      </c>
    </row>
    <row r="4" spans="1:11" x14ac:dyDescent="0.25">
      <c r="A4" s="27">
        <v>46192</v>
      </c>
      <c r="B4" s="11" t="s">
        <v>324</v>
      </c>
      <c r="C4" s="26">
        <v>21225082000143</v>
      </c>
      <c r="D4" s="24" t="s">
        <v>156</v>
      </c>
      <c r="E4" s="11">
        <v>4100</v>
      </c>
      <c r="F4" s="11">
        <v>3280.2</v>
      </c>
      <c r="G4" s="15">
        <f t="shared" si="0"/>
        <v>427.73807999999997</v>
      </c>
      <c r="H4" s="15">
        <f t="shared" si="1"/>
        <v>2852.4619199999997</v>
      </c>
      <c r="I4" s="15">
        <f t="shared" si="2"/>
        <v>1247.5380800000003</v>
      </c>
      <c r="J4" s="16">
        <f t="shared" si="3"/>
        <v>0.43735485871096236</v>
      </c>
      <c r="K4" s="11" t="s">
        <v>326</v>
      </c>
    </row>
    <row r="5" spans="1:11" x14ac:dyDescent="0.25">
      <c r="A5" s="27">
        <v>46192</v>
      </c>
      <c r="B5" s="11" t="s">
        <v>324</v>
      </c>
      <c r="C5" s="26">
        <v>21225082000144</v>
      </c>
      <c r="D5" s="24" t="s">
        <v>156</v>
      </c>
      <c r="E5" s="11">
        <v>4100</v>
      </c>
      <c r="F5" s="11">
        <v>3071.88</v>
      </c>
      <c r="G5" s="15">
        <f t="shared" si="0"/>
        <v>400.57315199999999</v>
      </c>
      <c r="H5" s="15">
        <f t="shared" si="1"/>
        <v>2671.3068480000002</v>
      </c>
      <c r="I5" s="15">
        <f t="shared" si="2"/>
        <v>1428.6931519999998</v>
      </c>
      <c r="J5" s="16">
        <f t="shared" si="3"/>
        <v>0.53482929266237544</v>
      </c>
      <c r="K5" s="11" t="s">
        <v>326</v>
      </c>
    </row>
    <row r="6" spans="1:11" x14ac:dyDescent="0.25">
      <c r="A6" s="27">
        <v>46192</v>
      </c>
      <c r="B6" s="11" t="s">
        <v>324</v>
      </c>
      <c r="C6" s="26">
        <v>21225082000254</v>
      </c>
      <c r="D6" s="24" t="s">
        <v>156</v>
      </c>
      <c r="E6" s="11">
        <v>4100</v>
      </c>
      <c r="F6" s="11">
        <v>3394.85</v>
      </c>
      <c r="G6" s="15">
        <f t="shared" si="0"/>
        <v>442.68843999999996</v>
      </c>
      <c r="H6" s="15">
        <f t="shared" si="1"/>
        <v>2952.16156</v>
      </c>
      <c r="I6" s="15">
        <f t="shared" si="2"/>
        <v>1147.83844</v>
      </c>
      <c r="J6" s="16">
        <f t="shared" si="3"/>
        <v>0.38881288055251284</v>
      </c>
      <c r="K6" s="11" t="s">
        <v>326</v>
      </c>
    </row>
    <row r="7" spans="1:11" x14ac:dyDescent="0.25">
      <c r="A7" s="27">
        <v>46192</v>
      </c>
      <c r="B7" s="11" t="s">
        <v>324</v>
      </c>
      <c r="C7" s="26">
        <v>21225082000546</v>
      </c>
      <c r="D7" s="24" t="s">
        <v>156</v>
      </c>
      <c r="E7" s="11">
        <v>4100</v>
      </c>
      <c r="F7" s="11">
        <v>3363.27</v>
      </c>
      <c r="G7" s="15">
        <f t="shared" si="0"/>
        <v>438.57040799999993</v>
      </c>
      <c r="H7" s="15">
        <f t="shared" si="1"/>
        <v>2924.6995919999999</v>
      </c>
      <c r="I7" s="15">
        <f t="shared" si="2"/>
        <v>1175.3004080000001</v>
      </c>
      <c r="J7" s="16">
        <f t="shared" si="3"/>
        <v>0.40185337708352237</v>
      </c>
      <c r="K7" s="11" t="s">
        <v>326</v>
      </c>
    </row>
    <row r="8" spans="1:11" x14ac:dyDescent="0.25">
      <c r="A8" s="27">
        <v>46192</v>
      </c>
      <c r="B8" s="11" t="s">
        <v>324</v>
      </c>
      <c r="C8" s="26">
        <v>21225082000603</v>
      </c>
      <c r="D8" s="24" t="s">
        <v>156</v>
      </c>
      <c r="E8" s="11">
        <v>4100</v>
      </c>
      <c r="F8" s="11">
        <v>3394.85</v>
      </c>
      <c r="G8" s="15">
        <f t="shared" si="0"/>
        <v>442.68843999999996</v>
      </c>
      <c r="H8" s="15">
        <f t="shared" si="1"/>
        <v>2952.16156</v>
      </c>
      <c r="I8" s="15">
        <f t="shared" si="2"/>
        <v>1147.83844</v>
      </c>
      <c r="J8" s="16">
        <f t="shared" si="3"/>
        <v>0.38881288055251284</v>
      </c>
      <c r="K8" s="11" t="s">
        <v>326</v>
      </c>
    </row>
    <row r="9" spans="1:11" x14ac:dyDescent="0.25">
      <c r="A9" s="27">
        <v>46192</v>
      </c>
      <c r="B9" s="11" t="s">
        <v>324</v>
      </c>
      <c r="C9" s="26">
        <v>21225082000606</v>
      </c>
      <c r="D9" s="24" t="s">
        <v>156</v>
      </c>
      <c r="E9" s="11">
        <v>4120</v>
      </c>
      <c r="F9" s="11">
        <v>3394.85</v>
      </c>
      <c r="G9" s="15">
        <f t="shared" si="0"/>
        <v>442.68843999999996</v>
      </c>
      <c r="H9" s="15">
        <f t="shared" si="1"/>
        <v>2952.16156</v>
      </c>
      <c r="I9" s="15">
        <f t="shared" si="2"/>
        <v>1167.83844</v>
      </c>
      <c r="J9" s="16">
        <f t="shared" si="3"/>
        <v>0.3955875775308178</v>
      </c>
      <c r="K9" s="11" t="s">
        <v>326</v>
      </c>
    </row>
    <row r="10" spans="1:11" x14ac:dyDescent="0.25">
      <c r="A10" s="27">
        <v>46192</v>
      </c>
      <c r="B10" s="11" t="s">
        <v>324</v>
      </c>
      <c r="C10" s="26">
        <v>21225082000609</v>
      </c>
      <c r="D10" s="24" t="s">
        <v>156</v>
      </c>
      <c r="E10" s="11">
        <v>4100</v>
      </c>
      <c r="F10" s="11">
        <v>3363.27</v>
      </c>
      <c r="G10" s="15">
        <f t="shared" si="0"/>
        <v>438.57040799999993</v>
      </c>
      <c r="H10" s="15">
        <f t="shared" si="1"/>
        <v>2924.6995919999999</v>
      </c>
      <c r="I10" s="15">
        <f t="shared" si="2"/>
        <v>1175.3004080000001</v>
      </c>
      <c r="J10" s="16">
        <f t="shared" si="3"/>
        <v>0.40185337708352237</v>
      </c>
      <c r="K10" s="11" t="s">
        <v>326</v>
      </c>
    </row>
    <row r="11" spans="1:11" x14ac:dyDescent="0.25">
      <c r="A11" s="27">
        <v>46192</v>
      </c>
      <c r="B11" s="11" t="s">
        <v>324</v>
      </c>
      <c r="C11" s="26">
        <v>21225082000614</v>
      </c>
      <c r="D11" s="24" t="s">
        <v>156</v>
      </c>
      <c r="E11" s="11">
        <v>4100</v>
      </c>
      <c r="F11" s="11">
        <v>3363.27</v>
      </c>
      <c r="G11" s="15">
        <f t="shared" si="0"/>
        <v>438.57040799999993</v>
      </c>
      <c r="H11" s="15">
        <f t="shared" si="1"/>
        <v>2924.6995919999999</v>
      </c>
      <c r="I11" s="15">
        <f t="shared" si="2"/>
        <v>1175.3004080000001</v>
      </c>
      <c r="J11" s="16">
        <f t="shared" si="3"/>
        <v>0.40185337708352237</v>
      </c>
      <c r="K11" s="11" t="s">
        <v>326</v>
      </c>
    </row>
    <row r="12" spans="1:11" x14ac:dyDescent="0.25">
      <c r="A12" s="27">
        <v>46192</v>
      </c>
      <c r="B12" s="11" t="s">
        <v>324</v>
      </c>
      <c r="C12" s="26">
        <v>21225082000616</v>
      </c>
      <c r="D12" s="24" t="s">
        <v>156</v>
      </c>
      <c r="E12" s="11">
        <v>4100</v>
      </c>
      <c r="F12" s="11">
        <v>3280.2</v>
      </c>
      <c r="G12" s="15">
        <f t="shared" si="0"/>
        <v>427.73807999999997</v>
      </c>
      <c r="H12" s="15">
        <f t="shared" si="1"/>
        <v>2852.4619199999997</v>
      </c>
      <c r="I12" s="15">
        <f t="shared" si="2"/>
        <v>1247.5380800000003</v>
      </c>
      <c r="J12" s="16">
        <f t="shared" si="3"/>
        <v>0.43735485871096236</v>
      </c>
      <c r="K12" s="11" t="s">
        <v>326</v>
      </c>
    </row>
    <row r="13" spans="1:11" x14ac:dyDescent="0.25">
      <c r="A13" s="27">
        <v>46192</v>
      </c>
      <c r="B13" s="11" t="s">
        <v>324</v>
      </c>
      <c r="C13" s="26">
        <v>21225082000623</v>
      </c>
      <c r="D13" s="24" t="s">
        <v>156</v>
      </c>
      <c r="E13" s="11">
        <v>4120</v>
      </c>
      <c r="F13" s="11">
        <v>3086.37</v>
      </c>
      <c r="G13" s="15">
        <f t="shared" si="0"/>
        <v>402.46264799999994</v>
      </c>
      <c r="H13" s="15">
        <f t="shared" si="1"/>
        <v>2683.9073520000002</v>
      </c>
      <c r="I13" s="15">
        <f t="shared" si="2"/>
        <v>1436.0926479999998</v>
      </c>
      <c r="J13" s="16">
        <f t="shared" si="3"/>
        <v>0.53507534339061635</v>
      </c>
      <c r="K13" s="11" t="s">
        <v>326</v>
      </c>
    </row>
    <row r="14" spans="1:11" x14ac:dyDescent="0.25">
      <c r="A14" s="27">
        <v>46192</v>
      </c>
      <c r="B14" s="11" t="s">
        <v>324</v>
      </c>
      <c r="C14" s="26">
        <v>21225082000761</v>
      </c>
      <c r="D14" s="24" t="s">
        <v>325</v>
      </c>
      <c r="E14" s="11">
        <v>3950</v>
      </c>
      <c r="F14" s="11">
        <v>3394.85</v>
      </c>
      <c r="G14" s="15">
        <f t="shared" si="0"/>
        <v>442.68843999999996</v>
      </c>
      <c r="H14" s="15">
        <f t="shared" si="1"/>
        <v>2952.16156</v>
      </c>
      <c r="I14" s="15">
        <f t="shared" si="2"/>
        <v>997.83843999999999</v>
      </c>
      <c r="J14" s="16">
        <f t="shared" si="3"/>
        <v>0.33800265321522577</v>
      </c>
      <c r="K14" s="11" t="s">
        <v>326</v>
      </c>
    </row>
    <row r="15" spans="1:11" x14ac:dyDescent="0.25">
      <c r="A15" s="27">
        <v>46192</v>
      </c>
      <c r="B15" s="11" t="s">
        <v>324</v>
      </c>
      <c r="C15" s="26">
        <v>21225082000762</v>
      </c>
      <c r="D15" s="24" t="s">
        <v>325</v>
      </c>
      <c r="E15" s="11">
        <v>3950</v>
      </c>
      <c r="F15" s="11">
        <v>3394.85</v>
      </c>
      <c r="G15" s="15">
        <f t="shared" si="0"/>
        <v>442.68843999999996</v>
      </c>
      <c r="H15" s="15">
        <f t="shared" si="1"/>
        <v>2952.16156</v>
      </c>
      <c r="I15" s="15">
        <f t="shared" si="2"/>
        <v>997.83843999999999</v>
      </c>
      <c r="J15" s="16">
        <f t="shared" si="3"/>
        <v>0.33800265321522577</v>
      </c>
      <c r="K15" s="11" t="s">
        <v>326</v>
      </c>
    </row>
    <row r="16" spans="1:11" x14ac:dyDescent="0.25">
      <c r="A16" s="27">
        <v>46192</v>
      </c>
      <c r="B16" s="11" t="s">
        <v>324</v>
      </c>
      <c r="C16" s="26">
        <v>21225082000764</v>
      </c>
      <c r="D16" s="24" t="s">
        <v>325</v>
      </c>
      <c r="E16" s="11">
        <v>3950</v>
      </c>
      <c r="F16" s="11">
        <v>3473.8</v>
      </c>
      <c r="G16" s="15">
        <f t="shared" si="0"/>
        <v>452.98352</v>
      </c>
      <c r="H16" s="15">
        <f t="shared" si="1"/>
        <v>3020.8164800000004</v>
      </c>
      <c r="I16" s="15">
        <f t="shared" si="2"/>
        <v>929.18351999999959</v>
      </c>
      <c r="J16" s="16">
        <f t="shared" si="3"/>
        <v>0.30759350200578867</v>
      </c>
      <c r="K16" s="11" t="s">
        <v>326</v>
      </c>
    </row>
    <row r="17" spans="1:11" x14ac:dyDescent="0.25">
      <c r="A17" s="27">
        <v>46192</v>
      </c>
      <c r="B17" s="11" t="s">
        <v>324</v>
      </c>
      <c r="C17" s="26">
        <v>21245082000068</v>
      </c>
      <c r="D17" s="24" t="s">
        <v>325</v>
      </c>
      <c r="E17" s="11">
        <v>3950</v>
      </c>
      <c r="F17" s="11">
        <v>3280.2</v>
      </c>
      <c r="G17" s="15">
        <f t="shared" si="0"/>
        <v>427.73807999999997</v>
      </c>
      <c r="H17" s="15">
        <f t="shared" si="1"/>
        <v>2852.4619199999997</v>
      </c>
      <c r="I17" s="15">
        <f t="shared" si="2"/>
        <v>1097.5380800000003</v>
      </c>
      <c r="J17" s="16">
        <f t="shared" si="3"/>
        <v>0.38476870534348812</v>
      </c>
      <c r="K17" s="11" t="s">
        <v>326</v>
      </c>
    </row>
    <row r="18" spans="1:11" x14ac:dyDescent="0.25">
      <c r="A18" s="27">
        <v>46192</v>
      </c>
      <c r="B18" s="11" t="s">
        <v>324</v>
      </c>
      <c r="C18" s="26">
        <v>21245082000332</v>
      </c>
      <c r="D18" s="24" t="s">
        <v>325</v>
      </c>
      <c r="E18" s="11">
        <v>3950</v>
      </c>
      <c r="F18" s="11">
        <v>3363.27</v>
      </c>
      <c r="G18" s="15">
        <f t="shared" si="0"/>
        <v>438.57040799999993</v>
      </c>
      <c r="H18" s="15">
        <f t="shared" si="1"/>
        <v>2924.6995919999999</v>
      </c>
      <c r="I18" s="15">
        <f t="shared" si="2"/>
        <v>1025.3004080000001</v>
      </c>
      <c r="J18" s="16">
        <f t="shared" si="3"/>
        <v>0.35056605840973498</v>
      </c>
      <c r="K18" s="11" t="s">
        <v>326</v>
      </c>
    </row>
    <row r="19" spans="1:11" x14ac:dyDescent="0.25">
      <c r="A19" s="27">
        <v>46192</v>
      </c>
      <c r="B19" s="11" t="s">
        <v>324</v>
      </c>
      <c r="C19" s="26">
        <v>21245082000333</v>
      </c>
      <c r="D19" s="24" t="s">
        <v>325</v>
      </c>
      <c r="E19" s="11">
        <v>3950</v>
      </c>
      <c r="F19" s="11">
        <v>3473.8</v>
      </c>
      <c r="G19" s="15">
        <f t="shared" si="0"/>
        <v>452.98352</v>
      </c>
      <c r="H19" s="15">
        <f t="shared" si="1"/>
        <v>3020.8164800000004</v>
      </c>
      <c r="I19" s="15">
        <f t="shared" si="2"/>
        <v>929.18351999999959</v>
      </c>
      <c r="J19" s="16">
        <f t="shared" si="3"/>
        <v>0.30759350200578867</v>
      </c>
      <c r="K19" s="11" t="s">
        <v>326</v>
      </c>
    </row>
    <row r="20" spans="1:11" x14ac:dyDescent="0.25">
      <c r="A20" s="27">
        <v>46192</v>
      </c>
      <c r="B20" s="11" t="s">
        <v>324</v>
      </c>
      <c r="C20" s="26">
        <v>21245082000336</v>
      </c>
      <c r="D20" s="24" t="s">
        <v>325</v>
      </c>
      <c r="E20" s="11">
        <v>3950</v>
      </c>
      <c r="F20" s="11">
        <v>3473.8</v>
      </c>
      <c r="G20" s="15">
        <f t="shared" si="0"/>
        <v>452.98352</v>
      </c>
      <c r="H20" s="15">
        <f t="shared" si="1"/>
        <v>3020.8164800000004</v>
      </c>
      <c r="I20" s="15">
        <f t="shared" si="2"/>
        <v>929.18351999999959</v>
      </c>
      <c r="J20" s="16">
        <f t="shared" si="3"/>
        <v>0.30759350200578867</v>
      </c>
      <c r="K20" s="11" t="s">
        <v>326</v>
      </c>
    </row>
    <row r="21" spans="1:11" x14ac:dyDescent="0.25">
      <c r="A21" s="27">
        <v>46192</v>
      </c>
      <c r="B21" s="11" t="s">
        <v>324</v>
      </c>
      <c r="C21" s="26">
        <v>21245082000337</v>
      </c>
      <c r="D21" s="24" t="s">
        <v>325</v>
      </c>
      <c r="E21" s="11">
        <v>3950</v>
      </c>
      <c r="F21" s="11">
        <v>3394.85</v>
      </c>
      <c r="G21" s="15">
        <f t="shared" si="0"/>
        <v>442.68843999999996</v>
      </c>
      <c r="H21" s="15">
        <f t="shared" si="1"/>
        <v>2952.16156</v>
      </c>
      <c r="I21" s="15">
        <f t="shared" si="2"/>
        <v>997.83843999999999</v>
      </c>
      <c r="J21" s="16">
        <f t="shared" si="3"/>
        <v>0.33800265321522577</v>
      </c>
      <c r="K21" s="11" t="s">
        <v>326</v>
      </c>
    </row>
    <row r="22" spans="1:11" x14ac:dyDescent="0.25">
      <c r="A22" s="27">
        <v>46192</v>
      </c>
      <c r="B22" s="11" t="s">
        <v>324</v>
      </c>
      <c r="C22" s="26">
        <v>21245082000338</v>
      </c>
      <c r="D22" s="24" t="s">
        <v>325</v>
      </c>
      <c r="E22" s="11">
        <v>3950</v>
      </c>
      <c r="F22" s="11">
        <v>3394.85</v>
      </c>
      <c r="G22" s="15">
        <f t="shared" si="0"/>
        <v>442.68843999999996</v>
      </c>
      <c r="H22" s="15">
        <f t="shared" si="1"/>
        <v>2952.16156</v>
      </c>
      <c r="I22" s="15">
        <f t="shared" si="2"/>
        <v>997.83843999999999</v>
      </c>
      <c r="J22" s="16">
        <f t="shared" si="3"/>
        <v>0.33800265321522577</v>
      </c>
      <c r="K22" s="11" t="s">
        <v>326</v>
      </c>
    </row>
    <row r="23" spans="1:11" x14ac:dyDescent="0.25">
      <c r="A23" s="27">
        <v>46192</v>
      </c>
      <c r="B23" s="11" t="s">
        <v>324</v>
      </c>
      <c r="C23" s="26">
        <v>21245082000339</v>
      </c>
      <c r="D23" s="24" t="s">
        <v>325</v>
      </c>
      <c r="E23" s="11">
        <v>3950</v>
      </c>
      <c r="F23" s="11">
        <v>3363.27</v>
      </c>
      <c r="G23" s="15">
        <f t="shared" si="0"/>
        <v>438.57040799999993</v>
      </c>
      <c r="H23" s="15">
        <f t="shared" si="1"/>
        <v>2924.6995919999999</v>
      </c>
      <c r="I23" s="15">
        <f t="shared" si="2"/>
        <v>1025.3004080000001</v>
      </c>
      <c r="J23" s="16">
        <f t="shared" si="3"/>
        <v>0.35056605840973498</v>
      </c>
      <c r="K23" s="11" t="s">
        <v>326</v>
      </c>
    </row>
    <row r="24" spans="1:11" x14ac:dyDescent="0.25">
      <c r="A24" s="27">
        <v>46192</v>
      </c>
      <c r="B24" s="11" t="s">
        <v>324</v>
      </c>
      <c r="C24" s="26">
        <v>21245082000584</v>
      </c>
      <c r="D24" s="24" t="s">
        <v>156</v>
      </c>
      <c r="E24" s="11">
        <v>4100</v>
      </c>
      <c r="F24" s="11">
        <v>3280.2</v>
      </c>
      <c r="G24" s="15">
        <f t="shared" si="0"/>
        <v>427.73807999999997</v>
      </c>
      <c r="H24" s="15">
        <f t="shared" si="1"/>
        <v>2852.4619199999997</v>
      </c>
      <c r="I24" s="15">
        <f t="shared" si="2"/>
        <v>1247.5380800000003</v>
      </c>
      <c r="J24" s="16">
        <f t="shared" si="3"/>
        <v>0.43735485871096236</v>
      </c>
      <c r="K24" s="11" t="s">
        <v>326</v>
      </c>
    </row>
    <row r="25" spans="1:11" x14ac:dyDescent="0.25">
      <c r="A25" s="27">
        <v>46192</v>
      </c>
      <c r="B25" s="11" t="s">
        <v>324</v>
      </c>
      <c r="C25" s="26">
        <v>21245082000586</v>
      </c>
      <c r="D25" s="24" t="s">
        <v>156</v>
      </c>
      <c r="E25" s="11">
        <v>4100</v>
      </c>
      <c r="F25" s="11">
        <v>3363.27</v>
      </c>
      <c r="G25" s="15">
        <f t="shared" si="0"/>
        <v>438.57040799999993</v>
      </c>
      <c r="H25" s="15">
        <f t="shared" si="1"/>
        <v>2924.6995919999999</v>
      </c>
      <c r="I25" s="15">
        <f t="shared" si="2"/>
        <v>1175.3004080000001</v>
      </c>
      <c r="J25" s="16">
        <f t="shared" si="3"/>
        <v>0.40185337708352237</v>
      </c>
      <c r="K25" s="11" t="s">
        <v>326</v>
      </c>
    </row>
    <row r="26" spans="1:11" x14ac:dyDescent="0.25">
      <c r="A26" s="27">
        <v>46192</v>
      </c>
      <c r="B26" s="11" t="s">
        <v>324</v>
      </c>
      <c r="C26" s="26">
        <v>21245082000587</v>
      </c>
      <c r="D26" s="24" t="s">
        <v>156</v>
      </c>
      <c r="E26" s="11">
        <v>4100</v>
      </c>
      <c r="F26" s="11">
        <v>3071.88</v>
      </c>
      <c r="G26" s="15">
        <f t="shared" si="0"/>
        <v>400.57315199999999</v>
      </c>
      <c r="H26" s="15">
        <f t="shared" si="1"/>
        <v>2671.3068480000002</v>
      </c>
      <c r="I26" s="15">
        <f t="shared" si="2"/>
        <v>1428.6931519999998</v>
      </c>
      <c r="J26" s="16">
        <f t="shared" si="3"/>
        <v>0.53482929266237544</v>
      </c>
      <c r="K26" s="11" t="s">
        <v>326</v>
      </c>
    </row>
    <row r="27" spans="1:11" x14ac:dyDescent="0.25">
      <c r="A27" s="27">
        <v>46192</v>
      </c>
      <c r="B27" s="11" t="s">
        <v>324</v>
      </c>
      <c r="C27" s="26">
        <v>21245082000862</v>
      </c>
      <c r="D27" s="24" t="s">
        <v>156</v>
      </c>
      <c r="E27" s="11">
        <v>4100</v>
      </c>
      <c r="F27" s="11">
        <v>3394.85</v>
      </c>
      <c r="G27" s="15">
        <f t="shared" si="0"/>
        <v>442.68843999999996</v>
      </c>
      <c r="H27" s="15">
        <f t="shared" si="1"/>
        <v>2952.16156</v>
      </c>
      <c r="I27" s="15">
        <f t="shared" si="2"/>
        <v>1147.83844</v>
      </c>
      <c r="J27" s="16">
        <f t="shared" si="3"/>
        <v>0.38881288055251284</v>
      </c>
      <c r="K27" s="11" t="s">
        <v>326</v>
      </c>
    </row>
    <row r="28" spans="1:11" x14ac:dyDescent="0.25">
      <c r="A28" s="27">
        <v>46192</v>
      </c>
      <c r="B28" s="11" t="s">
        <v>324</v>
      </c>
      <c r="C28" s="26">
        <v>21245082000867</v>
      </c>
      <c r="D28" s="24" t="s">
        <v>156</v>
      </c>
      <c r="E28" s="11">
        <v>4100</v>
      </c>
      <c r="F28" s="11">
        <v>3394.85</v>
      </c>
      <c r="G28" s="15">
        <f t="shared" si="0"/>
        <v>442.68843999999996</v>
      </c>
      <c r="H28" s="15">
        <f t="shared" si="1"/>
        <v>2952.16156</v>
      </c>
      <c r="I28" s="15">
        <f t="shared" si="2"/>
        <v>1147.83844</v>
      </c>
      <c r="J28" s="16">
        <f t="shared" si="3"/>
        <v>0.38881288055251284</v>
      </c>
      <c r="K28" s="11" t="s">
        <v>326</v>
      </c>
    </row>
    <row r="29" spans="1:11" x14ac:dyDescent="0.25">
      <c r="A29" s="27">
        <v>46192</v>
      </c>
      <c r="B29" s="11" t="s">
        <v>324</v>
      </c>
      <c r="C29" s="26">
        <v>21245082000954</v>
      </c>
      <c r="D29" s="24" t="s">
        <v>156</v>
      </c>
      <c r="E29" s="11">
        <v>4100</v>
      </c>
      <c r="F29" s="11">
        <v>3394.85</v>
      </c>
      <c r="G29" s="15">
        <f t="shared" si="0"/>
        <v>442.68843999999996</v>
      </c>
      <c r="H29" s="15">
        <f t="shared" si="1"/>
        <v>2952.16156</v>
      </c>
      <c r="I29" s="15">
        <f t="shared" si="2"/>
        <v>1147.83844</v>
      </c>
      <c r="J29" s="16">
        <f t="shared" si="3"/>
        <v>0.38881288055251284</v>
      </c>
      <c r="K29" s="11" t="s">
        <v>326</v>
      </c>
    </row>
    <row r="30" spans="1:11" x14ac:dyDescent="0.25">
      <c r="A30" s="27">
        <v>46192</v>
      </c>
      <c r="B30" s="11" t="s">
        <v>324</v>
      </c>
      <c r="C30" s="26">
        <v>21245082001193</v>
      </c>
      <c r="D30" s="24" t="s">
        <v>156</v>
      </c>
      <c r="E30" s="11">
        <v>4100</v>
      </c>
      <c r="F30" s="11">
        <v>3363.27</v>
      </c>
      <c r="G30" s="15">
        <f t="shared" si="0"/>
        <v>438.57040799999993</v>
      </c>
      <c r="H30" s="15">
        <f t="shared" si="1"/>
        <v>2924.6995919999999</v>
      </c>
      <c r="I30" s="15">
        <f t="shared" si="2"/>
        <v>1175.3004080000001</v>
      </c>
      <c r="J30" s="16">
        <f t="shared" si="3"/>
        <v>0.40185337708352237</v>
      </c>
      <c r="K30" s="11" t="s">
        <v>326</v>
      </c>
    </row>
    <row r="31" spans="1:11" x14ac:dyDescent="0.25">
      <c r="A31" s="27">
        <v>46192</v>
      </c>
      <c r="B31" s="11" t="s">
        <v>324</v>
      </c>
      <c r="C31" s="26">
        <v>21245082001194</v>
      </c>
      <c r="D31" s="24" t="s">
        <v>156</v>
      </c>
      <c r="E31" s="11">
        <v>4120</v>
      </c>
      <c r="F31" s="11">
        <v>3086.37</v>
      </c>
      <c r="G31" s="15">
        <f t="shared" si="0"/>
        <v>402.46264799999994</v>
      </c>
      <c r="H31" s="15">
        <f t="shared" si="1"/>
        <v>2683.9073520000002</v>
      </c>
      <c r="I31" s="15">
        <f t="shared" si="2"/>
        <v>1436.0926479999998</v>
      </c>
      <c r="J31" s="16">
        <f t="shared" si="3"/>
        <v>0.53507534339061635</v>
      </c>
      <c r="K31" s="11" t="s">
        <v>326</v>
      </c>
    </row>
    <row r="32" spans="1:11" x14ac:dyDescent="0.25">
      <c r="A32" s="27">
        <v>46192</v>
      </c>
      <c r="B32" s="11" t="s">
        <v>324</v>
      </c>
      <c r="C32" s="26">
        <v>21245082001195</v>
      </c>
      <c r="D32" s="24" t="s">
        <v>156</v>
      </c>
      <c r="E32" s="11">
        <v>4100</v>
      </c>
      <c r="F32" s="11">
        <v>3086.37</v>
      </c>
      <c r="G32" s="15">
        <f t="shared" si="0"/>
        <v>402.46264799999994</v>
      </c>
      <c r="H32" s="15">
        <f t="shared" si="1"/>
        <v>2683.9073520000002</v>
      </c>
      <c r="I32" s="15">
        <f t="shared" si="2"/>
        <v>1416.0926479999998</v>
      </c>
      <c r="J32" s="16">
        <f t="shared" si="3"/>
        <v>0.52762352133532209</v>
      </c>
      <c r="K32" s="11" t="s">
        <v>326</v>
      </c>
    </row>
    <row r="33" spans="1:11" x14ac:dyDescent="0.25">
      <c r="A33" s="27">
        <v>46192</v>
      </c>
      <c r="B33" s="11" t="s">
        <v>324</v>
      </c>
      <c r="C33" s="26">
        <v>21245082001196</v>
      </c>
      <c r="D33" s="24" t="s">
        <v>156</v>
      </c>
      <c r="E33" s="11">
        <v>4120</v>
      </c>
      <c r="F33" s="11">
        <v>3086.37</v>
      </c>
      <c r="G33" s="15">
        <f t="shared" si="0"/>
        <v>402.46264799999994</v>
      </c>
      <c r="H33" s="15">
        <f t="shared" si="1"/>
        <v>2683.9073520000002</v>
      </c>
      <c r="I33" s="15">
        <f t="shared" si="2"/>
        <v>1436.0926479999998</v>
      </c>
      <c r="J33" s="16">
        <f t="shared" si="3"/>
        <v>0.53507534339061635</v>
      </c>
      <c r="K33" s="11" t="s">
        <v>326</v>
      </c>
    </row>
    <row r="34" spans="1:11" x14ac:dyDescent="0.25">
      <c r="A34" s="27">
        <v>46192</v>
      </c>
      <c r="B34" s="11" t="s">
        <v>324</v>
      </c>
      <c r="C34" s="26">
        <v>21245082001242</v>
      </c>
      <c r="D34" s="24" t="s">
        <v>156</v>
      </c>
      <c r="E34" s="11">
        <v>4100</v>
      </c>
      <c r="F34" s="11">
        <v>3086.37</v>
      </c>
      <c r="G34" s="15">
        <f t="shared" si="0"/>
        <v>402.46264799999994</v>
      </c>
      <c r="H34" s="15">
        <f t="shared" si="1"/>
        <v>2683.9073520000002</v>
      </c>
      <c r="I34" s="15">
        <f t="shared" si="2"/>
        <v>1416.0926479999998</v>
      </c>
      <c r="J34" s="16">
        <f t="shared" si="3"/>
        <v>0.52762352133532209</v>
      </c>
      <c r="K34" s="11" t="s">
        <v>326</v>
      </c>
    </row>
    <row r="35" spans="1:11" x14ac:dyDescent="0.25">
      <c r="A35" s="27">
        <v>46192</v>
      </c>
      <c r="B35" s="11" t="s">
        <v>324</v>
      </c>
      <c r="C35" s="26">
        <v>21245082001245</v>
      </c>
      <c r="D35" s="24" t="s">
        <v>156</v>
      </c>
      <c r="E35" s="11">
        <v>4100</v>
      </c>
      <c r="F35" s="11">
        <v>3363.27</v>
      </c>
      <c r="G35" s="15">
        <f t="shared" si="0"/>
        <v>438.57040799999993</v>
      </c>
      <c r="H35" s="15">
        <f t="shared" si="1"/>
        <v>2924.6995919999999</v>
      </c>
      <c r="I35" s="15">
        <f t="shared" si="2"/>
        <v>1175.3004080000001</v>
      </c>
      <c r="J35" s="16">
        <f t="shared" si="3"/>
        <v>0.40185337708352237</v>
      </c>
      <c r="K35" s="11" t="s">
        <v>326</v>
      </c>
    </row>
    <row r="36" spans="1:11" x14ac:dyDescent="0.25">
      <c r="A36" s="27">
        <v>46192</v>
      </c>
      <c r="B36" s="11" t="s">
        <v>324</v>
      </c>
      <c r="C36" s="26">
        <v>21245082001246</v>
      </c>
      <c r="D36" s="24" t="s">
        <v>156</v>
      </c>
      <c r="E36" s="11">
        <v>4120</v>
      </c>
      <c r="F36" s="11">
        <v>3363.27</v>
      </c>
      <c r="G36" s="15">
        <f t="shared" si="0"/>
        <v>438.57040799999993</v>
      </c>
      <c r="H36" s="15">
        <f t="shared" si="1"/>
        <v>2924.6995919999999</v>
      </c>
      <c r="I36" s="15">
        <f t="shared" si="2"/>
        <v>1195.3004080000001</v>
      </c>
      <c r="J36" s="16">
        <f t="shared" si="3"/>
        <v>0.40869168624002739</v>
      </c>
      <c r="K36" s="11" t="s">
        <v>326</v>
      </c>
    </row>
    <row r="37" spans="1:11" x14ac:dyDescent="0.25">
      <c r="A37" s="27">
        <v>46192</v>
      </c>
      <c r="B37" s="11" t="s">
        <v>324</v>
      </c>
      <c r="C37" s="26">
        <v>21245082001247</v>
      </c>
      <c r="D37" s="24" t="s">
        <v>156</v>
      </c>
      <c r="E37" s="11">
        <v>4100</v>
      </c>
      <c r="F37" s="11">
        <v>3363.27</v>
      </c>
      <c r="G37" s="15">
        <f t="shared" si="0"/>
        <v>438.57040799999993</v>
      </c>
      <c r="H37" s="15">
        <f t="shared" si="1"/>
        <v>2924.6995919999999</v>
      </c>
      <c r="I37" s="15">
        <f t="shared" si="2"/>
        <v>1175.3004080000001</v>
      </c>
      <c r="J37" s="16">
        <f t="shared" si="3"/>
        <v>0.40185337708352237</v>
      </c>
      <c r="K37" s="11" t="s">
        <v>326</v>
      </c>
    </row>
    <row r="38" spans="1:11" x14ac:dyDescent="0.25">
      <c r="A38" s="27">
        <v>46192</v>
      </c>
      <c r="B38" s="11" t="s">
        <v>324</v>
      </c>
      <c r="C38" s="26">
        <v>21245082001248</v>
      </c>
      <c r="D38" s="24" t="s">
        <v>156</v>
      </c>
      <c r="E38" s="11">
        <v>4100</v>
      </c>
      <c r="F38" s="11">
        <v>3363.27</v>
      </c>
      <c r="G38" s="15">
        <f t="shared" si="0"/>
        <v>438.57040799999993</v>
      </c>
      <c r="H38" s="15">
        <f t="shared" si="1"/>
        <v>2924.6995919999999</v>
      </c>
      <c r="I38" s="15">
        <f t="shared" si="2"/>
        <v>1175.3004080000001</v>
      </c>
      <c r="J38" s="16">
        <f t="shared" si="3"/>
        <v>0.40185337708352237</v>
      </c>
      <c r="K38" s="11" t="s">
        <v>326</v>
      </c>
    </row>
    <row r="39" spans="1:11" x14ac:dyDescent="0.25">
      <c r="A39" s="27">
        <v>46192</v>
      </c>
      <c r="B39" s="11" t="s">
        <v>324</v>
      </c>
      <c r="C39" s="26">
        <v>21245082001283</v>
      </c>
      <c r="D39" s="24" t="s">
        <v>156</v>
      </c>
      <c r="E39" s="11">
        <v>4120</v>
      </c>
      <c r="F39" s="11">
        <v>3363.27</v>
      </c>
      <c r="G39" s="15">
        <f t="shared" si="0"/>
        <v>438.57040799999993</v>
      </c>
      <c r="H39" s="15">
        <f t="shared" si="1"/>
        <v>2924.6995919999999</v>
      </c>
      <c r="I39" s="15">
        <f t="shared" si="2"/>
        <v>1195.3004080000001</v>
      </c>
      <c r="J39" s="16">
        <f t="shared" si="3"/>
        <v>0.40869168624002739</v>
      </c>
      <c r="K39" s="11" t="s">
        <v>326</v>
      </c>
    </row>
    <row r="40" spans="1:11" x14ac:dyDescent="0.25">
      <c r="A40" s="27">
        <v>46193</v>
      </c>
      <c r="B40" s="11" t="s">
        <v>324</v>
      </c>
      <c r="C40" s="26">
        <v>21215082000331</v>
      </c>
      <c r="D40" s="24" t="s">
        <v>156</v>
      </c>
      <c r="E40" s="11">
        <v>4100</v>
      </c>
      <c r="F40" s="11">
        <v>3394.85</v>
      </c>
      <c r="G40" s="15">
        <f t="shared" si="0"/>
        <v>442.68843999999996</v>
      </c>
      <c r="H40" s="15">
        <f t="shared" si="1"/>
        <v>2952.16156</v>
      </c>
      <c r="I40" s="15">
        <f t="shared" si="2"/>
        <v>1147.83844</v>
      </c>
      <c r="J40" s="16">
        <f t="shared" si="3"/>
        <v>0.38881288055251284</v>
      </c>
      <c r="K40" s="11" t="s">
        <v>326</v>
      </c>
    </row>
    <row r="41" spans="1:11" x14ac:dyDescent="0.25">
      <c r="A41" s="27">
        <v>46193</v>
      </c>
      <c r="B41" s="11" t="s">
        <v>324</v>
      </c>
      <c r="C41" s="26">
        <v>21215082000332</v>
      </c>
      <c r="D41" s="24" t="s">
        <v>156</v>
      </c>
      <c r="E41" s="11">
        <v>4100</v>
      </c>
      <c r="F41" s="11">
        <v>3394.85</v>
      </c>
      <c r="G41" s="15">
        <f t="shared" si="0"/>
        <v>442.68843999999996</v>
      </c>
      <c r="H41" s="15">
        <f t="shared" si="1"/>
        <v>2952.16156</v>
      </c>
      <c r="I41" s="15">
        <f t="shared" si="2"/>
        <v>1147.83844</v>
      </c>
      <c r="J41" s="16">
        <f t="shared" si="3"/>
        <v>0.38881288055251284</v>
      </c>
      <c r="K41" s="11" t="s">
        <v>326</v>
      </c>
    </row>
    <row r="42" spans="1:11" x14ac:dyDescent="0.25">
      <c r="A42" s="27">
        <v>46193</v>
      </c>
      <c r="B42" s="11" t="s">
        <v>324</v>
      </c>
      <c r="C42" s="26">
        <v>21215082000338</v>
      </c>
      <c r="D42" s="24" t="s">
        <v>156</v>
      </c>
      <c r="E42" s="11">
        <v>4100</v>
      </c>
      <c r="F42" s="11">
        <v>3394.85</v>
      </c>
      <c r="G42" s="15">
        <f t="shared" si="0"/>
        <v>442.68843999999996</v>
      </c>
      <c r="H42" s="15">
        <f t="shared" si="1"/>
        <v>2952.16156</v>
      </c>
      <c r="I42" s="15">
        <f t="shared" si="2"/>
        <v>1147.83844</v>
      </c>
      <c r="J42" s="16">
        <f t="shared" si="3"/>
        <v>0.38881288055251284</v>
      </c>
      <c r="K42" s="11" t="s">
        <v>326</v>
      </c>
    </row>
    <row r="43" spans="1:11" x14ac:dyDescent="0.25">
      <c r="A43" s="27">
        <v>46193</v>
      </c>
      <c r="B43" s="11" t="s">
        <v>324</v>
      </c>
      <c r="C43" s="26">
        <v>21225082000142</v>
      </c>
      <c r="D43" s="24" t="s">
        <v>156</v>
      </c>
      <c r="E43" s="11">
        <v>4100</v>
      </c>
      <c r="F43" s="11">
        <v>3071.88</v>
      </c>
      <c r="G43" s="15">
        <f t="shared" si="0"/>
        <v>400.57315199999999</v>
      </c>
      <c r="H43" s="15">
        <f t="shared" si="1"/>
        <v>2671.3068480000002</v>
      </c>
      <c r="I43" s="15">
        <f t="shared" si="2"/>
        <v>1428.6931519999998</v>
      </c>
      <c r="J43" s="16">
        <f t="shared" si="3"/>
        <v>0.53482929266237544</v>
      </c>
      <c r="K43" s="11" t="s">
        <v>326</v>
      </c>
    </row>
    <row r="44" spans="1:11" x14ac:dyDescent="0.25">
      <c r="A44" s="27">
        <v>46193</v>
      </c>
      <c r="B44" s="11" t="s">
        <v>324</v>
      </c>
      <c r="C44" s="26">
        <v>21235082000146</v>
      </c>
      <c r="D44" s="24" t="s">
        <v>325</v>
      </c>
      <c r="E44" s="11">
        <v>3990</v>
      </c>
      <c r="F44" s="11">
        <v>3280.2</v>
      </c>
      <c r="G44" s="15">
        <f t="shared" si="0"/>
        <v>427.73807999999997</v>
      </c>
      <c r="H44" s="15">
        <f t="shared" si="1"/>
        <v>2852.4619199999997</v>
      </c>
      <c r="I44" s="15">
        <f t="shared" si="2"/>
        <v>1137.5380800000003</v>
      </c>
      <c r="J44" s="16">
        <f t="shared" si="3"/>
        <v>0.39879167957481459</v>
      </c>
      <c r="K44" s="11" t="s">
        <v>326</v>
      </c>
    </row>
    <row r="45" spans="1:11" x14ac:dyDescent="0.25">
      <c r="A45" s="27">
        <v>46193</v>
      </c>
      <c r="B45" s="11" t="s">
        <v>324</v>
      </c>
      <c r="C45" s="26">
        <v>21245082000064</v>
      </c>
      <c r="D45" s="24" t="s">
        <v>325</v>
      </c>
      <c r="E45" s="11">
        <v>3990</v>
      </c>
      <c r="F45" s="11">
        <v>3280.2</v>
      </c>
      <c r="G45" s="15">
        <f t="shared" si="0"/>
        <v>427.73807999999997</v>
      </c>
      <c r="H45" s="15">
        <f t="shared" si="1"/>
        <v>2852.4619199999997</v>
      </c>
      <c r="I45" s="15">
        <f t="shared" si="2"/>
        <v>1137.5380800000003</v>
      </c>
      <c r="J45" s="16">
        <f t="shared" si="3"/>
        <v>0.39879167957481459</v>
      </c>
      <c r="K45" s="11" t="s">
        <v>326</v>
      </c>
    </row>
    <row r="46" spans="1:11" x14ac:dyDescent="0.25">
      <c r="A46" s="27">
        <v>46193</v>
      </c>
      <c r="B46" s="11" t="s">
        <v>324</v>
      </c>
      <c r="C46" s="26">
        <v>21245082000065</v>
      </c>
      <c r="D46" s="24" t="s">
        <v>325</v>
      </c>
      <c r="E46" s="11">
        <v>3950</v>
      </c>
      <c r="F46" s="11">
        <v>3280.2</v>
      </c>
      <c r="G46" s="15">
        <f t="shared" si="0"/>
        <v>427.73807999999997</v>
      </c>
      <c r="H46" s="15">
        <f t="shared" si="1"/>
        <v>2852.4619199999997</v>
      </c>
      <c r="I46" s="15">
        <f t="shared" si="2"/>
        <v>1097.5380800000003</v>
      </c>
      <c r="J46" s="16">
        <f t="shared" si="3"/>
        <v>0.38476870534348812</v>
      </c>
      <c r="K46" s="11" t="s">
        <v>326</v>
      </c>
    </row>
    <row r="47" spans="1:11" x14ac:dyDescent="0.25">
      <c r="A47" s="27">
        <v>46193</v>
      </c>
      <c r="B47" s="11" t="s">
        <v>324</v>
      </c>
      <c r="C47" s="26">
        <v>21245082000340</v>
      </c>
      <c r="D47" s="24" t="s">
        <v>325</v>
      </c>
      <c r="E47" s="11">
        <v>3950</v>
      </c>
      <c r="F47" s="11">
        <v>3280.2</v>
      </c>
      <c r="G47" s="15">
        <f t="shared" si="0"/>
        <v>427.73807999999997</v>
      </c>
      <c r="H47" s="15">
        <f t="shared" si="1"/>
        <v>2852.4619199999997</v>
      </c>
      <c r="I47" s="15">
        <f t="shared" si="2"/>
        <v>1097.5380800000003</v>
      </c>
      <c r="J47" s="16">
        <f t="shared" si="3"/>
        <v>0.38476870534348812</v>
      </c>
      <c r="K47" s="11" t="s">
        <v>326</v>
      </c>
    </row>
    <row r="48" spans="1:11" x14ac:dyDescent="0.25">
      <c r="A48" s="27">
        <v>46193</v>
      </c>
      <c r="B48" s="11" t="s">
        <v>324</v>
      </c>
      <c r="C48" s="26">
        <v>21245082000590</v>
      </c>
      <c r="D48" s="24" t="s">
        <v>156</v>
      </c>
      <c r="E48" s="11">
        <v>4100</v>
      </c>
      <c r="F48" s="11">
        <v>3363.27</v>
      </c>
      <c r="G48" s="15">
        <f t="shared" si="0"/>
        <v>438.57040799999993</v>
      </c>
      <c r="H48" s="15">
        <f t="shared" si="1"/>
        <v>2924.6995919999999</v>
      </c>
      <c r="I48" s="15">
        <f t="shared" si="2"/>
        <v>1175.3004080000001</v>
      </c>
      <c r="J48" s="16">
        <f t="shared" si="3"/>
        <v>0.40185337708352237</v>
      </c>
      <c r="K48" s="11" t="s">
        <v>326</v>
      </c>
    </row>
    <row r="49" spans="1:11" x14ac:dyDescent="0.25">
      <c r="A49" s="27">
        <v>46193</v>
      </c>
      <c r="B49" s="11" t="s">
        <v>324</v>
      </c>
      <c r="C49" s="26">
        <v>21245082000783</v>
      </c>
      <c r="D49" s="24" t="s">
        <v>156</v>
      </c>
      <c r="E49" s="11">
        <v>4100</v>
      </c>
      <c r="F49" s="11">
        <v>3394.85</v>
      </c>
      <c r="G49" s="15">
        <f t="shared" si="0"/>
        <v>442.68843999999996</v>
      </c>
      <c r="H49" s="15">
        <f t="shared" si="1"/>
        <v>2952.16156</v>
      </c>
      <c r="I49" s="15">
        <f t="shared" si="2"/>
        <v>1147.83844</v>
      </c>
      <c r="J49" s="16">
        <f t="shared" si="3"/>
        <v>0.38881288055251284</v>
      </c>
      <c r="K49" s="11" t="s">
        <v>326</v>
      </c>
    </row>
    <row r="50" spans="1:11" x14ac:dyDescent="0.25">
      <c r="A50" s="27">
        <v>46193</v>
      </c>
      <c r="B50" s="11" t="s">
        <v>324</v>
      </c>
      <c r="C50" s="26">
        <v>21245082001191</v>
      </c>
      <c r="D50" s="24" t="s">
        <v>156</v>
      </c>
      <c r="E50" s="11">
        <v>4100</v>
      </c>
      <c r="F50" s="11">
        <v>3086.37</v>
      </c>
      <c r="G50" s="15">
        <f t="shared" si="0"/>
        <v>402.46264799999994</v>
      </c>
      <c r="H50" s="15">
        <f t="shared" si="1"/>
        <v>2683.9073520000002</v>
      </c>
      <c r="I50" s="15">
        <f t="shared" si="2"/>
        <v>1416.0926479999998</v>
      </c>
      <c r="J50" s="16">
        <f t="shared" si="3"/>
        <v>0.52762352133532209</v>
      </c>
      <c r="K50" s="11" t="s">
        <v>326</v>
      </c>
    </row>
    <row r="51" spans="1:11" x14ac:dyDescent="0.25">
      <c r="A51" s="27">
        <v>46193</v>
      </c>
      <c r="B51" s="11" t="s">
        <v>324</v>
      </c>
      <c r="C51" s="26">
        <v>21245082001241</v>
      </c>
      <c r="D51" s="24" t="s">
        <v>156</v>
      </c>
      <c r="E51" s="11">
        <v>4100</v>
      </c>
      <c r="F51" s="11">
        <v>3280.2</v>
      </c>
      <c r="G51" s="15">
        <f t="shared" si="0"/>
        <v>427.73807999999997</v>
      </c>
      <c r="H51" s="15">
        <f t="shared" si="1"/>
        <v>2852.4619199999997</v>
      </c>
      <c r="I51" s="15">
        <f t="shared" si="2"/>
        <v>1247.5380800000003</v>
      </c>
      <c r="J51" s="16">
        <f t="shared" si="3"/>
        <v>0.43735485871096236</v>
      </c>
      <c r="K51" s="11" t="s">
        <v>326</v>
      </c>
    </row>
    <row r="52" spans="1:11" x14ac:dyDescent="0.25">
      <c r="A52" s="27">
        <v>46193</v>
      </c>
      <c r="B52" s="11" t="s">
        <v>324</v>
      </c>
      <c r="C52" s="26">
        <v>21245082001243</v>
      </c>
      <c r="D52" s="24" t="s">
        <v>156</v>
      </c>
      <c r="E52" s="11">
        <v>4100</v>
      </c>
      <c r="F52" s="11">
        <v>3394.85</v>
      </c>
      <c r="G52" s="15">
        <f t="shared" si="0"/>
        <v>442.68843999999996</v>
      </c>
      <c r="H52" s="15">
        <f t="shared" si="1"/>
        <v>2952.16156</v>
      </c>
      <c r="I52" s="15">
        <f t="shared" si="2"/>
        <v>1147.83844</v>
      </c>
      <c r="J52" s="16">
        <f t="shared" si="3"/>
        <v>0.38881288055251284</v>
      </c>
      <c r="K52" s="11" t="s">
        <v>326</v>
      </c>
    </row>
    <row r="53" spans="1:11" x14ac:dyDescent="0.25">
      <c r="A53" s="27">
        <v>46193</v>
      </c>
      <c r="B53" s="11" t="s">
        <v>324</v>
      </c>
      <c r="C53" s="26">
        <v>21245082001250</v>
      </c>
      <c r="D53" s="24" t="s">
        <v>156</v>
      </c>
      <c r="E53" s="11">
        <v>4100</v>
      </c>
      <c r="F53" s="11">
        <v>3086.37</v>
      </c>
      <c r="G53" s="15">
        <f t="shared" si="0"/>
        <v>402.46264799999994</v>
      </c>
      <c r="H53" s="15">
        <f t="shared" si="1"/>
        <v>2683.9073520000002</v>
      </c>
      <c r="I53" s="15">
        <f t="shared" si="2"/>
        <v>1416.0926479999998</v>
      </c>
      <c r="J53" s="16">
        <f t="shared" si="3"/>
        <v>0.52762352133532209</v>
      </c>
      <c r="K53" s="11" t="s">
        <v>326</v>
      </c>
    </row>
    <row r="54" spans="1:11" x14ac:dyDescent="0.25">
      <c r="A54" s="27">
        <v>46193</v>
      </c>
      <c r="B54" s="11" t="s">
        <v>396</v>
      </c>
      <c r="C54" s="26" t="s">
        <v>404</v>
      </c>
      <c r="D54" s="24" t="s">
        <v>405</v>
      </c>
      <c r="E54" s="11">
        <v>340</v>
      </c>
      <c r="F54" s="11">
        <v>314.60000000000002</v>
      </c>
      <c r="G54" s="15">
        <f t="shared" si="0"/>
        <v>41.02384</v>
      </c>
      <c r="H54" s="15">
        <f t="shared" si="1"/>
        <v>273.57616000000002</v>
      </c>
      <c r="I54" s="15">
        <f t="shared" si="2"/>
        <v>66.423839999999984</v>
      </c>
      <c r="J54" s="16">
        <f t="shared" si="3"/>
        <v>0.2427983490959153</v>
      </c>
      <c r="K54" s="11" t="s">
        <v>326</v>
      </c>
    </row>
    <row r="55" spans="1:11" x14ac:dyDescent="0.25">
      <c r="A55" s="27">
        <v>46193</v>
      </c>
      <c r="B55" s="11" t="s">
        <v>396</v>
      </c>
      <c r="C55" s="26" t="s">
        <v>406</v>
      </c>
      <c r="D55" s="24" t="s">
        <v>405</v>
      </c>
      <c r="E55" s="11">
        <v>340</v>
      </c>
      <c r="F55" s="11">
        <v>314.60000000000002</v>
      </c>
      <c r="G55" s="15">
        <f t="shared" si="0"/>
        <v>41.02384</v>
      </c>
      <c r="H55" s="15">
        <f t="shared" si="1"/>
        <v>273.57616000000002</v>
      </c>
      <c r="I55" s="15">
        <f t="shared" si="2"/>
        <v>66.423839999999984</v>
      </c>
      <c r="J55" s="16">
        <f t="shared" si="3"/>
        <v>0.2427983490959153</v>
      </c>
      <c r="K55" s="11" t="s">
        <v>326</v>
      </c>
    </row>
    <row r="56" spans="1:11" x14ac:dyDescent="0.25">
      <c r="A56" s="27">
        <v>46193</v>
      </c>
      <c r="B56" s="11" t="s">
        <v>396</v>
      </c>
      <c r="C56" s="26" t="s">
        <v>415</v>
      </c>
      <c r="D56" s="24" t="s">
        <v>405</v>
      </c>
      <c r="E56" s="11">
        <v>340</v>
      </c>
      <c r="F56" s="11">
        <v>314.60000000000002</v>
      </c>
      <c r="G56" s="15">
        <f t="shared" si="0"/>
        <v>41.02384</v>
      </c>
      <c r="H56" s="15">
        <f t="shared" si="1"/>
        <v>273.57616000000002</v>
      </c>
      <c r="I56" s="15">
        <f t="shared" si="2"/>
        <v>66.423839999999984</v>
      </c>
      <c r="J56" s="16">
        <f t="shared" si="3"/>
        <v>0.2427983490959153</v>
      </c>
      <c r="K56" s="11" t="s">
        <v>326</v>
      </c>
    </row>
    <row r="57" spans="1:11" x14ac:dyDescent="0.25">
      <c r="A57" s="27">
        <v>46195</v>
      </c>
      <c r="B57" s="11" t="s">
        <v>324</v>
      </c>
      <c r="C57" s="26">
        <v>21225082000622</v>
      </c>
      <c r="D57" s="24" t="s">
        <v>156</v>
      </c>
      <c r="E57" s="11">
        <v>4110</v>
      </c>
      <c r="F57" s="11">
        <v>3394.85</v>
      </c>
      <c r="G57" s="15">
        <f t="shared" si="0"/>
        <v>442.68843999999996</v>
      </c>
      <c r="H57" s="15">
        <f t="shared" si="1"/>
        <v>2952.16156</v>
      </c>
      <c r="I57" s="15">
        <f t="shared" si="2"/>
        <v>1157.83844</v>
      </c>
      <c r="J57" s="16">
        <f t="shared" si="3"/>
        <v>0.39220022904166529</v>
      </c>
      <c r="K57" s="11" t="s">
        <v>326</v>
      </c>
    </row>
    <row r="58" spans="1:11" x14ac:dyDescent="0.25">
      <c r="A58" s="27">
        <v>46197</v>
      </c>
      <c r="B58" s="11" t="s">
        <v>324</v>
      </c>
      <c r="C58" s="26">
        <v>21225082000617</v>
      </c>
      <c r="D58" s="24" t="s">
        <v>156</v>
      </c>
      <c r="E58" s="11">
        <v>4200</v>
      </c>
      <c r="F58" s="11">
        <v>3086.37</v>
      </c>
      <c r="G58" s="15">
        <f t="shared" si="0"/>
        <v>402.46264799999994</v>
      </c>
      <c r="H58" s="15">
        <f t="shared" si="1"/>
        <v>2683.9073520000002</v>
      </c>
      <c r="I58" s="15">
        <f t="shared" si="2"/>
        <v>1516.0926479999998</v>
      </c>
      <c r="J58" s="16">
        <f t="shared" si="3"/>
        <v>0.56488263161179331</v>
      </c>
      <c r="K58" s="11" t="s">
        <v>326</v>
      </c>
    </row>
    <row r="59" spans="1:11" x14ac:dyDescent="0.25">
      <c r="A59" s="27">
        <v>46197</v>
      </c>
      <c r="B59" s="11" t="s">
        <v>324</v>
      </c>
      <c r="C59" s="26">
        <v>21245082000585</v>
      </c>
      <c r="D59" s="24" t="s">
        <v>156</v>
      </c>
      <c r="E59" s="11">
        <v>4200</v>
      </c>
      <c r="F59" s="11">
        <v>3394.85</v>
      </c>
      <c r="G59" s="15">
        <f t="shared" si="0"/>
        <v>442.68843999999996</v>
      </c>
      <c r="H59" s="15">
        <f t="shared" si="1"/>
        <v>2952.16156</v>
      </c>
      <c r="I59" s="15">
        <f t="shared" si="2"/>
        <v>1247.83844</v>
      </c>
      <c r="J59" s="16">
        <f t="shared" si="3"/>
        <v>0.42268636544403754</v>
      </c>
      <c r="K59" s="11" t="s">
        <v>326</v>
      </c>
    </row>
    <row r="60" spans="1:11" x14ac:dyDescent="0.25">
      <c r="A60" s="27">
        <v>46197</v>
      </c>
      <c r="B60" s="11" t="s">
        <v>324</v>
      </c>
      <c r="C60" s="26">
        <v>21245082000869</v>
      </c>
      <c r="D60" s="24" t="s">
        <v>156</v>
      </c>
      <c r="E60" s="11">
        <v>4200</v>
      </c>
      <c r="F60" s="11">
        <v>3394.85</v>
      </c>
      <c r="G60" s="15">
        <f t="shared" si="0"/>
        <v>442.68843999999996</v>
      </c>
      <c r="H60" s="15">
        <f t="shared" si="1"/>
        <v>2952.16156</v>
      </c>
      <c r="I60" s="15">
        <f t="shared" si="2"/>
        <v>1247.83844</v>
      </c>
      <c r="J60" s="16">
        <f t="shared" si="3"/>
        <v>0.42268636544403754</v>
      </c>
      <c r="K60" s="11" t="s">
        <v>326</v>
      </c>
    </row>
    <row r="61" spans="1:11" x14ac:dyDescent="0.25">
      <c r="A61" s="27">
        <v>46197</v>
      </c>
      <c r="B61" s="11" t="s">
        <v>208</v>
      </c>
      <c r="C61" s="26">
        <v>59469859757</v>
      </c>
      <c r="D61" s="24" t="s">
        <v>17</v>
      </c>
      <c r="E61" s="11">
        <v>21500</v>
      </c>
      <c r="F61" s="11">
        <v>7059.86</v>
      </c>
      <c r="G61" s="15">
        <f t="shared" si="0"/>
        <v>920.60574399999985</v>
      </c>
      <c r="H61" s="15">
        <f t="shared" si="1"/>
        <v>6139.2542560000002</v>
      </c>
      <c r="I61" s="15">
        <f t="shared" si="2"/>
        <v>15360.745744</v>
      </c>
      <c r="J61" s="16">
        <f t="shared" si="3"/>
        <v>2.5020540123399639</v>
      </c>
      <c r="K61" s="11" t="s">
        <v>326</v>
      </c>
    </row>
    <row r="62" spans="1:11" x14ac:dyDescent="0.25">
      <c r="A62" s="27">
        <v>46200</v>
      </c>
      <c r="B62" s="11" t="s">
        <v>276</v>
      </c>
      <c r="C62" s="26">
        <v>41521060716</v>
      </c>
      <c r="D62" s="24" t="s">
        <v>17</v>
      </c>
      <c r="E62" s="11">
        <v>4000</v>
      </c>
      <c r="F62" s="11">
        <v>3440</v>
      </c>
      <c r="G62" s="15">
        <f t="shared" si="0"/>
        <v>448.57599999999996</v>
      </c>
      <c r="H62" s="15">
        <f t="shared" si="1"/>
        <v>2991.424</v>
      </c>
      <c r="I62" s="15">
        <f t="shared" si="2"/>
        <v>1008.576</v>
      </c>
      <c r="J62" s="16">
        <f t="shared" si="3"/>
        <v>0.33715581609293771</v>
      </c>
      <c r="K62" s="11" t="s">
        <v>326</v>
      </c>
    </row>
    <row r="63" spans="1:11" x14ac:dyDescent="0.25">
      <c r="A63" s="27">
        <v>46200</v>
      </c>
      <c r="B63" s="11" t="s">
        <v>276</v>
      </c>
      <c r="C63" s="26">
        <v>51485094755</v>
      </c>
      <c r="D63" s="24" t="s">
        <v>17</v>
      </c>
      <c r="E63" s="11">
        <v>4000</v>
      </c>
      <c r="F63" s="11">
        <v>3440</v>
      </c>
      <c r="G63" s="15">
        <f t="shared" si="0"/>
        <v>448.57599999999996</v>
      </c>
      <c r="H63" s="15">
        <f t="shared" si="1"/>
        <v>2991.424</v>
      </c>
      <c r="I63" s="15">
        <f t="shared" si="2"/>
        <v>1008.576</v>
      </c>
      <c r="J63" s="16">
        <f t="shared" si="3"/>
        <v>0.33715581609293771</v>
      </c>
      <c r="K63" s="11" t="s">
        <v>326</v>
      </c>
    </row>
    <row r="64" spans="1:11" x14ac:dyDescent="0.25">
      <c r="A64" s="27">
        <v>46200</v>
      </c>
      <c r="B64" s="11" t="s">
        <v>276</v>
      </c>
      <c r="C64" s="26">
        <v>51492087441</v>
      </c>
      <c r="D64" s="24" t="s">
        <v>17</v>
      </c>
      <c r="E64" s="11">
        <v>4000</v>
      </c>
      <c r="F64" s="11">
        <v>3440</v>
      </c>
      <c r="G64" s="15">
        <f t="shared" si="0"/>
        <v>448.57599999999996</v>
      </c>
      <c r="H64" s="15">
        <f t="shared" si="1"/>
        <v>2991.424</v>
      </c>
      <c r="I64" s="15">
        <f t="shared" si="2"/>
        <v>1008.576</v>
      </c>
      <c r="J64" s="16">
        <f t="shared" si="3"/>
        <v>0.33715581609293771</v>
      </c>
      <c r="K64" s="11" t="s">
        <v>326</v>
      </c>
    </row>
    <row r="65" spans="1:11" x14ac:dyDescent="0.25">
      <c r="A65" s="27">
        <v>46200</v>
      </c>
      <c r="B65" s="11" t="s">
        <v>276</v>
      </c>
      <c r="C65" s="26">
        <v>51522027412</v>
      </c>
      <c r="D65" s="24" t="s">
        <v>17</v>
      </c>
      <c r="E65" s="11">
        <v>4000</v>
      </c>
      <c r="F65" s="11">
        <v>3440</v>
      </c>
      <c r="G65" s="15">
        <f t="shared" si="0"/>
        <v>448.57599999999996</v>
      </c>
      <c r="H65" s="15">
        <f t="shared" si="1"/>
        <v>2991.424</v>
      </c>
      <c r="I65" s="15">
        <f t="shared" si="2"/>
        <v>1008.576</v>
      </c>
      <c r="J65" s="16">
        <f t="shared" si="3"/>
        <v>0.33715581609293771</v>
      </c>
      <c r="K65" s="11" t="s">
        <v>326</v>
      </c>
    </row>
    <row r="66" spans="1:11" x14ac:dyDescent="0.25">
      <c r="A66" s="27">
        <v>46200</v>
      </c>
      <c r="B66" s="11" t="s">
        <v>276</v>
      </c>
      <c r="C66" s="26">
        <v>51561059438</v>
      </c>
      <c r="D66" s="24" t="s">
        <v>17</v>
      </c>
      <c r="E66" s="11">
        <v>4000</v>
      </c>
      <c r="F66" s="11">
        <v>3440</v>
      </c>
      <c r="G66" s="15">
        <f t="shared" si="0"/>
        <v>448.57599999999996</v>
      </c>
      <c r="H66" s="15">
        <f t="shared" si="1"/>
        <v>2991.424</v>
      </c>
      <c r="I66" s="15">
        <f t="shared" si="2"/>
        <v>1008.576</v>
      </c>
      <c r="J66" s="16">
        <f t="shared" si="3"/>
        <v>0.33715581609293771</v>
      </c>
      <c r="K66" s="11" t="s">
        <v>326</v>
      </c>
    </row>
    <row r="67" spans="1:11" x14ac:dyDescent="0.25">
      <c r="A67" s="27">
        <v>46200</v>
      </c>
      <c r="B67" s="11" t="s">
        <v>276</v>
      </c>
      <c r="C67" s="26">
        <v>51571009420</v>
      </c>
      <c r="D67" s="24" t="s">
        <v>17</v>
      </c>
      <c r="E67" s="11">
        <v>4000</v>
      </c>
      <c r="F67" s="11">
        <v>3440</v>
      </c>
      <c r="G67" s="15">
        <f t="shared" ref="G67:G85" si="4">F67*13.04/100</f>
        <v>448.57599999999996</v>
      </c>
      <c r="H67" s="15">
        <f t="shared" ref="H67:H85" si="5">F67-G67</f>
        <v>2991.424</v>
      </c>
      <c r="I67" s="15">
        <f t="shared" ref="I67:I85" si="6">E67-H67</f>
        <v>1008.576</v>
      </c>
      <c r="J67" s="16">
        <f t="shared" ref="J67:J85" si="7">(E67-H67)/H67</f>
        <v>0.33715581609293771</v>
      </c>
      <c r="K67" s="11" t="s">
        <v>326</v>
      </c>
    </row>
    <row r="68" spans="1:11" x14ac:dyDescent="0.25">
      <c r="A68" s="27">
        <v>46200</v>
      </c>
      <c r="B68" s="11" t="s">
        <v>276</v>
      </c>
      <c r="C68" s="26">
        <v>51695082427</v>
      </c>
      <c r="D68" s="24" t="s">
        <v>17</v>
      </c>
      <c r="E68" s="11">
        <v>4000</v>
      </c>
      <c r="F68" s="11">
        <v>3440</v>
      </c>
      <c r="G68" s="15">
        <f t="shared" si="4"/>
        <v>448.57599999999996</v>
      </c>
      <c r="H68" s="15">
        <f t="shared" si="5"/>
        <v>2991.424</v>
      </c>
      <c r="I68" s="15">
        <f t="shared" si="6"/>
        <v>1008.576</v>
      </c>
      <c r="J68" s="16">
        <f t="shared" si="7"/>
        <v>0.33715581609293771</v>
      </c>
      <c r="K68" s="11" t="s">
        <v>326</v>
      </c>
    </row>
    <row r="69" spans="1:11" x14ac:dyDescent="0.25">
      <c r="A69" s="27">
        <v>46200</v>
      </c>
      <c r="B69" s="11" t="s">
        <v>276</v>
      </c>
      <c r="C69" s="26">
        <v>61443088466</v>
      </c>
      <c r="D69" s="24" t="s">
        <v>17</v>
      </c>
      <c r="E69" s="11">
        <v>4000</v>
      </c>
      <c r="F69" s="11">
        <v>3440</v>
      </c>
      <c r="G69" s="15">
        <f t="shared" si="4"/>
        <v>448.57599999999996</v>
      </c>
      <c r="H69" s="15">
        <f t="shared" si="5"/>
        <v>2991.424</v>
      </c>
      <c r="I69" s="15">
        <f t="shared" si="6"/>
        <v>1008.576</v>
      </c>
      <c r="J69" s="16">
        <f t="shared" si="7"/>
        <v>0.33715581609293771</v>
      </c>
      <c r="K69" s="11" t="s">
        <v>326</v>
      </c>
    </row>
    <row r="70" spans="1:11" x14ac:dyDescent="0.25">
      <c r="A70" s="27">
        <v>46200</v>
      </c>
      <c r="B70" s="11" t="s">
        <v>276</v>
      </c>
      <c r="C70" s="26">
        <v>61626068403</v>
      </c>
      <c r="D70" s="24" t="s">
        <v>17</v>
      </c>
      <c r="E70" s="11">
        <v>4000</v>
      </c>
      <c r="F70" s="11">
        <v>3440</v>
      </c>
      <c r="G70" s="15">
        <f t="shared" si="4"/>
        <v>448.57599999999996</v>
      </c>
      <c r="H70" s="15">
        <f t="shared" si="5"/>
        <v>2991.424</v>
      </c>
      <c r="I70" s="15">
        <f t="shared" si="6"/>
        <v>1008.576</v>
      </c>
      <c r="J70" s="16">
        <f t="shared" si="7"/>
        <v>0.33715581609293771</v>
      </c>
      <c r="K70" s="11" t="s">
        <v>326</v>
      </c>
    </row>
    <row r="71" spans="1:11" x14ac:dyDescent="0.25">
      <c r="A71" s="27">
        <v>46200</v>
      </c>
      <c r="B71" s="11" t="s">
        <v>276</v>
      </c>
      <c r="C71" s="26">
        <v>61656053480</v>
      </c>
      <c r="D71" s="24" t="s">
        <v>17</v>
      </c>
      <c r="E71" s="11">
        <v>4000</v>
      </c>
      <c r="F71" s="11">
        <v>3440</v>
      </c>
      <c r="G71" s="15">
        <f t="shared" si="4"/>
        <v>448.57599999999996</v>
      </c>
      <c r="H71" s="15">
        <f t="shared" si="5"/>
        <v>2991.424</v>
      </c>
      <c r="I71" s="15">
        <f t="shared" si="6"/>
        <v>1008.576</v>
      </c>
      <c r="J71" s="16">
        <f t="shared" si="7"/>
        <v>0.33715581609293771</v>
      </c>
      <c r="K71" s="11" t="s">
        <v>326</v>
      </c>
    </row>
    <row r="72" spans="1:11" x14ac:dyDescent="0.25">
      <c r="A72" s="27">
        <v>46200</v>
      </c>
      <c r="B72" s="11" t="s">
        <v>276</v>
      </c>
      <c r="C72" s="26">
        <v>71637097455</v>
      </c>
      <c r="D72" s="24" t="s">
        <v>17</v>
      </c>
      <c r="E72" s="11">
        <v>4000</v>
      </c>
      <c r="F72" s="11">
        <v>3440</v>
      </c>
      <c r="G72" s="15">
        <f t="shared" si="4"/>
        <v>448.57599999999996</v>
      </c>
      <c r="H72" s="15">
        <f t="shared" si="5"/>
        <v>2991.424</v>
      </c>
      <c r="I72" s="15">
        <f t="shared" si="6"/>
        <v>1008.576</v>
      </c>
      <c r="J72" s="16">
        <f t="shared" si="7"/>
        <v>0.33715581609293771</v>
      </c>
      <c r="K72" s="11" t="s">
        <v>326</v>
      </c>
    </row>
    <row r="73" spans="1:11" x14ac:dyDescent="0.25">
      <c r="A73" s="27">
        <v>46200</v>
      </c>
      <c r="B73" s="11" t="s">
        <v>276</v>
      </c>
      <c r="C73" s="26">
        <v>71641071478</v>
      </c>
      <c r="D73" s="24" t="s">
        <v>17</v>
      </c>
      <c r="E73" s="11">
        <v>4000</v>
      </c>
      <c r="F73" s="11">
        <v>3440</v>
      </c>
      <c r="G73" s="15">
        <f t="shared" si="4"/>
        <v>448.57599999999996</v>
      </c>
      <c r="H73" s="15">
        <f t="shared" si="5"/>
        <v>2991.424</v>
      </c>
      <c r="I73" s="15">
        <f t="shared" si="6"/>
        <v>1008.576</v>
      </c>
      <c r="J73" s="16">
        <f t="shared" si="7"/>
        <v>0.33715581609293771</v>
      </c>
      <c r="K73" s="11" t="s">
        <v>326</v>
      </c>
    </row>
    <row r="74" spans="1:11" x14ac:dyDescent="0.25">
      <c r="A74" s="27">
        <v>46202</v>
      </c>
      <c r="B74" s="11" t="s">
        <v>324</v>
      </c>
      <c r="C74" s="26">
        <v>21215082000333</v>
      </c>
      <c r="D74" s="24" t="s">
        <v>156</v>
      </c>
      <c r="E74" s="11">
        <v>4125</v>
      </c>
      <c r="F74" s="11">
        <v>3394.85</v>
      </c>
      <c r="G74" s="15">
        <f t="shared" si="4"/>
        <v>442.68843999999996</v>
      </c>
      <c r="H74" s="15">
        <f t="shared" si="5"/>
        <v>2952.16156</v>
      </c>
      <c r="I74" s="15">
        <f t="shared" si="6"/>
        <v>1172.83844</v>
      </c>
      <c r="J74" s="16">
        <f t="shared" si="7"/>
        <v>0.39728125177539403</v>
      </c>
      <c r="K74" s="11" t="s">
        <v>326</v>
      </c>
    </row>
    <row r="75" spans="1:11" x14ac:dyDescent="0.25">
      <c r="A75" s="27">
        <v>46202</v>
      </c>
      <c r="B75" s="11" t="s">
        <v>324</v>
      </c>
      <c r="C75" s="26">
        <v>21215082000334</v>
      </c>
      <c r="D75" s="24" t="s">
        <v>156</v>
      </c>
      <c r="E75" s="11">
        <v>4125</v>
      </c>
      <c r="F75" s="11">
        <v>3394.85</v>
      </c>
      <c r="G75" s="15">
        <f t="shared" si="4"/>
        <v>442.68843999999996</v>
      </c>
      <c r="H75" s="15">
        <f t="shared" si="5"/>
        <v>2952.16156</v>
      </c>
      <c r="I75" s="15">
        <f t="shared" si="6"/>
        <v>1172.83844</v>
      </c>
      <c r="J75" s="16">
        <f t="shared" si="7"/>
        <v>0.39728125177539403</v>
      </c>
      <c r="K75" s="11" t="s">
        <v>326</v>
      </c>
    </row>
    <row r="76" spans="1:11" x14ac:dyDescent="0.25">
      <c r="A76" s="27">
        <v>46202</v>
      </c>
      <c r="B76" s="11" t="s">
        <v>324</v>
      </c>
      <c r="C76" s="26">
        <v>21215082000337</v>
      </c>
      <c r="D76" s="24" t="s">
        <v>156</v>
      </c>
      <c r="E76" s="11">
        <v>4125</v>
      </c>
      <c r="F76" s="11">
        <v>3394.85</v>
      </c>
      <c r="G76" s="15">
        <f t="shared" si="4"/>
        <v>442.68843999999996</v>
      </c>
      <c r="H76" s="15">
        <f t="shared" si="5"/>
        <v>2952.16156</v>
      </c>
      <c r="I76" s="15">
        <f t="shared" si="6"/>
        <v>1172.83844</v>
      </c>
      <c r="J76" s="16">
        <f t="shared" si="7"/>
        <v>0.39728125177539403</v>
      </c>
      <c r="K76" s="11" t="s">
        <v>326</v>
      </c>
    </row>
    <row r="77" spans="1:11" x14ac:dyDescent="0.25">
      <c r="A77" s="27">
        <v>46202</v>
      </c>
      <c r="B77" s="11" t="s">
        <v>324</v>
      </c>
      <c r="C77" s="26">
        <v>21215082000340</v>
      </c>
      <c r="D77" s="24" t="s">
        <v>156</v>
      </c>
      <c r="E77" s="11">
        <v>4125</v>
      </c>
      <c r="F77" s="11">
        <v>3394.85</v>
      </c>
      <c r="G77" s="15">
        <f t="shared" si="4"/>
        <v>442.68843999999996</v>
      </c>
      <c r="H77" s="15">
        <f t="shared" si="5"/>
        <v>2952.16156</v>
      </c>
      <c r="I77" s="15">
        <f t="shared" si="6"/>
        <v>1172.83844</v>
      </c>
      <c r="J77" s="16">
        <f t="shared" si="7"/>
        <v>0.39728125177539403</v>
      </c>
      <c r="K77" s="11" t="s">
        <v>326</v>
      </c>
    </row>
    <row r="78" spans="1:11" x14ac:dyDescent="0.25">
      <c r="A78" s="27">
        <v>46202</v>
      </c>
      <c r="B78" s="11" t="s">
        <v>324</v>
      </c>
      <c r="C78" s="26">
        <v>21225082000255</v>
      </c>
      <c r="D78" s="24" t="s">
        <v>156</v>
      </c>
      <c r="E78" s="11">
        <v>4125</v>
      </c>
      <c r="F78" s="11">
        <v>3394.85</v>
      </c>
      <c r="G78" s="15">
        <f t="shared" si="4"/>
        <v>442.68843999999996</v>
      </c>
      <c r="H78" s="15">
        <f t="shared" si="5"/>
        <v>2952.16156</v>
      </c>
      <c r="I78" s="15">
        <f t="shared" si="6"/>
        <v>1172.83844</v>
      </c>
      <c r="J78" s="16">
        <f t="shared" si="7"/>
        <v>0.39728125177539403</v>
      </c>
      <c r="K78" s="11" t="s">
        <v>326</v>
      </c>
    </row>
    <row r="79" spans="1:11" x14ac:dyDescent="0.25">
      <c r="A79" s="27">
        <v>46202</v>
      </c>
      <c r="B79" s="11" t="s">
        <v>324</v>
      </c>
      <c r="C79" s="26">
        <v>21225082000624</v>
      </c>
      <c r="D79" s="24" t="s">
        <v>156</v>
      </c>
      <c r="E79" s="11">
        <v>4125</v>
      </c>
      <c r="F79" s="11">
        <v>3394.85</v>
      </c>
      <c r="G79" s="15">
        <f t="shared" si="4"/>
        <v>442.68843999999996</v>
      </c>
      <c r="H79" s="15">
        <f t="shared" si="5"/>
        <v>2952.16156</v>
      </c>
      <c r="I79" s="15">
        <f t="shared" si="6"/>
        <v>1172.83844</v>
      </c>
      <c r="J79" s="16">
        <f t="shared" si="7"/>
        <v>0.39728125177539403</v>
      </c>
      <c r="K79" s="11" t="s">
        <v>326</v>
      </c>
    </row>
    <row r="80" spans="1:11" x14ac:dyDescent="0.25">
      <c r="A80" s="27">
        <v>46202</v>
      </c>
      <c r="B80" s="11" t="s">
        <v>324</v>
      </c>
      <c r="C80" s="26">
        <v>21225082000626</v>
      </c>
      <c r="D80" s="24" t="s">
        <v>156</v>
      </c>
      <c r="E80" s="11">
        <v>4125</v>
      </c>
      <c r="F80" s="11">
        <v>3394.85</v>
      </c>
      <c r="G80" s="15">
        <f t="shared" si="4"/>
        <v>442.68843999999996</v>
      </c>
      <c r="H80" s="15">
        <f t="shared" si="5"/>
        <v>2952.16156</v>
      </c>
      <c r="I80" s="15">
        <f t="shared" si="6"/>
        <v>1172.83844</v>
      </c>
      <c r="J80" s="16">
        <f t="shared" si="7"/>
        <v>0.39728125177539403</v>
      </c>
      <c r="K80" s="11" t="s">
        <v>326</v>
      </c>
    </row>
    <row r="81" spans="1:11" x14ac:dyDescent="0.25">
      <c r="A81" s="27">
        <v>46202</v>
      </c>
      <c r="B81" s="11" t="s">
        <v>324</v>
      </c>
      <c r="C81" s="26">
        <v>21225082000627</v>
      </c>
      <c r="D81" s="24" t="s">
        <v>156</v>
      </c>
      <c r="E81" s="11">
        <v>4125</v>
      </c>
      <c r="F81" s="11">
        <v>3394.85</v>
      </c>
      <c r="G81" s="15">
        <f t="shared" si="4"/>
        <v>442.68843999999996</v>
      </c>
      <c r="H81" s="15">
        <f t="shared" si="5"/>
        <v>2952.16156</v>
      </c>
      <c r="I81" s="15">
        <f t="shared" si="6"/>
        <v>1172.83844</v>
      </c>
      <c r="J81" s="16">
        <f t="shared" si="7"/>
        <v>0.39728125177539403</v>
      </c>
      <c r="K81" s="11" t="s">
        <v>326</v>
      </c>
    </row>
    <row r="82" spans="1:11" x14ac:dyDescent="0.25">
      <c r="A82" s="27">
        <v>46202</v>
      </c>
      <c r="B82" s="11" t="s">
        <v>324</v>
      </c>
      <c r="C82" s="26">
        <v>21245082000785</v>
      </c>
      <c r="D82" s="24" t="s">
        <v>156</v>
      </c>
      <c r="E82" s="11">
        <v>4125</v>
      </c>
      <c r="F82" s="11">
        <v>3394.85</v>
      </c>
      <c r="G82" s="15">
        <f t="shared" si="4"/>
        <v>442.68843999999996</v>
      </c>
      <c r="H82" s="15">
        <f t="shared" si="5"/>
        <v>2952.16156</v>
      </c>
      <c r="I82" s="15">
        <f t="shared" si="6"/>
        <v>1172.83844</v>
      </c>
      <c r="J82" s="16">
        <f t="shared" si="7"/>
        <v>0.39728125177539403</v>
      </c>
      <c r="K82" s="11" t="s">
        <v>326</v>
      </c>
    </row>
    <row r="83" spans="1:11" x14ac:dyDescent="0.25">
      <c r="A83" s="27">
        <v>46202</v>
      </c>
      <c r="B83" s="11" t="s">
        <v>324</v>
      </c>
      <c r="C83" s="26">
        <v>21245082001200</v>
      </c>
      <c r="D83" s="24" t="s">
        <v>156</v>
      </c>
      <c r="E83" s="11">
        <v>4125</v>
      </c>
      <c r="F83" s="11">
        <v>3394.85</v>
      </c>
      <c r="G83" s="15">
        <f t="shared" si="4"/>
        <v>442.68843999999996</v>
      </c>
      <c r="H83" s="15">
        <f t="shared" si="5"/>
        <v>2952.16156</v>
      </c>
      <c r="I83" s="15">
        <f t="shared" si="6"/>
        <v>1172.83844</v>
      </c>
      <c r="J83" s="16">
        <f t="shared" si="7"/>
        <v>0.39728125177539403</v>
      </c>
      <c r="K83" s="11" t="s">
        <v>326</v>
      </c>
    </row>
    <row r="84" spans="1:11" x14ac:dyDescent="0.25">
      <c r="A84" s="27">
        <v>46202</v>
      </c>
      <c r="B84" s="11" t="s">
        <v>208</v>
      </c>
      <c r="C84" s="26">
        <v>61703007420</v>
      </c>
      <c r="D84" s="24" t="s">
        <v>17</v>
      </c>
      <c r="E84" s="11">
        <v>21500</v>
      </c>
      <c r="F84" s="11">
        <v>7059.86</v>
      </c>
      <c r="G84" s="15">
        <f t="shared" si="4"/>
        <v>920.60574399999985</v>
      </c>
      <c r="H84" s="15">
        <f t="shared" si="5"/>
        <v>6139.2542560000002</v>
      </c>
      <c r="I84" s="15">
        <f t="shared" si="6"/>
        <v>15360.745744</v>
      </c>
      <c r="J84" s="16">
        <f t="shared" si="7"/>
        <v>2.5020540123399639</v>
      </c>
      <c r="K84" s="11" t="s">
        <v>326</v>
      </c>
    </row>
    <row r="85" spans="1:11" x14ac:dyDescent="0.25">
      <c r="A85" s="27">
        <v>46202</v>
      </c>
      <c r="B85" s="11" t="s">
        <v>208</v>
      </c>
      <c r="C85" s="26">
        <v>61790006667</v>
      </c>
      <c r="D85" s="24" t="s">
        <v>17</v>
      </c>
      <c r="E85" s="11">
        <v>21500</v>
      </c>
      <c r="F85" s="11">
        <v>7092.85</v>
      </c>
      <c r="G85" s="15">
        <f t="shared" si="4"/>
        <v>924.9076399999999</v>
      </c>
      <c r="H85" s="15">
        <f t="shared" si="5"/>
        <v>6167.9423600000009</v>
      </c>
      <c r="I85" s="15">
        <f t="shared" si="6"/>
        <v>15332.057639999999</v>
      </c>
      <c r="J85" s="16">
        <f t="shared" si="7"/>
        <v>2.4857653890267541</v>
      </c>
      <c r="K85" s="11" t="s">
        <v>326</v>
      </c>
    </row>
    <row r="86" spans="1:11" x14ac:dyDescent="0.25">
      <c r="E86" s="6" t="s">
        <v>567</v>
      </c>
      <c r="F86" s="6" t="s">
        <v>568</v>
      </c>
      <c r="G86" s="7" t="s">
        <v>569</v>
      </c>
      <c r="H86" s="7" t="s">
        <v>570</v>
      </c>
      <c r="I86" s="7" t="s">
        <v>571</v>
      </c>
      <c r="J86" s="6" t="s">
        <v>572</v>
      </c>
      <c r="K86" s="11"/>
    </row>
    <row r="87" spans="1:11" x14ac:dyDescent="0.25">
      <c r="E87" s="8">
        <f t="shared" ref="E87:I87" si="8">SUM(E2:E86)</f>
        <v>382650</v>
      </c>
      <c r="F87" s="8">
        <f t="shared" si="8"/>
        <v>282933.13000000012</v>
      </c>
      <c r="G87" s="9">
        <f t="shared" si="8"/>
        <v>36894.480152000018</v>
      </c>
      <c r="H87" s="9">
        <f t="shared" si="8"/>
        <v>246038.64984800009</v>
      </c>
      <c r="I87" s="9">
        <f t="shared" si="8"/>
        <v>136611.35015200009</v>
      </c>
      <c r="J87" s="10">
        <f>AVERAGE(J2:J86)</f>
        <v>0.46973580632680267</v>
      </c>
      <c r="K87" s="11"/>
    </row>
  </sheetData>
  <conditionalFormatting sqref="C2:C85">
    <cfRule type="duplicateValues" dxfId="4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612F-95C3-4F29-A549-EA0986827325}">
  <dimension ref="A1:J113"/>
  <sheetViews>
    <sheetView topLeftCell="A42" workbookViewId="0">
      <selection activeCell="C58" sqref="C58"/>
    </sheetView>
  </sheetViews>
  <sheetFormatPr defaultRowHeight="15" x14ac:dyDescent="0.25"/>
  <cols>
    <col min="1" max="1" width="12.42578125" style="25" customWidth="1"/>
    <col min="2" max="2" width="29.28515625" customWidth="1"/>
    <col min="3" max="3" width="21.7109375" style="25" customWidth="1"/>
    <col min="4" max="4" width="28.42578125" bestFit="1" customWidth="1"/>
    <col min="5" max="5" width="13.5703125" customWidth="1"/>
    <col min="6" max="6" width="17.5703125" customWidth="1"/>
    <col min="7" max="7" width="13.5703125" customWidth="1"/>
    <col min="8" max="8" width="21.28515625" style="4" customWidth="1"/>
    <col min="9" max="9" width="26.7109375" bestFit="1" customWidth="1"/>
  </cols>
  <sheetData>
    <row r="1" spans="1:10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23" t="s">
        <v>12</v>
      </c>
      <c r="I1" s="6" t="s">
        <v>13</v>
      </c>
      <c r="J1" s="11"/>
    </row>
    <row r="2" spans="1:10" x14ac:dyDescent="0.25">
      <c r="A2" s="27">
        <v>46182</v>
      </c>
      <c r="B2" s="11" t="s">
        <v>208</v>
      </c>
      <c r="C2" s="26">
        <v>51567059717</v>
      </c>
      <c r="D2" s="11" t="s">
        <v>17</v>
      </c>
      <c r="E2" s="11">
        <v>20000</v>
      </c>
      <c r="F2" s="11">
        <v>8226.5</v>
      </c>
      <c r="G2" s="11">
        <f>E2-F2</f>
        <v>11773.5</v>
      </c>
      <c r="H2" s="16">
        <f>(E2-F2)/F2</f>
        <v>1.4311675682246399</v>
      </c>
      <c r="I2" s="11" t="s">
        <v>209</v>
      </c>
      <c r="J2" s="11"/>
    </row>
    <row r="3" spans="1:10" x14ac:dyDescent="0.25">
      <c r="A3" s="27">
        <v>46184</v>
      </c>
      <c r="B3" s="11" t="s">
        <v>276</v>
      </c>
      <c r="C3" s="26">
        <v>49373452851</v>
      </c>
      <c r="D3" s="11" t="s">
        <v>17</v>
      </c>
      <c r="E3" s="11">
        <v>4250</v>
      </c>
      <c r="F3" s="11">
        <v>3598.2</v>
      </c>
      <c r="G3" s="11">
        <f t="shared" ref="G3:G53" si="0">E3-F3</f>
        <v>651.80000000000018</v>
      </c>
      <c r="H3" s="16">
        <f t="shared" ref="H3:H53" si="1">(E3-F3)/F3</f>
        <v>0.18114612861986554</v>
      </c>
      <c r="I3" s="11" t="s">
        <v>209</v>
      </c>
      <c r="J3" s="11"/>
    </row>
    <row r="4" spans="1:10" x14ac:dyDescent="0.25">
      <c r="A4" s="27">
        <v>46184</v>
      </c>
      <c r="B4" s="11" t="s">
        <v>276</v>
      </c>
      <c r="C4" s="26">
        <v>79083360152</v>
      </c>
      <c r="D4" s="11" t="s">
        <v>17</v>
      </c>
      <c r="E4" s="11">
        <v>4250</v>
      </c>
      <c r="F4" s="11">
        <v>3598.2</v>
      </c>
      <c r="G4" s="11">
        <f t="shared" si="0"/>
        <v>651.80000000000018</v>
      </c>
      <c r="H4" s="16">
        <f t="shared" si="1"/>
        <v>0.18114612861986554</v>
      </c>
      <c r="I4" s="11" t="s">
        <v>209</v>
      </c>
      <c r="J4" s="11"/>
    </row>
    <row r="5" spans="1:10" x14ac:dyDescent="0.25">
      <c r="A5" s="27">
        <v>46184</v>
      </c>
      <c r="B5" s="11" t="s">
        <v>276</v>
      </c>
      <c r="C5" s="26">
        <v>79979859368</v>
      </c>
      <c r="D5" s="11" t="s">
        <v>17</v>
      </c>
      <c r="E5" s="11">
        <v>4250</v>
      </c>
      <c r="F5" s="11">
        <v>3598.2</v>
      </c>
      <c r="G5" s="11">
        <f t="shared" si="0"/>
        <v>651.80000000000018</v>
      </c>
      <c r="H5" s="16">
        <f t="shared" si="1"/>
        <v>0.18114612861986554</v>
      </c>
      <c r="I5" s="11" t="s">
        <v>209</v>
      </c>
      <c r="J5" s="11"/>
    </row>
    <row r="6" spans="1:10" x14ac:dyDescent="0.25">
      <c r="A6" s="27">
        <v>46184</v>
      </c>
      <c r="B6" s="11" t="s">
        <v>276</v>
      </c>
      <c r="C6" s="26">
        <v>99849164949</v>
      </c>
      <c r="D6" s="11" t="s">
        <v>17</v>
      </c>
      <c r="E6" s="11">
        <v>4250</v>
      </c>
      <c r="F6" s="11">
        <v>3598.2</v>
      </c>
      <c r="G6" s="11">
        <f t="shared" si="0"/>
        <v>651.80000000000018</v>
      </c>
      <c r="H6" s="16">
        <f t="shared" si="1"/>
        <v>0.18114612861986554</v>
      </c>
      <c r="I6" s="11" t="s">
        <v>209</v>
      </c>
      <c r="J6" s="11"/>
    </row>
    <row r="7" spans="1:10" x14ac:dyDescent="0.25">
      <c r="A7" s="27">
        <v>46198</v>
      </c>
      <c r="B7" s="11" t="s">
        <v>171</v>
      </c>
      <c r="C7" s="26" t="s">
        <v>450</v>
      </c>
      <c r="D7" s="11" t="s">
        <v>17</v>
      </c>
      <c r="E7" s="11">
        <v>1800</v>
      </c>
      <c r="F7" s="11">
        <v>1646.13</v>
      </c>
      <c r="G7" s="11">
        <f t="shared" si="0"/>
        <v>153.86999999999989</v>
      </c>
      <c r="H7" s="16">
        <f t="shared" si="1"/>
        <v>9.3473783966029345E-2</v>
      </c>
      <c r="I7" s="11" t="s">
        <v>451</v>
      </c>
      <c r="J7" s="11"/>
    </row>
    <row r="8" spans="1:10" x14ac:dyDescent="0.25">
      <c r="A8" s="27">
        <v>46198</v>
      </c>
      <c r="B8" s="11" t="s">
        <v>171</v>
      </c>
      <c r="C8" s="26" t="s">
        <v>452</v>
      </c>
      <c r="D8" s="11" t="s">
        <v>17</v>
      </c>
      <c r="E8" s="11">
        <v>1800</v>
      </c>
      <c r="F8" s="11">
        <v>1646.13</v>
      </c>
      <c r="G8" s="11">
        <f t="shared" si="0"/>
        <v>153.86999999999989</v>
      </c>
      <c r="H8" s="16">
        <f t="shared" si="1"/>
        <v>9.3473783966029345E-2</v>
      </c>
      <c r="I8" s="11" t="s">
        <v>451</v>
      </c>
      <c r="J8" s="11"/>
    </row>
    <row r="9" spans="1:10" x14ac:dyDescent="0.25">
      <c r="A9" s="27">
        <v>46198</v>
      </c>
      <c r="B9" s="11" t="s">
        <v>171</v>
      </c>
      <c r="C9" s="26" t="s">
        <v>453</v>
      </c>
      <c r="D9" s="11" t="s">
        <v>17</v>
      </c>
      <c r="E9" s="11">
        <v>1800</v>
      </c>
      <c r="F9" s="11">
        <v>1646.13</v>
      </c>
      <c r="G9" s="11">
        <f t="shared" si="0"/>
        <v>153.86999999999989</v>
      </c>
      <c r="H9" s="16">
        <f t="shared" si="1"/>
        <v>9.3473783966029345E-2</v>
      </c>
      <c r="I9" s="11" t="s">
        <v>451</v>
      </c>
      <c r="J9" s="11"/>
    </row>
    <row r="10" spans="1:10" x14ac:dyDescent="0.25">
      <c r="A10" s="27">
        <v>46198</v>
      </c>
      <c r="B10" s="11" t="s">
        <v>171</v>
      </c>
      <c r="C10" s="26" t="s">
        <v>454</v>
      </c>
      <c r="D10" s="11" t="s">
        <v>17</v>
      </c>
      <c r="E10" s="11">
        <v>1800</v>
      </c>
      <c r="F10" s="11">
        <v>1646.13</v>
      </c>
      <c r="G10" s="11">
        <f t="shared" si="0"/>
        <v>153.86999999999989</v>
      </c>
      <c r="H10" s="16">
        <f t="shared" si="1"/>
        <v>9.3473783966029345E-2</v>
      </c>
      <c r="I10" s="11" t="s">
        <v>451</v>
      </c>
      <c r="J10" s="11"/>
    </row>
    <row r="11" spans="1:10" x14ac:dyDescent="0.25">
      <c r="A11" s="27">
        <v>46198</v>
      </c>
      <c r="B11" s="11" t="s">
        <v>171</v>
      </c>
      <c r="C11" s="26" t="s">
        <v>455</v>
      </c>
      <c r="D11" s="11" t="s">
        <v>17</v>
      </c>
      <c r="E11" s="11">
        <v>1800</v>
      </c>
      <c r="F11" s="11">
        <v>1646.13</v>
      </c>
      <c r="G11" s="11">
        <f t="shared" si="0"/>
        <v>153.86999999999989</v>
      </c>
      <c r="H11" s="16">
        <f t="shared" si="1"/>
        <v>9.3473783966029345E-2</v>
      </c>
      <c r="I11" s="11" t="s">
        <v>451</v>
      </c>
      <c r="J11" s="11"/>
    </row>
    <row r="12" spans="1:10" x14ac:dyDescent="0.25">
      <c r="A12" s="27">
        <v>46198</v>
      </c>
      <c r="B12" s="11" t="s">
        <v>171</v>
      </c>
      <c r="C12" s="26" t="s">
        <v>456</v>
      </c>
      <c r="D12" s="11" t="s">
        <v>17</v>
      </c>
      <c r="E12" s="11">
        <v>1800</v>
      </c>
      <c r="F12" s="11">
        <v>1646.13</v>
      </c>
      <c r="G12" s="11">
        <f t="shared" si="0"/>
        <v>153.86999999999989</v>
      </c>
      <c r="H12" s="16">
        <f t="shared" si="1"/>
        <v>9.3473783966029345E-2</v>
      </c>
      <c r="I12" s="11" t="s">
        <v>451</v>
      </c>
      <c r="J12" s="11"/>
    </row>
    <row r="13" spans="1:10" x14ac:dyDescent="0.25">
      <c r="A13" s="27">
        <v>46198</v>
      </c>
      <c r="B13" s="11" t="s">
        <v>171</v>
      </c>
      <c r="C13" s="26" t="s">
        <v>457</v>
      </c>
      <c r="D13" s="11" t="s">
        <v>17</v>
      </c>
      <c r="E13" s="11">
        <v>1800</v>
      </c>
      <c r="F13" s="11">
        <v>1646.13</v>
      </c>
      <c r="G13" s="11">
        <f t="shared" si="0"/>
        <v>153.86999999999989</v>
      </c>
      <c r="H13" s="16">
        <f t="shared" si="1"/>
        <v>9.3473783966029345E-2</v>
      </c>
      <c r="I13" s="11" t="s">
        <v>451</v>
      </c>
      <c r="J13" s="11"/>
    </row>
    <row r="14" spans="1:10" x14ac:dyDescent="0.25">
      <c r="A14" s="27">
        <v>46198</v>
      </c>
      <c r="B14" s="11" t="s">
        <v>171</v>
      </c>
      <c r="C14" s="26" t="s">
        <v>458</v>
      </c>
      <c r="D14" s="11" t="s">
        <v>17</v>
      </c>
      <c r="E14" s="11">
        <v>1800</v>
      </c>
      <c r="F14" s="11">
        <v>1646.13</v>
      </c>
      <c r="G14" s="11">
        <f t="shared" si="0"/>
        <v>153.86999999999989</v>
      </c>
      <c r="H14" s="16">
        <f t="shared" si="1"/>
        <v>9.3473783966029345E-2</v>
      </c>
      <c r="I14" s="11" t="s">
        <v>451</v>
      </c>
      <c r="J14" s="11"/>
    </row>
    <row r="15" spans="1:10" x14ac:dyDescent="0.25">
      <c r="A15" s="27">
        <v>46198</v>
      </c>
      <c r="B15" s="11" t="s">
        <v>171</v>
      </c>
      <c r="C15" s="26" t="s">
        <v>459</v>
      </c>
      <c r="D15" s="11" t="s">
        <v>17</v>
      </c>
      <c r="E15" s="11">
        <v>1800</v>
      </c>
      <c r="F15" s="11">
        <v>1646.13</v>
      </c>
      <c r="G15" s="11">
        <f t="shared" si="0"/>
        <v>153.86999999999989</v>
      </c>
      <c r="H15" s="16">
        <f t="shared" si="1"/>
        <v>9.3473783966029345E-2</v>
      </c>
      <c r="I15" s="11" t="s">
        <v>451</v>
      </c>
      <c r="J15" s="11"/>
    </row>
    <row r="16" spans="1:10" x14ac:dyDescent="0.25">
      <c r="A16" s="27">
        <v>46198</v>
      </c>
      <c r="B16" s="11" t="s">
        <v>171</v>
      </c>
      <c r="C16" s="26" t="s">
        <v>460</v>
      </c>
      <c r="D16" s="11" t="s">
        <v>17</v>
      </c>
      <c r="E16" s="11">
        <v>1800</v>
      </c>
      <c r="F16" s="11">
        <v>1646.13</v>
      </c>
      <c r="G16" s="11">
        <f t="shared" si="0"/>
        <v>153.86999999999989</v>
      </c>
      <c r="H16" s="16">
        <f t="shared" si="1"/>
        <v>9.3473783966029345E-2</v>
      </c>
      <c r="I16" s="11" t="s">
        <v>451</v>
      </c>
      <c r="J16" s="11"/>
    </row>
    <row r="17" spans="1:10" x14ac:dyDescent="0.25">
      <c r="A17" s="27">
        <v>46198</v>
      </c>
      <c r="B17" s="11" t="s">
        <v>171</v>
      </c>
      <c r="C17" s="26" t="s">
        <v>461</v>
      </c>
      <c r="D17" s="11" t="s">
        <v>17</v>
      </c>
      <c r="E17" s="11">
        <v>1800</v>
      </c>
      <c r="F17" s="11">
        <v>1646.13</v>
      </c>
      <c r="G17" s="11">
        <f t="shared" si="0"/>
        <v>153.86999999999989</v>
      </c>
      <c r="H17" s="16">
        <f t="shared" si="1"/>
        <v>9.3473783966029345E-2</v>
      </c>
      <c r="I17" s="11" t="s">
        <v>451</v>
      </c>
      <c r="J17" s="11"/>
    </row>
    <row r="18" spans="1:10" x14ac:dyDescent="0.25">
      <c r="A18" s="27">
        <v>46198</v>
      </c>
      <c r="B18" s="11" t="s">
        <v>171</v>
      </c>
      <c r="C18" s="26" t="s">
        <v>462</v>
      </c>
      <c r="D18" s="11" t="s">
        <v>17</v>
      </c>
      <c r="E18" s="11">
        <v>1800</v>
      </c>
      <c r="F18" s="11">
        <v>1646.13</v>
      </c>
      <c r="G18" s="11">
        <f t="shared" si="0"/>
        <v>153.86999999999989</v>
      </c>
      <c r="H18" s="16">
        <f t="shared" si="1"/>
        <v>9.3473783966029345E-2</v>
      </c>
      <c r="I18" s="11" t="s">
        <v>451</v>
      </c>
      <c r="J18" s="11"/>
    </row>
    <row r="19" spans="1:10" x14ac:dyDescent="0.25">
      <c r="A19" s="27">
        <v>46198</v>
      </c>
      <c r="B19" s="11" t="s">
        <v>171</v>
      </c>
      <c r="C19" s="26" t="s">
        <v>463</v>
      </c>
      <c r="D19" s="11" t="s">
        <v>17</v>
      </c>
      <c r="E19" s="11">
        <v>1800</v>
      </c>
      <c r="F19" s="11">
        <v>1646.13</v>
      </c>
      <c r="G19" s="11">
        <f t="shared" si="0"/>
        <v>153.86999999999989</v>
      </c>
      <c r="H19" s="16">
        <f t="shared" si="1"/>
        <v>9.3473783966029345E-2</v>
      </c>
      <c r="I19" s="11" t="s">
        <v>451</v>
      </c>
      <c r="J19" s="11"/>
    </row>
    <row r="20" spans="1:10" x14ac:dyDescent="0.25">
      <c r="A20" s="27">
        <v>46198</v>
      </c>
      <c r="B20" s="11" t="s">
        <v>171</v>
      </c>
      <c r="C20" s="26" t="s">
        <v>464</v>
      </c>
      <c r="D20" s="11" t="s">
        <v>17</v>
      </c>
      <c r="E20" s="11">
        <v>1800</v>
      </c>
      <c r="F20" s="11">
        <v>1646.13</v>
      </c>
      <c r="G20" s="11">
        <f t="shared" si="0"/>
        <v>153.86999999999989</v>
      </c>
      <c r="H20" s="16">
        <f t="shared" si="1"/>
        <v>9.3473783966029345E-2</v>
      </c>
      <c r="I20" s="11" t="s">
        <v>451</v>
      </c>
      <c r="J20" s="11"/>
    </row>
    <row r="21" spans="1:10" x14ac:dyDescent="0.25">
      <c r="A21" s="27">
        <v>46198</v>
      </c>
      <c r="B21" s="11" t="s">
        <v>171</v>
      </c>
      <c r="C21" s="26" t="s">
        <v>465</v>
      </c>
      <c r="D21" s="11" t="s">
        <v>17</v>
      </c>
      <c r="E21" s="11">
        <v>1800</v>
      </c>
      <c r="F21" s="11">
        <v>1646.13</v>
      </c>
      <c r="G21" s="11">
        <f t="shared" si="0"/>
        <v>153.86999999999989</v>
      </c>
      <c r="H21" s="16">
        <f t="shared" si="1"/>
        <v>9.3473783966029345E-2</v>
      </c>
      <c r="I21" s="11" t="s">
        <v>451</v>
      </c>
      <c r="J21" s="11"/>
    </row>
    <row r="22" spans="1:10" x14ac:dyDescent="0.25">
      <c r="A22" s="27">
        <v>46198</v>
      </c>
      <c r="B22" s="11" t="s">
        <v>171</v>
      </c>
      <c r="C22" s="26" t="s">
        <v>466</v>
      </c>
      <c r="D22" s="11" t="s">
        <v>17</v>
      </c>
      <c r="E22" s="11">
        <v>1800</v>
      </c>
      <c r="F22" s="11">
        <v>1646.13</v>
      </c>
      <c r="G22" s="11">
        <f t="shared" si="0"/>
        <v>153.86999999999989</v>
      </c>
      <c r="H22" s="16">
        <f t="shared" si="1"/>
        <v>9.3473783966029345E-2</v>
      </c>
      <c r="I22" s="11" t="s">
        <v>451</v>
      </c>
      <c r="J22" s="11"/>
    </row>
    <row r="23" spans="1:10" x14ac:dyDescent="0.25">
      <c r="A23" s="27">
        <v>46198</v>
      </c>
      <c r="B23" s="11" t="s">
        <v>171</v>
      </c>
      <c r="C23" s="26" t="s">
        <v>467</v>
      </c>
      <c r="D23" s="11" t="s">
        <v>17</v>
      </c>
      <c r="E23" s="11">
        <v>1800</v>
      </c>
      <c r="F23" s="11">
        <v>1646.13</v>
      </c>
      <c r="G23" s="11">
        <f t="shared" si="0"/>
        <v>153.86999999999989</v>
      </c>
      <c r="H23" s="16">
        <f t="shared" si="1"/>
        <v>9.3473783966029345E-2</v>
      </c>
      <c r="I23" s="11" t="s">
        <v>451</v>
      </c>
      <c r="J23" s="11"/>
    </row>
    <row r="24" spans="1:10" x14ac:dyDescent="0.25">
      <c r="A24" s="27">
        <v>46198</v>
      </c>
      <c r="B24" s="11" t="s">
        <v>171</v>
      </c>
      <c r="C24" s="26" t="s">
        <v>468</v>
      </c>
      <c r="D24" s="11" t="s">
        <v>17</v>
      </c>
      <c r="E24" s="11">
        <v>1800</v>
      </c>
      <c r="F24" s="11">
        <v>1646.13</v>
      </c>
      <c r="G24" s="11">
        <f t="shared" si="0"/>
        <v>153.86999999999989</v>
      </c>
      <c r="H24" s="16">
        <f t="shared" si="1"/>
        <v>9.3473783966029345E-2</v>
      </c>
      <c r="I24" s="11" t="s">
        <v>451</v>
      </c>
      <c r="J24" s="11"/>
    </row>
    <row r="25" spans="1:10" x14ac:dyDescent="0.25">
      <c r="A25" s="27">
        <v>46198</v>
      </c>
      <c r="B25" s="11" t="s">
        <v>171</v>
      </c>
      <c r="C25" s="26" t="s">
        <v>469</v>
      </c>
      <c r="D25" s="11" t="s">
        <v>17</v>
      </c>
      <c r="E25" s="11">
        <v>1800</v>
      </c>
      <c r="F25" s="11">
        <v>1646.13</v>
      </c>
      <c r="G25" s="11">
        <f t="shared" si="0"/>
        <v>153.86999999999989</v>
      </c>
      <c r="H25" s="16">
        <f t="shared" si="1"/>
        <v>9.3473783966029345E-2</v>
      </c>
      <c r="I25" s="11" t="s">
        <v>451</v>
      </c>
      <c r="J25" s="11"/>
    </row>
    <row r="26" spans="1:10" x14ac:dyDescent="0.25">
      <c r="A26" s="27">
        <v>46198</v>
      </c>
      <c r="B26" s="11" t="s">
        <v>171</v>
      </c>
      <c r="C26" s="26" t="s">
        <v>470</v>
      </c>
      <c r="D26" s="11" t="s">
        <v>17</v>
      </c>
      <c r="E26" s="11">
        <v>1800</v>
      </c>
      <c r="F26" s="11">
        <v>1646.13</v>
      </c>
      <c r="G26" s="11">
        <f t="shared" si="0"/>
        <v>153.86999999999989</v>
      </c>
      <c r="H26" s="16">
        <f t="shared" si="1"/>
        <v>9.3473783966029345E-2</v>
      </c>
      <c r="I26" s="11" t="s">
        <v>451</v>
      </c>
      <c r="J26" s="11"/>
    </row>
    <row r="27" spans="1:10" x14ac:dyDescent="0.25">
      <c r="A27" s="27">
        <v>46198</v>
      </c>
      <c r="B27" s="11" t="s">
        <v>171</v>
      </c>
      <c r="C27" s="26" t="s">
        <v>471</v>
      </c>
      <c r="D27" s="11" t="s">
        <v>17</v>
      </c>
      <c r="E27" s="11">
        <v>1800</v>
      </c>
      <c r="F27" s="11">
        <v>1646.13</v>
      </c>
      <c r="G27" s="11">
        <f t="shared" si="0"/>
        <v>153.86999999999989</v>
      </c>
      <c r="H27" s="16">
        <f t="shared" si="1"/>
        <v>9.3473783966029345E-2</v>
      </c>
      <c r="I27" s="11" t="s">
        <v>451</v>
      </c>
      <c r="J27" s="11"/>
    </row>
    <row r="28" spans="1:10" x14ac:dyDescent="0.25">
      <c r="A28" s="27">
        <v>46198</v>
      </c>
      <c r="B28" s="11" t="s">
        <v>171</v>
      </c>
      <c r="C28" s="26" t="s">
        <v>472</v>
      </c>
      <c r="D28" s="11" t="s">
        <v>17</v>
      </c>
      <c r="E28" s="11">
        <v>1800</v>
      </c>
      <c r="F28" s="11">
        <v>1646.13</v>
      </c>
      <c r="G28" s="11">
        <f t="shared" si="0"/>
        <v>153.86999999999989</v>
      </c>
      <c r="H28" s="16">
        <f t="shared" si="1"/>
        <v>9.3473783966029345E-2</v>
      </c>
      <c r="I28" s="11" t="s">
        <v>451</v>
      </c>
      <c r="J28" s="11"/>
    </row>
    <row r="29" spans="1:10" x14ac:dyDescent="0.25">
      <c r="A29" s="27">
        <v>46198</v>
      </c>
      <c r="B29" s="11" t="s">
        <v>171</v>
      </c>
      <c r="C29" s="26" t="s">
        <v>473</v>
      </c>
      <c r="D29" s="11" t="s">
        <v>17</v>
      </c>
      <c r="E29" s="11">
        <v>1800</v>
      </c>
      <c r="F29" s="11">
        <v>1646.13</v>
      </c>
      <c r="G29" s="11">
        <f t="shared" si="0"/>
        <v>153.86999999999989</v>
      </c>
      <c r="H29" s="16">
        <f t="shared" si="1"/>
        <v>9.3473783966029345E-2</v>
      </c>
      <c r="I29" s="11" t="s">
        <v>451</v>
      </c>
      <c r="J29" s="11"/>
    </row>
    <row r="30" spans="1:10" x14ac:dyDescent="0.25">
      <c r="A30" s="27">
        <v>46198</v>
      </c>
      <c r="B30" s="11" t="s">
        <v>171</v>
      </c>
      <c r="C30" s="26" t="s">
        <v>474</v>
      </c>
      <c r="D30" s="11" t="s">
        <v>17</v>
      </c>
      <c r="E30" s="11">
        <v>1800</v>
      </c>
      <c r="F30" s="11">
        <v>1646.13</v>
      </c>
      <c r="G30" s="11">
        <f t="shared" si="0"/>
        <v>153.86999999999989</v>
      </c>
      <c r="H30" s="16">
        <f t="shared" si="1"/>
        <v>9.3473783966029345E-2</v>
      </c>
      <c r="I30" s="11" t="s">
        <v>451</v>
      </c>
      <c r="J30" s="11"/>
    </row>
    <row r="31" spans="1:10" x14ac:dyDescent="0.25">
      <c r="A31" s="27">
        <v>46198</v>
      </c>
      <c r="B31" s="11" t="s">
        <v>171</v>
      </c>
      <c r="C31" s="26" t="s">
        <v>475</v>
      </c>
      <c r="D31" s="11" t="s">
        <v>17</v>
      </c>
      <c r="E31" s="11">
        <v>1800</v>
      </c>
      <c r="F31" s="11">
        <v>1646.13</v>
      </c>
      <c r="G31" s="11">
        <f t="shared" si="0"/>
        <v>153.86999999999989</v>
      </c>
      <c r="H31" s="16">
        <f t="shared" si="1"/>
        <v>9.3473783966029345E-2</v>
      </c>
      <c r="I31" s="11" t="s">
        <v>451</v>
      </c>
      <c r="J31" s="11"/>
    </row>
    <row r="32" spans="1:10" x14ac:dyDescent="0.25">
      <c r="A32" s="27">
        <v>46198</v>
      </c>
      <c r="B32" s="11" t="s">
        <v>171</v>
      </c>
      <c r="C32" s="26" t="s">
        <v>476</v>
      </c>
      <c r="D32" s="11" t="s">
        <v>17</v>
      </c>
      <c r="E32" s="11">
        <v>1800</v>
      </c>
      <c r="F32" s="11">
        <v>1646.13</v>
      </c>
      <c r="G32" s="11">
        <f t="shared" si="0"/>
        <v>153.86999999999989</v>
      </c>
      <c r="H32" s="16">
        <f t="shared" si="1"/>
        <v>9.3473783966029345E-2</v>
      </c>
      <c r="I32" s="11" t="s">
        <v>451</v>
      </c>
      <c r="J32" s="11"/>
    </row>
    <row r="33" spans="1:10" x14ac:dyDescent="0.25">
      <c r="A33" s="27">
        <v>46198</v>
      </c>
      <c r="B33" s="11" t="s">
        <v>171</v>
      </c>
      <c r="C33" s="26" t="s">
        <v>477</v>
      </c>
      <c r="D33" s="11" t="s">
        <v>17</v>
      </c>
      <c r="E33" s="11">
        <v>1800</v>
      </c>
      <c r="F33" s="11">
        <v>1646.13</v>
      </c>
      <c r="G33" s="11">
        <f t="shared" si="0"/>
        <v>153.86999999999989</v>
      </c>
      <c r="H33" s="16">
        <f t="shared" si="1"/>
        <v>9.3473783966029345E-2</v>
      </c>
      <c r="I33" s="11" t="s">
        <v>451</v>
      </c>
      <c r="J33" s="11"/>
    </row>
    <row r="34" spans="1:10" x14ac:dyDescent="0.25">
      <c r="A34" s="27">
        <v>46198</v>
      </c>
      <c r="B34" s="11" t="s">
        <v>171</v>
      </c>
      <c r="C34" s="26" t="s">
        <v>478</v>
      </c>
      <c r="D34" s="11" t="s">
        <v>17</v>
      </c>
      <c r="E34" s="11">
        <v>1800</v>
      </c>
      <c r="F34" s="11">
        <v>1646.13</v>
      </c>
      <c r="G34" s="11">
        <f t="shared" si="0"/>
        <v>153.86999999999989</v>
      </c>
      <c r="H34" s="16">
        <f t="shared" si="1"/>
        <v>9.3473783966029345E-2</v>
      </c>
      <c r="I34" s="11" t="s">
        <v>451</v>
      </c>
      <c r="J34" s="11"/>
    </row>
    <row r="35" spans="1:10" x14ac:dyDescent="0.25">
      <c r="A35" s="27">
        <v>46198</v>
      </c>
      <c r="B35" s="11" t="s">
        <v>171</v>
      </c>
      <c r="C35" s="26" t="s">
        <v>479</v>
      </c>
      <c r="D35" s="11" t="s">
        <v>17</v>
      </c>
      <c r="E35" s="11">
        <v>1800</v>
      </c>
      <c r="F35" s="11">
        <v>1646.13</v>
      </c>
      <c r="G35" s="11">
        <f t="shared" si="0"/>
        <v>153.86999999999989</v>
      </c>
      <c r="H35" s="16">
        <f t="shared" si="1"/>
        <v>9.3473783966029345E-2</v>
      </c>
      <c r="I35" s="11" t="s">
        <v>451</v>
      </c>
      <c r="J35" s="11"/>
    </row>
    <row r="36" spans="1:10" x14ac:dyDescent="0.25">
      <c r="A36" s="27">
        <v>46198</v>
      </c>
      <c r="B36" s="11" t="s">
        <v>171</v>
      </c>
      <c r="C36" s="26" t="s">
        <v>480</v>
      </c>
      <c r="D36" s="11" t="s">
        <v>17</v>
      </c>
      <c r="E36" s="11">
        <v>1800</v>
      </c>
      <c r="F36" s="11">
        <v>1646.13</v>
      </c>
      <c r="G36" s="11">
        <f t="shared" si="0"/>
        <v>153.86999999999989</v>
      </c>
      <c r="H36" s="16">
        <f t="shared" si="1"/>
        <v>9.3473783966029345E-2</v>
      </c>
      <c r="I36" s="11" t="s">
        <v>451</v>
      </c>
      <c r="J36" s="11"/>
    </row>
    <row r="37" spans="1:10" x14ac:dyDescent="0.25">
      <c r="A37" s="27">
        <v>46198</v>
      </c>
      <c r="B37" s="11" t="s">
        <v>171</v>
      </c>
      <c r="C37" s="26" t="s">
        <v>481</v>
      </c>
      <c r="D37" s="11" t="s">
        <v>17</v>
      </c>
      <c r="E37" s="11">
        <v>1800</v>
      </c>
      <c r="F37" s="11">
        <v>1646.13</v>
      </c>
      <c r="G37" s="11">
        <f t="shared" si="0"/>
        <v>153.86999999999989</v>
      </c>
      <c r="H37" s="16">
        <f t="shared" si="1"/>
        <v>9.3473783966029345E-2</v>
      </c>
      <c r="I37" s="11" t="s">
        <v>451</v>
      </c>
      <c r="J37" s="11"/>
    </row>
    <row r="38" spans="1:10" x14ac:dyDescent="0.25">
      <c r="A38" s="28">
        <v>46200</v>
      </c>
      <c r="B38" s="19" t="s">
        <v>54</v>
      </c>
      <c r="C38" s="29">
        <v>352355705028779</v>
      </c>
      <c r="D38" s="19" t="s">
        <v>327</v>
      </c>
      <c r="E38" s="19">
        <v>3750</v>
      </c>
      <c r="F38" s="19">
        <v>4041.4</v>
      </c>
      <c r="G38" s="19">
        <f t="shared" si="0"/>
        <v>-291.40000000000009</v>
      </c>
      <c r="H38" s="22">
        <f t="shared" si="1"/>
        <v>-7.2103726431434673E-2</v>
      </c>
      <c r="I38" s="19" t="s">
        <v>209</v>
      </c>
      <c r="J38" s="19" t="s">
        <v>55</v>
      </c>
    </row>
    <row r="39" spans="1:10" x14ac:dyDescent="0.25">
      <c r="A39" s="28">
        <v>46200</v>
      </c>
      <c r="B39" s="19" t="s">
        <v>54</v>
      </c>
      <c r="C39" s="29">
        <v>352355708102043</v>
      </c>
      <c r="D39" s="19" t="s">
        <v>327</v>
      </c>
      <c r="E39" s="19">
        <v>3750</v>
      </c>
      <c r="F39" s="19">
        <v>4041.4</v>
      </c>
      <c r="G39" s="19">
        <f t="shared" si="0"/>
        <v>-291.40000000000009</v>
      </c>
      <c r="H39" s="22">
        <f t="shared" si="1"/>
        <v>-7.2103726431434673E-2</v>
      </c>
      <c r="I39" s="19" t="s">
        <v>209</v>
      </c>
      <c r="J39" s="19" t="s">
        <v>55</v>
      </c>
    </row>
    <row r="40" spans="1:10" x14ac:dyDescent="0.25">
      <c r="A40" s="27">
        <v>46200</v>
      </c>
      <c r="B40" s="11" t="s">
        <v>489</v>
      </c>
      <c r="C40" s="26">
        <v>352355701394902</v>
      </c>
      <c r="D40" s="11" t="s">
        <v>327</v>
      </c>
      <c r="E40" s="11">
        <v>4700</v>
      </c>
      <c r="F40" s="11">
        <v>4335.32</v>
      </c>
      <c r="G40" s="11">
        <f t="shared" si="0"/>
        <v>364.68000000000029</v>
      </c>
      <c r="H40" s="16">
        <f t="shared" si="1"/>
        <v>8.4118358045080943E-2</v>
      </c>
      <c r="I40" s="11" t="s">
        <v>209</v>
      </c>
      <c r="J40" s="11"/>
    </row>
    <row r="41" spans="1:10" x14ac:dyDescent="0.25">
      <c r="A41" s="27">
        <v>46200</v>
      </c>
      <c r="B41" s="11" t="s">
        <v>489</v>
      </c>
      <c r="C41" s="26">
        <v>352355701982037</v>
      </c>
      <c r="D41" s="11" t="s">
        <v>327</v>
      </c>
      <c r="E41" s="11">
        <v>4700</v>
      </c>
      <c r="F41" s="11">
        <v>4335.32</v>
      </c>
      <c r="G41" s="11">
        <f t="shared" si="0"/>
        <v>364.68000000000029</v>
      </c>
      <c r="H41" s="16">
        <f t="shared" si="1"/>
        <v>8.4118358045080943E-2</v>
      </c>
      <c r="I41" s="11" t="s">
        <v>209</v>
      </c>
      <c r="J41" s="11"/>
    </row>
    <row r="42" spans="1:10" x14ac:dyDescent="0.25">
      <c r="A42" s="27">
        <v>46200</v>
      </c>
      <c r="B42" s="11" t="s">
        <v>489</v>
      </c>
      <c r="C42" s="26">
        <v>352355703486409</v>
      </c>
      <c r="D42" s="11" t="s">
        <v>327</v>
      </c>
      <c r="E42" s="11">
        <v>4700</v>
      </c>
      <c r="F42" s="11">
        <v>4335.32</v>
      </c>
      <c r="G42" s="11">
        <f t="shared" si="0"/>
        <v>364.68000000000029</v>
      </c>
      <c r="H42" s="16">
        <f t="shared" si="1"/>
        <v>8.4118358045080943E-2</v>
      </c>
      <c r="I42" s="11" t="s">
        <v>209</v>
      </c>
      <c r="J42" s="11"/>
    </row>
    <row r="43" spans="1:10" x14ac:dyDescent="0.25">
      <c r="A43" s="27">
        <v>46200</v>
      </c>
      <c r="B43" s="11" t="s">
        <v>489</v>
      </c>
      <c r="C43" s="26">
        <v>352355704770173</v>
      </c>
      <c r="D43" s="11" t="s">
        <v>327</v>
      </c>
      <c r="E43" s="11">
        <v>4700</v>
      </c>
      <c r="F43" s="11">
        <v>4335.32</v>
      </c>
      <c r="G43" s="11">
        <f t="shared" si="0"/>
        <v>364.68000000000029</v>
      </c>
      <c r="H43" s="16">
        <f t="shared" si="1"/>
        <v>8.4118358045080943E-2</v>
      </c>
      <c r="I43" s="11" t="s">
        <v>209</v>
      </c>
      <c r="J43" s="11"/>
    </row>
    <row r="44" spans="1:10" x14ac:dyDescent="0.25">
      <c r="A44" s="27">
        <v>46200</v>
      </c>
      <c r="B44" s="11" t="s">
        <v>489</v>
      </c>
      <c r="C44" s="26">
        <v>352355705023697</v>
      </c>
      <c r="D44" s="11" t="s">
        <v>327</v>
      </c>
      <c r="E44" s="11">
        <v>4700</v>
      </c>
      <c r="F44" s="11">
        <v>4335.32</v>
      </c>
      <c r="G44" s="11">
        <f t="shared" si="0"/>
        <v>364.68000000000029</v>
      </c>
      <c r="H44" s="16">
        <f t="shared" si="1"/>
        <v>8.4118358045080943E-2</v>
      </c>
      <c r="I44" s="11" t="s">
        <v>209</v>
      </c>
      <c r="J44" s="11"/>
    </row>
    <row r="45" spans="1:10" x14ac:dyDescent="0.25">
      <c r="A45" s="27">
        <v>46200</v>
      </c>
      <c r="B45" s="11" t="s">
        <v>489</v>
      </c>
      <c r="C45" s="26">
        <v>352355706247329</v>
      </c>
      <c r="D45" s="11" t="s">
        <v>327</v>
      </c>
      <c r="E45" s="11">
        <v>4700</v>
      </c>
      <c r="F45" s="11">
        <v>4335.32</v>
      </c>
      <c r="G45" s="11">
        <f t="shared" si="0"/>
        <v>364.68000000000029</v>
      </c>
      <c r="H45" s="16">
        <f t="shared" si="1"/>
        <v>8.4118358045080943E-2</v>
      </c>
      <c r="I45" s="11" t="s">
        <v>209</v>
      </c>
      <c r="J45" s="11"/>
    </row>
    <row r="46" spans="1:10" x14ac:dyDescent="0.25">
      <c r="A46" s="27">
        <v>46200</v>
      </c>
      <c r="B46" s="11" t="s">
        <v>489</v>
      </c>
      <c r="C46" s="26">
        <v>352355707802791</v>
      </c>
      <c r="D46" s="11" t="s">
        <v>327</v>
      </c>
      <c r="E46" s="11">
        <v>4700</v>
      </c>
      <c r="F46" s="11">
        <v>4335.32</v>
      </c>
      <c r="G46" s="11">
        <f t="shared" si="0"/>
        <v>364.68000000000029</v>
      </c>
      <c r="H46" s="16">
        <f t="shared" si="1"/>
        <v>8.4118358045080943E-2</v>
      </c>
      <c r="I46" s="11" t="s">
        <v>209</v>
      </c>
      <c r="J46" s="11"/>
    </row>
    <row r="47" spans="1:10" x14ac:dyDescent="0.25">
      <c r="A47" s="27">
        <v>46203</v>
      </c>
      <c r="B47" s="11" t="s">
        <v>276</v>
      </c>
      <c r="C47" s="26">
        <v>19753958452</v>
      </c>
      <c r="D47" s="11" t="s">
        <v>17</v>
      </c>
      <c r="E47" s="11">
        <v>4000</v>
      </c>
      <c r="F47" s="11">
        <v>3393.08</v>
      </c>
      <c r="G47" s="11">
        <f t="shared" si="0"/>
        <v>606.92000000000007</v>
      </c>
      <c r="H47" s="16">
        <f t="shared" si="1"/>
        <v>0.17886993528004058</v>
      </c>
      <c r="I47" s="11" t="s">
        <v>209</v>
      </c>
      <c r="J47" s="11"/>
    </row>
    <row r="48" spans="1:10" x14ac:dyDescent="0.25">
      <c r="A48" s="27">
        <v>46203</v>
      </c>
      <c r="B48" s="11" t="s">
        <v>276</v>
      </c>
      <c r="C48" s="26">
        <v>41673061439</v>
      </c>
      <c r="D48" s="11" t="s">
        <v>17</v>
      </c>
      <c r="E48" s="11">
        <v>4000</v>
      </c>
      <c r="F48" s="11">
        <v>3393.08</v>
      </c>
      <c r="G48" s="11">
        <f t="shared" si="0"/>
        <v>606.92000000000007</v>
      </c>
      <c r="H48" s="16">
        <f t="shared" si="1"/>
        <v>0.17886993528004058</v>
      </c>
      <c r="I48" s="11" t="s">
        <v>209</v>
      </c>
      <c r="J48" s="11"/>
    </row>
    <row r="49" spans="1:10" x14ac:dyDescent="0.25">
      <c r="A49" s="27">
        <v>46203</v>
      </c>
      <c r="B49" s="11" t="s">
        <v>276</v>
      </c>
      <c r="C49" s="26">
        <v>51475082422</v>
      </c>
      <c r="D49" s="11" t="s">
        <v>17</v>
      </c>
      <c r="E49" s="11">
        <v>4000</v>
      </c>
      <c r="F49" s="11">
        <v>3393.08</v>
      </c>
      <c r="G49" s="11">
        <f t="shared" si="0"/>
        <v>606.92000000000007</v>
      </c>
      <c r="H49" s="16">
        <f t="shared" si="1"/>
        <v>0.17886993528004058</v>
      </c>
      <c r="I49" s="11" t="s">
        <v>209</v>
      </c>
      <c r="J49" s="11"/>
    </row>
    <row r="50" spans="1:10" x14ac:dyDescent="0.25">
      <c r="A50" s="27">
        <v>46203</v>
      </c>
      <c r="B50" s="11" t="s">
        <v>276</v>
      </c>
      <c r="C50" s="26">
        <v>51650070425</v>
      </c>
      <c r="D50" s="11" t="s">
        <v>17</v>
      </c>
      <c r="E50" s="11">
        <v>4000</v>
      </c>
      <c r="F50" s="11">
        <v>3393.08</v>
      </c>
      <c r="G50" s="11">
        <f t="shared" si="0"/>
        <v>606.92000000000007</v>
      </c>
      <c r="H50" s="16">
        <f t="shared" si="1"/>
        <v>0.17886993528004058</v>
      </c>
      <c r="I50" s="11" t="s">
        <v>209</v>
      </c>
      <c r="J50" s="11"/>
    </row>
    <row r="51" spans="1:10" x14ac:dyDescent="0.25">
      <c r="A51" s="27">
        <v>46203</v>
      </c>
      <c r="B51" s="11" t="s">
        <v>276</v>
      </c>
      <c r="C51" s="26">
        <v>59796557268</v>
      </c>
      <c r="D51" s="11" t="s">
        <v>17</v>
      </c>
      <c r="E51" s="11">
        <v>4000</v>
      </c>
      <c r="F51" s="11">
        <v>3393.08</v>
      </c>
      <c r="G51" s="11">
        <f t="shared" si="0"/>
        <v>606.92000000000007</v>
      </c>
      <c r="H51" s="16">
        <f t="shared" si="1"/>
        <v>0.17886993528004058</v>
      </c>
      <c r="I51" s="11" t="s">
        <v>209</v>
      </c>
      <c r="J51" s="11"/>
    </row>
    <row r="52" spans="1:10" x14ac:dyDescent="0.25">
      <c r="A52" s="27">
        <v>46203</v>
      </c>
      <c r="B52" s="11" t="s">
        <v>276</v>
      </c>
      <c r="C52" s="26">
        <v>61625090487</v>
      </c>
      <c r="D52" s="11" t="s">
        <v>17</v>
      </c>
      <c r="E52" s="11">
        <v>4000</v>
      </c>
      <c r="F52" s="11">
        <v>3393.08</v>
      </c>
      <c r="G52" s="11">
        <f t="shared" si="0"/>
        <v>606.92000000000007</v>
      </c>
      <c r="H52" s="16">
        <f t="shared" si="1"/>
        <v>0.17886993528004058</v>
      </c>
      <c r="I52" s="11" t="s">
        <v>209</v>
      </c>
      <c r="J52" s="11"/>
    </row>
    <row r="53" spans="1:10" x14ac:dyDescent="0.25">
      <c r="A53" s="27">
        <v>46203</v>
      </c>
      <c r="B53" s="11" t="s">
        <v>276</v>
      </c>
      <c r="C53" s="26">
        <v>79760568862</v>
      </c>
      <c r="D53" s="11" t="s">
        <v>17</v>
      </c>
      <c r="E53" s="11">
        <v>4000</v>
      </c>
      <c r="F53" s="11">
        <v>3393.08</v>
      </c>
      <c r="G53" s="11">
        <f t="shared" si="0"/>
        <v>606.92000000000007</v>
      </c>
      <c r="H53" s="16">
        <f t="shared" si="1"/>
        <v>0.17886993528004058</v>
      </c>
      <c r="I53" s="11" t="s">
        <v>209</v>
      </c>
      <c r="J53" s="11"/>
    </row>
    <row r="54" spans="1:10" x14ac:dyDescent="0.25">
      <c r="E54" s="30" t="s">
        <v>567</v>
      </c>
      <c r="F54" s="30" t="s">
        <v>574</v>
      </c>
      <c r="G54" s="30" t="s">
        <v>575</v>
      </c>
      <c r="H54" s="31" t="s">
        <v>572</v>
      </c>
      <c r="I54" s="11"/>
      <c r="J54" s="11"/>
    </row>
    <row r="55" spans="1:10" x14ac:dyDescent="0.25">
      <c r="E55" s="8">
        <f t="shared" ref="E55:G55" si="2">SUM(E2:E54)</f>
        <v>161200</v>
      </c>
      <c r="F55" s="8">
        <f t="shared" si="2"/>
        <v>135830.93</v>
      </c>
      <c r="G55" s="8">
        <f t="shared" si="2"/>
        <v>25369.069999999956</v>
      </c>
      <c r="H55" s="10">
        <f>AVERAGE(H2:H54)</f>
        <v>0.12981057665507681</v>
      </c>
      <c r="I55" s="11"/>
      <c r="J55" s="11"/>
    </row>
    <row r="60" spans="1:10" x14ac:dyDescent="0.25">
      <c r="C60" s="35"/>
    </row>
    <row r="61" spans="1:10" x14ac:dyDescent="0.25">
      <c r="C61" s="35"/>
    </row>
    <row r="62" spans="1:10" x14ac:dyDescent="0.25">
      <c r="C62" s="35"/>
    </row>
    <row r="63" spans="1:10" x14ac:dyDescent="0.25">
      <c r="C63" s="36"/>
    </row>
    <row r="64" spans="1:10" x14ac:dyDescent="0.25">
      <c r="C64" s="35"/>
    </row>
    <row r="65" spans="3:3" x14ac:dyDescent="0.25">
      <c r="C65" s="35"/>
    </row>
    <row r="66" spans="3:3" x14ac:dyDescent="0.25">
      <c r="C66" s="35"/>
    </row>
    <row r="67" spans="3:3" x14ac:dyDescent="0.25">
      <c r="C67" s="35"/>
    </row>
    <row r="68" spans="3:3" x14ac:dyDescent="0.25">
      <c r="C68" s="35"/>
    </row>
    <row r="69" spans="3:3" x14ac:dyDescent="0.25">
      <c r="C69" s="35"/>
    </row>
    <row r="70" spans="3:3" x14ac:dyDescent="0.25">
      <c r="C70" s="35"/>
    </row>
    <row r="71" spans="3:3" x14ac:dyDescent="0.25">
      <c r="C71" s="35"/>
    </row>
    <row r="72" spans="3:3" x14ac:dyDescent="0.25">
      <c r="C72" s="36"/>
    </row>
    <row r="73" spans="3:3" x14ac:dyDescent="0.25">
      <c r="C73" s="35"/>
    </row>
    <row r="74" spans="3:3" x14ac:dyDescent="0.25">
      <c r="C74" s="35"/>
    </row>
    <row r="75" spans="3:3" x14ac:dyDescent="0.25">
      <c r="C75" s="35"/>
    </row>
    <row r="76" spans="3:3" x14ac:dyDescent="0.25">
      <c r="C76" s="35"/>
    </row>
    <row r="77" spans="3:3" x14ac:dyDescent="0.25">
      <c r="C77" s="35"/>
    </row>
    <row r="78" spans="3:3" x14ac:dyDescent="0.25">
      <c r="C78" s="35"/>
    </row>
    <row r="79" spans="3:3" x14ac:dyDescent="0.25">
      <c r="C79" s="36"/>
    </row>
    <row r="80" spans="3:3" x14ac:dyDescent="0.25">
      <c r="C80" s="35"/>
    </row>
    <row r="81" spans="3:3" x14ac:dyDescent="0.25">
      <c r="C81" s="36"/>
    </row>
    <row r="82" spans="3:3" x14ac:dyDescent="0.25">
      <c r="C82" s="35"/>
    </row>
    <row r="83" spans="3:3" x14ac:dyDescent="0.25">
      <c r="C83" s="35"/>
    </row>
    <row r="84" spans="3:3" x14ac:dyDescent="0.25">
      <c r="C84" s="35"/>
    </row>
    <row r="85" spans="3:3" x14ac:dyDescent="0.25">
      <c r="C85" s="35"/>
    </row>
    <row r="86" spans="3:3" x14ac:dyDescent="0.25">
      <c r="C86" s="35"/>
    </row>
    <row r="87" spans="3:3" x14ac:dyDescent="0.25">
      <c r="C87" s="36"/>
    </row>
    <row r="88" spans="3:3" x14ac:dyDescent="0.25">
      <c r="C88" s="35"/>
    </row>
    <row r="89" spans="3:3" x14ac:dyDescent="0.25">
      <c r="C89" s="36"/>
    </row>
    <row r="90" spans="3:3" x14ac:dyDescent="0.25">
      <c r="C90" s="36"/>
    </row>
    <row r="91" spans="3:3" x14ac:dyDescent="0.25">
      <c r="C91" s="35"/>
    </row>
    <row r="92" spans="3:3" x14ac:dyDescent="0.25">
      <c r="C92" s="36"/>
    </row>
    <row r="93" spans="3:3" x14ac:dyDescent="0.25">
      <c r="C93" s="35"/>
    </row>
    <row r="94" spans="3:3" x14ac:dyDescent="0.25">
      <c r="C94" s="35"/>
    </row>
    <row r="95" spans="3:3" x14ac:dyDescent="0.25">
      <c r="C95" s="35"/>
    </row>
    <row r="96" spans="3:3" x14ac:dyDescent="0.25">
      <c r="C96" s="35"/>
    </row>
    <row r="97" spans="3:3" x14ac:dyDescent="0.25">
      <c r="C97" s="36"/>
    </row>
    <row r="98" spans="3:3" x14ac:dyDescent="0.25">
      <c r="C98" s="35"/>
    </row>
    <row r="99" spans="3:3" x14ac:dyDescent="0.25">
      <c r="C99" s="35"/>
    </row>
    <row r="100" spans="3:3" x14ac:dyDescent="0.25">
      <c r="C100" s="35"/>
    </row>
    <row r="101" spans="3:3" x14ac:dyDescent="0.25">
      <c r="C101" s="36"/>
    </row>
    <row r="102" spans="3:3" x14ac:dyDescent="0.25">
      <c r="C102" s="35"/>
    </row>
    <row r="103" spans="3:3" x14ac:dyDescent="0.25">
      <c r="C103" s="36"/>
    </row>
    <row r="104" spans="3:3" x14ac:dyDescent="0.25">
      <c r="C104" s="35"/>
    </row>
    <row r="105" spans="3:3" x14ac:dyDescent="0.25">
      <c r="C105" s="35"/>
    </row>
    <row r="106" spans="3:3" x14ac:dyDescent="0.25">
      <c r="C106" s="35"/>
    </row>
    <row r="107" spans="3:3" x14ac:dyDescent="0.25">
      <c r="C107" s="36"/>
    </row>
    <row r="108" spans="3:3" x14ac:dyDescent="0.25">
      <c r="C108" s="35"/>
    </row>
    <row r="109" spans="3:3" x14ac:dyDescent="0.25">
      <c r="C109" s="35"/>
    </row>
    <row r="110" spans="3:3" x14ac:dyDescent="0.25">
      <c r="C110" s="35"/>
    </row>
    <row r="111" spans="3:3" x14ac:dyDescent="0.25">
      <c r="C111" s="36"/>
    </row>
    <row r="112" spans="3:3" x14ac:dyDescent="0.25">
      <c r="C112" s="35"/>
    </row>
    <row r="113" spans="3:3" x14ac:dyDescent="0.25">
      <c r="C113" s="35"/>
    </row>
  </sheetData>
  <conditionalFormatting sqref="C2:C53">
    <cfRule type="duplicateValues" dxfId="42" priority="3"/>
  </conditionalFormatting>
  <conditionalFormatting sqref="C60:C113">
    <cfRule type="duplicateValues" dxfId="41" priority="2"/>
  </conditionalFormatting>
  <conditionalFormatting sqref="C1:C1048576">
    <cfRule type="duplicateValues" dxfId="4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5A99-80CF-412C-B268-6DC6B559C3EC}">
  <dimension ref="A1:J325"/>
  <sheetViews>
    <sheetView topLeftCell="A252" zoomScale="90" zoomScaleNormal="90" workbookViewId="0">
      <selection activeCell="E261" sqref="E261:H261"/>
    </sheetView>
  </sheetViews>
  <sheetFormatPr defaultRowHeight="15" x14ac:dyDescent="0.25"/>
  <cols>
    <col min="1" max="1" width="13.5703125" style="25" customWidth="1"/>
    <col min="2" max="2" width="54.5703125" bestFit="1" customWidth="1"/>
    <col min="3" max="3" width="35" style="25" bestFit="1" customWidth="1"/>
    <col min="4" max="4" width="69" bestFit="1" customWidth="1"/>
    <col min="5" max="5" width="12.7109375" customWidth="1"/>
    <col min="6" max="6" width="16" customWidth="1"/>
    <col min="7" max="7" width="14.7109375" customWidth="1"/>
    <col min="8" max="8" width="19.28515625" style="4" customWidth="1"/>
    <col min="9" max="9" width="16.28515625" bestFit="1" customWidth="1"/>
    <col min="10" max="10" width="9.5703125" customWidth="1"/>
  </cols>
  <sheetData>
    <row r="1" spans="1:10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23" t="s">
        <v>12</v>
      </c>
      <c r="I1" s="6" t="s">
        <v>13</v>
      </c>
      <c r="J1" s="11"/>
    </row>
    <row r="2" spans="1:10" x14ac:dyDescent="0.25">
      <c r="A2" s="27">
        <v>46178</v>
      </c>
      <c r="B2" s="11" t="s">
        <v>29</v>
      </c>
      <c r="C2" s="26">
        <v>356187984446307</v>
      </c>
      <c r="D2" s="11" t="s">
        <v>108</v>
      </c>
      <c r="E2" s="11">
        <v>2470</v>
      </c>
      <c r="F2" s="11">
        <v>2380</v>
      </c>
      <c r="G2" s="11">
        <f>E2-F2</f>
        <v>90</v>
      </c>
      <c r="H2" s="16">
        <f>(E2-F2)/F2</f>
        <v>3.7815126050420166E-2</v>
      </c>
      <c r="I2" s="11" t="s">
        <v>35</v>
      </c>
      <c r="J2" s="11"/>
    </row>
    <row r="3" spans="1:10" x14ac:dyDescent="0.25">
      <c r="A3" s="27">
        <v>46178</v>
      </c>
      <c r="B3" s="11" t="s">
        <v>29</v>
      </c>
      <c r="C3" s="26">
        <v>356187985067631</v>
      </c>
      <c r="D3" s="11" t="s">
        <v>109</v>
      </c>
      <c r="E3" s="11">
        <v>2850</v>
      </c>
      <c r="F3" s="11">
        <v>2380</v>
      </c>
      <c r="G3" s="11">
        <f>E3-F3</f>
        <v>470</v>
      </c>
      <c r="H3" s="16">
        <f>(E3-F3)/F3</f>
        <v>0.19747899159663865</v>
      </c>
      <c r="I3" s="11" t="s">
        <v>35</v>
      </c>
      <c r="J3" s="11"/>
    </row>
    <row r="4" spans="1:10" x14ac:dyDescent="0.25">
      <c r="A4" s="27">
        <v>46178</v>
      </c>
      <c r="B4" s="11" t="s">
        <v>29</v>
      </c>
      <c r="C4" s="26">
        <v>358135796129197</v>
      </c>
      <c r="D4" s="11" t="s">
        <v>110</v>
      </c>
      <c r="E4" s="11">
        <v>2510</v>
      </c>
      <c r="F4" s="11">
        <v>2380</v>
      </c>
      <c r="G4" s="11">
        <f>E4-F4</f>
        <v>130</v>
      </c>
      <c r="H4" s="16">
        <f>(E4-F4)/F4</f>
        <v>5.4621848739495799E-2</v>
      </c>
      <c r="I4" s="11" t="s">
        <v>35</v>
      </c>
      <c r="J4" s="11"/>
    </row>
    <row r="5" spans="1:10" x14ac:dyDescent="0.25">
      <c r="A5" s="27">
        <v>46178</v>
      </c>
      <c r="B5" s="11" t="s">
        <v>29</v>
      </c>
      <c r="C5" s="26">
        <v>358135796236836</v>
      </c>
      <c r="D5" s="11" t="s">
        <v>110</v>
      </c>
      <c r="E5" s="11">
        <v>2510</v>
      </c>
      <c r="F5" s="11">
        <v>2380</v>
      </c>
      <c r="G5" s="11">
        <f>E5-F5</f>
        <v>130</v>
      </c>
      <c r="H5" s="16">
        <f>(E5-F5)/F5</f>
        <v>5.4621848739495799E-2</v>
      </c>
      <c r="I5" s="11" t="s">
        <v>35</v>
      </c>
      <c r="J5" s="11"/>
    </row>
    <row r="6" spans="1:10" x14ac:dyDescent="0.25">
      <c r="A6" s="27">
        <v>46178</v>
      </c>
      <c r="B6" s="11" t="s">
        <v>29</v>
      </c>
      <c r="C6" s="26">
        <v>358135797480052</v>
      </c>
      <c r="D6" s="11" t="s">
        <v>110</v>
      </c>
      <c r="E6" s="11">
        <v>2510</v>
      </c>
      <c r="F6" s="11">
        <v>2380</v>
      </c>
      <c r="G6" s="11">
        <f>E6-F6</f>
        <v>130</v>
      </c>
      <c r="H6" s="16">
        <f>(E6-F6)/F6</f>
        <v>5.4621848739495799E-2</v>
      </c>
      <c r="I6" s="11" t="s">
        <v>35</v>
      </c>
      <c r="J6" s="11"/>
    </row>
    <row r="7" spans="1:10" x14ac:dyDescent="0.25">
      <c r="A7" s="27">
        <v>46179</v>
      </c>
      <c r="B7" s="11" t="s">
        <v>162</v>
      </c>
      <c r="C7" s="26">
        <v>350687010566321</v>
      </c>
      <c r="D7" s="11" t="s">
        <v>114</v>
      </c>
      <c r="E7" s="11">
        <v>2470</v>
      </c>
      <c r="F7" s="11">
        <v>2450</v>
      </c>
      <c r="G7" s="11">
        <f>E7-F7</f>
        <v>20</v>
      </c>
      <c r="H7" s="16">
        <f>(E7-F7)/F7</f>
        <v>8.1632653061224497E-3</v>
      </c>
      <c r="I7" s="11" t="s">
        <v>35</v>
      </c>
      <c r="J7" s="11"/>
    </row>
    <row r="8" spans="1:10" x14ac:dyDescent="0.25">
      <c r="A8" s="27">
        <v>46179</v>
      </c>
      <c r="B8" s="11" t="s">
        <v>162</v>
      </c>
      <c r="C8" s="26">
        <v>350687011210465</v>
      </c>
      <c r="D8" s="11" t="s">
        <v>114</v>
      </c>
      <c r="E8" s="11">
        <v>2470</v>
      </c>
      <c r="F8" s="11">
        <v>2450</v>
      </c>
      <c r="G8" s="11">
        <f>E8-F8</f>
        <v>20</v>
      </c>
      <c r="H8" s="16">
        <f>(E8-F8)/F8</f>
        <v>8.1632653061224497E-3</v>
      </c>
      <c r="I8" s="11" t="s">
        <v>35</v>
      </c>
      <c r="J8" s="11"/>
    </row>
    <row r="9" spans="1:10" x14ac:dyDescent="0.25">
      <c r="A9" s="27">
        <v>46179</v>
      </c>
      <c r="B9" s="11" t="s">
        <v>162</v>
      </c>
      <c r="C9" s="26">
        <v>350687011309069</v>
      </c>
      <c r="D9" s="11" t="s">
        <v>114</v>
      </c>
      <c r="E9" s="11">
        <v>2470</v>
      </c>
      <c r="F9" s="11">
        <v>2450</v>
      </c>
      <c r="G9" s="11">
        <f>E9-F9</f>
        <v>20</v>
      </c>
      <c r="H9" s="16">
        <f>(E9-F9)/F9</f>
        <v>8.1632653061224497E-3</v>
      </c>
      <c r="I9" s="11" t="s">
        <v>35</v>
      </c>
      <c r="J9" s="11"/>
    </row>
    <row r="10" spans="1:10" x14ac:dyDescent="0.25">
      <c r="A10" s="27">
        <v>46179</v>
      </c>
      <c r="B10" s="11" t="s">
        <v>162</v>
      </c>
      <c r="C10" s="26">
        <v>351235186309172</v>
      </c>
      <c r="D10" s="11" t="s">
        <v>163</v>
      </c>
      <c r="E10" s="11">
        <v>2470</v>
      </c>
      <c r="F10" s="11">
        <v>2450</v>
      </c>
      <c r="G10" s="11">
        <f>E10-F10</f>
        <v>20</v>
      </c>
      <c r="H10" s="16">
        <f>(E10-F10)/F10</f>
        <v>8.1632653061224497E-3</v>
      </c>
      <c r="I10" s="11" t="s">
        <v>35</v>
      </c>
      <c r="J10" s="11"/>
    </row>
    <row r="11" spans="1:10" x14ac:dyDescent="0.25">
      <c r="A11" s="27">
        <v>46179</v>
      </c>
      <c r="B11" s="11" t="s">
        <v>162</v>
      </c>
      <c r="C11" s="26">
        <v>355837670508668</v>
      </c>
      <c r="D11" s="11" t="s">
        <v>114</v>
      </c>
      <c r="E11" s="11">
        <v>2470</v>
      </c>
      <c r="F11" s="11">
        <v>2450</v>
      </c>
      <c r="G11" s="11">
        <f>E11-F11</f>
        <v>20</v>
      </c>
      <c r="H11" s="16">
        <f>(E11-F11)/F11</f>
        <v>8.1632653061224497E-3</v>
      </c>
      <c r="I11" s="11" t="s">
        <v>35</v>
      </c>
      <c r="J11" s="11"/>
    </row>
    <row r="12" spans="1:10" x14ac:dyDescent="0.25">
      <c r="A12" s="27">
        <v>46182</v>
      </c>
      <c r="B12" s="11" t="s">
        <v>95</v>
      </c>
      <c r="C12" s="26">
        <v>357247594319119</v>
      </c>
      <c r="D12" s="11" t="s">
        <v>206</v>
      </c>
      <c r="E12" s="11">
        <v>1900</v>
      </c>
      <c r="F12" s="11">
        <v>1800</v>
      </c>
      <c r="G12" s="11">
        <f>E12-F12</f>
        <v>100</v>
      </c>
      <c r="H12" s="16">
        <f>(E12-F12)/F12</f>
        <v>5.5555555555555552E-2</v>
      </c>
      <c r="I12" s="11" t="s">
        <v>35</v>
      </c>
      <c r="J12" s="11"/>
    </row>
    <row r="13" spans="1:10" x14ac:dyDescent="0.25">
      <c r="A13" s="27">
        <v>46192</v>
      </c>
      <c r="B13" s="11" t="s">
        <v>29</v>
      </c>
      <c r="C13" s="26">
        <v>356187983270518</v>
      </c>
      <c r="D13" s="11" t="s">
        <v>323</v>
      </c>
      <c r="E13" s="11">
        <v>2425</v>
      </c>
      <c r="F13" s="11">
        <v>2380</v>
      </c>
      <c r="G13" s="11">
        <f>E13-F13</f>
        <v>45</v>
      </c>
      <c r="H13" s="16">
        <f>(E13-F13)/F13</f>
        <v>1.8907563025210083E-2</v>
      </c>
      <c r="I13" s="11" t="s">
        <v>35</v>
      </c>
      <c r="J13" s="11"/>
    </row>
    <row r="14" spans="1:10" x14ac:dyDescent="0.25">
      <c r="A14" s="27">
        <v>46192</v>
      </c>
      <c r="B14" s="11" t="s">
        <v>29</v>
      </c>
      <c r="C14" s="26">
        <v>358135797297837</v>
      </c>
      <c r="D14" s="11" t="s">
        <v>323</v>
      </c>
      <c r="E14" s="11">
        <v>2425</v>
      </c>
      <c r="F14" s="11">
        <v>2380</v>
      </c>
      <c r="G14" s="11">
        <f>E14-F14</f>
        <v>45</v>
      </c>
      <c r="H14" s="16">
        <f>(E14-F14)/F14</f>
        <v>1.8907563025210083E-2</v>
      </c>
      <c r="I14" s="11" t="s">
        <v>35</v>
      </c>
      <c r="J14" s="11"/>
    </row>
    <row r="15" spans="1:10" x14ac:dyDescent="0.25">
      <c r="A15" s="27">
        <v>46192</v>
      </c>
      <c r="B15" s="11" t="s">
        <v>54</v>
      </c>
      <c r="C15" s="26">
        <v>352355703231599</v>
      </c>
      <c r="D15" s="11" t="s">
        <v>327</v>
      </c>
      <c r="E15" s="11">
        <v>3830</v>
      </c>
      <c r="F15" s="11">
        <v>3750</v>
      </c>
      <c r="G15" s="11">
        <f>E15-F15</f>
        <v>80</v>
      </c>
      <c r="H15" s="16">
        <f>(E15-F15)/F15</f>
        <v>2.1333333333333333E-2</v>
      </c>
      <c r="I15" s="11" t="s">
        <v>35</v>
      </c>
      <c r="J15" s="11"/>
    </row>
    <row r="16" spans="1:10" x14ac:dyDescent="0.25">
      <c r="A16" s="27">
        <v>46192</v>
      </c>
      <c r="B16" s="11" t="s">
        <v>54</v>
      </c>
      <c r="C16" s="26">
        <v>352355707695641</v>
      </c>
      <c r="D16" s="11" t="s">
        <v>328</v>
      </c>
      <c r="E16" s="11">
        <v>3830</v>
      </c>
      <c r="F16" s="11">
        <v>1000</v>
      </c>
      <c r="G16" s="11">
        <f>E16-F16</f>
        <v>2830</v>
      </c>
      <c r="H16" s="16">
        <f>(E16-F16)/F16</f>
        <v>2.83</v>
      </c>
      <c r="I16" s="11" t="s">
        <v>35</v>
      </c>
      <c r="J16" s="11"/>
    </row>
    <row r="17" spans="1:10" x14ac:dyDescent="0.25">
      <c r="A17" s="27">
        <v>46192</v>
      </c>
      <c r="B17" s="11" t="s">
        <v>36</v>
      </c>
      <c r="C17" s="26">
        <v>351205745111724</v>
      </c>
      <c r="D17" s="11" t="s">
        <v>332</v>
      </c>
      <c r="E17" s="11">
        <v>3060</v>
      </c>
      <c r="F17" s="11">
        <v>3000</v>
      </c>
      <c r="G17" s="11">
        <f>E17-F17</f>
        <v>60</v>
      </c>
      <c r="H17" s="16">
        <f>(E17-F17)/F17</f>
        <v>0.02</v>
      </c>
      <c r="I17" s="11" t="s">
        <v>35</v>
      </c>
      <c r="J17" s="11"/>
    </row>
    <row r="18" spans="1:10" x14ac:dyDescent="0.25">
      <c r="A18" s="27">
        <v>46192</v>
      </c>
      <c r="B18" s="11" t="s">
        <v>36</v>
      </c>
      <c r="C18" s="26">
        <v>359652128477234</v>
      </c>
      <c r="D18" s="11" t="s">
        <v>332</v>
      </c>
      <c r="E18" s="11">
        <v>3060</v>
      </c>
      <c r="F18" s="11">
        <v>3000</v>
      </c>
      <c r="G18" s="11">
        <f>E18-F18</f>
        <v>60</v>
      </c>
      <c r="H18" s="16">
        <f>(E18-F18)/F18</f>
        <v>0.02</v>
      </c>
      <c r="I18" s="11" t="s">
        <v>35</v>
      </c>
      <c r="J18" s="11"/>
    </row>
    <row r="19" spans="1:10" x14ac:dyDescent="0.25">
      <c r="A19" s="27">
        <v>46193</v>
      </c>
      <c r="B19" s="11" t="s">
        <v>104</v>
      </c>
      <c r="C19" s="26">
        <v>355202683600962</v>
      </c>
      <c r="D19" s="11" t="s">
        <v>394</v>
      </c>
      <c r="E19" s="11">
        <v>1280</v>
      </c>
      <c r="F19" s="11">
        <v>1080</v>
      </c>
      <c r="G19" s="11">
        <f>E19-F19</f>
        <v>200</v>
      </c>
      <c r="H19" s="16">
        <f>(E19-F19)/F19</f>
        <v>0.18518518518518517</v>
      </c>
      <c r="I19" s="11" t="s">
        <v>35</v>
      </c>
      <c r="J19" s="11"/>
    </row>
    <row r="20" spans="1:10" x14ac:dyDescent="0.25">
      <c r="A20" s="27">
        <v>46193</v>
      </c>
      <c r="B20" s="11" t="s">
        <v>29</v>
      </c>
      <c r="C20" s="26">
        <v>358135797167600</v>
      </c>
      <c r="D20" s="11" t="s">
        <v>395</v>
      </c>
      <c r="E20" s="11">
        <v>2425</v>
      </c>
      <c r="F20" s="11">
        <v>2380</v>
      </c>
      <c r="G20" s="11">
        <f>E20-F20</f>
        <v>45</v>
      </c>
      <c r="H20" s="16">
        <f>(E20-F20)/F20</f>
        <v>1.8907563025210083E-2</v>
      </c>
      <c r="I20" s="11" t="s">
        <v>35</v>
      </c>
      <c r="J20" s="11"/>
    </row>
    <row r="21" spans="1:10" x14ac:dyDescent="0.25">
      <c r="A21" s="28">
        <v>46195</v>
      </c>
      <c r="B21" s="19" t="s">
        <v>162</v>
      </c>
      <c r="C21" s="29">
        <v>350520605513202</v>
      </c>
      <c r="D21" s="19" t="s">
        <v>421</v>
      </c>
      <c r="E21" s="19">
        <v>2350</v>
      </c>
      <c r="F21" s="19">
        <v>2400</v>
      </c>
      <c r="G21" s="19">
        <f>E21-F21</f>
        <v>-50</v>
      </c>
      <c r="H21" s="22">
        <f>(E21-F21)/F21</f>
        <v>-2.0833333333333332E-2</v>
      </c>
      <c r="I21" s="19" t="s">
        <v>35</v>
      </c>
      <c r="J21" s="19" t="s">
        <v>55</v>
      </c>
    </row>
    <row r="22" spans="1:10" x14ac:dyDescent="0.25">
      <c r="A22" s="28">
        <v>46195</v>
      </c>
      <c r="B22" s="19" t="s">
        <v>162</v>
      </c>
      <c r="C22" s="29">
        <v>359090831533813</v>
      </c>
      <c r="D22" s="19" t="s">
        <v>156</v>
      </c>
      <c r="E22" s="19">
        <v>2350</v>
      </c>
      <c r="F22" s="19">
        <v>2400</v>
      </c>
      <c r="G22" s="19">
        <f>E22-F22</f>
        <v>-50</v>
      </c>
      <c r="H22" s="22">
        <f>(E22-F22)/F22</f>
        <v>-2.0833333333333332E-2</v>
      </c>
      <c r="I22" s="19" t="s">
        <v>35</v>
      </c>
      <c r="J22" s="19" t="s">
        <v>55</v>
      </c>
    </row>
    <row r="23" spans="1:10" x14ac:dyDescent="0.25">
      <c r="A23" s="28">
        <v>46195</v>
      </c>
      <c r="B23" s="19" t="s">
        <v>162</v>
      </c>
      <c r="C23" s="29">
        <v>359090831548258</v>
      </c>
      <c r="D23" s="19" t="s">
        <v>156</v>
      </c>
      <c r="E23" s="19">
        <v>2350</v>
      </c>
      <c r="F23" s="19">
        <v>2400</v>
      </c>
      <c r="G23" s="19">
        <f>E23-F23</f>
        <v>-50</v>
      </c>
      <c r="H23" s="22">
        <f>(E23-F23)/F23</f>
        <v>-2.0833333333333332E-2</v>
      </c>
      <c r="I23" s="19" t="s">
        <v>35</v>
      </c>
      <c r="J23" s="19" t="s">
        <v>55</v>
      </c>
    </row>
    <row r="24" spans="1:10" x14ac:dyDescent="0.25">
      <c r="A24" s="28">
        <v>46195</v>
      </c>
      <c r="B24" s="19" t="s">
        <v>162</v>
      </c>
      <c r="C24" s="29">
        <v>359090831606916</v>
      </c>
      <c r="D24" s="19" t="s">
        <v>421</v>
      </c>
      <c r="E24" s="19">
        <v>2350</v>
      </c>
      <c r="F24" s="19">
        <v>2400</v>
      </c>
      <c r="G24" s="19">
        <f>E24-F24</f>
        <v>-50</v>
      </c>
      <c r="H24" s="22">
        <f>(E24-F24)/F24</f>
        <v>-2.0833333333333332E-2</v>
      </c>
      <c r="I24" s="19" t="s">
        <v>35</v>
      </c>
      <c r="J24" s="19" t="s">
        <v>55</v>
      </c>
    </row>
    <row r="25" spans="1:10" x14ac:dyDescent="0.25">
      <c r="A25" s="28">
        <v>46195</v>
      </c>
      <c r="B25" s="19" t="s">
        <v>162</v>
      </c>
      <c r="C25" s="29">
        <v>359090832196180</v>
      </c>
      <c r="D25" s="19" t="s">
        <v>421</v>
      </c>
      <c r="E25" s="19">
        <v>2350</v>
      </c>
      <c r="F25" s="19">
        <v>2400</v>
      </c>
      <c r="G25" s="19">
        <f>E25-F25</f>
        <v>-50</v>
      </c>
      <c r="H25" s="22">
        <f>(E25-F25)/F25</f>
        <v>-2.0833333333333332E-2</v>
      </c>
      <c r="I25" s="19" t="s">
        <v>35</v>
      </c>
      <c r="J25" s="19" t="s">
        <v>55</v>
      </c>
    </row>
    <row r="26" spans="1:10" x14ac:dyDescent="0.25">
      <c r="A26" s="28">
        <v>46195</v>
      </c>
      <c r="B26" s="19" t="s">
        <v>162</v>
      </c>
      <c r="C26" s="29">
        <v>359090832438384</v>
      </c>
      <c r="D26" s="19" t="s">
        <v>422</v>
      </c>
      <c r="E26" s="19">
        <v>2350</v>
      </c>
      <c r="F26" s="19">
        <v>2400</v>
      </c>
      <c r="G26" s="19">
        <f>E26-F26</f>
        <v>-50</v>
      </c>
      <c r="H26" s="22">
        <f>(E26-F26)/F26</f>
        <v>-2.0833333333333332E-2</v>
      </c>
      <c r="I26" s="19" t="s">
        <v>35</v>
      </c>
      <c r="J26" s="19" t="s">
        <v>55</v>
      </c>
    </row>
    <row r="27" spans="1:10" x14ac:dyDescent="0.25">
      <c r="A27" s="28">
        <v>46195</v>
      </c>
      <c r="B27" s="19" t="s">
        <v>162</v>
      </c>
      <c r="C27" s="29">
        <v>359090832479602</v>
      </c>
      <c r="D27" s="19" t="s">
        <v>156</v>
      </c>
      <c r="E27" s="19">
        <v>2350</v>
      </c>
      <c r="F27" s="19">
        <v>2400</v>
      </c>
      <c r="G27" s="19">
        <f>E27-F27</f>
        <v>-50</v>
      </c>
      <c r="H27" s="22">
        <f>(E27-F27)/F27</f>
        <v>-2.0833333333333332E-2</v>
      </c>
      <c r="I27" s="19" t="s">
        <v>35</v>
      </c>
      <c r="J27" s="19" t="s">
        <v>55</v>
      </c>
    </row>
    <row r="28" spans="1:10" x14ac:dyDescent="0.25">
      <c r="A28" s="28">
        <v>46195</v>
      </c>
      <c r="B28" s="19" t="s">
        <v>162</v>
      </c>
      <c r="C28" s="29">
        <v>359090832544124</v>
      </c>
      <c r="D28" s="19" t="s">
        <v>156</v>
      </c>
      <c r="E28" s="19">
        <v>2350</v>
      </c>
      <c r="F28" s="19">
        <v>2400</v>
      </c>
      <c r="G28" s="19">
        <f>E28-F28</f>
        <v>-50</v>
      </c>
      <c r="H28" s="22">
        <f>(E28-F28)/F28</f>
        <v>-2.0833333333333332E-2</v>
      </c>
      <c r="I28" s="19" t="s">
        <v>35</v>
      </c>
      <c r="J28" s="19" t="s">
        <v>55</v>
      </c>
    </row>
    <row r="29" spans="1:10" x14ac:dyDescent="0.25">
      <c r="A29" s="28">
        <v>46195</v>
      </c>
      <c r="B29" s="19" t="s">
        <v>162</v>
      </c>
      <c r="C29" s="29">
        <v>359588201549178</v>
      </c>
      <c r="D29" s="19" t="s">
        <v>156</v>
      </c>
      <c r="E29" s="19">
        <v>2350</v>
      </c>
      <c r="F29" s="19">
        <v>2400</v>
      </c>
      <c r="G29" s="19">
        <f>E29-F29</f>
        <v>-50</v>
      </c>
      <c r="H29" s="22">
        <f>(E29-F29)/F29</f>
        <v>-2.0833333333333332E-2</v>
      </c>
      <c r="I29" s="19" t="s">
        <v>35</v>
      </c>
      <c r="J29" s="19" t="s">
        <v>55</v>
      </c>
    </row>
    <row r="30" spans="1:10" x14ac:dyDescent="0.25">
      <c r="A30" s="28">
        <v>46200</v>
      </c>
      <c r="B30" s="19" t="s">
        <v>486</v>
      </c>
      <c r="C30" s="29">
        <v>352255852640766</v>
      </c>
      <c r="D30" s="19" t="s">
        <v>487</v>
      </c>
      <c r="E30" s="19">
        <v>2350</v>
      </c>
      <c r="F30" s="19">
        <v>2450</v>
      </c>
      <c r="G30" s="19">
        <f>E30-F30</f>
        <v>-100</v>
      </c>
      <c r="H30" s="22">
        <f>(E30-F30)/F30</f>
        <v>-4.0816326530612242E-2</v>
      </c>
      <c r="I30" s="19" t="s">
        <v>35</v>
      </c>
      <c r="J30" s="19" t="s">
        <v>55</v>
      </c>
    </row>
    <row r="31" spans="1:10" x14ac:dyDescent="0.25">
      <c r="A31" s="27">
        <v>46200</v>
      </c>
      <c r="B31" s="11" t="s">
        <v>54</v>
      </c>
      <c r="C31" s="26">
        <v>352355709856035</v>
      </c>
      <c r="D31" s="11" t="s">
        <v>488</v>
      </c>
      <c r="E31" s="11">
        <v>3600</v>
      </c>
      <c r="F31" s="11">
        <v>3500</v>
      </c>
      <c r="G31" s="11">
        <f>E31-F31</f>
        <v>100</v>
      </c>
      <c r="H31" s="16">
        <f>(E31-F31)/F31</f>
        <v>2.8571428571428571E-2</v>
      </c>
      <c r="I31" s="11" t="s">
        <v>35</v>
      </c>
      <c r="J31" s="11"/>
    </row>
    <row r="32" spans="1:10" x14ac:dyDescent="0.25">
      <c r="A32" s="27">
        <v>46175</v>
      </c>
      <c r="B32" s="11" t="s">
        <v>29</v>
      </c>
      <c r="C32" s="26">
        <v>353938645417530</v>
      </c>
      <c r="D32" s="11" t="s">
        <v>30</v>
      </c>
      <c r="E32" s="11">
        <v>2470</v>
      </c>
      <c r="F32" s="11">
        <v>2374.0500000000002</v>
      </c>
      <c r="G32" s="11">
        <f>E32-F32</f>
        <v>95.949999999999818</v>
      </c>
      <c r="H32" s="16">
        <f>(E32-F32)/F32</f>
        <v>4.0416166466586557E-2</v>
      </c>
      <c r="I32" s="11" t="s">
        <v>31</v>
      </c>
      <c r="J32" s="11"/>
    </row>
    <row r="33" spans="1:10" x14ac:dyDescent="0.25">
      <c r="A33" s="27">
        <v>46175</v>
      </c>
      <c r="B33" s="11" t="s">
        <v>29</v>
      </c>
      <c r="C33" s="26">
        <v>353938646827273</v>
      </c>
      <c r="D33" s="11" t="s">
        <v>30</v>
      </c>
      <c r="E33" s="11">
        <v>2470</v>
      </c>
      <c r="F33" s="11">
        <v>2374.0500000000002</v>
      </c>
      <c r="G33" s="11">
        <f>E33-F33</f>
        <v>95.949999999999818</v>
      </c>
      <c r="H33" s="16">
        <f>(E33-F33)/F33</f>
        <v>4.0416166466586557E-2</v>
      </c>
      <c r="I33" s="11" t="s">
        <v>31</v>
      </c>
      <c r="J33" s="11"/>
    </row>
    <row r="34" spans="1:10" x14ac:dyDescent="0.25">
      <c r="A34" s="27">
        <v>46175</v>
      </c>
      <c r="B34" s="11" t="s">
        <v>29</v>
      </c>
      <c r="C34" s="26">
        <v>355827875126770</v>
      </c>
      <c r="D34" s="11" t="s">
        <v>30</v>
      </c>
      <c r="E34" s="11">
        <v>2470</v>
      </c>
      <c r="F34" s="11">
        <v>2374.0500000000002</v>
      </c>
      <c r="G34" s="11">
        <f>E34-F34</f>
        <v>95.949999999999818</v>
      </c>
      <c r="H34" s="16">
        <f>(E34-F34)/F34</f>
        <v>4.0416166466586557E-2</v>
      </c>
      <c r="I34" s="11" t="s">
        <v>31</v>
      </c>
      <c r="J34" s="11"/>
    </row>
    <row r="35" spans="1:10" x14ac:dyDescent="0.25">
      <c r="A35" s="27">
        <v>46175</v>
      </c>
      <c r="B35" s="11" t="s">
        <v>29</v>
      </c>
      <c r="C35" s="26">
        <v>355827875214956</v>
      </c>
      <c r="D35" s="11" t="s">
        <v>30</v>
      </c>
      <c r="E35" s="11">
        <v>2470</v>
      </c>
      <c r="F35" s="11">
        <v>2374.0500000000002</v>
      </c>
      <c r="G35" s="11">
        <f>E35-F35</f>
        <v>95.949999999999818</v>
      </c>
      <c r="H35" s="16">
        <f>(E35-F35)/F35</f>
        <v>4.0416166466586557E-2</v>
      </c>
      <c r="I35" s="11" t="s">
        <v>31</v>
      </c>
      <c r="J35" s="11"/>
    </row>
    <row r="36" spans="1:10" x14ac:dyDescent="0.25">
      <c r="A36" s="27">
        <v>46175</v>
      </c>
      <c r="B36" s="11" t="s">
        <v>29</v>
      </c>
      <c r="C36" s="26">
        <v>355827875806827</v>
      </c>
      <c r="D36" s="11" t="s">
        <v>30</v>
      </c>
      <c r="E36" s="11">
        <v>2470</v>
      </c>
      <c r="F36" s="11">
        <v>2374.0500000000002</v>
      </c>
      <c r="G36" s="11">
        <f>E36-F36</f>
        <v>95.949999999999818</v>
      </c>
      <c r="H36" s="16">
        <f>(E36-F36)/F36</f>
        <v>4.0416166466586557E-2</v>
      </c>
      <c r="I36" s="11" t="s">
        <v>31</v>
      </c>
      <c r="J36" s="11"/>
    </row>
    <row r="37" spans="1:10" x14ac:dyDescent="0.25">
      <c r="A37" s="27">
        <v>46175</v>
      </c>
      <c r="B37" s="11" t="s">
        <v>29</v>
      </c>
      <c r="C37" s="26">
        <v>355827876058352</v>
      </c>
      <c r="D37" s="11" t="s">
        <v>30</v>
      </c>
      <c r="E37" s="11">
        <v>2470</v>
      </c>
      <c r="F37" s="11">
        <v>2374.0500000000002</v>
      </c>
      <c r="G37" s="11">
        <f>E37-F37</f>
        <v>95.949999999999818</v>
      </c>
      <c r="H37" s="16">
        <f>(E37-F37)/F37</f>
        <v>4.0416166466586557E-2</v>
      </c>
      <c r="I37" s="11" t="s">
        <v>31</v>
      </c>
      <c r="J37" s="11"/>
    </row>
    <row r="38" spans="1:10" x14ac:dyDescent="0.25">
      <c r="A38" s="27">
        <v>46175</v>
      </c>
      <c r="B38" s="11" t="s">
        <v>29</v>
      </c>
      <c r="C38" s="26">
        <v>356187984295779</v>
      </c>
      <c r="D38" s="11" t="s">
        <v>30</v>
      </c>
      <c r="E38" s="11">
        <v>2470</v>
      </c>
      <c r="F38" s="11">
        <v>2374.0500000000002</v>
      </c>
      <c r="G38" s="11">
        <f>E38-F38</f>
        <v>95.949999999999818</v>
      </c>
      <c r="H38" s="16">
        <f>(E38-F38)/F38</f>
        <v>4.0416166466586557E-2</v>
      </c>
      <c r="I38" s="11" t="s">
        <v>31</v>
      </c>
      <c r="J38" s="11"/>
    </row>
    <row r="39" spans="1:10" x14ac:dyDescent="0.25">
      <c r="A39" s="27">
        <v>46175</v>
      </c>
      <c r="B39" s="11" t="s">
        <v>29</v>
      </c>
      <c r="C39" s="26">
        <v>356187984941489</v>
      </c>
      <c r="D39" s="11" t="s">
        <v>32</v>
      </c>
      <c r="E39" s="11">
        <v>2470</v>
      </c>
      <c r="F39" s="11">
        <v>2374.0500000000002</v>
      </c>
      <c r="G39" s="11">
        <f>E39-F39</f>
        <v>95.949999999999818</v>
      </c>
      <c r="H39" s="16">
        <f>(E39-F39)/F39</f>
        <v>4.0416166466586557E-2</v>
      </c>
      <c r="I39" s="11" t="s">
        <v>31</v>
      </c>
      <c r="J39" s="11"/>
    </row>
    <row r="40" spans="1:10" x14ac:dyDescent="0.25">
      <c r="A40" s="27">
        <v>46175</v>
      </c>
      <c r="B40" s="11" t="s">
        <v>29</v>
      </c>
      <c r="C40" s="26">
        <v>358135795248006</v>
      </c>
      <c r="D40" s="11" t="s">
        <v>30</v>
      </c>
      <c r="E40" s="11">
        <v>2470</v>
      </c>
      <c r="F40" s="11">
        <v>2374.0500000000002</v>
      </c>
      <c r="G40" s="11">
        <f>E40-F40</f>
        <v>95.949999999999818</v>
      </c>
      <c r="H40" s="16">
        <f>(E40-F40)/F40</f>
        <v>4.0416166466586557E-2</v>
      </c>
      <c r="I40" s="11" t="s">
        <v>31</v>
      </c>
      <c r="J40" s="11"/>
    </row>
    <row r="41" spans="1:10" x14ac:dyDescent="0.25">
      <c r="A41" s="27">
        <v>46175</v>
      </c>
      <c r="B41" s="11" t="s">
        <v>29</v>
      </c>
      <c r="C41" s="26">
        <v>358135795889312</v>
      </c>
      <c r="D41" s="11" t="s">
        <v>30</v>
      </c>
      <c r="E41" s="11">
        <v>2470</v>
      </c>
      <c r="F41" s="11">
        <v>2374.0500000000002</v>
      </c>
      <c r="G41" s="11">
        <f>E41-F41</f>
        <v>95.949999999999818</v>
      </c>
      <c r="H41" s="16">
        <f>(E41-F41)/F41</f>
        <v>4.0416166466586557E-2</v>
      </c>
      <c r="I41" s="11" t="s">
        <v>31</v>
      </c>
      <c r="J41" s="11"/>
    </row>
    <row r="42" spans="1:10" x14ac:dyDescent="0.25">
      <c r="A42" s="27">
        <v>46175</v>
      </c>
      <c r="B42" s="11" t="s">
        <v>29</v>
      </c>
      <c r="C42" s="26">
        <v>358135797262807</v>
      </c>
      <c r="D42" s="11" t="s">
        <v>33</v>
      </c>
      <c r="E42" s="11">
        <v>2470</v>
      </c>
      <c r="F42" s="11">
        <v>2374.0500000000002</v>
      </c>
      <c r="G42" s="11">
        <f>E42-F42</f>
        <v>95.949999999999818</v>
      </c>
      <c r="H42" s="16">
        <f>(E42-F42)/F42</f>
        <v>4.0416166466586557E-2</v>
      </c>
      <c r="I42" s="11" t="s">
        <v>31</v>
      </c>
      <c r="J42" s="11"/>
    </row>
    <row r="43" spans="1:10" x14ac:dyDescent="0.25">
      <c r="A43" s="27">
        <v>46175</v>
      </c>
      <c r="B43" s="11" t="s">
        <v>38</v>
      </c>
      <c r="C43" s="26" t="s">
        <v>39</v>
      </c>
      <c r="D43" s="11" t="s">
        <v>40</v>
      </c>
      <c r="E43" s="11">
        <v>2035</v>
      </c>
      <c r="F43" s="11">
        <v>1999.2</v>
      </c>
      <c r="G43" s="11">
        <f>E43-F43</f>
        <v>35.799999999999955</v>
      </c>
      <c r="H43" s="16">
        <f>(E43-F43)/F43</f>
        <v>1.7907162865146035E-2</v>
      </c>
      <c r="I43" s="11" t="s">
        <v>31</v>
      </c>
      <c r="J43" s="11"/>
    </row>
    <row r="44" spans="1:10" x14ac:dyDescent="0.25">
      <c r="A44" s="27">
        <v>46175</v>
      </c>
      <c r="B44" s="11" t="s">
        <v>38</v>
      </c>
      <c r="C44" s="26" t="s">
        <v>41</v>
      </c>
      <c r="D44" s="11" t="s">
        <v>42</v>
      </c>
      <c r="E44" s="11">
        <v>2035</v>
      </c>
      <c r="F44" s="11">
        <v>1999.2</v>
      </c>
      <c r="G44" s="11">
        <f>E44-F44</f>
        <v>35.799999999999955</v>
      </c>
      <c r="H44" s="16">
        <f>(E44-F44)/F44</f>
        <v>1.7907162865146035E-2</v>
      </c>
      <c r="I44" s="11" t="s">
        <v>31</v>
      </c>
      <c r="J44" s="11"/>
    </row>
    <row r="45" spans="1:10" x14ac:dyDescent="0.25">
      <c r="A45" s="27">
        <v>46175</v>
      </c>
      <c r="B45" s="11" t="s">
        <v>38</v>
      </c>
      <c r="C45" s="26" t="s">
        <v>43</v>
      </c>
      <c r="D45" s="11" t="s">
        <v>40</v>
      </c>
      <c r="E45" s="11">
        <v>2035</v>
      </c>
      <c r="F45" s="11">
        <v>1999.2</v>
      </c>
      <c r="G45" s="11">
        <f>E45-F45</f>
        <v>35.799999999999955</v>
      </c>
      <c r="H45" s="16">
        <f>(E45-F45)/F45</f>
        <v>1.7907162865146035E-2</v>
      </c>
      <c r="I45" s="11" t="s">
        <v>31</v>
      </c>
      <c r="J45" s="11"/>
    </row>
    <row r="46" spans="1:10" x14ac:dyDescent="0.25">
      <c r="A46" s="27">
        <v>46175</v>
      </c>
      <c r="B46" s="11" t="s">
        <v>38</v>
      </c>
      <c r="C46" s="26" t="s">
        <v>44</v>
      </c>
      <c r="D46" s="11" t="s">
        <v>40</v>
      </c>
      <c r="E46" s="11">
        <v>2035</v>
      </c>
      <c r="F46" s="11">
        <v>1999.2</v>
      </c>
      <c r="G46" s="11">
        <f>E46-F46</f>
        <v>35.799999999999955</v>
      </c>
      <c r="H46" s="16">
        <f>(E46-F46)/F46</f>
        <v>1.7907162865146035E-2</v>
      </c>
      <c r="I46" s="11" t="s">
        <v>31</v>
      </c>
      <c r="J46" s="11"/>
    </row>
    <row r="47" spans="1:10" x14ac:dyDescent="0.25">
      <c r="A47" s="27">
        <v>46175</v>
      </c>
      <c r="B47" s="11" t="s">
        <v>38</v>
      </c>
      <c r="C47" s="26" t="s">
        <v>45</v>
      </c>
      <c r="D47" s="11" t="s">
        <v>42</v>
      </c>
      <c r="E47" s="11">
        <v>2035</v>
      </c>
      <c r="F47" s="11">
        <v>1999.2</v>
      </c>
      <c r="G47" s="11">
        <f>E47-F47</f>
        <v>35.799999999999955</v>
      </c>
      <c r="H47" s="16">
        <f>(E47-F47)/F47</f>
        <v>1.7907162865146035E-2</v>
      </c>
      <c r="I47" s="11" t="s">
        <v>31</v>
      </c>
      <c r="J47" s="11"/>
    </row>
    <row r="48" spans="1:10" x14ac:dyDescent="0.25">
      <c r="A48" s="27">
        <v>46175</v>
      </c>
      <c r="B48" s="11" t="s">
        <v>38</v>
      </c>
      <c r="C48" s="26" t="s">
        <v>46</v>
      </c>
      <c r="D48" s="11" t="s">
        <v>40</v>
      </c>
      <c r="E48" s="11">
        <v>2035</v>
      </c>
      <c r="F48" s="11">
        <v>1999.2</v>
      </c>
      <c r="G48" s="11">
        <f>E48-F48</f>
        <v>35.799999999999955</v>
      </c>
      <c r="H48" s="16">
        <f>(E48-F48)/F48</f>
        <v>1.7907162865146035E-2</v>
      </c>
      <c r="I48" s="11" t="s">
        <v>31</v>
      </c>
      <c r="J48" s="11"/>
    </row>
    <row r="49" spans="1:10" x14ac:dyDescent="0.25">
      <c r="A49" s="27">
        <v>46176</v>
      </c>
      <c r="B49" s="11" t="s">
        <v>47</v>
      </c>
      <c r="C49" s="26">
        <v>358112937062223</v>
      </c>
      <c r="D49" s="11" t="s">
        <v>48</v>
      </c>
      <c r="E49" s="11">
        <v>3120</v>
      </c>
      <c r="F49" s="11">
        <v>2856</v>
      </c>
      <c r="G49" s="11">
        <f>E49-F49</f>
        <v>264</v>
      </c>
      <c r="H49" s="16">
        <f>(E49-F49)/F49</f>
        <v>9.2436974789915971E-2</v>
      </c>
      <c r="I49" s="11" t="s">
        <v>31</v>
      </c>
      <c r="J49" s="11"/>
    </row>
    <row r="50" spans="1:10" x14ac:dyDescent="0.25">
      <c r="A50" s="27">
        <v>46176</v>
      </c>
      <c r="B50" s="11" t="s">
        <v>49</v>
      </c>
      <c r="C50" s="26" t="s">
        <v>50</v>
      </c>
      <c r="D50" s="11" t="s">
        <v>51</v>
      </c>
      <c r="E50" s="11">
        <v>3700</v>
      </c>
      <c r="F50" s="11">
        <v>3659.25</v>
      </c>
      <c r="G50" s="11">
        <f>E50-F50</f>
        <v>40.75</v>
      </c>
      <c r="H50" s="16">
        <f>(E50-F50)/F50</f>
        <v>1.1136161781785885E-2</v>
      </c>
      <c r="I50" s="11" t="s">
        <v>31</v>
      </c>
      <c r="J50" s="11"/>
    </row>
    <row r="51" spans="1:10" x14ac:dyDescent="0.25">
      <c r="A51" s="27">
        <v>46176</v>
      </c>
      <c r="B51" s="11" t="s">
        <v>49</v>
      </c>
      <c r="C51" s="26" t="s">
        <v>52</v>
      </c>
      <c r="D51" s="11" t="s">
        <v>51</v>
      </c>
      <c r="E51" s="11">
        <v>3700</v>
      </c>
      <c r="F51" s="11">
        <v>3659.25</v>
      </c>
      <c r="G51" s="11">
        <f>E51-F51</f>
        <v>40.75</v>
      </c>
      <c r="H51" s="16">
        <f>(E51-F51)/F51</f>
        <v>1.1136161781785885E-2</v>
      </c>
      <c r="I51" s="11" t="s">
        <v>31</v>
      </c>
      <c r="J51" s="11"/>
    </row>
    <row r="52" spans="1:10" x14ac:dyDescent="0.25">
      <c r="A52" s="27">
        <v>46176</v>
      </c>
      <c r="B52" s="11" t="s">
        <v>49</v>
      </c>
      <c r="C52" s="26" t="s">
        <v>53</v>
      </c>
      <c r="D52" s="11" t="s">
        <v>51</v>
      </c>
      <c r="E52" s="11">
        <v>3700</v>
      </c>
      <c r="F52" s="11">
        <v>3659.25</v>
      </c>
      <c r="G52" s="11">
        <f>E52-F52</f>
        <v>40.75</v>
      </c>
      <c r="H52" s="16">
        <f>(E52-F52)/F52</f>
        <v>1.1136161781785885E-2</v>
      </c>
      <c r="I52" s="11" t="s">
        <v>31</v>
      </c>
      <c r="J52" s="11"/>
    </row>
    <row r="53" spans="1:10" x14ac:dyDescent="0.25">
      <c r="A53" s="27">
        <v>46176</v>
      </c>
      <c r="B53" s="11" t="s">
        <v>54</v>
      </c>
      <c r="C53" s="26">
        <v>352355700586482</v>
      </c>
      <c r="D53" s="11" t="s">
        <v>51</v>
      </c>
      <c r="E53" s="11">
        <v>3800</v>
      </c>
      <c r="F53" s="11">
        <v>3677.1</v>
      </c>
      <c r="G53" s="11">
        <f>E53-F53</f>
        <v>122.90000000000009</v>
      </c>
      <c r="H53" s="16">
        <f>(E53-F53)/F53</f>
        <v>3.3423077969051723E-2</v>
      </c>
      <c r="I53" s="11" t="s">
        <v>31</v>
      </c>
      <c r="J53" s="11"/>
    </row>
    <row r="54" spans="1:10" x14ac:dyDescent="0.25">
      <c r="A54" s="27">
        <v>46176</v>
      </c>
      <c r="B54" s="11" t="s">
        <v>54</v>
      </c>
      <c r="C54" s="26">
        <v>352355701349914</v>
      </c>
      <c r="D54" s="11" t="s">
        <v>51</v>
      </c>
      <c r="E54" s="11">
        <v>3800</v>
      </c>
      <c r="F54" s="11">
        <v>3677.1</v>
      </c>
      <c r="G54" s="11">
        <f>E54-F54</f>
        <v>122.90000000000009</v>
      </c>
      <c r="H54" s="16">
        <f>(E54-F54)/F54</f>
        <v>3.3423077969051723E-2</v>
      </c>
      <c r="I54" s="11" t="s">
        <v>31</v>
      </c>
      <c r="J54" s="11"/>
    </row>
    <row r="55" spans="1:10" x14ac:dyDescent="0.25">
      <c r="A55" s="27">
        <v>46176</v>
      </c>
      <c r="B55" s="11" t="s">
        <v>54</v>
      </c>
      <c r="C55" s="26">
        <v>352355703818866</v>
      </c>
      <c r="D55" s="11" t="s">
        <v>51</v>
      </c>
      <c r="E55" s="11">
        <v>3800</v>
      </c>
      <c r="F55" s="11">
        <v>3659.25</v>
      </c>
      <c r="G55" s="11">
        <f>E55-F55</f>
        <v>140.75</v>
      </c>
      <c r="H55" s="16">
        <f>(E55-F55)/F55</f>
        <v>3.8464166154266587E-2</v>
      </c>
      <c r="I55" s="11" t="s">
        <v>31</v>
      </c>
      <c r="J55" s="11"/>
    </row>
    <row r="56" spans="1:10" x14ac:dyDescent="0.25">
      <c r="A56" s="27">
        <v>46176</v>
      </c>
      <c r="B56" s="11" t="s">
        <v>54</v>
      </c>
      <c r="C56" s="26">
        <v>352355705236984</v>
      </c>
      <c r="D56" s="11" t="s">
        <v>51</v>
      </c>
      <c r="E56" s="11">
        <v>3800</v>
      </c>
      <c r="F56" s="11">
        <v>3677.1</v>
      </c>
      <c r="G56" s="11">
        <f>E56-F56</f>
        <v>122.90000000000009</v>
      </c>
      <c r="H56" s="16">
        <f>(E56-F56)/F56</f>
        <v>3.3423077969051723E-2</v>
      </c>
      <c r="I56" s="11" t="s">
        <v>31</v>
      </c>
      <c r="J56" s="11"/>
    </row>
    <row r="57" spans="1:10" x14ac:dyDescent="0.25">
      <c r="A57" s="27">
        <v>46176</v>
      </c>
      <c r="B57" s="11" t="s">
        <v>54</v>
      </c>
      <c r="C57" s="26">
        <v>352355706407881</v>
      </c>
      <c r="D57" s="11" t="s">
        <v>51</v>
      </c>
      <c r="E57" s="11">
        <v>3800</v>
      </c>
      <c r="F57" s="11">
        <v>3659.25</v>
      </c>
      <c r="G57" s="11">
        <f>E57-F57</f>
        <v>140.75</v>
      </c>
      <c r="H57" s="16">
        <f>(E57-F57)/F57</f>
        <v>3.8464166154266587E-2</v>
      </c>
      <c r="I57" s="11" t="s">
        <v>31</v>
      </c>
      <c r="J57" s="11"/>
    </row>
    <row r="58" spans="1:10" x14ac:dyDescent="0.25">
      <c r="A58" s="27">
        <v>46176</v>
      </c>
      <c r="B58" s="11" t="s">
        <v>54</v>
      </c>
      <c r="C58" s="26">
        <v>352355706487040</v>
      </c>
      <c r="D58" s="11" t="s">
        <v>51</v>
      </c>
      <c r="E58" s="11">
        <v>3800</v>
      </c>
      <c r="F58" s="11">
        <v>3659.25</v>
      </c>
      <c r="G58" s="11">
        <f>E58-F58</f>
        <v>140.75</v>
      </c>
      <c r="H58" s="16">
        <f>(E58-F58)/F58</f>
        <v>3.8464166154266587E-2</v>
      </c>
      <c r="I58" s="11" t="s">
        <v>31</v>
      </c>
      <c r="J58" s="11"/>
    </row>
    <row r="59" spans="1:10" x14ac:dyDescent="0.25">
      <c r="A59" s="27">
        <v>46176</v>
      </c>
      <c r="B59" s="11" t="s">
        <v>54</v>
      </c>
      <c r="C59" s="26">
        <v>352355707452027</v>
      </c>
      <c r="D59" s="11" t="s">
        <v>51</v>
      </c>
      <c r="E59" s="11">
        <v>3800</v>
      </c>
      <c r="F59" s="11">
        <v>3677.1</v>
      </c>
      <c r="G59" s="11">
        <f>E59-F59</f>
        <v>122.90000000000009</v>
      </c>
      <c r="H59" s="16">
        <f>(E59-F59)/F59</f>
        <v>3.3423077969051723E-2</v>
      </c>
      <c r="I59" s="11" t="s">
        <v>31</v>
      </c>
      <c r="J59" s="11"/>
    </row>
    <row r="60" spans="1:10" x14ac:dyDescent="0.25">
      <c r="A60" s="27">
        <v>46176</v>
      </c>
      <c r="B60" s="11" t="s">
        <v>54</v>
      </c>
      <c r="C60" s="26">
        <v>352355708276458</v>
      </c>
      <c r="D60" s="11" t="s">
        <v>51</v>
      </c>
      <c r="E60" s="11">
        <v>3800</v>
      </c>
      <c r="F60" s="11">
        <v>3659.25</v>
      </c>
      <c r="G60" s="11">
        <f>E60-F60</f>
        <v>140.75</v>
      </c>
      <c r="H60" s="16">
        <f>(E60-F60)/F60</f>
        <v>3.8464166154266587E-2</v>
      </c>
      <c r="I60" s="11" t="s">
        <v>31</v>
      </c>
      <c r="J60" s="11"/>
    </row>
    <row r="61" spans="1:10" x14ac:dyDescent="0.25">
      <c r="A61" s="27">
        <v>46176</v>
      </c>
      <c r="B61" s="11" t="s">
        <v>56</v>
      </c>
      <c r="C61" s="26" t="s">
        <v>57</v>
      </c>
      <c r="D61" s="11" t="s">
        <v>58</v>
      </c>
      <c r="E61" s="11">
        <v>1320</v>
      </c>
      <c r="F61" s="11">
        <v>1249.5</v>
      </c>
      <c r="G61" s="11">
        <f>E61-F61</f>
        <v>70.5</v>
      </c>
      <c r="H61" s="16">
        <f>(E61-F61)/F61</f>
        <v>5.6422569027611044E-2</v>
      </c>
      <c r="I61" s="11" t="s">
        <v>31</v>
      </c>
      <c r="J61" s="11"/>
    </row>
    <row r="62" spans="1:10" x14ac:dyDescent="0.25">
      <c r="A62" s="27">
        <v>46176</v>
      </c>
      <c r="B62" s="11" t="s">
        <v>59</v>
      </c>
      <c r="C62" s="26" t="s">
        <v>60</v>
      </c>
      <c r="D62" s="11" t="s">
        <v>61</v>
      </c>
      <c r="E62" s="11">
        <v>1320</v>
      </c>
      <c r="F62" s="11">
        <v>1249.5</v>
      </c>
      <c r="G62" s="11">
        <f>E62-F62</f>
        <v>70.5</v>
      </c>
      <c r="H62" s="16">
        <f>(E62-F62)/F62</f>
        <v>5.6422569027611044E-2</v>
      </c>
      <c r="I62" s="11" t="s">
        <v>31</v>
      </c>
      <c r="J62" s="11"/>
    </row>
    <row r="63" spans="1:10" x14ac:dyDescent="0.25">
      <c r="A63" s="27">
        <v>46176</v>
      </c>
      <c r="B63" s="11" t="s">
        <v>59</v>
      </c>
      <c r="C63" s="26" t="s">
        <v>62</v>
      </c>
      <c r="D63" s="11" t="s">
        <v>63</v>
      </c>
      <c r="E63" s="11">
        <v>1320</v>
      </c>
      <c r="F63" s="11">
        <v>1249.5</v>
      </c>
      <c r="G63" s="11">
        <f>E63-F63</f>
        <v>70.5</v>
      </c>
      <c r="H63" s="16">
        <f>(E63-F63)/F63</f>
        <v>5.6422569027611044E-2</v>
      </c>
      <c r="I63" s="11" t="s">
        <v>31</v>
      </c>
      <c r="J63" s="11"/>
    </row>
    <row r="64" spans="1:10" x14ac:dyDescent="0.25">
      <c r="A64" s="27">
        <v>46176</v>
      </c>
      <c r="B64" s="11" t="s">
        <v>59</v>
      </c>
      <c r="C64" s="26" t="s">
        <v>64</v>
      </c>
      <c r="D64" s="11" t="s">
        <v>63</v>
      </c>
      <c r="E64" s="11">
        <v>1320</v>
      </c>
      <c r="F64" s="11">
        <v>1249.5</v>
      </c>
      <c r="G64" s="11">
        <f>E64-F64</f>
        <v>70.5</v>
      </c>
      <c r="H64" s="16">
        <f>(E64-F64)/F64</f>
        <v>5.6422569027611044E-2</v>
      </c>
      <c r="I64" s="11" t="s">
        <v>31</v>
      </c>
      <c r="J64" s="11"/>
    </row>
    <row r="65" spans="1:10" x14ac:dyDescent="0.25">
      <c r="A65" s="27">
        <v>46176</v>
      </c>
      <c r="B65" s="11" t="s">
        <v>59</v>
      </c>
      <c r="C65" s="26" t="s">
        <v>65</v>
      </c>
      <c r="D65" s="11" t="s">
        <v>63</v>
      </c>
      <c r="E65" s="11">
        <v>1320</v>
      </c>
      <c r="F65" s="11">
        <v>1249.5</v>
      </c>
      <c r="G65" s="11">
        <f>E65-F65</f>
        <v>70.5</v>
      </c>
      <c r="H65" s="16">
        <f>(E65-F65)/F65</f>
        <v>5.6422569027611044E-2</v>
      </c>
      <c r="I65" s="11" t="s">
        <v>31</v>
      </c>
      <c r="J65" s="11"/>
    </row>
    <row r="66" spans="1:10" x14ac:dyDescent="0.25">
      <c r="A66" s="27">
        <v>46176</v>
      </c>
      <c r="B66" s="11" t="s">
        <v>59</v>
      </c>
      <c r="C66" s="26" t="s">
        <v>66</v>
      </c>
      <c r="D66" s="11" t="s">
        <v>67</v>
      </c>
      <c r="E66" s="11">
        <v>1320</v>
      </c>
      <c r="F66" s="11">
        <v>1178.0999999999999</v>
      </c>
      <c r="G66" s="11">
        <f>E66-F66</f>
        <v>141.90000000000009</v>
      </c>
      <c r="H66" s="16">
        <f>(E66-F66)/F66</f>
        <v>0.12044817927170877</v>
      </c>
      <c r="I66" s="11" t="s">
        <v>31</v>
      </c>
      <c r="J66" s="11"/>
    </row>
    <row r="67" spans="1:10" x14ac:dyDescent="0.25">
      <c r="A67" s="27">
        <v>46176</v>
      </c>
      <c r="B67" s="11" t="s">
        <v>59</v>
      </c>
      <c r="C67" s="26" t="s">
        <v>68</v>
      </c>
      <c r="D67" s="11" t="s">
        <v>63</v>
      </c>
      <c r="E67" s="11">
        <v>1320</v>
      </c>
      <c r="F67" s="11">
        <v>1249.5</v>
      </c>
      <c r="G67" s="11">
        <f>E67-F67</f>
        <v>70.5</v>
      </c>
      <c r="H67" s="16">
        <f>(E67-F67)/F67</f>
        <v>5.6422569027611044E-2</v>
      </c>
      <c r="I67" s="11" t="s">
        <v>31</v>
      </c>
      <c r="J67" s="11"/>
    </row>
    <row r="68" spans="1:10" x14ac:dyDescent="0.25">
      <c r="A68" s="27">
        <v>46176</v>
      </c>
      <c r="B68" s="11" t="s">
        <v>59</v>
      </c>
      <c r="C68" s="26" t="s">
        <v>69</v>
      </c>
      <c r="D68" s="11" t="s">
        <v>63</v>
      </c>
      <c r="E68" s="11">
        <v>1320</v>
      </c>
      <c r="F68" s="11">
        <v>1249.5</v>
      </c>
      <c r="G68" s="11">
        <f>E68-F68</f>
        <v>70.5</v>
      </c>
      <c r="H68" s="16">
        <f>(E68-F68)/F68</f>
        <v>5.6422569027611044E-2</v>
      </c>
      <c r="I68" s="11" t="s">
        <v>31</v>
      </c>
      <c r="J68" s="11"/>
    </row>
    <row r="69" spans="1:10" x14ac:dyDescent="0.25">
      <c r="A69" s="27">
        <v>46176</v>
      </c>
      <c r="B69" s="11" t="s">
        <v>59</v>
      </c>
      <c r="C69" s="26" t="s">
        <v>70</v>
      </c>
      <c r="D69" s="11" t="s">
        <v>63</v>
      </c>
      <c r="E69" s="11">
        <v>1320</v>
      </c>
      <c r="F69" s="11">
        <v>1178.0999999999999</v>
      </c>
      <c r="G69" s="11">
        <f>E69-F69</f>
        <v>141.90000000000009</v>
      </c>
      <c r="H69" s="16">
        <f>(E69-F69)/F69</f>
        <v>0.12044817927170877</v>
      </c>
      <c r="I69" s="11" t="s">
        <v>31</v>
      </c>
      <c r="J69" s="11"/>
    </row>
    <row r="70" spans="1:10" x14ac:dyDescent="0.25">
      <c r="A70" s="27">
        <v>46176</v>
      </c>
      <c r="B70" s="11" t="s">
        <v>59</v>
      </c>
      <c r="C70" s="26" t="s">
        <v>71</v>
      </c>
      <c r="D70" s="11" t="s">
        <v>63</v>
      </c>
      <c r="E70" s="11">
        <v>1320</v>
      </c>
      <c r="F70" s="11">
        <v>1249.5</v>
      </c>
      <c r="G70" s="11">
        <f>E70-F70</f>
        <v>70.5</v>
      </c>
      <c r="H70" s="16">
        <f>(E70-F70)/F70</f>
        <v>5.6422569027611044E-2</v>
      </c>
      <c r="I70" s="11" t="s">
        <v>31</v>
      </c>
      <c r="J70" s="11"/>
    </row>
    <row r="71" spans="1:10" x14ac:dyDescent="0.25">
      <c r="A71" s="27">
        <v>46176</v>
      </c>
      <c r="B71" s="11" t="s">
        <v>59</v>
      </c>
      <c r="C71" s="26" t="s">
        <v>72</v>
      </c>
      <c r="D71" s="11" t="s">
        <v>63</v>
      </c>
      <c r="E71" s="11">
        <v>1320</v>
      </c>
      <c r="F71" s="11">
        <v>1249.5</v>
      </c>
      <c r="G71" s="11">
        <f>E71-F71</f>
        <v>70.5</v>
      </c>
      <c r="H71" s="16">
        <f>(E71-F71)/F71</f>
        <v>5.6422569027611044E-2</v>
      </c>
      <c r="I71" s="11" t="s">
        <v>31</v>
      </c>
      <c r="J71" s="11"/>
    </row>
    <row r="72" spans="1:10" x14ac:dyDescent="0.25">
      <c r="A72" s="27">
        <v>46176</v>
      </c>
      <c r="B72" s="11" t="s">
        <v>59</v>
      </c>
      <c r="C72" s="26" t="s">
        <v>73</v>
      </c>
      <c r="D72" s="11" t="s">
        <v>63</v>
      </c>
      <c r="E72" s="11">
        <v>1320</v>
      </c>
      <c r="F72" s="11">
        <v>1249.5</v>
      </c>
      <c r="G72" s="11">
        <f>E72-F72</f>
        <v>70.5</v>
      </c>
      <c r="H72" s="16">
        <f>(E72-F72)/F72</f>
        <v>5.6422569027611044E-2</v>
      </c>
      <c r="I72" s="11" t="s">
        <v>31</v>
      </c>
      <c r="J72" s="11"/>
    </row>
    <row r="73" spans="1:10" x14ac:dyDescent="0.25">
      <c r="A73" s="27">
        <v>46176</v>
      </c>
      <c r="B73" s="11" t="s">
        <v>59</v>
      </c>
      <c r="C73" s="26" t="s">
        <v>74</v>
      </c>
      <c r="D73" s="11" t="s">
        <v>63</v>
      </c>
      <c r="E73" s="11">
        <v>1320</v>
      </c>
      <c r="F73" s="11">
        <v>1249.5</v>
      </c>
      <c r="G73" s="11">
        <f>E73-F73</f>
        <v>70.5</v>
      </c>
      <c r="H73" s="16">
        <f>(E73-F73)/F73</f>
        <v>5.6422569027611044E-2</v>
      </c>
      <c r="I73" s="11" t="s">
        <v>31</v>
      </c>
      <c r="J73" s="11"/>
    </row>
    <row r="74" spans="1:10" x14ac:dyDescent="0.25">
      <c r="A74" s="27">
        <v>46176</v>
      </c>
      <c r="B74" s="11" t="s">
        <v>59</v>
      </c>
      <c r="C74" s="26" t="s">
        <v>75</v>
      </c>
      <c r="D74" s="11" t="s">
        <v>63</v>
      </c>
      <c r="E74" s="11">
        <v>1320</v>
      </c>
      <c r="F74" s="11">
        <v>1178.0999999999999</v>
      </c>
      <c r="G74" s="11">
        <f>E74-F74</f>
        <v>141.90000000000009</v>
      </c>
      <c r="H74" s="16">
        <f>(E74-F74)/F74</f>
        <v>0.12044817927170877</v>
      </c>
      <c r="I74" s="11" t="s">
        <v>31</v>
      </c>
      <c r="J74" s="11"/>
    </row>
    <row r="75" spans="1:10" x14ac:dyDescent="0.25">
      <c r="A75" s="27">
        <v>46176</v>
      </c>
      <c r="B75" s="11" t="s">
        <v>59</v>
      </c>
      <c r="C75" s="26" t="s">
        <v>76</v>
      </c>
      <c r="D75" s="11" t="s">
        <v>63</v>
      </c>
      <c r="E75" s="11">
        <v>1320</v>
      </c>
      <c r="F75" s="11">
        <v>1178.0999999999999</v>
      </c>
      <c r="G75" s="11">
        <f>E75-F75</f>
        <v>141.90000000000009</v>
      </c>
      <c r="H75" s="16">
        <f>(E75-F75)/F75</f>
        <v>0.12044817927170877</v>
      </c>
      <c r="I75" s="11" t="s">
        <v>31</v>
      </c>
      <c r="J75" s="11"/>
    </row>
    <row r="76" spans="1:10" x14ac:dyDescent="0.25">
      <c r="A76" s="27">
        <v>46176</v>
      </c>
      <c r="B76" s="11" t="s">
        <v>59</v>
      </c>
      <c r="C76" s="26" t="s">
        <v>77</v>
      </c>
      <c r="D76" s="11" t="s">
        <v>63</v>
      </c>
      <c r="E76" s="11">
        <v>1320</v>
      </c>
      <c r="F76" s="11">
        <v>1178.0999999999999</v>
      </c>
      <c r="G76" s="11">
        <f>E76-F76</f>
        <v>141.90000000000009</v>
      </c>
      <c r="H76" s="16">
        <f>(E76-F76)/F76</f>
        <v>0.12044817927170877</v>
      </c>
      <c r="I76" s="11" t="s">
        <v>31</v>
      </c>
      <c r="J76" s="11"/>
    </row>
    <row r="77" spans="1:10" x14ac:dyDescent="0.25">
      <c r="A77" s="27">
        <v>46176</v>
      </c>
      <c r="B77" s="11" t="s">
        <v>59</v>
      </c>
      <c r="C77" s="26" t="s">
        <v>78</v>
      </c>
      <c r="D77" s="11" t="s">
        <v>63</v>
      </c>
      <c r="E77" s="11">
        <v>1320</v>
      </c>
      <c r="F77" s="11">
        <v>1249.5</v>
      </c>
      <c r="G77" s="11">
        <f>E77-F77</f>
        <v>70.5</v>
      </c>
      <c r="H77" s="16">
        <f>(E77-F77)/F77</f>
        <v>5.6422569027611044E-2</v>
      </c>
      <c r="I77" s="11" t="s">
        <v>31</v>
      </c>
      <c r="J77" s="11"/>
    </row>
    <row r="78" spans="1:10" x14ac:dyDescent="0.25">
      <c r="A78" s="27">
        <v>46176</v>
      </c>
      <c r="B78" s="11" t="s">
        <v>59</v>
      </c>
      <c r="C78" s="26" t="s">
        <v>79</v>
      </c>
      <c r="D78" s="11" t="s">
        <v>63</v>
      </c>
      <c r="E78" s="11">
        <v>1320</v>
      </c>
      <c r="F78" s="11">
        <v>1249.5</v>
      </c>
      <c r="G78" s="11">
        <f>E78-F78</f>
        <v>70.5</v>
      </c>
      <c r="H78" s="16">
        <f>(E78-F78)/F78</f>
        <v>5.6422569027611044E-2</v>
      </c>
      <c r="I78" s="11" t="s">
        <v>31</v>
      </c>
      <c r="J78" s="11"/>
    </row>
    <row r="79" spans="1:10" x14ac:dyDescent="0.25">
      <c r="A79" s="27">
        <v>46176</v>
      </c>
      <c r="B79" s="11" t="s">
        <v>59</v>
      </c>
      <c r="C79" s="26" t="s">
        <v>80</v>
      </c>
      <c r="D79" s="11" t="s">
        <v>63</v>
      </c>
      <c r="E79" s="11">
        <v>1320</v>
      </c>
      <c r="F79" s="11">
        <v>1249.5</v>
      </c>
      <c r="G79" s="11">
        <f>E79-F79</f>
        <v>70.5</v>
      </c>
      <c r="H79" s="16">
        <f>(E79-F79)/F79</f>
        <v>5.6422569027611044E-2</v>
      </c>
      <c r="I79" s="11" t="s">
        <v>31</v>
      </c>
      <c r="J79" s="11"/>
    </row>
    <row r="80" spans="1:10" x14ac:dyDescent="0.25">
      <c r="A80" s="27">
        <v>46176</v>
      </c>
      <c r="B80" s="11" t="s">
        <v>59</v>
      </c>
      <c r="C80" s="26" t="s">
        <v>81</v>
      </c>
      <c r="D80" s="11" t="s">
        <v>63</v>
      </c>
      <c r="E80" s="11">
        <v>1320</v>
      </c>
      <c r="F80" s="11">
        <v>1249.5</v>
      </c>
      <c r="G80" s="11">
        <f>E80-F80</f>
        <v>70.5</v>
      </c>
      <c r="H80" s="16">
        <f>(E80-F80)/F80</f>
        <v>5.6422569027611044E-2</v>
      </c>
      <c r="I80" s="11" t="s">
        <v>31</v>
      </c>
      <c r="J80" s="11"/>
    </row>
    <row r="81" spans="1:10" x14ac:dyDescent="0.25">
      <c r="A81" s="27">
        <v>46176</v>
      </c>
      <c r="B81" s="11" t="s">
        <v>59</v>
      </c>
      <c r="C81" s="26" t="s">
        <v>82</v>
      </c>
      <c r="D81" s="11" t="s">
        <v>63</v>
      </c>
      <c r="E81" s="11">
        <v>1320</v>
      </c>
      <c r="F81" s="11">
        <v>1249.5</v>
      </c>
      <c r="G81" s="11">
        <f>E81-F81</f>
        <v>70.5</v>
      </c>
      <c r="H81" s="16">
        <f>(E81-F81)/F81</f>
        <v>5.6422569027611044E-2</v>
      </c>
      <c r="I81" s="11" t="s">
        <v>31</v>
      </c>
      <c r="J81" s="11"/>
    </row>
    <row r="82" spans="1:10" x14ac:dyDescent="0.25">
      <c r="A82" s="27">
        <v>46176</v>
      </c>
      <c r="B82" s="11" t="s">
        <v>59</v>
      </c>
      <c r="C82" s="26" t="s">
        <v>83</v>
      </c>
      <c r="D82" s="11" t="s">
        <v>63</v>
      </c>
      <c r="E82" s="11">
        <v>1320</v>
      </c>
      <c r="F82" s="11">
        <v>1249.5</v>
      </c>
      <c r="G82" s="11">
        <f>E82-F82</f>
        <v>70.5</v>
      </c>
      <c r="H82" s="16">
        <f>(E82-F82)/F82</f>
        <v>5.6422569027611044E-2</v>
      </c>
      <c r="I82" s="11" t="s">
        <v>31</v>
      </c>
      <c r="J82" s="11"/>
    </row>
    <row r="83" spans="1:10" x14ac:dyDescent="0.25">
      <c r="A83" s="27">
        <v>46176</v>
      </c>
      <c r="B83" s="11" t="s">
        <v>59</v>
      </c>
      <c r="C83" s="26" t="s">
        <v>84</v>
      </c>
      <c r="D83" s="11" t="s">
        <v>85</v>
      </c>
      <c r="E83" s="11">
        <v>1520</v>
      </c>
      <c r="F83" s="11">
        <v>1249.5</v>
      </c>
      <c r="G83" s="11">
        <f>E83-F83</f>
        <v>270.5</v>
      </c>
      <c r="H83" s="16">
        <f>(E83-F83)/F83</f>
        <v>0.21648659463785513</v>
      </c>
      <c r="I83" s="11" t="s">
        <v>31</v>
      </c>
      <c r="J83" s="11"/>
    </row>
    <row r="84" spans="1:10" x14ac:dyDescent="0.25">
      <c r="A84" s="27">
        <v>46176</v>
      </c>
      <c r="B84" s="11" t="s">
        <v>59</v>
      </c>
      <c r="C84" s="26" t="s">
        <v>86</v>
      </c>
      <c r="D84" s="11" t="s">
        <v>87</v>
      </c>
      <c r="E84" s="11">
        <v>1520</v>
      </c>
      <c r="F84" s="11">
        <v>1178.0999999999999</v>
      </c>
      <c r="G84" s="11">
        <f>E84-F84</f>
        <v>341.90000000000009</v>
      </c>
      <c r="H84" s="16">
        <f>(E84-F84)/F84</f>
        <v>0.2902130549189374</v>
      </c>
      <c r="I84" s="11" t="s">
        <v>31</v>
      </c>
      <c r="J84" s="11"/>
    </row>
    <row r="85" spans="1:10" x14ac:dyDescent="0.25">
      <c r="A85" s="27">
        <v>46176</v>
      </c>
      <c r="B85" s="11" t="s">
        <v>59</v>
      </c>
      <c r="C85" s="26" t="s">
        <v>88</v>
      </c>
      <c r="D85" s="11" t="s">
        <v>63</v>
      </c>
      <c r="E85" s="11">
        <v>1320</v>
      </c>
      <c r="F85" s="11">
        <v>1249.5</v>
      </c>
      <c r="G85" s="11">
        <f>E85-F85</f>
        <v>70.5</v>
      </c>
      <c r="H85" s="16">
        <f>(E85-F85)/F85</f>
        <v>5.6422569027611044E-2</v>
      </c>
      <c r="I85" s="11" t="s">
        <v>31</v>
      </c>
      <c r="J85" s="11"/>
    </row>
    <row r="86" spans="1:10" x14ac:dyDescent="0.25">
      <c r="A86" s="27">
        <v>46176</v>
      </c>
      <c r="B86" s="11" t="s">
        <v>59</v>
      </c>
      <c r="C86" s="26" t="s">
        <v>89</v>
      </c>
      <c r="D86" s="11" t="s">
        <v>63</v>
      </c>
      <c r="E86" s="11">
        <v>1320</v>
      </c>
      <c r="F86" s="11">
        <v>1249.5</v>
      </c>
      <c r="G86" s="11">
        <f>E86-F86</f>
        <v>70.5</v>
      </c>
      <c r="H86" s="16">
        <f>(E86-F86)/F86</f>
        <v>5.6422569027611044E-2</v>
      </c>
      <c r="I86" s="11" t="s">
        <v>31</v>
      </c>
      <c r="J86" s="11"/>
    </row>
    <row r="87" spans="1:10" x14ac:dyDescent="0.25">
      <c r="A87" s="27">
        <v>46177</v>
      </c>
      <c r="B87" s="11" t="s">
        <v>38</v>
      </c>
      <c r="C87" s="26" t="s">
        <v>100</v>
      </c>
      <c r="D87" s="11" t="s">
        <v>101</v>
      </c>
      <c r="E87" s="11">
        <v>2040</v>
      </c>
      <c r="F87" s="11">
        <v>1999.2</v>
      </c>
      <c r="G87" s="11">
        <f>E87-F87</f>
        <v>40.799999999999955</v>
      </c>
      <c r="H87" s="16">
        <f>(E87-F87)/F87</f>
        <v>2.04081632653061E-2</v>
      </c>
      <c r="I87" s="11" t="s">
        <v>31</v>
      </c>
      <c r="J87" s="11"/>
    </row>
    <row r="88" spans="1:10" x14ac:dyDescent="0.25">
      <c r="A88" s="27">
        <v>46177</v>
      </c>
      <c r="B88" s="11" t="s">
        <v>38</v>
      </c>
      <c r="C88" s="26" t="s">
        <v>102</v>
      </c>
      <c r="D88" s="11" t="s">
        <v>101</v>
      </c>
      <c r="E88" s="11">
        <v>2040</v>
      </c>
      <c r="F88" s="11">
        <v>1999.2</v>
      </c>
      <c r="G88" s="11">
        <f>E88-F88</f>
        <v>40.799999999999955</v>
      </c>
      <c r="H88" s="16">
        <f>(E88-F88)/F88</f>
        <v>2.04081632653061E-2</v>
      </c>
      <c r="I88" s="11" t="s">
        <v>31</v>
      </c>
      <c r="J88" s="11"/>
    </row>
    <row r="89" spans="1:10" x14ac:dyDescent="0.25">
      <c r="A89" s="27">
        <v>46177</v>
      </c>
      <c r="B89" s="11" t="s">
        <v>38</v>
      </c>
      <c r="C89" s="26" t="s">
        <v>103</v>
      </c>
      <c r="D89" s="11" t="s">
        <v>101</v>
      </c>
      <c r="E89" s="11">
        <v>2040</v>
      </c>
      <c r="F89" s="11">
        <v>1999.2</v>
      </c>
      <c r="G89" s="11">
        <f>E89-F89</f>
        <v>40.799999999999955</v>
      </c>
      <c r="H89" s="16">
        <f>(E89-F89)/F89</f>
        <v>2.04081632653061E-2</v>
      </c>
      <c r="I89" s="11" t="s">
        <v>31</v>
      </c>
      <c r="J89" s="11"/>
    </row>
    <row r="90" spans="1:10" x14ac:dyDescent="0.25">
      <c r="A90" s="27">
        <v>46178</v>
      </c>
      <c r="B90" s="11" t="s">
        <v>104</v>
      </c>
      <c r="C90" s="26" t="s">
        <v>105</v>
      </c>
      <c r="D90" s="11" t="s">
        <v>106</v>
      </c>
      <c r="E90" s="11">
        <v>1210</v>
      </c>
      <c r="F90" s="11">
        <v>1124.55</v>
      </c>
      <c r="G90" s="11">
        <f>E90-F90</f>
        <v>85.450000000000045</v>
      </c>
      <c r="H90" s="16">
        <f>(E90-F90)/F90</f>
        <v>7.5985949935529817E-2</v>
      </c>
      <c r="I90" s="11" t="s">
        <v>31</v>
      </c>
      <c r="J90" s="11"/>
    </row>
    <row r="91" spans="1:10" x14ac:dyDescent="0.25">
      <c r="A91" s="27">
        <v>46178</v>
      </c>
      <c r="B91" s="11" t="s">
        <v>104</v>
      </c>
      <c r="C91" s="26" t="s">
        <v>107</v>
      </c>
      <c r="D91" s="11" t="s">
        <v>106</v>
      </c>
      <c r="E91" s="11">
        <v>1210</v>
      </c>
      <c r="F91" s="11">
        <v>1124.55</v>
      </c>
      <c r="G91" s="11">
        <f>E91-F91</f>
        <v>85.450000000000045</v>
      </c>
      <c r="H91" s="16">
        <f>(E91-F91)/F91</f>
        <v>7.5985949935529817E-2</v>
      </c>
      <c r="I91" s="11" t="s">
        <v>31</v>
      </c>
      <c r="J91" s="11"/>
    </row>
    <row r="92" spans="1:10" x14ac:dyDescent="0.25">
      <c r="A92" s="27">
        <v>46178</v>
      </c>
      <c r="B92" s="11" t="s">
        <v>111</v>
      </c>
      <c r="C92" s="26" t="s">
        <v>112</v>
      </c>
      <c r="D92" s="11"/>
      <c r="E92" s="11">
        <v>500</v>
      </c>
      <c r="F92" s="11">
        <v>481.95</v>
      </c>
      <c r="G92" s="11">
        <f>E92-F92</f>
        <v>18.050000000000011</v>
      </c>
      <c r="H92" s="16">
        <f>(E92-F92)/F92</f>
        <v>3.7452017844174734E-2</v>
      </c>
      <c r="I92" s="11" t="s">
        <v>31</v>
      </c>
      <c r="J92" s="11"/>
    </row>
    <row r="93" spans="1:10" x14ac:dyDescent="0.25">
      <c r="A93" s="27">
        <v>46178</v>
      </c>
      <c r="B93" s="11" t="s">
        <v>111</v>
      </c>
      <c r="C93" s="26" t="s">
        <v>113</v>
      </c>
      <c r="D93" s="11" t="s">
        <v>114</v>
      </c>
      <c r="E93" s="11">
        <v>550</v>
      </c>
      <c r="F93" s="11">
        <v>481.95</v>
      </c>
      <c r="G93" s="11">
        <f>E93-F93</f>
        <v>68.050000000000011</v>
      </c>
      <c r="H93" s="16">
        <f>(E93-F93)/F93</f>
        <v>0.14119721962859219</v>
      </c>
      <c r="I93" s="11" t="s">
        <v>31</v>
      </c>
      <c r="J93" s="11"/>
    </row>
    <row r="94" spans="1:10" x14ac:dyDescent="0.25">
      <c r="A94" s="27">
        <v>46178</v>
      </c>
      <c r="B94" s="11" t="s">
        <v>115</v>
      </c>
      <c r="C94" s="26" t="s">
        <v>116</v>
      </c>
      <c r="D94" s="11" t="s">
        <v>17</v>
      </c>
      <c r="E94" s="11">
        <v>1350</v>
      </c>
      <c r="F94" s="11">
        <v>1249.5</v>
      </c>
      <c r="G94" s="11">
        <f>E94-F94</f>
        <v>100.5</v>
      </c>
      <c r="H94" s="16">
        <f>(E94-F94)/F94</f>
        <v>8.0432172869147653E-2</v>
      </c>
      <c r="I94" s="11" t="s">
        <v>31</v>
      </c>
      <c r="J94" s="11"/>
    </row>
    <row r="95" spans="1:10" x14ac:dyDescent="0.25">
      <c r="A95" s="27">
        <v>46178</v>
      </c>
      <c r="B95" s="11" t="s">
        <v>115</v>
      </c>
      <c r="C95" s="26" t="s">
        <v>117</v>
      </c>
      <c r="D95" s="11" t="s">
        <v>17</v>
      </c>
      <c r="E95" s="11">
        <v>1350</v>
      </c>
      <c r="F95" s="11">
        <v>1249.5</v>
      </c>
      <c r="G95" s="11">
        <f>E95-F95</f>
        <v>100.5</v>
      </c>
      <c r="H95" s="16">
        <f>(E95-F95)/F95</f>
        <v>8.0432172869147653E-2</v>
      </c>
      <c r="I95" s="11" t="s">
        <v>31</v>
      </c>
      <c r="J95" s="11"/>
    </row>
    <row r="96" spans="1:10" x14ac:dyDescent="0.25">
      <c r="A96" s="27">
        <v>46178</v>
      </c>
      <c r="B96" s="11" t="s">
        <v>118</v>
      </c>
      <c r="C96" s="26" t="s">
        <v>119</v>
      </c>
      <c r="D96" s="11"/>
      <c r="E96" s="11">
        <v>770</v>
      </c>
      <c r="F96" s="11">
        <v>501.2</v>
      </c>
      <c r="G96" s="11">
        <f>E96-F96</f>
        <v>268.8</v>
      </c>
      <c r="H96" s="16">
        <f>(E96-F96)/F96</f>
        <v>0.53631284916201116</v>
      </c>
      <c r="I96" s="11" t="s">
        <v>31</v>
      </c>
      <c r="J96" s="11"/>
    </row>
    <row r="97" spans="1:10" x14ac:dyDescent="0.25">
      <c r="A97" s="27">
        <v>46178</v>
      </c>
      <c r="B97" s="11" t="s">
        <v>118</v>
      </c>
      <c r="C97" s="26" t="s">
        <v>120</v>
      </c>
      <c r="D97" s="11"/>
      <c r="E97" s="11">
        <v>770</v>
      </c>
      <c r="F97" s="11">
        <v>501.2</v>
      </c>
      <c r="G97" s="11">
        <f>E97-F97</f>
        <v>268.8</v>
      </c>
      <c r="H97" s="16">
        <f>(E97-F97)/F97</f>
        <v>0.53631284916201116</v>
      </c>
      <c r="I97" s="11" t="s">
        <v>31</v>
      </c>
      <c r="J97" s="11"/>
    </row>
    <row r="98" spans="1:10" x14ac:dyDescent="0.25">
      <c r="A98" s="27">
        <v>46178</v>
      </c>
      <c r="B98" s="11" t="s">
        <v>121</v>
      </c>
      <c r="C98" s="26" t="s">
        <v>122</v>
      </c>
      <c r="D98" s="11"/>
      <c r="E98" s="11">
        <v>350</v>
      </c>
      <c r="F98" s="11">
        <v>143.19999999999999</v>
      </c>
      <c r="G98" s="11">
        <f>E98-F98</f>
        <v>206.8</v>
      </c>
      <c r="H98" s="16">
        <f>(E98-F98)/F98</f>
        <v>1.4441340782122907</v>
      </c>
      <c r="I98" s="11" t="s">
        <v>31</v>
      </c>
      <c r="J98" s="11"/>
    </row>
    <row r="99" spans="1:10" x14ac:dyDescent="0.25">
      <c r="A99" s="27">
        <v>46178</v>
      </c>
      <c r="B99" s="11" t="s">
        <v>123</v>
      </c>
      <c r="C99" s="26" t="s">
        <v>124</v>
      </c>
      <c r="D99" s="11" t="s">
        <v>17</v>
      </c>
      <c r="E99" s="11">
        <v>2920</v>
      </c>
      <c r="F99" s="11">
        <v>2534.7199999999998</v>
      </c>
      <c r="G99" s="11">
        <f>E99-F99</f>
        <v>385.2800000000002</v>
      </c>
      <c r="H99" s="16">
        <f>(E99-F99)/F99</f>
        <v>0.15200100997348828</v>
      </c>
      <c r="I99" s="11" t="s">
        <v>31</v>
      </c>
      <c r="J99" s="11"/>
    </row>
    <row r="100" spans="1:10" x14ac:dyDescent="0.25">
      <c r="A100" s="27">
        <v>46178</v>
      </c>
      <c r="B100" s="11" t="s">
        <v>123</v>
      </c>
      <c r="C100" s="26" t="s">
        <v>125</v>
      </c>
      <c r="D100" s="11" t="s">
        <v>17</v>
      </c>
      <c r="E100" s="11">
        <v>3000</v>
      </c>
      <c r="F100" s="11">
        <v>2534.6999999999998</v>
      </c>
      <c r="G100" s="11">
        <f>E100-F100</f>
        <v>465.30000000000018</v>
      </c>
      <c r="H100" s="16">
        <f>(E100-F100)/F100</f>
        <v>0.18357202035743883</v>
      </c>
      <c r="I100" s="11" t="s">
        <v>31</v>
      </c>
      <c r="J100" s="11"/>
    </row>
    <row r="101" spans="1:10" x14ac:dyDescent="0.25">
      <c r="A101" s="27">
        <v>46178</v>
      </c>
      <c r="B101" s="11" t="s">
        <v>123</v>
      </c>
      <c r="C101" s="26" t="s">
        <v>126</v>
      </c>
      <c r="D101" s="11" t="s">
        <v>17</v>
      </c>
      <c r="E101" s="11">
        <v>3000</v>
      </c>
      <c r="F101" s="11">
        <v>2534.7199999999998</v>
      </c>
      <c r="G101" s="11">
        <f>E101-F101</f>
        <v>465.2800000000002</v>
      </c>
      <c r="H101" s="16">
        <f>(E101-F101)/F101</f>
        <v>0.18356268147961124</v>
      </c>
      <c r="I101" s="11" t="s">
        <v>31</v>
      </c>
      <c r="J101" s="11"/>
    </row>
    <row r="102" spans="1:10" x14ac:dyDescent="0.25">
      <c r="A102" s="27">
        <v>46178</v>
      </c>
      <c r="B102" s="11" t="s">
        <v>123</v>
      </c>
      <c r="C102" s="26" t="s">
        <v>127</v>
      </c>
      <c r="D102" s="11" t="s">
        <v>17</v>
      </c>
      <c r="E102" s="11">
        <v>2920</v>
      </c>
      <c r="F102" s="11">
        <v>2534.6999999999998</v>
      </c>
      <c r="G102" s="11">
        <f>E102-F102</f>
        <v>385.30000000000018</v>
      </c>
      <c r="H102" s="16">
        <f>(E102-F102)/F102</f>
        <v>0.15201009981457381</v>
      </c>
      <c r="I102" s="11" t="s">
        <v>31</v>
      </c>
      <c r="J102" s="11"/>
    </row>
    <row r="103" spans="1:10" x14ac:dyDescent="0.25">
      <c r="A103" s="27">
        <v>46178</v>
      </c>
      <c r="B103" s="11" t="s">
        <v>123</v>
      </c>
      <c r="C103" s="26" t="s">
        <v>128</v>
      </c>
      <c r="D103" s="11" t="s">
        <v>17</v>
      </c>
      <c r="E103" s="11">
        <v>3000</v>
      </c>
      <c r="F103" s="11">
        <v>2534.7199999999998</v>
      </c>
      <c r="G103" s="11">
        <f>E103-F103</f>
        <v>465.2800000000002</v>
      </c>
      <c r="H103" s="16">
        <f>(E103-F103)/F103</f>
        <v>0.18356268147961124</v>
      </c>
      <c r="I103" s="11" t="s">
        <v>31</v>
      </c>
      <c r="J103" s="11"/>
    </row>
    <row r="104" spans="1:10" x14ac:dyDescent="0.25">
      <c r="A104" s="27">
        <v>46178</v>
      </c>
      <c r="B104" s="11" t="s">
        <v>123</v>
      </c>
      <c r="C104" s="26" t="s">
        <v>129</v>
      </c>
      <c r="D104" s="11" t="s">
        <v>17</v>
      </c>
      <c r="E104" s="11">
        <v>3000</v>
      </c>
      <c r="F104" s="11">
        <v>2534.6999999999998</v>
      </c>
      <c r="G104" s="11">
        <f>E104-F104</f>
        <v>465.30000000000018</v>
      </c>
      <c r="H104" s="16">
        <f>(E104-F104)/F104</f>
        <v>0.18357202035743883</v>
      </c>
      <c r="I104" s="11" t="s">
        <v>31</v>
      </c>
      <c r="J104" s="11"/>
    </row>
    <row r="105" spans="1:10" x14ac:dyDescent="0.25">
      <c r="A105" s="27">
        <v>46178</v>
      </c>
      <c r="B105" s="11" t="s">
        <v>123</v>
      </c>
      <c r="C105" s="26" t="s">
        <v>130</v>
      </c>
      <c r="D105" s="11" t="s">
        <v>17</v>
      </c>
      <c r="E105" s="11">
        <v>2920</v>
      </c>
      <c r="F105" s="11">
        <v>2534.7199999999998</v>
      </c>
      <c r="G105" s="11">
        <f>E105-F105</f>
        <v>385.2800000000002</v>
      </c>
      <c r="H105" s="16">
        <f>(E105-F105)/F105</f>
        <v>0.15200100997348828</v>
      </c>
      <c r="I105" s="11" t="s">
        <v>31</v>
      </c>
      <c r="J105" s="11"/>
    </row>
    <row r="106" spans="1:10" x14ac:dyDescent="0.25">
      <c r="A106" s="27">
        <v>46178</v>
      </c>
      <c r="B106" s="11" t="s">
        <v>131</v>
      </c>
      <c r="C106" s="26" t="s">
        <v>132</v>
      </c>
      <c r="D106" s="11"/>
      <c r="E106" s="11">
        <v>1750</v>
      </c>
      <c r="F106" s="11">
        <v>1186.3499999999999</v>
      </c>
      <c r="G106" s="11">
        <f>E106-F106</f>
        <v>563.65000000000009</v>
      </c>
      <c r="H106" s="16">
        <f>(E106-F106)/F106</f>
        <v>0.47511274075947246</v>
      </c>
      <c r="I106" s="11" t="s">
        <v>31</v>
      </c>
      <c r="J106" s="11"/>
    </row>
    <row r="107" spans="1:10" x14ac:dyDescent="0.25">
      <c r="A107" s="27">
        <v>46178</v>
      </c>
      <c r="B107" s="11" t="s">
        <v>131</v>
      </c>
      <c r="C107" s="26" t="s">
        <v>133</v>
      </c>
      <c r="D107" s="11"/>
      <c r="E107" s="11">
        <v>1750</v>
      </c>
      <c r="F107" s="11">
        <v>1186.3499999999999</v>
      </c>
      <c r="G107" s="11">
        <f>E107-F107</f>
        <v>563.65000000000009</v>
      </c>
      <c r="H107" s="16">
        <f>(E107-F107)/F107</f>
        <v>0.47511274075947246</v>
      </c>
      <c r="I107" s="11" t="s">
        <v>31</v>
      </c>
      <c r="J107" s="11"/>
    </row>
    <row r="108" spans="1:10" x14ac:dyDescent="0.25">
      <c r="A108" s="27">
        <v>46178</v>
      </c>
      <c r="B108" s="11" t="s">
        <v>131</v>
      </c>
      <c r="C108" s="26" t="s">
        <v>140</v>
      </c>
      <c r="D108" s="11"/>
      <c r="E108" s="11">
        <v>1850</v>
      </c>
      <c r="F108" s="11">
        <v>1213.8</v>
      </c>
      <c r="G108" s="11">
        <f>E108-F108</f>
        <v>636.20000000000005</v>
      </c>
      <c r="H108" s="16">
        <f>(E108-F108)/F108</f>
        <v>0.52413906739166261</v>
      </c>
      <c r="I108" s="11" t="s">
        <v>31</v>
      </c>
      <c r="J108" s="11"/>
    </row>
    <row r="109" spans="1:10" x14ac:dyDescent="0.25">
      <c r="A109" s="27">
        <v>46178</v>
      </c>
      <c r="B109" s="11" t="s">
        <v>131</v>
      </c>
      <c r="C109" s="26" t="s">
        <v>141</v>
      </c>
      <c r="D109" s="11"/>
      <c r="E109" s="11">
        <v>1700</v>
      </c>
      <c r="F109" s="11">
        <v>1213.8</v>
      </c>
      <c r="G109" s="11">
        <f>E109-F109</f>
        <v>486.20000000000005</v>
      </c>
      <c r="H109" s="16">
        <f>(E109-F109)/F109</f>
        <v>0.40056022408963593</v>
      </c>
      <c r="I109" s="11" t="s">
        <v>31</v>
      </c>
      <c r="J109" s="11"/>
    </row>
    <row r="110" spans="1:10" x14ac:dyDescent="0.25">
      <c r="A110" s="27">
        <v>46178</v>
      </c>
      <c r="B110" s="11" t="s">
        <v>131</v>
      </c>
      <c r="C110" s="26" t="s">
        <v>142</v>
      </c>
      <c r="D110" s="11"/>
      <c r="E110" s="11">
        <v>1880</v>
      </c>
      <c r="F110" s="11">
        <v>1213.8</v>
      </c>
      <c r="G110" s="11">
        <f>E110-F110</f>
        <v>666.2</v>
      </c>
      <c r="H110" s="16">
        <f>(E110-F110)/F110</f>
        <v>0.54885483605206797</v>
      </c>
      <c r="I110" s="11" t="s">
        <v>31</v>
      </c>
      <c r="J110" s="11"/>
    </row>
    <row r="111" spans="1:10" x14ac:dyDescent="0.25">
      <c r="A111" s="27">
        <v>46178</v>
      </c>
      <c r="B111" s="11" t="s">
        <v>131</v>
      </c>
      <c r="C111" s="26" t="s">
        <v>143</v>
      </c>
      <c r="D111" s="11"/>
      <c r="E111" s="11">
        <v>1880</v>
      </c>
      <c r="F111" s="11">
        <v>1213.8</v>
      </c>
      <c r="G111" s="11">
        <f>E111-F111</f>
        <v>666.2</v>
      </c>
      <c r="H111" s="16">
        <f>(E111-F111)/F111</f>
        <v>0.54885483605206797</v>
      </c>
      <c r="I111" s="11" t="s">
        <v>31</v>
      </c>
      <c r="J111" s="11"/>
    </row>
    <row r="112" spans="1:10" x14ac:dyDescent="0.25">
      <c r="A112" s="27">
        <v>46178</v>
      </c>
      <c r="B112" s="11" t="s">
        <v>131</v>
      </c>
      <c r="C112" s="26" t="s">
        <v>144</v>
      </c>
      <c r="D112" s="11"/>
      <c r="E112" s="11">
        <v>1850</v>
      </c>
      <c r="F112" s="11">
        <v>1220.5999999999999</v>
      </c>
      <c r="G112" s="11">
        <f>E112-F112</f>
        <v>629.40000000000009</v>
      </c>
      <c r="H112" s="16">
        <f>(E112-F112)/F112</f>
        <v>0.51564804194658376</v>
      </c>
      <c r="I112" s="11" t="s">
        <v>31</v>
      </c>
      <c r="J112" s="11"/>
    </row>
    <row r="113" spans="1:10" x14ac:dyDescent="0.25">
      <c r="A113" s="27">
        <v>46178</v>
      </c>
      <c r="B113" s="11" t="s">
        <v>145</v>
      </c>
      <c r="C113" s="26" t="s">
        <v>152</v>
      </c>
      <c r="D113" s="11"/>
      <c r="E113" s="11">
        <v>1930</v>
      </c>
      <c r="F113" s="11">
        <v>1581.76</v>
      </c>
      <c r="G113" s="11">
        <f>E113-F113</f>
        <v>348.24</v>
      </c>
      <c r="H113" s="16">
        <f>(E113-F113)/F113</f>
        <v>0.2201598219704633</v>
      </c>
      <c r="I113" s="11" t="s">
        <v>31</v>
      </c>
      <c r="J113" s="11"/>
    </row>
    <row r="114" spans="1:10" x14ac:dyDescent="0.25">
      <c r="A114" s="27">
        <v>46178</v>
      </c>
      <c r="B114" s="11" t="s">
        <v>145</v>
      </c>
      <c r="C114" s="26" t="s">
        <v>153</v>
      </c>
      <c r="D114" s="11"/>
      <c r="E114" s="11">
        <v>1930</v>
      </c>
      <c r="F114" s="11">
        <v>1581.76</v>
      </c>
      <c r="G114" s="11">
        <f>E114-F114</f>
        <v>348.24</v>
      </c>
      <c r="H114" s="16">
        <f>(E114-F114)/F114</f>
        <v>0.2201598219704633</v>
      </c>
      <c r="I114" s="11" t="s">
        <v>31</v>
      </c>
      <c r="J114" s="11"/>
    </row>
    <row r="115" spans="1:10" x14ac:dyDescent="0.25">
      <c r="A115" s="28">
        <v>46178</v>
      </c>
      <c r="B115" s="19" t="s">
        <v>154</v>
      </c>
      <c r="C115" s="29">
        <v>9700612063240</v>
      </c>
      <c r="D115" s="19" t="s">
        <v>155</v>
      </c>
      <c r="E115" s="19">
        <v>130</v>
      </c>
      <c r="F115" s="19">
        <v>135.66</v>
      </c>
      <c r="G115" s="19">
        <f>E115-F115</f>
        <v>-5.6599999999999966</v>
      </c>
      <c r="H115" s="22">
        <f>(E115-F115)/F115</f>
        <v>-4.1721951938670183E-2</v>
      </c>
      <c r="I115" s="19" t="s">
        <v>31</v>
      </c>
      <c r="J115" s="19" t="s">
        <v>55</v>
      </c>
    </row>
    <row r="116" spans="1:10" x14ac:dyDescent="0.25">
      <c r="A116" s="28">
        <v>46178</v>
      </c>
      <c r="B116" s="19" t="s">
        <v>154</v>
      </c>
      <c r="C116" s="29">
        <v>9710291865243</v>
      </c>
      <c r="D116" s="19" t="s">
        <v>156</v>
      </c>
      <c r="E116" s="19">
        <v>130</v>
      </c>
      <c r="F116" s="19">
        <v>135.66</v>
      </c>
      <c r="G116" s="19">
        <f>E116-F116</f>
        <v>-5.6599999999999966</v>
      </c>
      <c r="H116" s="22">
        <f>(E116-F116)/F116</f>
        <v>-4.1721951938670183E-2</v>
      </c>
      <c r="I116" s="19" t="s">
        <v>31</v>
      </c>
      <c r="J116" s="19" t="s">
        <v>55</v>
      </c>
    </row>
    <row r="117" spans="1:10" x14ac:dyDescent="0.25">
      <c r="A117" s="27">
        <v>46178</v>
      </c>
      <c r="B117" s="11" t="s">
        <v>157</v>
      </c>
      <c r="C117" s="26" t="s">
        <v>158</v>
      </c>
      <c r="D117" s="11"/>
      <c r="E117" s="11">
        <v>1200</v>
      </c>
      <c r="F117" s="11">
        <v>1035.3</v>
      </c>
      <c r="G117" s="11">
        <f>E117-F117</f>
        <v>164.70000000000005</v>
      </c>
      <c r="H117" s="16">
        <f>(E117-F117)/F117</f>
        <v>0.15908432338452627</v>
      </c>
      <c r="I117" s="11" t="s">
        <v>31</v>
      </c>
      <c r="J117" s="11"/>
    </row>
    <row r="118" spans="1:10" x14ac:dyDescent="0.25">
      <c r="A118" s="27">
        <v>46178</v>
      </c>
      <c r="B118" s="11" t="s">
        <v>157</v>
      </c>
      <c r="C118" s="26" t="s">
        <v>159</v>
      </c>
      <c r="D118" s="11"/>
      <c r="E118" s="11">
        <v>1250</v>
      </c>
      <c r="F118" s="11">
        <v>1035.3</v>
      </c>
      <c r="G118" s="11">
        <f>E118-F118</f>
        <v>214.70000000000005</v>
      </c>
      <c r="H118" s="16">
        <f>(E118-F118)/F118</f>
        <v>0.20737950352554821</v>
      </c>
      <c r="I118" s="11" t="s">
        <v>31</v>
      </c>
      <c r="J118" s="11"/>
    </row>
    <row r="119" spans="1:10" x14ac:dyDescent="0.25">
      <c r="A119" s="27">
        <v>46178</v>
      </c>
      <c r="B119" s="11" t="s">
        <v>157</v>
      </c>
      <c r="C119" s="26" t="s">
        <v>160</v>
      </c>
      <c r="D119" s="11"/>
      <c r="E119" s="11">
        <v>1350</v>
      </c>
      <c r="F119" s="11">
        <v>1035.3</v>
      </c>
      <c r="G119" s="11">
        <f>E119-F119</f>
        <v>314.70000000000005</v>
      </c>
      <c r="H119" s="16">
        <f>(E119-F119)/F119</f>
        <v>0.30396986380759206</v>
      </c>
      <c r="I119" s="11" t="s">
        <v>31</v>
      </c>
      <c r="J119" s="11"/>
    </row>
    <row r="120" spans="1:10" x14ac:dyDescent="0.25">
      <c r="A120" s="27">
        <v>46178</v>
      </c>
      <c r="B120" s="11" t="s">
        <v>161</v>
      </c>
      <c r="C120" s="26">
        <v>53017225217</v>
      </c>
      <c r="D120" s="11"/>
      <c r="E120" s="11">
        <v>2000</v>
      </c>
      <c r="F120" s="11">
        <v>1695.75</v>
      </c>
      <c r="G120" s="11">
        <f>E120-F120</f>
        <v>304.25</v>
      </c>
      <c r="H120" s="16">
        <f>(E120-F120)/F120</f>
        <v>0.17941913607548282</v>
      </c>
      <c r="I120" s="11" t="s">
        <v>31</v>
      </c>
      <c r="J120" s="11"/>
    </row>
    <row r="121" spans="1:10" x14ac:dyDescent="0.25">
      <c r="A121" s="27">
        <v>46178</v>
      </c>
      <c r="B121" s="11" t="s">
        <v>161</v>
      </c>
      <c r="C121" s="26">
        <v>601110254121</v>
      </c>
      <c r="D121" s="11"/>
      <c r="E121" s="11">
        <v>1900</v>
      </c>
      <c r="F121" s="11">
        <v>1695.75</v>
      </c>
      <c r="G121" s="11">
        <f>E121-F121</f>
        <v>204.25</v>
      </c>
      <c r="H121" s="16">
        <f>(E121-F121)/F121</f>
        <v>0.12044817927170869</v>
      </c>
      <c r="I121" s="11" t="s">
        <v>31</v>
      </c>
      <c r="J121" s="11"/>
    </row>
    <row r="122" spans="1:10" x14ac:dyDescent="0.25">
      <c r="A122" s="27">
        <v>46178</v>
      </c>
      <c r="B122" s="11" t="s">
        <v>161</v>
      </c>
      <c r="C122" s="26">
        <v>605454253921</v>
      </c>
      <c r="D122" s="11"/>
      <c r="E122" s="11">
        <v>1900</v>
      </c>
      <c r="F122" s="11">
        <v>1695.75</v>
      </c>
      <c r="G122" s="11">
        <f>E122-F122</f>
        <v>204.25</v>
      </c>
      <c r="H122" s="16">
        <f>(E122-F122)/F122</f>
        <v>0.12044817927170869</v>
      </c>
      <c r="I122" s="11" t="s">
        <v>31</v>
      </c>
      <c r="J122" s="11"/>
    </row>
    <row r="123" spans="1:10" x14ac:dyDescent="0.25">
      <c r="A123" s="27">
        <v>46179</v>
      </c>
      <c r="B123" s="11" t="s">
        <v>166</v>
      </c>
      <c r="C123" s="26" t="s">
        <v>167</v>
      </c>
      <c r="D123" s="11" t="s">
        <v>168</v>
      </c>
      <c r="E123" s="11">
        <v>4250</v>
      </c>
      <c r="F123" s="11">
        <v>3998.4</v>
      </c>
      <c r="G123" s="11">
        <f>E123-F123</f>
        <v>251.59999999999991</v>
      </c>
      <c r="H123" s="16">
        <f>(E123-F123)/F123</f>
        <v>6.2925170068027184E-2</v>
      </c>
      <c r="I123" s="11" t="s">
        <v>31</v>
      </c>
      <c r="J123" s="11"/>
    </row>
    <row r="124" spans="1:10" x14ac:dyDescent="0.25">
      <c r="A124" s="27">
        <v>46179</v>
      </c>
      <c r="B124" s="11" t="s">
        <v>166</v>
      </c>
      <c r="C124" s="26" t="s">
        <v>169</v>
      </c>
      <c r="D124" s="11" t="s">
        <v>170</v>
      </c>
      <c r="E124" s="11">
        <v>4220</v>
      </c>
      <c r="F124" s="11">
        <v>3998.4</v>
      </c>
      <c r="G124" s="11">
        <f>E124-F124</f>
        <v>221.59999999999991</v>
      </c>
      <c r="H124" s="16">
        <f>(E124-F124)/F124</f>
        <v>5.5422168867546993E-2</v>
      </c>
      <c r="I124" s="11" t="s">
        <v>31</v>
      </c>
      <c r="J124" s="11"/>
    </row>
    <row r="125" spans="1:10" x14ac:dyDescent="0.25">
      <c r="A125" s="27">
        <v>46179</v>
      </c>
      <c r="B125" s="11" t="s">
        <v>171</v>
      </c>
      <c r="C125" s="26" t="s">
        <v>172</v>
      </c>
      <c r="D125" s="11" t="s">
        <v>17</v>
      </c>
      <c r="E125" s="11">
        <v>1830</v>
      </c>
      <c r="F125" s="11">
        <v>1677.9</v>
      </c>
      <c r="G125" s="11">
        <f>E125-F125</f>
        <v>152.09999999999991</v>
      </c>
      <c r="H125" s="16">
        <f>(E125-F125)/F125</f>
        <v>9.0649025567673819E-2</v>
      </c>
      <c r="I125" s="11" t="s">
        <v>31</v>
      </c>
      <c r="J125" s="11"/>
    </row>
    <row r="126" spans="1:10" x14ac:dyDescent="0.25">
      <c r="A126" s="27">
        <v>46179</v>
      </c>
      <c r="B126" s="11" t="s">
        <v>171</v>
      </c>
      <c r="C126" s="26" t="s">
        <v>173</v>
      </c>
      <c r="D126" s="11" t="s">
        <v>17</v>
      </c>
      <c r="E126" s="11">
        <v>1830</v>
      </c>
      <c r="F126" s="11">
        <v>1677.9</v>
      </c>
      <c r="G126" s="11">
        <f>E126-F126</f>
        <v>152.09999999999991</v>
      </c>
      <c r="H126" s="16">
        <f>(E126-F126)/F126</f>
        <v>9.0649025567673819E-2</v>
      </c>
      <c r="I126" s="11" t="s">
        <v>31</v>
      </c>
      <c r="J126" s="11"/>
    </row>
    <row r="127" spans="1:10" x14ac:dyDescent="0.25">
      <c r="A127" s="27">
        <v>46179</v>
      </c>
      <c r="B127" s="11" t="s">
        <v>171</v>
      </c>
      <c r="C127" s="26" t="s">
        <v>174</v>
      </c>
      <c r="D127" s="11" t="s">
        <v>17</v>
      </c>
      <c r="E127" s="11">
        <v>1830</v>
      </c>
      <c r="F127" s="11">
        <v>1677.9</v>
      </c>
      <c r="G127" s="11">
        <f>E127-F127</f>
        <v>152.09999999999991</v>
      </c>
      <c r="H127" s="16">
        <f>(E127-F127)/F127</f>
        <v>9.0649025567673819E-2</v>
      </c>
      <c r="I127" s="11" t="s">
        <v>31</v>
      </c>
      <c r="J127" s="11"/>
    </row>
    <row r="128" spans="1:10" x14ac:dyDescent="0.25">
      <c r="A128" s="27">
        <v>46179</v>
      </c>
      <c r="B128" s="11" t="s">
        <v>171</v>
      </c>
      <c r="C128" s="26" t="s">
        <v>175</v>
      </c>
      <c r="D128" s="11" t="s">
        <v>17</v>
      </c>
      <c r="E128" s="11">
        <v>1830</v>
      </c>
      <c r="F128" s="11">
        <v>1677.9</v>
      </c>
      <c r="G128" s="11">
        <f>E128-F128</f>
        <v>152.09999999999991</v>
      </c>
      <c r="H128" s="16">
        <f>(E128-F128)/F128</f>
        <v>9.0649025567673819E-2</v>
      </c>
      <c r="I128" s="11" t="s">
        <v>31</v>
      </c>
      <c r="J128" s="11"/>
    </row>
    <row r="129" spans="1:10" x14ac:dyDescent="0.25">
      <c r="A129" s="27">
        <v>46179</v>
      </c>
      <c r="B129" s="11" t="s">
        <v>171</v>
      </c>
      <c r="C129" s="26" t="s">
        <v>176</v>
      </c>
      <c r="D129" s="11" t="s">
        <v>17</v>
      </c>
      <c r="E129" s="11">
        <v>1830</v>
      </c>
      <c r="F129" s="11">
        <v>1677.9</v>
      </c>
      <c r="G129" s="11">
        <f>E129-F129</f>
        <v>152.09999999999991</v>
      </c>
      <c r="H129" s="16">
        <f>(E129-F129)/F129</f>
        <v>9.0649025567673819E-2</v>
      </c>
      <c r="I129" s="11" t="s">
        <v>31</v>
      </c>
      <c r="J129" s="11"/>
    </row>
    <row r="130" spans="1:10" x14ac:dyDescent="0.25">
      <c r="A130" s="27">
        <v>46179</v>
      </c>
      <c r="B130" s="11" t="s">
        <v>171</v>
      </c>
      <c r="C130" s="26" t="s">
        <v>177</v>
      </c>
      <c r="D130" s="11" t="s">
        <v>17</v>
      </c>
      <c r="E130" s="11">
        <v>1830</v>
      </c>
      <c r="F130" s="11">
        <v>1677.9</v>
      </c>
      <c r="G130" s="11">
        <f>E130-F130</f>
        <v>152.09999999999991</v>
      </c>
      <c r="H130" s="16">
        <f>(E130-F130)/F130</f>
        <v>9.0649025567673819E-2</v>
      </c>
      <c r="I130" s="11" t="s">
        <v>31</v>
      </c>
      <c r="J130" s="11"/>
    </row>
    <row r="131" spans="1:10" x14ac:dyDescent="0.25">
      <c r="A131" s="27">
        <v>46179</v>
      </c>
      <c r="B131" s="11" t="s">
        <v>171</v>
      </c>
      <c r="C131" s="26" t="s">
        <v>178</v>
      </c>
      <c r="D131" s="11" t="s">
        <v>17</v>
      </c>
      <c r="E131" s="11">
        <v>1830</v>
      </c>
      <c r="F131" s="11">
        <v>1677.9</v>
      </c>
      <c r="G131" s="11">
        <f>E131-F131</f>
        <v>152.09999999999991</v>
      </c>
      <c r="H131" s="16">
        <f>(E131-F131)/F131</f>
        <v>9.0649025567673819E-2</v>
      </c>
      <c r="I131" s="11" t="s">
        <v>31</v>
      </c>
      <c r="J131" s="11"/>
    </row>
    <row r="132" spans="1:10" x14ac:dyDescent="0.25">
      <c r="A132" s="27">
        <v>46179</v>
      </c>
      <c r="B132" s="11" t="s">
        <v>171</v>
      </c>
      <c r="C132" s="26" t="s">
        <v>179</v>
      </c>
      <c r="D132" s="11" t="s">
        <v>17</v>
      </c>
      <c r="E132" s="11">
        <v>1830</v>
      </c>
      <c r="F132" s="11">
        <v>1677.9</v>
      </c>
      <c r="G132" s="11">
        <f>E132-F132</f>
        <v>152.09999999999991</v>
      </c>
      <c r="H132" s="16">
        <f>(E132-F132)/F132</f>
        <v>9.0649025567673819E-2</v>
      </c>
      <c r="I132" s="11" t="s">
        <v>31</v>
      </c>
      <c r="J132" s="11"/>
    </row>
    <row r="133" spans="1:10" x14ac:dyDescent="0.25">
      <c r="A133" s="27">
        <v>46179</v>
      </c>
      <c r="B133" s="11" t="s">
        <v>171</v>
      </c>
      <c r="C133" s="26" t="s">
        <v>180</v>
      </c>
      <c r="D133" s="11" t="s">
        <v>17</v>
      </c>
      <c r="E133" s="11">
        <v>1830</v>
      </c>
      <c r="F133" s="11">
        <v>1677.9</v>
      </c>
      <c r="G133" s="11">
        <f>E133-F133</f>
        <v>152.09999999999991</v>
      </c>
      <c r="H133" s="16">
        <f>(E133-F133)/F133</f>
        <v>9.0649025567673819E-2</v>
      </c>
      <c r="I133" s="11" t="s">
        <v>31</v>
      </c>
      <c r="J133" s="11"/>
    </row>
    <row r="134" spans="1:10" x14ac:dyDescent="0.25">
      <c r="A134" s="27">
        <v>46179</v>
      </c>
      <c r="B134" s="11" t="s">
        <v>171</v>
      </c>
      <c r="C134" s="26" t="s">
        <v>181</v>
      </c>
      <c r="D134" s="11" t="s">
        <v>17</v>
      </c>
      <c r="E134" s="11">
        <v>1830</v>
      </c>
      <c r="F134" s="11">
        <v>1677.9</v>
      </c>
      <c r="G134" s="11">
        <f>E134-F134</f>
        <v>152.09999999999991</v>
      </c>
      <c r="H134" s="16">
        <f>(E134-F134)/F134</f>
        <v>9.0649025567673819E-2</v>
      </c>
      <c r="I134" s="11" t="s">
        <v>31</v>
      </c>
      <c r="J134" s="11"/>
    </row>
    <row r="135" spans="1:10" x14ac:dyDescent="0.25">
      <c r="A135" s="27">
        <v>46179</v>
      </c>
      <c r="B135" s="11" t="s">
        <v>171</v>
      </c>
      <c r="C135" s="26" t="s">
        <v>182</v>
      </c>
      <c r="D135" s="11" t="s">
        <v>17</v>
      </c>
      <c r="E135" s="11">
        <v>1830</v>
      </c>
      <c r="F135" s="11">
        <v>1677.9</v>
      </c>
      <c r="G135" s="11">
        <f>E135-F135</f>
        <v>152.09999999999991</v>
      </c>
      <c r="H135" s="16">
        <f>(E135-F135)/F135</f>
        <v>9.0649025567673819E-2</v>
      </c>
      <c r="I135" s="11" t="s">
        <v>31</v>
      </c>
      <c r="J135" s="11"/>
    </row>
    <row r="136" spans="1:10" x14ac:dyDescent="0.25">
      <c r="A136" s="27">
        <v>46179</v>
      </c>
      <c r="B136" s="11" t="s">
        <v>171</v>
      </c>
      <c r="C136" s="26" t="s">
        <v>183</v>
      </c>
      <c r="D136" s="11" t="s">
        <v>17</v>
      </c>
      <c r="E136" s="11">
        <v>1830</v>
      </c>
      <c r="F136" s="11">
        <v>1677.9</v>
      </c>
      <c r="G136" s="11">
        <f>E136-F136</f>
        <v>152.09999999999991</v>
      </c>
      <c r="H136" s="16">
        <f>(E136-F136)/F136</f>
        <v>9.0649025567673819E-2</v>
      </c>
      <c r="I136" s="11" t="s">
        <v>31</v>
      </c>
      <c r="J136" s="11"/>
    </row>
    <row r="137" spans="1:10" x14ac:dyDescent="0.25">
      <c r="A137" s="27">
        <v>46179</v>
      </c>
      <c r="B137" s="11" t="s">
        <v>171</v>
      </c>
      <c r="C137" s="26" t="s">
        <v>184</v>
      </c>
      <c r="D137" s="11" t="s">
        <v>17</v>
      </c>
      <c r="E137" s="11">
        <v>1830</v>
      </c>
      <c r="F137" s="11">
        <v>1677.9</v>
      </c>
      <c r="G137" s="11">
        <f>E137-F137</f>
        <v>152.09999999999991</v>
      </c>
      <c r="H137" s="16">
        <f>(E137-F137)/F137</f>
        <v>9.0649025567673819E-2</v>
      </c>
      <c r="I137" s="11" t="s">
        <v>31</v>
      </c>
      <c r="J137" s="11"/>
    </row>
    <row r="138" spans="1:10" x14ac:dyDescent="0.25">
      <c r="A138" s="27">
        <v>46179</v>
      </c>
      <c r="B138" s="11" t="s">
        <v>171</v>
      </c>
      <c r="C138" s="26" t="s">
        <v>185</v>
      </c>
      <c r="D138" s="11" t="s">
        <v>17</v>
      </c>
      <c r="E138" s="11">
        <v>1830</v>
      </c>
      <c r="F138" s="11">
        <v>1677.9</v>
      </c>
      <c r="G138" s="11">
        <f>E138-F138</f>
        <v>152.09999999999991</v>
      </c>
      <c r="H138" s="16">
        <f>(E138-F138)/F138</f>
        <v>9.0649025567673819E-2</v>
      </c>
      <c r="I138" s="11" t="s">
        <v>31</v>
      </c>
      <c r="J138" s="11"/>
    </row>
    <row r="139" spans="1:10" x14ac:dyDescent="0.25">
      <c r="A139" s="27">
        <v>46179</v>
      </c>
      <c r="B139" s="11" t="s">
        <v>171</v>
      </c>
      <c r="C139" s="26" t="s">
        <v>186</v>
      </c>
      <c r="D139" s="11" t="s">
        <v>17</v>
      </c>
      <c r="E139" s="11">
        <v>1830</v>
      </c>
      <c r="F139" s="11">
        <v>1677.9</v>
      </c>
      <c r="G139" s="11">
        <f>E139-F139</f>
        <v>152.09999999999991</v>
      </c>
      <c r="H139" s="16">
        <f>(E139-F139)/F139</f>
        <v>9.0649025567673819E-2</v>
      </c>
      <c r="I139" s="11" t="s">
        <v>31</v>
      </c>
      <c r="J139" s="11"/>
    </row>
    <row r="140" spans="1:10" x14ac:dyDescent="0.25">
      <c r="A140" s="27">
        <v>46179</v>
      </c>
      <c r="B140" s="11" t="s">
        <v>171</v>
      </c>
      <c r="C140" s="26" t="s">
        <v>187</v>
      </c>
      <c r="D140" s="11" t="s">
        <v>17</v>
      </c>
      <c r="E140" s="11">
        <v>1830</v>
      </c>
      <c r="F140" s="11">
        <v>1677.9</v>
      </c>
      <c r="G140" s="11">
        <f>E140-F140</f>
        <v>152.09999999999991</v>
      </c>
      <c r="H140" s="16">
        <f>(E140-F140)/F140</f>
        <v>9.0649025567673819E-2</v>
      </c>
      <c r="I140" s="11" t="s">
        <v>31</v>
      </c>
      <c r="J140" s="11"/>
    </row>
    <row r="141" spans="1:10" x14ac:dyDescent="0.25">
      <c r="A141" s="27">
        <v>46179</v>
      </c>
      <c r="B141" s="11" t="s">
        <v>171</v>
      </c>
      <c r="C141" s="26" t="s">
        <v>188</v>
      </c>
      <c r="D141" s="11" t="s">
        <v>17</v>
      </c>
      <c r="E141" s="11">
        <v>1830</v>
      </c>
      <c r="F141" s="11">
        <v>1677.9</v>
      </c>
      <c r="G141" s="11">
        <f>E141-F141</f>
        <v>152.09999999999991</v>
      </c>
      <c r="H141" s="16">
        <f>(E141-F141)/F141</f>
        <v>9.0649025567673819E-2</v>
      </c>
      <c r="I141" s="11" t="s">
        <v>31</v>
      </c>
      <c r="J141" s="11"/>
    </row>
    <row r="142" spans="1:10" x14ac:dyDescent="0.25">
      <c r="A142" s="27">
        <v>46179</v>
      </c>
      <c r="B142" s="11" t="s">
        <v>171</v>
      </c>
      <c r="C142" s="26" t="s">
        <v>189</v>
      </c>
      <c r="D142" s="11" t="s">
        <v>17</v>
      </c>
      <c r="E142" s="11">
        <v>1830</v>
      </c>
      <c r="F142" s="11">
        <v>1677.9</v>
      </c>
      <c r="G142" s="11">
        <f>E142-F142</f>
        <v>152.09999999999991</v>
      </c>
      <c r="H142" s="16">
        <f>(E142-F142)/F142</f>
        <v>9.0649025567673819E-2</v>
      </c>
      <c r="I142" s="11" t="s">
        <v>31</v>
      </c>
      <c r="J142" s="11"/>
    </row>
    <row r="143" spans="1:10" x14ac:dyDescent="0.25">
      <c r="A143" s="27">
        <v>46179</v>
      </c>
      <c r="B143" s="11" t="s">
        <v>171</v>
      </c>
      <c r="C143" s="26" t="s">
        <v>190</v>
      </c>
      <c r="D143" s="11" t="s">
        <v>17</v>
      </c>
      <c r="E143" s="11">
        <v>1830</v>
      </c>
      <c r="F143" s="11">
        <v>1677.9</v>
      </c>
      <c r="G143" s="11">
        <f>E143-F143</f>
        <v>152.09999999999991</v>
      </c>
      <c r="H143" s="16">
        <f>(E143-F143)/F143</f>
        <v>9.0649025567673819E-2</v>
      </c>
      <c r="I143" s="11" t="s">
        <v>31</v>
      </c>
      <c r="J143" s="11"/>
    </row>
    <row r="144" spans="1:10" x14ac:dyDescent="0.25">
      <c r="A144" s="27">
        <v>46179</v>
      </c>
      <c r="B144" s="11" t="s">
        <v>171</v>
      </c>
      <c r="C144" s="26" t="s">
        <v>191</v>
      </c>
      <c r="D144" s="11" t="s">
        <v>17</v>
      </c>
      <c r="E144" s="11">
        <v>1830</v>
      </c>
      <c r="F144" s="11">
        <v>1677.9</v>
      </c>
      <c r="G144" s="11">
        <f>E144-F144</f>
        <v>152.09999999999991</v>
      </c>
      <c r="H144" s="16">
        <f>(E144-F144)/F144</f>
        <v>9.0649025567673819E-2</v>
      </c>
      <c r="I144" s="11" t="s">
        <v>31</v>
      </c>
      <c r="J144" s="11"/>
    </row>
    <row r="145" spans="1:10" x14ac:dyDescent="0.25">
      <c r="A145" s="27">
        <v>46179</v>
      </c>
      <c r="B145" s="11" t="s">
        <v>171</v>
      </c>
      <c r="C145" s="26" t="s">
        <v>192</v>
      </c>
      <c r="D145" s="11" t="s">
        <v>17</v>
      </c>
      <c r="E145" s="11">
        <v>1830</v>
      </c>
      <c r="F145" s="11">
        <v>1677.9</v>
      </c>
      <c r="G145" s="11">
        <f>E145-F145</f>
        <v>152.09999999999991</v>
      </c>
      <c r="H145" s="16">
        <f>(E145-F145)/F145</f>
        <v>9.0649025567673819E-2</v>
      </c>
      <c r="I145" s="11" t="s">
        <v>31</v>
      </c>
      <c r="J145" s="11"/>
    </row>
    <row r="146" spans="1:10" x14ac:dyDescent="0.25">
      <c r="A146" s="27">
        <v>46179</v>
      </c>
      <c r="B146" s="11" t="s">
        <v>171</v>
      </c>
      <c r="C146" s="26" t="s">
        <v>193</v>
      </c>
      <c r="D146" s="11" t="s">
        <v>17</v>
      </c>
      <c r="E146" s="11">
        <v>1830</v>
      </c>
      <c r="F146" s="11">
        <v>1677.9</v>
      </c>
      <c r="G146" s="11">
        <f>E146-F146</f>
        <v>152.09999999999991</v>
      </c>
      <c r="H146" s="16">
        <f>(E146-F146)/F146</f>
        <v>9.0649025567673819E-2</v>
      </c>
      <c r="I146" s="11" t="s">
        <v>31</v>
      </c>
      <c r="J146" s="11"/>
    </row>
    <row r="147" spans="1:10" x14ac:dyDescent="0.25">
      <c r="A147" s="27">
        <v>46179</v>
      </c>
      <c r="B147" s="11" t="s">
        <v>171</v>
      </c>
      <c r="C147" s="26" t="s">
        <v>194</v>
      </c>
      <c r="D147" s="11" t="s">
        <v>17</v>
      </c>
      <c r="E147" s="11">
        <v>1830</v>
      </c>
      <c r="F147" s="11">
        <v>1677.9</v>
      </c>
      <c r="G147" s="11">
        <f>E147-F147</f>
        <v>152.09999999999991</v>
      </c>
      <c r="H147" s="16">
        <f>(E147-F147)/F147</f>
        <v>9.0649025567673819E-2</v>
      </c>
      <c r="I147" s="11" t="s">
        <v>31</v>
      </c>
      <c r="J147" s="11"/>
    </row>
    <row r="148" spans="1:10" x14ac:dyDescent="0.25">
      <c r="A148" s="27">
        <v>46179</v>
      </c>
      <c r="B148" s="11" t="s">
        <v>171</v>
      </c>
      <c r="C148" s="26" t="s">
        <v>195</v>
      </c>
      <c r="D148" s="11" t="s">
        <v>17</v>
      </c>
      <c r="E148" s="11">
        <v>1830</v>
      </c>
      <c r="F148" s="11">
        <v>1677.9</v>
      </c>
      <c r="G148" s="11">
        <f>E148-F148</f>
        <v>152.09999999999991</v>
      </c>
      <c r="H148" s="16">
        <f>(E148-F148)/F148</f>
        <v>9.0649025567673819E-2</v>
      </c>
      <c r="I148" s="11" t="s">
        <v>31</v>
      </c>
      <c r="J148" s="11"/>
    </row>
    <row r="149" spans="1:10" x14ac:dyDescent="0.25">
      <c r="A149" s="27">
        <v>46179</v>
      </c>
      <c r="B149" s="11" t="s">
        <v>171</v>
      </c>
      <c r="C149" s="26" t="s">
        <v>196</v>
      </c>
      <c r="D149" s="11" t="s">
        <v>17</v>
      </c>
      <c r="E149" s="11">
        <v>1830</v>
      </c>
      <c r="F149" s="11">
        <v>1677.9</v>
      </c>
      <c r="G149" s="11">
        <f>E149-F149</f>
        <v>152.09999999999991</v>
      </c>
      <c r="H149" s="16">
        <f>(E149-F149)/F149</f>
        <v>9.0649025567673819E-2</v>
      </c>
      <c r="I149" s="11" t="s">
        <v>31</v>
      </c>
      <c r="J149" s="11"/>
    </row>
    <row r="150" spans="1:10" x14ac:dyDescent="0.25">
      <c r="A150" s="27">
        <v>46179</v>
      </c>
      <c r="B150" s="11" t="s">
        <v>171</v>
      </c>
      <c r="C150" s="26" t="s">
        <v>197</v>
      </c>
      <c r="D150" s="11" t="s">
        <v>17</v>
      </c>
      <c r="E150" s="11">
        <v>1830</v>
      </c>
      <c r="F150" s="11">
        <v>1677.9</v>
      </c>
      <c r="G150" s="11">
        <f>E150-F150</f>
        <v>152.09999999999991</v>
      </c>
      <c r="H150" s="16">
        <f>(E150-F150)/F150</f>
        <v>9.0649025567673819E-2</v>
      </c>
      <c r="I150" s="11" t="s">
        <v>31</v>
      </c>
      <c r="J150" s="11"/>
    </row>
    <row r="151" spans="1:10" x14ac:dyDescent="0.25">
      <c r="A151" s="27">
        <v>46179</v>
      </c>
      <c r="B151" s="11" t="s">
        <v>171</v>
      </c>
      <c r="C151" s="26" t="s">
        <v>198</v>
      </c>
      <c r="D151" s="11" t="s">
        <v>17</v>
      </c>
      <c r="E151" s="11">
        <v>1830</v>
      </c>
      <c r="F151" s="11">
        <v>1677.9</v>
      </c>
      <c r="G151" s="11">
        <f>E151-F151</f>
        <v>152.09999999999991</v>
      </c>
      <c r="H151" s="16">
        <f>(E151-F151)/F151</f>
        <v>9.0649025567673819E-2</v>
      </c>
      <c r="I151" s="11" t="s">
        <v>31</v>
      </c>
      <c r="J151" s="11"/>
    </row>
    <row r="152" spans="1:10" x14ac:dyDescent="0.25">
      <c r="A152" s="27">
        <v>46179</v>
      </c>
      <c r="B152" s="11" t="s">
        <v>171</v>
      </c>
      <c r="C152" s="26" t="s">
        <v>199</v>
      </c>
      <c r="D152" s="11" t="s">
        <v>17</v>
      </c>
      <c r="E152" s="11">
        <v>1830</v>
      </c>
      <c r="F152" s="11">
        <v>1677.9</v>
      </c>
      <c r="G152" s="11">
        <f>E152-F152</f>
        <v>152.09999999999991</v>
      </c>
      <c r="H152" s="16">
        <f>(E152-F152)/F152</f>
        <v>9.0649025567673819E-2</v>
      </c>
      <c r="I152" s="11" t="s">
        <v>31</v>
      </c>
      <c r="J152" s="11"/>
    </row>
    <row r="153" spans="1:10" x14ac:dyDescent="0.25">
      <c r="A153" s="27">
        <v>46183</v>
      </c>
      <c r="B153" s="11" t="s">
        <v>171</v>
      </c>
      <c r="C153" s="26" t="s">
        <v>210</v>
      </c>
      <c r="D153" s="11" t="s">
        <v>17</v>
      </c>
      <c r="E153" s="11">
        <v>1825</v>
      </c>
      <c r="F153" s="11">
        <v>1677.9</v>
      </c>
      <c r="G153" s="11">
        <f>E153-F153</f>
        <v>147.09999999999991</v>
      </c>
      <c r="H153" s="16">
        <f>(E153-F153)/F153</f>
        <v>8.7669110197270333E-2</v>
      </c>
      <c r="I153" s="11" t="s">
        <v>31</v>
      </c>
      <c r="J153" s="11"/>
    </row>
    <row r="154" spans="1:10" x14ac:dyDescent="0.25">
      <c r="A154" s="27">
        <v>46183</v>
      </c>
      <c r="B154" s="11" t="s">
        <v>171</v>
      </c>
      <c r="C154" s="26" t="s">
        <v>211</v>
      </c>
      <c r="D154" s="11" t="s">
        <v>17</v>
      </c>
      <c r="E154" s="11">
        <v>1825</v>
      </c>
      <c r="F154" s="11">
        <v>1677.9</v>
      </c>
      <c r="G154" s="11">
        <f>E154-F154</f>
        <v>147.09999999999991</v>
      </c>
      <c r="H154" s="16">
        <f>(E154-F154)/F154</f>
        <v>8.7669110197270333E-2</v>
      </c>
      <c r="I154" s="11" t="s">
        <v>31</v>
      </c>
      <c r="J154" s="11"/>
    </row>
    <row r="155" spans="1:10" x14ac:dyDescent="0.25">
      <c r="A155" s="27">
        <v>46183</v>
      </c>
      <c r="B155" s="11" t="s">
        <v>171</v>
      </c>
      <c r="C155" s="26" t="s">
        <v>212</v>
      </c>
      <c r="D155" s="11" t="s">
        <v>17</v>
      </c>
      <c r="E155" s="11">
        <v>1825</v>
      </c>
      <c r="F155" s="11">
        <v>1677.9</v>
      </c>
      <c r="G155" s="11">
        <f>E155-F155</f>
        <v>147.09999999999991</v>
      </c>
      <c r="H155" s="16">
        <f>(E155-F155)/F155</f>
        <v>8.7669110197270333E-2</v>
      </c>
      <c r="I155" s="11" t="s">
        <v>31</v>
      </c>
      <c r="J155" s="11"/>
    </row>
    <row r="156" spans="1:10" x14ac:dyDescent="0.25">
      <c r="A156" s="27">
        <v>46183</v>
      </c>
      <c r="B156" s="11" t="s">
        <v>171</v>
      </c>
      <c r="C156" s="26" t="s">
        <v>213</v>
      </c>
      <c r="D156" s="11" t="s">
        <v>17</v>
      </c>
      <c r="E156" s="11">
        <v>1825</v>
      </c>
      <c r="F156" s="11">
        <v>1677.9</v>
      </c>
      <c r="G156" s="11">
        <f>E156-F156</f>
        <v>147.09999999999991</v>
      </c>
      <c r="H156" s="16">
        <f>(E156-F156)/F156</f>
        <v>8.7669110197270333E-2</v>
      </c>
      <c r="I156" s="11" t="s">
        <v>31</v>
      </c>
      <c r="J156" s="11"/>
    </row>
    <row r="157" spans="1:10" x14ac:dyDescent="0.25">
      <c r="A157" s="27">
        <v>46183</v>
      </c>
      <c r="B157" s="11" t="s">
        <v>171</v>
      </c>
      <c r="C157" s="26" t="s">
        <v>214</v>
      </c>
      <c r="D157" s="11" t="s">
        <v>17</v>
      </c>
      <c r="E157" s="11">
        <v>1825</v>
      </c>
      <c r="F157" s="11">
        <v>1677.9</v>
      </c>
      <c r="G157" s="11">
        <f>E157-F157</f>
        <v>147.09999999999991</v>
      </c>
      <c r="H157" s="16">
        <f>(E157-F157)/F157</f>
        <v>8.7669110197270333E-2</v>
      </c>
      <c r="I157" s="11" t="s">
        <v>31</v>
      </c>
      <c r="J157" s="11"/>
    </row>
    <row r="158" spans="1:10" x14ac:dyDescent="0.25">
      <c r="A158" s="27">
        <v>46183</v>
      </c>
      <c r="B158" s="11" t="s">
        <v>171</v>
      </c>
      <c r="C158" s="26" t="s">
        <v>215</v>
      </c>
      <c r="D158" s="11" t="s">
        <v>17</v>
      </c>
      <c r="E158" s="11">
        <v>1830</v>
      </c>
      <c r="F158" s="11">
        <v>1677.9</v>
      </c>
      <c r="G158" s="11">
        <f>E158-F158</f>
        <v>152.09999999999991</v>
      </c>
      <c r="H158" s="16">
        <f>(E158-F158)/F158</f>
        <v>9.0649025567673819E-2</v>
      </c>
      <c r="I158" s="11" t="s">
        <v>31</v>
      </c>
      <c r="J158" s="11"/>
    </row>
    <row r="159" spans="1:10" x14ac:dyDescent="0.25">
      <c r="A159" s="27">
        <v>46183</v>
      </c>
      <c r="B159" s="11" t="s">
        <v>171</v>
      </c>
      <c r="C159" s="26" t="s">
        <v>216</v>
      </c>
      <c r="D159" s="11" t="s">
        <v>17</v>
      </c>
      <c r="E159" s="11">
        <v>1825</v>
      </c>
      <c r="F159" s="11">
        <v>1677.9</v>
      </c>
      <c r="G159" s="11">
        <f>E159-F159</f>
        <v>147.09999999999991</v>
      </c>
      <c r="H159" s="16">
        <f>(E159-F159)/F159</f>
        <v>8.7669110197270333E-2</v>
      </c>
      <c r="I159" s="11" t="s">
        <v>31</v>
      </c>
      <c r="J159" s="11"/>
    </row>
    <row r="160" spans="1:10" x14ac:dyDescent="0.25">
      <c r="A160" s="27">
        <v>46183</v>
      </c>
      <c r="B160" s="11" t="s">
        <v>171</v>
      </c>
      <c r="C160" s="26" t="s">
        <v>217</v>
      </c>
      <c r="D160" s="11" t="s">
        <v>17</v>
      </c>
      <c r="E160" s="11">
        <v>1825</v>
      </c>
      <c r="F160" s="11">
        <v>1677.9</v>
      </c>
      <c r="G160" s="11">
        <f t="shared" ref="G160:G223" si="0">E160-F160</f>
        <v>147.09999999999991</v>
      </c>
      <c r="H160" s="16">
        <f t="shared" ref="H160:H223" si="1">(E160-F160)/F160</f>
        <v>8.7669110197270333E-2</v>
      </c>
      <c r="I160" s="11" t="s">
        <v>31</v>
      </c>
      <c r="J160" s="11"/>
    </row>
    <row r="161" spans="1:10" x14ac:dyDescent="0.25">
      <c r="A161" s="27">
        <v>46183</v>
      </c>
      <c r="B161" s="11" t="s">
        <v>171</v>
      </c>
      <c r="C161" s="26" t="s">
        <v>218</v>
      </c>
      <c r="D161" s="11" t="s">
        <v>17</v>
      </c>
      <c r="E161" s="11">
        <v>1825</v>
      </c>
      <c r="F161" s="11">
        <v>1677.9</v>
      </c>
      <c r="G161" s="11">
        <f t="shared" si="0"/>
        <v>147.09999999999991</v>
      </c>
      <c r="H161" s="16">
        <f t="shared" si="1"/>
        <v>8.7669110197270333E-2</v>
      </c>
      <c r="I161" s="11" t="s">
        <v>31</v>
      </c>
      <c r="J161" s="11"/>
    </row>
    <row r="162" spans="1:10" x14ac:dyDescent="0.25">
      <c r="A162" s="27">
        <v>46183</v>
      </c>
      <c r="B162" s="11" t="s">
        <v>171</v>
      </c>
      <c r="C162" s="26" t="s">
        <v>219</v>
      </c>
      <c r="D162" s="11" t="s">
        <v>17</v>
      </c>
      <c r="E162" s="11">
        <v>1825</v>
      </c>
      <c r="F162" s="11">
        <v>1677.9</v>
      </c>
      <c r="G162" s="11">
        <f t="shared" si="0"/>
        <v>147.09999999999991</v>
      </c>
      <c r="H162" s="16">
        <f t="shared" si="1"/>
        <v>8.7669110197270333E-2</v>
      </c>
      <c r="I162" s="11" t="s">
        <v>31</v>
      </c>
      <c r="J162" s="11"/>
    </row>
    <row r="163" spans="1:10" x14ac:dyDescent="0.25">
      <c r="A163" s="27">
        <v>46183</v>
      </c>
      <c r="B163" s="11" t="s">
        <v>171</v>
      </c>
      <c r="C163" s="26" t="s">
        <v>220</v>
      </c>
      <c r="D163" s="11" t="s">
        <v>17</v>
      </c>
      <c r="E163" s="11">
        <v>1825</v>
      </c>
      <c r="F163" s="11">
        <v>1677.9</v>
      </c>
      <c r="G163" s="11">
        <f t="shared" si="0"/>
        <v>147.09999999999991</v>
      </c>
      <c r="H163" s="16">
        <f t="shared" si="1"/>
        <v>8.7669110197270333E-2</v>
      </c>
      <c r="I163" s="11" t="s">
        <v>31</v>
      </c>
      <c r="J163" s="11"/>
    </row>
    <row r="164" spans="1:10" x14ac:dyDescent="0.25">
      <c r="A164" s="27">
        <v>46183</v>
      </c>
      <c r="B164" s="11" t="s">
        <v>171</v>
      </c>
      <c r="C164" s="26" t="s">
        <v>221</v>
      </c>
      <c r="D164" s="11" t="s">
        <v>17</v>
      </c>
      <c r="E164" s="11">
        <v>1825</v>
      </c>
      <c r="F164" s="11">
        <v>1677.9</v>
      </c>
      <c r="G164" s="11">
        <f t="shared" si="0"/>
        <v>147.09999999999991</v>
      </c>
      <c r="H164" s="16">
        <f t="shared" si="1"/>
        <v>8.7669110197270333E-2</v>
      </c>
      <c r="I164" s="11" t="s">
        <v>31</v>
      </c>
      <c r="J164" s="11"/>
    </row>
    <row r="165" spans="1:10" x14ac:dyDescent="0.25">
      <c r="A165" s="27">
        <v>46183</v>
      </c>
      <c r="B165" s="11" t="s">
        <v>171</v>
      </c>
      <c r="C165" s="26" t="s">
        <v>222</v>
      </c>
      <c r="D165" s="11" t="s">
        <v>17</v>
      </c>
      <c r="E165" s="11">
        <v>1830</v>
      </c>
      <c r="F165" s="11">
        <v>1677.9</v>
      </c>
      <c r="G165" s="11">
        <f t="shared" si="0"/>
        <v>152.09999999999991</v>
      </c>
      <c r="H165" s="16">
        <f t="shared" si="1"/>
        <v>9.0649025567673819E-2</v>
      </c>
      <c r="I165" s="11" t="s">
        <v>31</v>
      </c>
      <c r="J165" s="11"/>
    </row>
    <row r="166" spans="1:10" x14ac:dyDescent="0.25">
      <c r="A166" s="27">
        <v>46183</v>
      </c>
      <c r="B166" s="11" t="s">
        <v>171</v>
      </c>
      <c r="C166" s="26" t="s">
        <v>223</v>
      </c>
      <c r="D166" s="11" t="s">
        <v>17</v>
      </c>
      <c r="E166" s="11">
        <v>1830</v>
      </c>
      <c r="F166" s="11">
        <v>1677.9</v>
      </c>
      <c r="G166" s="11">
        <f t="shared" si="0"/>
        <v>152.09999999999991</v>
      </c>
      <c r="H166" s="16">
        <f t="shared" si="1"/>
        <v>9.0649025567673819E-2</v>
      </c>
      <c r="I166" s="11" t="s">
        <v>31</v>
      </c>
      <c r="J166" s="11"/>
    </row>
    <row r="167" spans="1:10" x14ac:dyDescent="0.25">
      <c r="A167" s="27">
        <v>46183</v>
      </c>
      <c r="B167" s="11" t="s">
        <v>171</v>
      </c>
      <c r="C167" s="26" t="s">
        <v>224</v>
      </c>
      <c r="D167" s="11" t="s">
        <v>17</v>
      </c>
      <c r="E167" s="11">
        <v>1830</v>
      </c>
      <c r="F167" s="11">
        <v>1677.9</v>
      </c>
      <c r="G167" s="11">
        <f t="shared" si="0"/>
        <v>152.09999999999991</v>
      </c>
      <c r="H167" s="16">
        <f t="shared" si="1"/>
        <v>9.0649025567673819E-2</v>
      </c>
      <c r="I167" s="11" t="s">
        <v>31</v>
      </c>
      <c r="J167" s="11"/>
    </row>
    <row r="168" spans="1:10" x14ac:dyDescent="0.25">
      <c r="A168" s="27">
        <v>46183</v>
      </c>
      <c r="B168" s="11" t="s">
        <v>171</v>
      </c>
      <c r="C168" s="26" t="s">
        <v>225</v>
      </c>
      <c r="D168" s="11" t="s">
        <v>17</v>
      </c>
      <c r="E168" s="11">
        <v>1830</v>
      </c>
      <c r="F168" s="11">
        <v>1677.9</v>
      </c>
      <c r="G168" s="11">
        <f t="shared" si="0"/>
        <v>152.09999999999991</v>
      </c>
      <c r="H168" s="16">
        <f t="shared" si="1"/>
        <v>9.0649025567673819E-2</v>
      </c>
      <c r="I168" s="11" t="s">
        <v>31</v>
      </c>
      <c r="J168" s="11"/>
    </row>
    <row r="169" spans="1:10" x14ac:dyDescent="0.25">
      <c r="A169" s="27">
        <v>46183</v>
      </c>
      <c r="B169" s="11" t="s">
        <v>171</v>
      </c>
      <c r="C169" s="26" t="s">
        <v>226</v>
      </c>
      <c r="D169" s="11" t="s">
        <v>17</v>
      </c>
      <c r="E169" s="11">
        <v>1825</v>
      </c>
      <c r="F169" s="11">
        <v>1677.9</v>
      </c>
      <c r="G169" s="11">
        <f t="shared" si="0"/>
        <v>147.09999999999991</v>
      </c>
      <c r="H169" s="16">
        <f t="shared" si="1"/>
        <v>8.7669110197270333E-2</v>
      </c>
      <c r="I169" s="11" t="s">
        <v>31</v>
      </c>
      <c r="J169" s="11"/>
    </row>
    <row r="170" spans="1:10" x14ac:dyDescent="0.25">
      <c r="A170" s="27">
        <v>46183</v>
      </c>
      <c r="B170" s="11" t="s">
        <v>171</v>
      </c>
      <c r="C170" s="26" t="s">
        <v>227</v>
      </c>
      <c r="D170" s="11" t="s">
        <v>17</v>
      </c>
      <c r="E170" s="11">
        <v>1830</v>
      </c>
      <c r="F170" s="11">
        <v>1677.9</v>
      </c>
      <c r="G170" s="11">
        <f t="shared" si="0"/>
        <v>152.09999999999991</v>
      </c>
      <c r="H170" s="16">
        <f t="shared" si="1"/>
        <v>9.0649025567673819E-2</v>
      </c>
      <c r="I170" s="11" t="s">
        <v>31</v>
      </c>
      <c r="J170" s="11"/>
    </row>
    <row r="171" spans="1:10" x14ac:dyDescent="0.25">
      <c r="A171" s="27">
        <v>46183</v>
      </c>
      <c r="B171" s="11" t="s">
        <v>171</v>
      </c>
      <c r="C171" s="26" t="s">
        <v>228</v>
      </c>
      <c r="D171" s="11" t="s">
        <v>17</v>
      </c>
      <c r="E171" s="11">
        <v>1825</v>
      </c>
      <c r="F171" s="11">
        <v>1677.9</v>
      </c>
      <c r="G171" s="11">
        <f t="shared" si="0"/>
        <v>147.09999999999991</v>
      </c>
      <c r="H171" s="16">
        <f t="shared" si="1"/>
        <v>8.7669110197270333E-2</v>
      </c>
      <c r="I171" s="11" t="s">
        <v>31</v>
      </c>
      <c r="J171" s="11"/>
    </row>
    <row r="172" spans="1:10" x14ac:dyDescent="0.25">
      <c r="A172" s="27">
        <v>46183</v>
      </c>
      <c r="B172" s="11" t="s">
        <v>171</v>
      </c>
      <c r="C172" s="26" t="s">
        <v>229</v>
      </c>
      <c r="D172" s="11" t="s">
        <v>17</v>
      </c>
      <c r="E172" s="11">
        <v>1825</v>
      </c>
      <c r="F172" s="11">
        <v>1677.9</v>
      </c>
      <c r="G172" s="11">
        <f t="shared" si="0"/>
        <v>147.09999999999991</v>
      </c>
      <c r="H172" s="16">
        <f t="shared" si="1"/>
        <v>8.7669110197270333E-2</v>
      </c>
      <c r="I172" s="11" t="s">
        <v>31</v>
      </c>
      <c r="J172" s="11"/>
    </row>
    <row r="173" spans="1:10" x14ac:dyDescent="0.25">
      <c r="A173" s="27">
        <v>46183</v>
      </c>
      <c r="B173" s="11" t="s">
        <v>171</v>
      </c>
      <c r="C173" s="26" t="s">
        <v>230</v>
      </c>
      <c r="D173" s="11" t="s">
        <v>17</v>
      </c>
      <c r="E173" s="11">
        <v>1825</v>
      </c>
      <c r="F173" s="11">
        <v>1677.9</v>
      </c>
      <c r="G173" s="11">
        <f t="shared" si="0"/>
        <v>147.09999999999991</v>
      </c>
      <c r="H173" s="16">
        <f t="shared" si="1"/>
        <v>8.7669110197270333E-2</v>
      </c>
      <c r="I173" s="11" t="s">
        <v>31</v>
      </c>
      <c r="J173" s="11"/>
    </row>
    <row r="174" spans="1:10" x14ac:dyDescent="0.25">
      <c r="A174" s="27">
        <v>46183</v>
      </c>
      <c r="B174" s="11" t="s">
        <v>171</v>
      </c>
      <c r="C174" s="26" t="s">
        <v>231</v>
      </c>
      <c r="D174" s="11" t="s">
        <v>17</v>
      </c>
      <c r="E174" s="11">
        <v>1830</v>
      </c>
      <c r="F174" s="11">
        <v>1677.9</v>
      </c>
      <c r="G174" s="11">
        <f t="shared" si="0"/>
        <v>152.09999999999991</v>
      </c>
      <c r="H174" s="16">
        <f t="shared" si="1"/>
        <v>9.0649025567673819E-2</v>
      </c>
      <c r="I174" s="11" t="s">
        <v>31</v>
      </c>
      <c r="J174" s="11"/>
    </row>
    <row r="175" spans="1:10" x14ac:dyDescent="0.25">
      <c r="A175" s="27">
        <v>46183</v>
      </c>
      <c r="B175" s="11" t="s">
        <v>171</v>
      </c>
      <c r="C175" s="26" t="s">
        <v>232</v>
      </c>
      <c r="D175" s="11" t="s">
        <v>17</v>
      </c>
      <c r="E175" s="11">
        <v>1830</v>
      </c>
      <c r="F175" s="11">
        <v>1677.9</v>
      </c>
      <c r="G175" s="11">
        <f t="shared" si="0"/>
        <v>152.09999999999991</v>
      </c>
      <c r="H175" s="16">
        <f t="shared" si="1"/>
        <v>9.0649025567673819E-2</v>
      </c>
      <c r="I175" s="11" t="s">
        <v>31</v>
      </c>
      <c r="J175" s="11"/>
    </row>
    <row r="176" spans="1:10" x14ac:dyDescent="0.25">
      <c r="A176" s="27">
        <v>46183</v>
      </c>
      <c r="B176" s="11" t="s">
        <v>171</v>
      </c>
      <c r="C176" s="26" t="s">
        <v>233</v>
      </c>
      <c r="D176" s="11" t="s">
        <v>17</v>
      </c>
      <c r="E176" s="11">
        <v>1825</v>
      </c>
      <c r="F176" s="11">
        <v>1677.9</v>
      </c>
      <c r="G176" s="11">
        <f t="shared" si="0"/>
        <v>147.09999999999991</v>
      </c>
      <c r="H176" s="16">
        <f t="shared" si="1"/>
        <v>8.7669110197270333E-2</v>
      </c>
      <c r="I176" s="11" t="s">
        <v>31</v>
      </c>
      <c r="J176" s="11"/>
    </row>
    <row r="177" spans="1:10" x14ac:dyDescent="0.25">
      <c r="A177" s="27">
        <v>46183</v>
      </c>
      <c r="B177" s="11" t="s">
        <v>171</v>
      </c>
      <c r="C177" s="26" t="s">
        <v>234</v>
      </c>
      <c r="D177" s="11" t="s">
        <v>17</v>
      </c>
      <c r="E177" s="11">
        <v>1825</v>
      </c>
      <c r="F177" s="11">
        <v>1677.9</v>
      </c>
      <c r="G177" s="11">
        <f t="shared" si="0"/>
        <v>147.09999999999991</v>
      </c>
      <c r="H177" s="16">
        <f t="shared" si="1"/>
        <v>8.7669110197270333E-2</v>
      </c>
      <c r="I177" s="11" t="s">
        <v>31</v>
      </c>
      <c r="J177" s="11"/>
    </row>
    <row r="178" spans="1:10" x14ac:dyDescent="0.25">
      <c r="A178" s="27">
        <v>46183</v>
      </c>
      <c r="B178" s="11" t="s">
        <v>171</v>
      </c>
      <c r="C178" s="26" t="s">
        <v>235</v>
      </c>
      <c r="D178" s="11" t="s">
        <v>17</v>
      </c>
      <c r="E178" s="11">
        <v>1830</v>
      </c>
      <c r="F178" s="11">
        <v>1677.9</v>
      </c>
      <c r="G178" s="11">
        <f t="shared" si="0"/>
        <v>152.09999999999991</v>
      </c>
      <c r="H178" s="16">
        <f t="shared" si="1"/>
        <v>9.0649025567673819E-2</v>
      </c>
      <c r="I178" s="11" t="s">
        <v>31</v>
      </c>
      <c r="J178" s="11"/>
    </row>
    <row r="179" spans="1:10" x14ac:dyDescent="0.25">
      <c r="A179" s="27">
        <v>46183</v>
      </c>
      <c r="B179" s="11" t="s">
        <v>171</v>
      </c>
      <c r="C179" s="26" t="s">
        <v>236</v>
      </c>
      <c r="D179" s="11" t="s">
        <v>17</v>
      </c>
      <c r="E179" s="11">
        <v>1825</v>
      </c>
      <c r="F179" s="11">
        <v>1677.9</v>
      </c>
      <c r="G179" s="11">
        <f t="shared" si="0"/>
        <v>147.09999999999991</v>
      </c>
      <c r="H179" s="16">
        <f t="shared" si="1"/>
        <v>8.7669110197270333E-2</v>
      </c>
      <c r="I179" s="11" t="s">
        <v>31</v>
      </c>
      <c r="J179" s="11"/>
    </row>
    <row r="180" spans="1:10" x14ac:dyDescent="0.25">
      <c r="A180" s="27">
        <v>46183</v>
      </c>
      <c r="B180" s="11" t="s">
        <v>171</v>
      </c>
      <c r="C180" s="26" t="s">
        <v>237</v>
      </c>
      <c r="D180" s="11" t="s">
        <v>17</v>
      </c>
      <c r="E180" s="11">
        <v>1825</v>
      </c>
      <c r="F180" s="11">
        <v>1677.9</v>
      </c>
      <c r="G180" s="11">
        <f t="shared" si="0"/>
        <v>147.09999999999991</v>
      </c>
      <c r="H180" s="16">
        <f t="shared" si="1"/>
        <v>8.7669110197270333E-2</v>
      </c>
      <c r="I180" s="11" t="s">
        <v>31</v>
      </c>
      <c r="J180" s="11"/>
    </row>
    <row r="181" spans="1:10" x14ac:dyDescent="0.25">
      <c r="A181" s="27">
        <v>46183</v>
      </c>
      <c r="B181" s="11" t="s">
        <v>171</v>
      </c>
      <c r="C181" s="26" t="s">
        <v>238</v>
      </c>
      <c r="D181" s="11" t="s">
        <v>17</v>
      </c>
      <c r="E181" s="11">
        <v>1830</v>
      </c>
      <c r="F181" s="11">
        <v>1677.9</v>
      </c>
      <c r="G181" s="11">
        <f t="shared" si="0"/>
        <v>152.09999999999991</v>
      </c>
      <c r="H181" s="16">
        <f t="shared" si="1"/>
        <v>9.0649025567673819E-2</v>
      </c>
      <c r="I181" s="11" t="s">
        <v>31</v>
      </c>
      <c r="J181" s="11"/>
    </row>
    <row r="182" spans="1:10" x14ac:dyDescent="0.25">
      <c r="A182" s="27">
        <v>46183</v>
      </c>
      <c r="B182" s="11" t="s">
        <v>171</v>
      </c>
      <c r="C182" s="26" t="s">
        <v>239</v>
      </c>
      <c r="D182" s="11" t="s">
        <v>17</v>
      </c>
      <c r="E182" s="11">
        <v>1830</v>
      </c>
      <c r="F182" s="11">
        <v>1677.9</v>
      </c>
      <c r="G182" s="11">
        <f t="shared" si="0"/>
        <v>152.09999999999991</v>
      </c>
      <c r="H182" s="16">
        <f t="shared" si="1"/>
        <v>9.0649025567673819E-2</v>
      </c>
      <c r="I182" s="11" t="s">
        <v>31</v>
      </c>
      <c r="J182" s="11"/>
    </row>
    <row r="183" spans="1:10" x14ac:dyDescent="0.25">
      <c r="A183" s="27">
        <v>46183</v>
      </c>
      <c r="B183" s="11" t="s">
        <v>171</v>
      </c>
      <c r="C183" s="26" t="s">
        <v>240</v>
      </c>
      <c r="D183" s="11" t="s">
        <v>17</v>
      </c>
      <c r="E183" s="11">
        <v>1825</v>
      </c>
      <c r="F183" s="11">
        <v>1677.9</v>
      </c>
      <c r="G183" s="11">
        <f t="shared" si="0"/>
        <v>147.09999999999991</v>
      </c>
      <c r="H183" s="16">
        <f t="shared" si="1"/>
        <v>8.7669110197270333E-2</v>
      </c>
      <c r="I183" s="11" t="s">
        <v>31</v>
      </c>
      <c r="J183" s="11"/>
    </row>
    <row r="184" spans="1:10" x14ac:dyDescent="0.25">
      <c r="A184" s="27">
        <v>46183</v>
      </c>
      <c r="B184" s="11" t="s">
        <v>171</v>
      </c>
      <c r="C184" s="26" t="s">
        <v>241</v>
      </c>
      <c r="D184" s="11" t="s">
        <v>17</v>
      </c>
      <c r="E184" s="11">
        <v>1830</v>
      </c>
      <c r="F184" s="11">
        <v>1677.9</v>
      </c>
      <c r="G184" s="11">
        <f t="shared" si="0"/>
        <v>152.09999999999991</v>
      </c>
      <c r="H184" s="16">
        <f t="shared" si="1"/>
        <v>9.0649025567673819E-2</v>
      </c>
      <c r="I184" s="11" t="s">
        <v>31</v>
      </c>
      <c r="J184" s="11"/>
    </row>
    <row r="185" spans="1:10" x14ac:dyDescent="0.25">
      <c r="A185" s="27">
        <v>46183</v>
      </c>
      <c r="B185" s="11" t="s">
        <v>171</v>
      </c>
      <c r="C185" s="26" t="s">
        <v>242</v>
      </c>
      <c r="D185" s="11" t="s">
        <v>17</v>
      </c>
      <c r="E185" s="11">
        <v>1825</v>
      </c>
      <c r="F185" s="11">
        <v>1677.9</v>
      </c>
      <c r="G185" s="11">
        <f t="shared" si="0"/>
        <v>147.09999999999991</v>
      </c>
      <c r="H185" s="16">
        <f t="shared" si="1"/>
        <v>8.7669110197270333E-2</v>
      </c>
      <c r="I185" s="11" t="s">
        <v>31</v>
      </c>
      <c r="J185" s="11"/>
    </row>
    <row r="186" spans="1:10" x14ac:dyDescent="0.25">
      <c r="A186" s="27">
        <v>46183</v>
      </c>
      <c r="B186" s="11" t="s">
        <v>171</v>
      </c>
      <c r="C186" s="26" t="s">
        <v>243</v>
      </c>
      <c r="D186" s="11" t="s">
        <v>17</v>
      </c>
      <c r="E186" s="11">
        <v>1825</v>
      </c>
      <c r="F186" s="11">
        <v>1677.9</v>
      </c>
      <c r="G186" s="11">
        <f t="shared" si="0"/>
        <v>147.09999999999991</v>
      </c>
      <c r="H186" s="16">
        <f t="shared" si="1"/>
        <v>8.7669110197270333E-2</v>
      </c>
      <c r="I186" s="11" t="s">
        <v>31</v>
      </c>
      <c r="J186" s="11"/>
    </row>
    <row r="187" spans="1:10" x14ac:dyDescent="0.25">
      <c r="A187" s="27">
        <v>46183</v>
      </c>
      <c r="B187" s="11" t="s">
        <v>171</v>
      </c>
      <c r="C187" s="26" t="s">
        <v>244</v>
      </c>
      <c r="D187" s="11" t="s">
        <v>17</v>
      </c>
      <c r="E187" s="11">
        <v>1825</v>
      </c>
      <c r="F187" s="11">
        <v>1677.9</v>
      </c>
      <c r="G187" s="11">
        <f t="shared" si="0"/>
        <v>147.09999999999991</v>
      </c>
      <c r="H187" s="16">
        <f t="shared" si="1"/>
        <v>8.7669110197270333E-2</v>
      </c>
      <c r="I187" s="11" t="s">
        <v>31</v>
      </c>
      <c r="J187" s="11"/>
    </row>
    <row r="188" spans="1:10" x14ac:dyDescent="0.25">
      <c r="A188" s="27">
        <v>46183</v>
      </c>
      <c r="B188" s="11" t="s">
        <v>171</v>
      </c>
      <c r="C188" s="26" t="s">
        <v>245</v>
      </c>
      <c r="D188" s="11" t="s">
        <v>17</v>
      </c>
      <c r="E188" s="11">
        <v>1825</v>
      </c>
      <c r="F188" s="11">
        <v>1677.9</v>
      </c>
      <c r="G188" s="11">
        <f t="shared" si="0"/>
        <v>147.09999999999991</v>
      </c>
      <c r="H188" s="16">
        <f t="shared" si="1"/>
        <v>8.7669110197270333E-2</v>
      </c>
      <c r="I188" s="11" t="s">
        <v>31</v>
      </c>
      <c r="J188" s="11"/>
    </row>
    <row r="189" spans="1:10" x14ac:dyDescent="0.25">
      <c r="A189" s="27">
        <v>46183</v>
      </c>
      <c r="B189" s="11" t="s">
        <v>171</v>
      </c>
      <c r="C189" s="26" t="s">
        <v>246</v>
      </c>
      <c r="D189" s="11" t="s">
        <v>17</v>
      </c>
      <c r="E189" s="11">
        <v>1825</v>
      </c>
      <c r="F189" s="11">
        <v>1677.9</v>
      </c>
      <c r="G189" s="11">
        <f t="shared" si="0"/>
        <v>147.09999999999991</v>
      </c>
      <c r="H189" s="16">
        <f t="shared" si="1"/>
        <v>8.7669110197270333E-2</v>
      </c>
      <c r="I189" s="11" t="s">
        <v>31</v>
      </c>
      <c r="J189" s="11"/>
    </row>
    <row r="190" spans="1:10" x14ac:dyDescent="0.25">
      <c r="A190" s="27">
        <v>46183</v>
      </c>
      <c r="B190" s="11" t="s">
        <v>171</v>
      </c>
      <c r="C190" s="26" t="s">
        <v>247</v>
      </c>
      <c r="D190" s="11" t="s">
        <v>17</v>
      </c>
      <c r="E190" s="11">
        <v>1825</v>
      </c>
      <c r="F190" s="11">
        <v>1677.9</v>
      </c>
      <c r="G190" s="11">
        <f t="shared" si="0"/>
        <v>147.09999999999991</v>
      </c>
      <c r="H190" s="16">
        <f t="shared" si="1"/>
        <v>8.7669110197270333E-2</v>
      </c>
      <c r="I190" s="11" t="s">
        <v>31</v>
      </c>
      <c r="J190" s="11"/>
    </row>
    <row r="191" spans="1:10" x14ac:dyDescent="0.25">
      <c r="A191" s="27">
        <v>46183</v>
      </c>
      <c r="B191" s="11" t="s">
        <v>171</v>
      </c>
      <c r="C191" s="26" t="s">
        <v>248</v>
      </c>
      <c r="D191" s="11" t="s">
        <v>17</v>
      </c>
      <c r="E191" s="11">
        <v>1825</v>
      </c>
      <c r="F191" s="11">
        <v>1677.9</v>
      </c>
      <c r="G191" s="11">
        <f t="shared" si="0"/>
        <v>147.09999999999991</v>
      </c>
      <c r="H191" s="16">
        <f t="shared" si="1"/>
        <v>8.7669110197270333E-2</v>
      </c>
      <c r="I191" s="11" t="s">
        <v>31</v>
      </c>
      <c r="J191" s="11"/>
    </row>
    <row r="192" spans="1:10" x14ac:dyDescent="0.25">
      <c r="A192" s="27">
        <v>46183</v>
      </c>
      <c r="B192" s="11" t="s">
        <v>171</v>
      </c>
      <c r="C192" s="26" t="s">
        <v>249</v>
      </c>
      <c r="D192" s="11" t="s">
        <v>17</v>
      </c>
      <c r="E192" s="11">
        <v>1830</v>
      </c>
      <c r="F192" s="11">
        <v>1677.9</v>
      </c>
      <c r="G192" s="11">
        <f t="shared" si="0"/>
        <v>152.09999999999991</v>
      </c>
      <c r="H192" s="16">
        <f t="shared" si="1"/>
        <v>9.0649025567673819E-2</v>
      </c>
      <c r="I192" s="11" t="s">
        <v>31</v>
      </c>
      <c r="J192" s="11"/>
    </row>
    <row r="193" spans="1:10" x14ac:dyDescent="0.25">
      <c r="A193" s="27">
        <v>46183</v>
      </c>
      <c r="B193" s="11" t="s">
        <v>171</v>
      </c>
      <c r="C193" s="26" t="s">
        <v>250</v>
      </c>
      <c r="D193" s="11" t="s">
        <v>17</v>
      </c>
      <c r="E193" s="11">
        <v>1825</v>
      </c>
      <c r="F193" s="11">
        <v>1677.9</v>
      </c>
      <c r="G193" s="11">
        <f t="shared" si="0"/>
        <v>147.09999999999991</v>
      </c>
      <c r="H193" s="16">
        <f t="shared" si="1"/>
        <v>8.7669110197270333E-2</v>
      </c>
      <c r="I193" s="11" t="s">
        <v>31</v>
      </c>
      <c r="J193" s="11"/>
    </row>
    <row r="194" spans="1:10" x14ac:dyDescent="0.25">
      <c r="A194" s="27">
        <v>46183</v>
      </c>
      <c r="B194" s="11" t="s">
        <v>171</v>
      </c>
      <c r="C194" s="26" t="s">
        <v>251</v>
      </c>
      <c r="D194" s="11" t="s">
        <v>17</v>
      </c>
      <c r="E194" s="11">
        <v>1825</v>
      </c>
      <c r="F194" s="11">
        <v>1677.9</v>
      </c>
      <c r="G194" s="11">
        <f t="shared" si="0"/>
        <v>147.09999999999991</v>
      </c>
      <c r="H194" s="16">
        <f t="shared" si="1"/>
        <v>8.7669110197270333E-2</v>
      </c>
      <c r="I194" s="11" t="s">
        <v>31</v>
      </c>
      <c r="J194" s="11"/>
    </row>
    <row r="195" spans="1:10" x14ac:dyDescent="0.25">
      <c r="A195" s="27">
        <v>46183</v>
      </c>
      <c r="B195" s="11" t="s">
        <v>171</v>
      </c>
      <c r="C195" s="26" t="s">
        <v>252</v>
      </c>
      <c r="D195" s="11" t="s">
        <v>17</v>
      </c>
      <c r="E195" s="11">
        <v>1825</v>
      </c>
      <c r="F195" s="11">
        <v>1677.9</v>
      </c>
      <c r="G195" s="11">
        <f t="shared" si="0"/>
        <v>147.09999999999991</v>
      </c>
      <c r="H195" s="16">
        <f t="shared" si="1"/>
        <v>8.7669110197270333E-2</v>
      </c>
      <c r="I195" s="11" t="s">
        <v>31</v>
      </c>
      <c r="J195" s="11"/>
    </row>
    <row r="196" spans="1:10" x14ac:dyDescent="0.25">
      <c r="A196" s="27">
        <v>46183</v>
      </c>
      <c r="B196" s="11" t="s">
        <v>171</v>
      </c>
      <c r="C196" s="26" t="s">
        <v>253</v>
      </c>
      <c r="D196" s="11" t="s">
        <v>17</v>
      </c>
      <c r="E196" s="11">
        <v>1830</v>
      </c>
      <c r="F196" s="11">
        <v>1677.9</v>
      </c>
      <c r="G196" s="11">
        <f t="shared" si="0"/>
        <v>152.09999999999991</v>
      </c>
      <c r="H196" s="16">
        <f t="shared" si="1"/>
        <v>9.0649025567673819E-2</v>
      </c>
      <c r="I196" s="11" t="s">
        <v>31</v>
      </c>
      <c r="J196" s="11"/>
    </row>
    <row r="197" spans="1:10" x14ac:dyDescent="0.25">
      <c r="A197" s="27">
        <v>46183</v>
      </c>
      <c r="B197" s="11" t="s">
        <v>171</v>
      </c>
      <c r="C197" s="26" t="s">
        <v>254</v>
      </c>
      <c r="D197" s="11" t="s">
        <v>17</v>
      </c>
      <c r="E197" s="11">
        <v>1830</v>
      </c>
      <c r="F197" s="11">
        <v>1677.9</v>
      </c>
      <c r="G197" s="11">
        <f t="shared" si="0"/>
        <v>152.09999999999991</v>
      </c>
      <c r="H197" s="16">
        <f t="shared" si="1"/>
        <v>9.0649025567673819E-2</v>
      </c>
      <c r="I197" s="11" t="s">
        <v>31</v>
      </c>
      <c r="J197" s="11"/>
    </row>
    <row r="198" spans="1:10" x14ac:dyDescent="0.25">
      <c r="A198" s="27">
        <v>46183</v>
      </c>
      <c r="B198" s="11" t="s">
        <v>171</v>
      </c>
      <c r="C198" s="26" t="s">
        <v>255</v>
      </c>
      <c r="D198" s="11" t="s">
        <v>17</v>
      </c>
      <c r="E198" s="11">
        <v>1825</v>
      </c>
      <c r="F198" s="11">
        <v>1677.9</v>
      </c>
      <c r="G198" s="11">
        <f t="shared" si="0"/>
        <v>147.09999999999991</v>
      </c>
      <c r="H198" s="16">
        <f t="shared" si="1"/>
        <v>8.7669110197270333E-2</v>
      </c>
      <c r="I198" s="11" t="s">
        <v>31</v>
      </c>
      <c r="J198" s="11"/>
    </row>
    <row r="199" spans="1:10" x14ac:dyDescent="0.25">
      <c r="A199" s="27">
        <v>46183</v>
      </c>
      <c r="B199" s="11" t="s">
        <v>171</v>
      </c>
      <c r="C199" s="26" t="s">
        <v>256</v>
      </c>
      <c r="D199" s="11" t="s">
        <v>17</v>
      </c>
      <c r="E199" s="11">
        <v>1825</v>
      </c>
      <c r="F199" s="11">
        <v>1677.9</v>
      </c>
      <c r="G199" s="11">
        <f t="shared" si="0"/>
        <v>147.09999999999991</v>
      </c>
      <c r="H199" s="16">
        <f t="shared" si="1"/>
        <v>8.7669110197270333E-2</v>
      </c>
      <c r="I199" s="11" t="s">
        <v>31</v>
      </c>
      <c r="J199" s="11"/>
    </row>
    <row r="200" spans="1:10" x14ac:dyDescent="0.25">
      <c r="A200" s="27">
        <v>46183</v>
      </c>
      <c r="B200" s="11" t="s">
        <v>171</v>
      </c>
      <c r="C200" s="26" t="s">
        <v>257</v>
      </c>
      <c r="D200" s="11" t="s">
        <v>17</v>
      </c>
      <c r="E200" s="11">
        <v>1830</v>
      </c>
      <c r="F200" s="11">
        <v>1677.9</v>
      </c>
      <c r="G200" s="11">
        <f t="shared" si="0"/>
        <v>152.09999999999991</v>
      </c>
      <c r="H200" s="16">
        <f t="shared" si="1"/>
        <v>9.0649025567673819E-2</v>
      </c>
      <c r="I200" s="11" t="s">
        <v>31</v>
      </c>
      <c r="J200" s="11"/>
    </row>
    <row r="201" spans="1:10" x14ac:dyDescent="0.25">
      <c r="A201" s="27">
        <v>46183</v>
      </c>
      <c r="B201" s="11" t="s">
        <v>171</v>
      </c>
      <c r="C201" s="26" t="s">
        <v>258</v>
      </c>
      <c r="D201" s="11" t="s">
        <v>17</v>
      </c>
      <c r="E201" s="11">
        <v>1830</v>
      </c>
      <c r="F201" s="11">
        <v>1677.9</v>
      </c>
      <c r="G201" s="11">
        <f t="shared" si="0"/>
        <v>152.09999999999991</v>
      </c>
      <c r="H201" s="16">
        <f t="shared" si="1"/>
        <v>9.0649025567673819E-2</v>
      </c>
      <c r="I201" s="11" t="s">
        <v>31</v>
      </c>
      <c r="J201" s="11"/>
    </row>
    <row r="202" spans="1:10" x14ac:dyDescent="0.25">
      <c r="A202" s="27">
        <v>46183</v>
      </c>
      <c r="B202" s="11" t="s">
        <v>171</v>
      </c>
      <c r="C202" s="26" t="s">
        <v>259</v>
      </c>
      <c r="D202" s="11" t="s">
        <v>17</v>
      </c>
      <c r="E202" s="11">
        <v>1825</v>
      </c>
      <c r="F202" s="11">
        <v>1677.9</v>
      </c>
      <c r="G202" s="11">
        <f t="shared" si="0"/>
        <v>147.09999999999991</v>
      </c>
      <c r="H202" s="16">
        <f t="shared" si="1"/>
        <v>8.7669110197270333E-2</v>
      </c>
      <c r="I202" s="11" t="s">
        <v>31</v>
      </c>
      <c r="J202" s="11"/>
    </row>
    <row r="203" spans="1:10" x14ac:dyDescent="0.25">
      <c r="A203" s="27">
        <v>46183</v>
      </c>
      <c r="B203" s="11" t="s">
        <v>171</v>
      </c>
      <c r="C203" s="26" t="s">
        <v>260</v>
      </c>
      <c r="D203" s="11" t="s">
        <v>17</v>
      </c>
      <c r="E203" s="11">
        <v>1825</v>
      </c>
      <c r="F203" s="11">
        <v>1677.9</v>
      </c>
      <c r="G203" s="11">
        <f t="shared" si="0"/>
        <v>147.09999999999991</v>
      </c>
      <c r="H203" s="16">
        <f t="shared" si="1"/>
        <v>8.7669110197270333E-2</v>
      </c>
      <c r="I203" s="11" t="s">
        <v>31</v>
      </c>
      <c r="J203" s="11"/>
    </row>
    <row r="204" spans="1:10" x14ac:dyDescent="0.25">
      <c r="A204" s="27">
        <v>46183</v>
      </c>
      <c r="B204" s="11" t="s">
        <v>171</v>
      </c>
      <c r="C204" s="26" t="s">
        <v>261</v>
      </c>
      <c r="D204" s="11" t="s">
        <v>17</v>
      </c>
      <c r="E204" s="11">
        <v>1825</v>
      </c>
      <c r="F204" s="11">
        <v>1677.9</v>
      </c>
      <c r="G204" s="11">
        <f t="shared" si="0"/>
        <v>147.09999999999991</v>
      </c>
      <c r="H204" s="16">
        <f t="shared" si="1"/>
        <v>8.7669110197270333E-2</v>
      </c>
      <c r="I204" s="11" t="s">
        <v>31</v>
      </c>
      <c r="J204" s="11"/>
    </row>
    <row r="205" spans="1:10" x14ac:dyDescent="0.25">
      <c r="A205" s="27">
        <v>46183</v>
      </c>
      <c r="B205" s="11" t="s">
        <v>171</v>
      </c>
      <c r="C205" s="26" t="s">
        <v>262</v>
      </c>
      <c r="D205" s="11" t="s">
        <v>17</v>
      </c>
      <c r="E205" s="11">
        <v>1830</v>
      </c>
      <c r="F205" s="11">
        <v>1677.9</v>
      </c>
      <c r="G205" s="11">
        <f t="shared" si="0"/>
        <v>152.09999999999991</v>
      </c>
      <c r="H205" s="16">
        <f t="shared" si="1"/>
        <v>9.0649025567673819E-2</v>
      </c>
      <c r="I205" s="11" t="s">
        <v>31</v>
      </c>
      <c r="J205" s="11"/>
    </row>
    <row r="206" spans="1:10" x14ac:dyDescent="0.25">
      <c r="A206" s="27">
        <v>46183</v>
      </c>
      <c r="B206" s="11" t="s">
        <v>171</v>
      </c>
      <c r="C206" s="26" t="s">
        <v>263</v>
      </c>
      <c r="D206" s="11" t="s">
        <v>17</v>
      </c>
      <c r="E206" s="11">
        <v>1825</v>
      </c>
      <c r="F206" s="11">
        <v>1677.9</v>
      </c>
      <c r="G206" s="11">
        <f t="shared" si="0"/>
        <v>147.09999999999991</v>
      </c>
      <c r="H206" s="16">
        <f t="shared" si="1"/>
        <v>8.7669110197270333E-2</v>
      </c>
      <c r="I206" s="11" t="s">
        <v>31</v>
      </c>
      <c r="J206" s="11"/>
    </row>
    <row r="207" spans="1:10" x14ac:dyDescent="0.25">
      <c r="A207" s="27">
        <v>46183</v>
      </c>
      <c r="B207" s="11" t="s">
        <v>171</v>
      </c>
      <c r="C207" s="26" t="s">
        <v>264</v>
      </c>
      <c r="D207" s="11" t="s">
        <v>17</v>
      </c>
      <c r="E207" s="11">
        <v>1825</v>
      </c>
      <c r="F207" s="11">
        <v>1677.9</v>
      </c>
      <c r="G207" s="11">
        <f t="shared" si="0"/>
        <v>147.09999999999991</v>
      </c>
      <c r="H207" s="16">
        <f t="shared" si="1"/>
        <v>8.7669110197270333E-2</v>
      </c>
      <c r="I207" s="11" t="s">
        <v>31</v>
      </c>
      <c r="J207" s="11"/>
    </row>
    <row r="208" spans="1:10" x14ac:dyDescent="0.25">
      <c r="A208" s="27">
        <v>46183</v>
      </c>
      <c r="B208" s="11" t="s">
        <v>171</v>
      </c>
      <c r="C208" s="26" t="s">
        <v>265</v>
      </c>
      <c r="D208" s="11" t="s">
        <v>17</v>
      </c>
      <c r="E208" s="11">
        <v>1825</v>
      </c>
      <c r="F208" s="11">
        <v>1677.9</v>
      </c>
      <c r="G208" s="11">
        <f t="shared" si="0"/>
        <v>147.09999999999991</v>
      </c>
      <c r="H208" s="16">
        <f t="shared" si="1"/>
        <v>8.7669110197270333E-2</v>
      </c>
      <c r="I208" s="11" t="s">
        <v>31</v>
      </c>
      <c r="J208" s="11"/>
    </row>
    <row r="209" spans="1:10" x14ac:dyDescent="0.25">
      <c r="A209" s="27">
        <v>46183</v>
      </c>
      <c r="B209" s="11" t="s">
        <v>171</v>
      </c>
      <c r="C209" s="26" t="s">
        <v>266</v>
      </c>
      <c r="D209" s="11" t="s">
        <v>17</v>
      </c>
      <c r="E209" s="11">
        <v>1825</v>
      </c>
      <c r="F209" s="11">
        <v>1677.9</v>
      </c>
      <c r="G209" s="11">
        <f t="shared" si="0"/>
        <v>147.09999999999991</v>
      </c>
      <c r="H209" s="16">
        <f t="shared" si="1"/>
        <v>8.7669110197270333E-2</v>
      </c>
      <c r="I209" s="11" t="s">
        <v>31</v>
      </c>
      <c r="J209" s="11"/>
    </row>
    <row r="210" spans="1:10" x14ac:dyDescent="0.25">
      <c r="A210" s="27">
        <v>46183</v>
      </c>
      <c r="B210" s="11" t="s">
        <v>171</v>
      </c>
      <c r="C210" s="26" t="s">
        <v>267</v>
      </c>
      <c r="D210" s="11" t="s">
        <v>17</v>
      </c>
      <c r="E210" s="11">
        <v>1830</v>
      </c>
      <c r="F210" s="11">
        <v>1677.9</v>
      </c>
      <c r="G210" s="11">
        <f t="shared" si="0"/>
        <v>152.09999999999991</v>
      </c>
      <c r="H210" s="16">
        <f t="shared" si="1"/>
        <v>9.0649025567673819E-2</v>
      </c>
      <c r="I210" s="11" t="s">
        <v>31</v>
      </c>
      <c r="J210" s="11"/>
    </row>
    <row r="211" spans="1:10" x14ac:dyDescent="0.25">
      <c r="A211" s="27">
        <v>46183</v>
      </c>
      <c r="B211" s="11" t="s">
        <v>171</v>
      </c>
      <c r="C211" s="26" t="s">
        <v>268</v>
      </c>
      <c r="D211" s="11" t="s">
        <v>17</v>
      </c>
      <c r="E211" s="11">
        <v>1825</v>
      </c>
      <c r="F211" s="11">
        <v>1677.9</v>
      </c>
      <c r="G211" s="11">
        <f t="shared" si="0"/>
        <v>147.09999999999991</v>
      </c>
      <c r="H211" s="16">
        <f t="shared" si="1"/>
        <v>8.7669110197270333E-2</v>
      </c>
      <c r="I211" s="11" t="s">
        <v>31</v>
      </c>
      <c r="J211" s="11"/>
    </row>
    <row r="212" spans="1:10" x14ac:dyDescent="0.25">
      <c r="A212" s="27">
        <v>46183</v>
      </c>
      <c r="B212" s="11" t="s">
        <v>171</v>
      </c>
      <c r="C212" s="26" t="s">
        <v>269</v>
      </c>
      <c r="D212" s="11" t="s">
        <v>17</v>
      </c>
      <c r="E212" s="11">
        <v>1830</v>
      </c>
      <c r="F212" s="11">
        <v>1677.9</v>
      </c>
      <c r="G212" s="11">
        <f t="shared" si="0"/>
        <v>152.09999999999991</v>
      </c>
      <c r="H212" s="16">
        <f t="shared" si="1"/>
        <v>9.0649025567673819E-2</v>
      </c>
      <c r="I212" s="11" t="s">
        <v>31</v>
      </c>
      <c r="J212" s="11"/>
    </row>
    <row r="213" spans="1:10" x14ac:dyDescent="0.25">
      <c r="A213" s="27">
        <v>46183</v>
      </c>
      <c r="B213" s="11" t="s">
        <v>123</v>
      </c>
      <c r="C213" s="26" t="s">
        <v>270</v>
      </c>
      <c r="D213" s="11" t="s">
        <v>17</v>
      </c>
      <c r="E213" s="11">
        <v>2980</v>
      </c>
      <c r="F213" s="11">
        <v>2534.6999999999998</v>
      </c>
      <c r="G213" s="11">
        <f t="shared" si="0"/>
        <v>445.30000000000018</v>
      </c>
      <c r="H213" s="16">
        <f t="shared" si="1"/>
        <v>0.17568154022172258</v>
      </c>
      <c r="I213" s="11" t="s">
        <v>31</v>
      </c>
      <c r="J213" s="11"/>
    </row>
    <row r="214" spans="1:10" x14ac:dyDescent="0.25">
      <c r="A214" s="27">
        <v>46183</v>
      </c>
      <c r="B214" s="11" t="s">
        <v>123</v>
      </c>
      <c r="C214" s="26" t="s">
        <v>271</v>
      </c>
      <c r="D214" s="11" t="s">
        <v>17</v>
      </c>
      <c r="E214" s="11">
        <v>2980</v>
      </c>
      <c r="F214" s="11">
        <v>2534.6999999999998</v>
      </c>
      <c r="G214" s="11">
        <f t="shared" si="0"/>
        <v>445.30000000000018</v>
      </c>
      <c r="H214" s="16">
        <f t="shared" si="1"/>
        <v>0.17568154022172258</v>
      </c>
      <c r="I214" s="11" t="s">
        <v>31</v>
      </c>
      <c r="J214" s="11"/>
    </row>
    <row r="215" spans="1:10" x14ac:dyDescent="0.25">
      <c r="A215" s="27">
        <v>46183</v>
      </c>
      <c r="B215" s="11" t="s">
        <v>123</v>
      </c>
      <c r="C215" s="26" t="s">
        <v>272</v>
      </c>
      <c r="D215" s="11" t="s">
        <v>17</v>
      </c>
      <c r="E215" s="11">
        <v>2980</v>
      </c>
      <c r="F215" s="11">
        <v>2534.6999999999998</v>
      </c>
      <c r="G215" s="11">
        <f t="shared" si="0"/>
        <v>445.30000000000018</v>
      </c>
      <c r="H215" s="16">
        <f t="shared" si="1"/>
        <v>0.17568154022172258</v>
      </c>
      <c r="I215" s="11" t="s">
        <v>31</v>
      </c>
      <c r="J215" s="11"/>
    </row>
    <row r="216" spans="1:10" x14ac:dyDescent="0.25">
      <c r="A216" s="27">
        <v>46183</v>
      </c>
      <c r="B216" s="11" t="s">
        <v>123</v>
      </c>
      <c r="C216" s="26" t="s">
        <v>273</v>
      </c>
      <c r="D216" s="11" t="s">
        <v>17</v>
      </c>
      <c r="E216" s="11">
        <v>2980</v>
      </c>
      <c r="F216" s="11">
        <v>2534.6999999999998</v>
      </c>
      <c r="G216" s="11">
        <f t="shared" si="0"/>
        <v>445.30000000000018</v>
      </c>
      <c r="H216" s="16">
        <f t="shared" si="1"/>
        <v>0.17568154022172258</v>
      </c>
      <c r="I216" s="11" t="s">
        <v>31</v>
      </c>
      <c r="J216" s="11"/>
    </row>
    <row r="217" spans="1:10" x14ac:dyDescent="0.25">
      <c r="A217" s="27">
        <v>46183</v>
      </c>
      <c r="B217" s="11" t="s">
        <v>123</v>
      </c>
      <c r="C217" s="26" t="s">
        <v>274</v>
      </c>
      <c r="D217" s="11" t="s">
        <v>17</v>
      </c>
      <c r="E217" s="11">
        <v>2980</v>
      </c>
      <c r="F217" s="11">
        <v>2534.6999999999998</v>
      </c>
      <c r="G217" s="11">
        <f t="shared" si="0"/>
        <v>445.30000000000018</v>
      </c>
      <c r="H217" s="16">
        <f t="shared" si="1"/>
        <v>0.17568154022172258</v>
      </c>
      <c r="I217" s="11" t="s">
        <v>31</v>
      </c>
      <c r="J217" s="11"/>
    </row>
    <row r="218" spans="1:10" x14ac:dyDescent="0.25">
      <c r="A218" s="27">
        <v>46185</v>
      </c>
      <c r="B218" s="11" t="s">
        <v>278</v>
      </c>
      <c r="C218" s="26" t="s">
        <v>279</v>
      </c>
      <c r="D218" s="11" t="s">
        <v>17</v>
      </c>
      <c r="E218" s="11">
        <v>13950</v>
      </c>
      <c r="F218" s="11">
        <v>12495</v>
      </c>
      <c r="G218" s="11">
        <f t="shared" si="0"/>
        <v>1455</v>
      </c>
      <c r="H218" s="16">
        <f t="shared" si="1"/>
        <v>0.11644657863145258</v>
      </c>
      <c r="I218" s="11" t="s">
        <v>31</v>
      </c>
      <c r="J218" s="11"/>
    </row>
    <row r="219" spans="1:10" x14ac:dyDescent="0.25">
      <c r="A219" s="27">
        <v>46185</v>
      </c>
      <c r="B219" s="11" t="s">
        <v>59</v>
      </c>
      <c r="C219" s="26" t="s">
        <v>280</v>
      </c>
      <c r="D219" s="11" t="s">
        <v>281</v>
      </c>
      <c r="E219" s="11">
        <v>1520</v>
      </c>
      <c r="F219" s="11">
        <v>1106.7</v>
      </c>
      <c r="G219" s="11">
        <f t="shared" si="0"/>
        <v>413.29999999999995</v>
      </c>
      <c r="H219" s="16">
        <f t="shared" si="1"/>
        <v>0.37345260684919124</v>
      </c>
      <c r="I219" s="11" t="s">
        <v>31</v>
      </c>
      <c r="J219" s="11"/>
    </row>
    <row r="220" spans="1:10" x14ac:dyDescent="0.25">
      <c r="A220" s="27">
        <v>46185</v>
      </c>
      <c r="B220" s="11" t="s">
        <v>59</v>
      </c>
      <c r="C220" s="26" t="s">
        <v>282</v>
      </c>
      <c r="D220" s="11" t="s">
        <v>283</v>
      </c>
      <c r="E220" s="11">
        <v>1520</v>
      </c>
      <c r="F220" s="11">
        <v>1106.7</v>
      </c>
      <c r="G220" s="11">
        <f t="shared" si="0"/>
        <v>413.29999999999995</v>
      </c>
      <c r="H220" s="16">
        <f t="shared" si="1"/>
        <v>0.37345260684919124</v>
      </c>
      <c r="I220" s="11" t="s">
        <v>31</v>
      </c>
      <c r="J220" s="11"/>
    </row>
    <row r="221" spans="1:10" x14ac:dyDescent="0.25">
      <c r="A221" s="27">
        <v>46185</v>
      </c>
      <c r="B221" s="11" t="s">
        <v>59</v>
      </c>
      <c r="C221" s="26" t="s">
        <v>284</v>
      </c>
      <c r="D221" s="11" t="s">
        <v>285</v>
      </c>
      <c r="E221" s="11">
        <v>1310</v>
      </c>
      <c r="F221" s="11">
        <v>1106.7</v>
      </c>
      <c r="G221" s="11">
        <f t="shared" si="0"/>
        <v>203.29999999999995</v>
      </c>
      <c r="H221" s="16">
        <f t="shared" si="1"/>
        <v>0.18369928616607928</v>
      </c>
      <c r="I221" s="11" t="s">
        <v>31</v>
      </c>
      <c r="J221" s="11"/>
    </row>
    <row r="222" spans="1:10" x14ac:dyDescent="0.25">
      <c r="A222" s="27">
        <v>46185</v>
      </c>
      <c r="B222" s="11" t="s">
        <v>59</v>
      </c>
      <c r="C222" s="26" t="s">
        <v>286</v>
      </c>
      <c r="D222" s="11" t="s">
        <v>285</v>
      </c>
      <c r="E222" s="11">
        <v>1310</v>
      </c>
      <c r="F222" s="11">
        <v>1106.7</v>
      </c>
      <c r="G222" s="11">
        <f t="shared" si="0"/>
        <v>203.29999999999995</v>
      </c>
      <c r="H222" s="16">
        <f t="shared" si="1"/>
        <v>0.18369928616607928</v>
      </c>
      <c r="I222" s="11" t="s">
        <v>31</v>
      </c>
      <c r="J222" s="11"/>
    </row>
    <row r="223" spans="1:10" x14ac:dyDescent="0.25">
      <c r="A223" s="27">
        <v>46185</v>
      </c>
      <c r="B223" s="11" t="s">
        <v>59</v>
      </c>
      <c r="C223" s="26" t="s">
        <v>287</v>
      </c>
      <c r="D223" s="11" t="s">
        <v>281</v>
      </c>
      <c r="E223" s="11">
        <v>1520</v>
      </c>
      <c r="F223" s="11">
        <v>1106.7</v>
      </c>
      <c r="G223" s="11">
        <f t="shared" si="0"/>
        <v>413.29999999999995</v>
      </c>
      <c r="H223" s="16">
        <f t="shared" si="1"/>
        <v>0.37345260684919124</v>
      </c>
      <c r="I223" s="11" t="s">
        <v>31</v>
      </c>
      <c r="J223" s="11"/>
    </row>
    <row r="224" spans="1:10" x14ac:dyDescent="0.25">
      <c r="A224" s="27">
        <v>46185</v>
      </c>
      <c r="B224" s="11" t="s">
        <v>59</v>
      </c>
      <c r="C224" s="26" t="s">
        <v>288</v>
      </c>
      <c r="D224" s="11" t="s">
        <v>281</v>
      </c>
      <c r="E224" s="11">
        <v>1520</v>
      </c>
      <c r="F224" s="11">
        <v>1106.7</v>
      </c>
      <c r="G224" s="11">
        <f>E224-F224</f>
        <v>413.29999999999995</v>
      </c>
      <c r="H224" s="16">
        <f>(E224-F224)/F224</f>
        <v>0.37345260684919124</v>
      </c>
      <c r="I224" s="11" t="s">
        <v>31</v>
      </c>
      <c r="J224" s="11"/>
    </row>
    <row r="225" spans="1:10" x14ac:dyDescent="0.25">
      <c r="A225" s="27">
        <v>46185</v>
      </c>
      <c r="B225" s="11" t="s">
        <v>59</v>
      </c>
      <c r="C225" s="26" t="s">
        <v>289</v>
      </c>
      <c r="D225" s="11" t="s">
        <v>281</v>
      </c>
      <c r="E225" s="11">
        <v>1520</v>
      </c>
      <c r="F225" s="11">
        <v>1106.7</v>
      </c>
      <c r="G225" s="11">
        <f>E225-F225</f>
        <v>413.29999999999995</v>
      </c>
      <c r="H225" s="16">
        <f>(E225-F225)/F225</f>
        <v>0.37345260684919124</v>
      </c>
      <c r="I225" s="11" t="s">
        <v>31</v>
      </c>
      <c r="J225" s="11"/>
    </row>
    <row r="226" spans="1:10" x14ac:dyDescent="0.25">
      <c r="A226" s="27">
        <v>46185</v>
      </c>
      <c r="B226" s="11" t="s">
        <v>59</v>
      </c>
      <c r="C226" s="26" t="s">
        <v>290</v>
      </c>
      <c r="D226" s="11" t="s">
        <v>285</v>
      </c>
      <c r="E226" s="11">
        <v>1310</v>
      </c>
      <c r="F226" s="11">
        <v>1106.7</v>
      </c>
      <c r="G226" s="11">
        <f>E226-F226</f>
        <v>203.29999999999995</v>
      </c>
      <c r="H226" s="16">
        <f>(E226-F226)/F226</f>
        <v>0.18369928616607928</v>
      </c>
      <c r="I226" s="11" t="s">
        <v>31</v>
      </c>
      <c r="J226" s="11"/>
    </row>
    <row r="227" spans="1:10" x14ac:dyDescent="0.25">
      <c r="A227" s="28">
        <v>46186</v>
      </c>
      <c r="B227" s="19" t="s">
        <v>291</v>
      </c>
      <c r="C227" s="29" t="s">
        <v>292</v>
      </c>
      <c r="D227" s="19"/>
      <c r="E227" s="19">
        <v>4600</v>
      </c>
      <c r="F227" s="19">
        <v>4738.8</v>
      </c>
      <c r="G227" s="19">
        <f>E227-F227</f>
        <v>-138.80000000000018</v>
      </c>
      <c r="H227" s="22">
        <f>(E227-F227)/F227</f>
        <v>-2.929011564109061E-2</v>
      </c>
      <c r="I227" s="19" t="s">
        <v>31</v>
      </c>
      <c r="J227" s="19" t="s">
        <v>55</v>
      </c>
    </row>
    <row r="228" spans="1:10" x14ac:dyDescent="0.25">
      <c r="A228" s="27">
        <v>46186</v>
      </c>
      <c r="B228" s="11" t="s">
        <v>291</v>
      </c>
      <c r="C228" s="26" t="s">
        <v>293</v>
      </c>
      <c r="D228" s="11"/>
      <c r="E228" s="11">
        <v>4600</v>
      </c>
      <c r="F228" s="11">
        <v>4498.2</v>
      </c>
      <c r="G228" s="11">
        <f>E228-F228</f>
        <v>101.80000000000018</v>
      </c>
      <c r="H228" s="16">
        <f>(E228-F228)/F228</f>
        <v>2.2631274732115108E-2</v>
      </c>
      <c r="I228" s="11" t="s">
        <v>31</v>
      </c>
      <c r="J228" s="11"/>
    </row>
    <row r="229" spans="1:10" x14ac:dyDescent="0.25">
      <c r="A229" s="27">
        <v>46186</v>
      </c>
      <c r="B229" s="11" t="s">
        <v>291</v>
      </c>
      <c r="C229" s="26" t="s">
        <v>294</v>
      </c>
      <c r="D229" s="11"/>
      <c r="E229" s="11">
        <v>4600</v>
      </c>
      <c r="F229" s="11">
        <v>4045.4</v>
      </c>
      <c r="G229" s="11">
        <f>E229-F229</f>
        <v>554.59999999999991</v>
      </c>
      <c r="H229" s="16">
        <f>(E229-F229)/F229</f>
        <v>0.1370939832896623</v>
      </c>
      <c r="I229" s="11" t="s">
        <v>31</v>
      </c>
      <c r="J229" s="11"/>
    </row>
    <row r="230" spans="1:10" x14ac:dyDescent="0.25">
      <c r="A230" s="28">
        <v>46186</v>
      </c>
      <c r="B230" s="19" t="s">
        <v>291</v>
      </c>
      <c r="C230" s="29" t="s">
        <v>295</v>
      </c>
      <c r="D230" s="19"/>
      <c r="E230" s="19">
        <v>4400</v>
      </c>
      <c r="F230" s="19">
        <v>4738.8</v>
      </c>
      <c r="G230" s="19">
        <f>E230-F230</f>
        <v>-338.80000000000018</v>
      </c>
      <c r="H230" s="22">
        <f>(E230-F230)/F230</f>
        <v>-7.1494893221912756E-2</v>
      </c>
      <c r="I230" s="19" t="s">
        <v>31</v>
      </c>
      <c r="J230" s="19" t="s">
        <v>55</v>
      </c>
    </row>
    <row r="231" spans="1:10" x14ac:dyDescent="0.25">
      <c r="A231" s="27">
        <v>46186</v>
      </c>
      <c r="B231" s="11" t="s">
        <v>296</v>
      </c>
      <c r="C231" s="26" t="s">
        <v>297</v>
      </c>
      <c r="D231" s="11" t="s">
        <v>168</v>
      </c>
      <c r="E231" s="11">
        <v>4100</v>
      </c>
      <c r="F231" s="11">
        <v>3284.4</v>
      </c>
      <c r="G231" s="11">
        <f>E231-F231</f>
        <v>815.59999999999991</v>
      </c>
      <c r="H231" s="16">
        <f>(E231-F231)/F231</f>
        <v>0.24832541712337106</v>
      </c>
      <c r="I231" s="11" t="s">
        <v>31</v>
      </c>
      <c r="J231" s="11"/>
    </row>
    <row r="232" spans="1:10" x14ac:dyDescent="0.25">
      <c r="A232" s="28">
        <v>46186</v>
      </c>
      <c r="B232" s="19" t="s">
        <v>298</v>
      </c>
      <c r="C232" s="29" t="s">
        <v>299</v>
      </c>
      <c r="D232" s="19" t="s">
        <v>300</v>
      </c>
      <c r="E232" s="19">
        <v>2230</v>
      </c>
      <c r="F232" s="19">
        <v>2320.5</v>
      </c>
      <c r="G232" s="19">
        <f>E232-F232</f>
        <v>-90.5</v>
      </c>
      <c r="H232" s="22">
        <f>(E232-F232)/F232</f>
        <v>-3.9000215470803706E-2</v>
      </c>
      <c r="I232" s="19" t="s">
        <v>31</v>
      </c>
      <c r="J232" s="19" t="s">
        <v>55</v>
      </c>
    </row>
    <row r="233" spans="1:10" x14ac:dyDescent="0.25">
      <c r="A233" s="28">
        <v>46186</v>
      </c>
      <c r="B233" s="19" t="s">
        <v>298</v>
      </c>
      <c r="C233" s="29" t="s">
        <v>301</v>
      </c>
      <c r="D233" s="19" t="s">
        <v>300</v>
      </c>
      <c r="E233" s="19">
        <v>2230</v>
      </c>
      <c r="F233" s="19">
        <v>2320.5</v>
      </c>
      <c r="G233" s="19">
        <f>E233-F233</f>
        <v>-90.5</v>
      </c>
      <c r="H233" s="22">
        <f>(E233-F233)/F233</f>
        <v>-3.9000215470803706E-2</v>
      </c>
      <c r="I233" s="19" t="s">
        <v>31</v>
      </c>
      <c r="J233" s="19" t="s">
        <v>55</v>
      </c>
    </row>
    <row r="234" spans="1:10" x14ac:dyDescent="0.25">
      <c r="A234" s="27">
        <v>46186</v>
      </c>
      <c r="B234" s="11" t="s">
        <v>302</v>
      </c>
      <c r="C234" s="26" t="s">
        <v>303</v>
      </c>
      <c r="D234" s="11" t="s">
        <v>168</v>
      </c>
      <c r="E234" s="11">
        <v>7250</v>
      </c>
      <c r="F234" s="11">
        <v>6604.5</v>
      </c>
      <c r="G234" s="11">
        <f>E234-F234</f>
        <v>645.5</v>
      </c>
      <c r="H234" s="16">
        <f>(E234-F234)/F234</f>
        <v>9.7736391854038915E-2</v>
      </c>
      <c r="I234" s="11" t="s">
        <v>31</v>
      </c>
      <c r="J234" s="11"/>
    </row>
    <row r="235" spans="1:10" x14ac:dyDescent="0.25">
      <c r="A235" s="27">
        <v>46186</v>
      </c>
      <c r="B235" s="11" t="s">
        <v>302</v>
      </c>
      <c r="C235" s="26" t="s">
        <v>304</v>
      </c>
      <c r="D235" s="11" t="s">
        <v>305</v>
      </c>
      <c r="E235" s="11">
        <v>7250</v>
      </c>
      <c r="F235" s="11">
        <v>6604.5</v>
      </c>
      <c r="G235" s="11">
        <f>E235-F235</f>
        <v>645.5</v>
      </c>
      <c r="H235" s="16">
        <f>(E235-F235)/F235</f>
        <v>9.7736391854038915E-2</v>
      </c>
      <c r="I235" s="11" t="s">
        <v>31</v>
      </c>
      <c r="J235" s="11"/>
    </row>
    <row r="236" spans="1:10" x14ac:dyDescent="0.25">
      <c r="A236" s="27">
        <v>46186</v>
      </c>
      <c r="B236" s="11" t="s">
        <v>306</v>
      </c>
      <c r="C236" s="26" t="s">
        <v>307</v>
      </c>
      <c r="D236" s="11" t="s">
        <v>308</v>
      </c>
      <c r="E236" s="11">
        <v>6800</v>
      </c>
      <c r="F236" s="11">
        <v>6247.5</v>
      </c>
      <c r="G236" s="11">
        <f>E236-F236</f>
        <v>552.5</v>
      </c>
      <c r="H236" s="16">
        <f>(E236-F236)/F236</f>
        <v>8.8435374149659865E-2</v>
      </c>
      <c r="I236" s="11" t="s">
        <v>31</v>
      </c>
      <c r="J236" s="11"/>
    </row>
    <row r="237" spans="1:10" x14ac:dyDescent="0.25">
      <c r="A237" s="27">
        <v>46186</v>
      </c>
      <c r="B237" s="11" t="s">
        <v>309</v>
      </c>
      <c r="C237" s="26" t="s">
        <v>310</v>
      </c>
      <c r="D237" s="11" t="s">
        <v>206</v>
      </c>
      <c r="E237" s="11">
        <v>14000</v>
      </c>
      <c r="F237" s="11">
        <v>12495</v>
      </c>
      <c r="G237" s="11">
        <f>E237-F237</f>
        <v>1505</v>
      </c>
      <c r="H237" s="16">
        <f>(E237-F237)/F237</f>
        <v>0.12044817927170869</v>
      </c>
      <c r="I237" s="11" t="s">
        <v>31</v>
      </c>
      <c r="J237" s="11"/>
    </row>
    <row r="238" spans="1:10" x14ac:dyDescent="0.25">
      <c r="A238" s="27">
        <v>46193</v>
      </c>
      <c r="B238" s="11" t="s">
        <v>36</v>
      </c>
      <c r="C238" s="26">
        <v>351205745634691</v>
      </c>
      <c r="D238" s="11" t="s">
        <v>417</v>
      </c>
      <c r="E238" s="11">
        <v>4000</v>
      </c>
      <c r="F238" s="11">
        <v>3927</v>
      </c>
      <c r="G238" s="11">
        <f>E238-F238</f>
        <v>73</v>
      </c>
      <c r="H238" s="16">
        <f>(E238-F238)/F238</f>
        <v>1.8589253883371529E-2</v>
      </c>
      <c r="I238" s="11" t="s">
        <v>31</v>
      </c>
      <c r="J238" s="11"/>
    </row>
    <row r="239" spans="1:10" x14ac:dyDescent="0.25">
      <c r="A239" s="28">
        <v>46193</v>
      </c>
      <c r="B239" s="19" t="s">
        <v>36</v>
      </c>
      <c r="C239" s="29">
        <v>351205748322419</v>
      </c>
      <c r="D239" s="19" t="s">
        <v>418</v>
      </c>
      <c r="E239" s="19">
        <v>3920</v>
      </c>
      <c r="F239" s="19">
        <v>3927</v>
      </c>
      <c r="G239" s="19">
        <f>E239-F239</f>
        <v>-7</v>
      </c>
      <c r="H239" s="22">
        <f>(E239-F239)/F239</f>
        <v>-1.7825311942959001E-3</v>
      </c>
      <c r="I239" s="19" t="s">
        <v>31</v>
      </c>
      <c r="J239" s="19" t="s">
        <v>55</v>
      </c>
    </row>
    <row r="240" spans="1:10" x14ac:dyDescent="0.25">
      <c r="A240" s="28">
        <v>46193</v>
      </c>
      <c r="B240" s="19" t="s">
        <v>36</v>
      </c>
      <c r="C240" s="29">
        <v>351668149676677</v>
      </c>
      <c r="D240" s="19" t="s">
        <v>419</v>
      </c>
      <c r="E240" s="19">
        <v>3920</v>
      </c>
      <c r="F240" s="19">
        <v>3927</v>
      </c>
      <c r="G240" s="19">
        <f>E240-F240</f>
        <v>-7</v>
      </c>
      <c r="H240" s="22">
        <f>(E240-F240)/F240</f>
        <v>-1.7825311942959001E-3</v>
      </c>
      <c r="I240" s="19" t="s">
        <v>31</v>
      </c>
      <c r="J240" s="19" t="s">
        <v>55</v>
      </c>
    </row>
    <row r="241" spans="1:10" x14ac:dyDescent="0.25">
      <c r="A241" s="28">
        <v>46193</v>
      </c>
      <c r="B241" s="19" t="s">
        <v>36</v>
      </c>
      <c r="C241" s="29">
        <v>357329446208730</v>
      </c>
      <c r="D241" s="19" t="s">
        <v>418</v>
      </c>
      <c r="E241" s="19">
        <v>3920</v>
      </c>
      <c r="F241" s="19">
        <v>3927</v>
      </c>
      <c r="G241" s="19">
        <f>E241-F241</f>
        <v>-7</v>
      </c>
      <c r="H241" s="22">
        <f>(E241-F241)/F241</f>
        <v>-1.7825311942959001E-3</v>
      </c>
      <c r="I241" s="19" t="s">
        <v>31</v>
      </c>
      <c r="J241" s="19" t="s">
        <v>55</v>
      </c>
    </row>
    <row r="242" spans="1:10" x14ac:dyDescent="0.25">
      <c r="A242" s="28">
        <v>46193</v>
      </c>
      <c r="B242" s="19" t="s">
        <v>36</v>
      </c>
      <c r="C242" s="29">
        <v>357329446779847</v>
      </c>
      <c r="D242" s="19" t="s">
        <v>418</v>
      </c>
      <c r="E242" s="19">
        <v>3920</v>
      </c>
      <c r="F242" s="19">
        <v>3927</v>
      </c>
      <c r="G242" s="19">
        <f>E242-F242</f>
        <v>-7</v>
      </c>
      <c r="H242" s="22">
        <f>(E242-F242)/F242</f>
        <v>-1.7825311942959001E-3</v>
      </c>
      <c r="I242" s="19" t="s">
        <v>31</v>
      </c>
      <c r="J242" s="19" t="s">
        <v>55</v>
      </c>
    </row>
    <row r="243" spans="1:10" x14ac:dyDescent="0.25">
      <c r="A243" s="27">
        <v>46193</v>
      </c>
      <c r="B243" s="11" t="s">
        <v>36</v>
      </c>
      <c r="C243" s="26">
        <v>359178370656366</v>
      </c>
      <c r="D243" s="11" t="s">
        <v>420</v>
      </c>
      <c r="E243" s="11">
        <v>4000</v>
      </c>
      <c r="F243" s="11">
        <v>3927</v>
      </c>
      <c r="G243" s="11">
        <f>E243-F243</f>
        <v>73</v>
      </c>
      <c r="H243" s="16">
        <f>(E243-F243)/F243</f>
        <v>1.8589253883371529E-2</v>
      </c>
      <c r="I243" s="11" t="s">
        <v>31</v>
      </c>
      <c r="J243" s="11"/>
    </row>
    <row r="244" spans="1:10" x14ac:dyDescent="0.25">
      <c r="A244" s="28">
        <v>46193</v>
      </c>
      <c r="B244" s="19" t="s">
        <v>36</v>
      </c>
      <c r="C244" s="29">
        <v>359178371528606</v>
      </c>
      <c r="D244" s="19" t="s">
        <v>419</v>
      </c>
      <c r="E244" s="19">
        <v>3920</v>
      </c>
      <c r="F244" s="19">
        <v>3927</v>
      </c>
      <c r="G244" s="19">
        <f>E244-F244</f>
        <v>-7</v>
      </c>
      <c r="H244" s="22">
        <f>(E244-F244)/F244</f>
        <v>-1.7825311942959001E-3</v>
      </c>
      <c r="I244" s="19" t="s">
        <v>31</v>
      </c>
      <c r="J244" s="19" t="s">
        <v>55</v>
      </c>
    </row>
    <row r="245" spans="1:10" x14ac:dyDescent="0.25">
      <c r="A245" s="27">
        <v>46193</v>
      </c>
      <c r="B245" s="11" t="s">
        <v>36</v>
      </c>
      <c r="C245" s="26">
        <v>359652124236055</v>
      </c>
      <c r="D245" s="11" t="s">
        <v>420</v>
      </c>
      <c r="E245" s="11">
        <v>4000</v>
      </c>
      <c r="F245" s="11">
        <v>3927</v>
      </c>
      <c r="G245" s="11">
        <f>E245-F245</f>
        <v>73</v>
      </c>
      <c r="H245" s="16">
        <f>(E245-F245)/F245</f>
        <v>1.8589253883371529E-2</v>
      </c>
      <c r="I245" s="11" t="s">
        <v>31</v>
      </c>
      <c r="J245" s="11"/>
    </row>
    <row r="246" spans="1:10" x14ac:dyDescent="0.25">
      <c r="A246" s="27">
        <v>46200</v>
      </c>
      <c r="B246" s="11" t="s">
        <v>483</v>
      </c>
      <c r="C246" s="26" t="s">
        <v>484</v>
      </c>
      <c r="D246" s="11" t="s">
        <v>485</v>
      </c>
      <c r="E246" s="11">
        <v>1120</v>
      </c>
      <c r="F246" s="11">
        <v>1017.45</v>
      </c>
      <c r="G246" s="11">
        <f>E246-F246</f>
        <v>102.54999999999995</v>
      </c>
      <c r="H246" s="16">
        <f>(E246-F246)/F246</f>
        <v>0.10079119367045059</v>
      </c>
      <c r="I246" s="11" t="s">
        <v>31</v>
      </c>
      <c r="J246" s="11"/>
    </row>
    <row r="247" spans="1:10" x14ac:dyDescent="0.25">
      <c r="A247" s="27">
        <v>46200</v>
      </c>
      <c r="B247" s="11" t="s">
        <v>532</v>
      </c>
      <c r="C247" s="26" t="s">
        <v>533</v>
      </c>
      <c r="D247" s="11" t="s">
        <v>534</v>
      </c>
      <c r="E247" s="11">
        <v>1245</v>
      </c>
      <c r="F247" s="11">
        <v>1071</v>
      </c>
      <c r="G247" s="11">
        <f>E247-F247</f>
        <v>174</v>
      </c>
      <c r="H247" s="16">
        <f>(E247-F247)/F247</f>
        <v>0.16246498599439776</v>
      </c>
      <c r="I247" s="11" t="s">
        <v>31</v>
      </c>
      <c r="J247" s="11"/>
    </row>
    <row r="248" spans="1:10" x14ac:dyDescent="0.25">
      <c r="A248" s="27">
        <v>46200</v>
      </c>
      <c r="B248" s="11" t="s">
        <v>532</v>
      </c>
      <c r="C248" s="26" t="s">
        <v>535</v>
      </c>
      <c r="D248" s="11" t="s">
        <v>536</v>
      </c>
      <c r="E248" s="11">
        <v>1245</v>
      </c>
      <c r="F248" s="11">
        <v>1071</v>
      </c>
      <c r="G248" s="11">
        <f>E248-F248</f>
        <v>174</v>
      </c>
      <c r="H248" s="16">
        <f>(E248-F248)/F248</f>
        <v>0.16246498599439776</v>
      </c>
      <c r="I248" s="11" t="s">
        <v>31</v>
      </c>
      <c r="J248" s="11"/>
    </row>
    <row r="249" spans="1:10" x14ac:dyDescent="0.25">
      <c r="A249" s="27">
        <v>46200</v>
      </c>
      <c r="B249" s="11" t="s">
        <v>537</v>
      </c>
      <c r="C249" s="26" t="s">
        <v>538</v>
      </c>
      <c r="D249" s="11" t="s">
        <v>536</v>
      </c>
      <c r="E249" s="11">
        <v>1245</v>
      </c>
      <c r="F249" s="11">
        <v>1071</v>
      </c>
      <c r="G249" s="11">
        <f>E249-F249</f>
        <v>174</v>
      </c>
      <c r="H249" s="16">
        <f>(E249-F249)/F249</f>
        <v>0.16246498599439776</v>
      </c>
      <c r="I249" s="11" t="s">
        <v>31</v>
      </c>
      <c r="J249" s="11"/>
    </row>
    <row r="250" spans="1:10" x14ac:dyDescent="0.25">
      <c r="A250" s="27">
        <v>46200</v>
      </c>
      <c r="B250" s="11" t="s">
        <v>59</v>
      </c>
      <c r="C250" s="26" t="s">
        <v>539</v>
      </c>
      <c r="D250" s="11" t="s">
        <v>285</v>
      </c>
      <c r="E250" s="11">
        <v>1245</v>
      </c>
      <c r="F250" s="11">
        <v>1071</v>
      </c>
      <c r="G250" s="11">
        <f>E250-F250</f>
        <v>174</v>
      </c>
      <c r="H250" s="16">
        <f>(E250-F250)/F250</f>
        <v>0.16246498599439776</v>
      </c>
      <c r="I250" s="11" t="s">
        <v>31</v>
      </c>
      <c r="J250" s="11"/>
    </row>
    <row r="251" spans="1:10" x14ac:dyDescent="0.25">
      <c r="A251" s="27">
        <v>46200</v>
      </c>
      <c r="B251" s="11" t="s">
        <v>59</v>
      </c>
      <c r="C251" s="26" t="s">
        <v>540</v>
      </c>
      <c r="D251" s="11" t="s">
        <v>281</v>
      </c>
      <c r="E251" s="11">
        <v>1440</v>
      </c>
      <c r="F251" s="11">
        <v>1071</v>
      </c>
      <c r="G251" s="11">
        <f>E251-F251</f>
        <v>369</v>
      </c>
      <c r="H251" s="16">
        <f>(E251-F251)/F251</f>
        <v>0.34453781512605042</v>
      </c>
      <c r="I251" s="11" t="s">
        <v>31</v>
      </c>
      <c r="J251" s="11"/>
    </row>
    <row r="252" spans="1:10" x14ac:dyDescent="0.25">
      <c r="A252" s="27">
        <v>46200</v>
      </c>
      <c r="B252" s="11" t="s">
        <v>59</v>
      </c>
      <c r="C252" s="26" t="s">
        <v>541</v>
      </c>
      <c r="D252" s="11" t="s">
        <v>285</v>
      </c>
      <c r="E252" s="11">
        <v>1440</v>
      </c>
      <c r="F252" s="11">
        <v>1071</v>
      </c>
      <c r="G252" s="11">
        <f>E252-F252</f>
        <v>369</v>
      </c>
      <c r="H252" s="16">
        <f>(E252-F252)/F252</f>
        <v>0.34453781512605042</v>
      </c>
      <c r="I252" s="11" t="s">
        <v>31</v>
      </c>
      <c r="J252" s="11"/>
    </row>
    <row r="253" spans="1:10" x14ac:dyDescent="0.25">
      <c r="A253" s="27">
        <v>46200</v>
      </c>
      <c r="B253" s="11" t="s">
        <v>59</v>
      </c>
      <c r="C253" s="26" t="s">
        <v>542</v>
      </c>
      <c r="D253" s="11" t="s">
        <v>285</v>
      </c>
      <c r="E253" s="11">
        <v>1245</v>
      </c>
      <c r="F253" s="11">
        <v>1071</v>
      </c>
      <c r="G253" s="11">
        <f>E253-F253</f>
        <v>174</v>
      </c>
      <c r="H253" s="16">
        <f>(E253-F253)/F253</f>
        <v>0.16246498599439776</v>
      </c>
      <c r="I253" s="11" t="s">
        <v>31</v>
      </c>
      <c r="J253" s="11"/>
    </row>
    <row r="254" spans="1:10" x14ac:dyDescent="0.25">
      <c r="A254" s="27">
        <v>46200</v>
      </c>
      <c r="B254" s="11" t="s">
        <v>59</v>
      </c>
      <c r="C254" s="26" t="s">
        <v>543</v>
      </c>
      <c r="D254" s="11" t="s">
        <v>285</v>
      </c>
      <c r="E254" s="11">
        <v>1245</v>
      </c>
      <c r="F254" s="11">
        <v>1071</v>
      </c>
      <c r="G254" s="11">
        <f>E254-F254</f>
        <v>174</v>
      </c>
      <c r="H254" s="16">
        <f>(E254-F254)/F254</f>
        <v>0.16246498599439776</v>
      </c>
      <c r="I254" s="11" t="s">
        <v>31</v>
      </c>
      <c r="J254" s="11"/>
    </row>
    <row r="255" spans="1:10" x14ac:dyDescent="0.25">
      <c r="A255" s="27">
        <v>46200</v>
      </c>
      <c r="B255" s="11" t="s">
        <v>59</v>
      </c>
      <c r="C255" s="26" t="s">
        <v>544</v>
      </c>
      <c r="D255" s="11" t="s">
        <v>285</v>
      </c>
      <c r="E255" s="11">
        <v>1245</v>
      </c>
      <c r="F255" s="11">
        <v>1071</v>
      </c>
      <c r="G255" s="11">
        <f>E255-F255</f>
        <v>174</v>
      </c>
      <c r="H255" s="16">
        <f>(E255-F255)/F255</f>
        <v>0.16246498599439776</v>
      </c>
      <c r="I255" s="11" t="s">
        <v>31</v>
      </c>
      <c r="J255" s="11"/>
    </row>
    <row r="256" spans="1:10" x14ac:dyDescent="0.25">
      <c r="A256" s="27">
        <v>46200</v>
      </c>
      <c r="B256" s="11" t="s">
        <v>59</v>
      </c>
      <c r="C256" s="26" t="s">
        <v>545</v>
      </c>
      <c r="D256" s="11" t="s">
        <v>281</v>
      </c>
      <c r="E256" s="11">
        <v>1440</v>
      </c>
      <c r="F256" s="11">
        <v>1071</v>
      </c>
      <c r="G256" s="11">
        <f>E256-F256</f>
        <v>369</v>
      </c>
      <c r="H256" s="16">
        <f>(E256-F256)/F256</f>
        <v>0.34453781512605042</v>
      </c>
      <c r="I256" s="11" t="s">
        <v>31</v>
      </c>
      <c r="J256" s="11"/>
    </row>
    <row r="257" spans="1:10" x14ac:dyDescent="0.25">
      <c r="A257" s="27">
        <v>46202</v>
      </c>
      <c r="B257" s="11" t="s">
        <v>123</v>
      </c>
      <c r="C257" s="26" t="s">
        <v>556</v>
      </c>
      <c r="D257" s="11" t="s">
        <v>17</v>
      </c>
      <c r="E257" s="11">
        <v>2980</v>
      </c>
      <c r="F257" s="11">
        <v>2534.6999999999998</v>
      </c>
      <c r="G257" s="11">
        <f>E257-F257</f>
        <v>445.30000000000018</v>
      </c>
      <c r="H257" s="16">
        <f>(E257-F257)/F257</f>
        <v>0.17568154022172258</v>
      </c>
      <c r="I257" s="11" t="s">
        <v>31</v>
      </c>
      <c r="J257" s="11"/>
    </row>
    <row r="258" spans="1:10" x14ac:dyDescent="0.25">
      <c r="A258" s="27">
        <v>46202</v>
      </c>
      <c r="B258" s="11" t="s">
        <v>123</v>
      </c>
      <c r="C258" s="26" t="s">
        <v>557</v>
      </c>
      <c r="D258" s="11" t="s">
        <v>17</v>
      </c>
      <c r="E258" s="11">
        <v>2980</v>
      </c>
      <c r="F258" s="11">
        <v>2534.6999999999998</v>
      </c>
      <c r="G258" s="11">
        <f>E258-F258</f>
        <v>445.30000000000018</v>
      </c>
      <c r="H258" s="16">
        <f>(E258-F258)/F258</f>
        <v>0.17568154022172258</v>
      </c>
      <c r="I258" s="11" t="s">
        <v>31</v>
      </c>
      <c r="J258" s="11"/>
    </row>
    <row r="259" spans="1:10" x14ac:dyDescent="0.25">
      <c r="A259" s="27">
        <v>46202</v>
      </c>
      <c r="B259" s="11" t="s">
        <v>123</v>
      </c>
      <c r="C259" s="26" t="s">
        <v>558</v>
      </c>
      <c r="D259" s="11" t="s">
        <v>17</v>
      </c>
      <c r="E259" s="11">
        <v>2980</v>
      </c>
      <c r="F259" s="11">
        <v>2534.6999999999998</v>
      </c>
      <c r="G259" s="11">
        <f>E259-F259</f>
        <v>445.30000000000018</v>
      </c>
      <c r="H259" s="16">
        <f>(E259-F259)/F259</f>
        <v>0.17568154022172258</v>
      </c>
      <c r="I259" s="11" t="s">
        <v>31</v>
      </c>
      <c r="J259" s="11"/>
    </row>
    <row r="260" spans="1:10" x14ac:dyDescent="0.25">
      <c r="A260" s="27">
        <v>46202</v>
      </c>
      <c r="B260" s="11" t="s">
        <v>123</v>
      </c>
      <c r="C260" s="26" t="s">
        <v>559</v>
      </c>
      <c r="D260" s="11" t="s">
        <v>17</v>
      </c>
      <c r="E260" s="11">
        <v>2980</v>
      </c>
      <c r="F260" s="11">
        <v>2534.6999999999998</v>
      </c>
      <c r="G260" s="11">
        <f>E260-F260</f>
        <v>445.30000000000018</v>
      </c>
      <c r="H260" s="16">
        <f>(E260-F260)/F260</f>
        <v>0.17568154022172258</v>
      </c>
      <c r="I260" s="11" t="s">
        <v>31</v>
      </c>
      <c r="J260" s="11"/>
    </row>
    <row r="261" spans="1:10" x14ac:dyDescent="0.25">
      <c r="E261" s="32" t="s">
        <v>567</v>
      </c>
      <c r="F261" s="32" t="s">
        <v>574</v>
      </c>
      <c r="G261" s="32" t="s">
        <v>575</v>
      </c>
      <c r="H261" s="33" t="s">
        <v>572</v>
      </c>
      <c r="I261" s="34"/>
      <c r="J261" s="34"/>
    </row>
    <row r="262" spans="1:10" x14ac:dyDescent="0.25">
      <c r="E262" s="8">
        <f>SUM(E2:E261)</f>
        <v>586000</v>
      </c>
      <c r="F262" s="8">
        <f>SUM(F2:F261)</f>
        <v>537346.62000000186</v>
      </c>
      <c r="G262" s="8">
        <f>SUM(G2:G261)</f>
        <v>48653.379999999925</v>
      </c>
      <c r="H262" s="10">
        <f>AVERAGE(H2:H261)</f>
        <v>0.11897843115785187</v>
      </c>
      <c r="I262" s="11"/>
      <c r="J262" s="11"/>
    </row>
    <row r="272" spans="1:10" x14ac:dyDescent="0.25">
      <c r="C272" s="35"/>
      <c r="D272" s="37"/>
    </row>
    <row r="273" spans="3:4" x14ac:dyDescent="0.25">
      <c r="C273" s="35"/>
      <c r="D273" s="37"/>
    </row>
    <row r="274" spans="3:4" x14ac:dyDescent="0.25">
      <c r="C274" s="35"/>
      <c r="D274" s="37"/>
    </row>
    <row r="275" spans="3:4" x14ac:dyDescent="0.25">
      <c r="C275" s="38"/>
      <c r="D275" s="39"/>
    </row>
    <row r="276" spans="3:4" x14ac:dyDescent="0.25">
      <c r="C276" s="35"/>
      <c r="D276" s="37"/>
    </row>
    <row r="277" spans="3:4" x14ac:dyDescent="0.25">
      <c r="C277" s="35"/>
      <c r="D277" s="37"/>
    </row>
    <row r="278" spans="3:4" x14ac:dyDescent="0.25">
      <c r="C278" s="35"/>
      <c r="D278" s="37"/>
    </row>
    <row r="279" spans="3:4" x14ac:dyDescent="0.25">
      <c r="C279" s="35"/>
      <c r="D279" s="37"/>
    </row>
    <row r="280" spans="3:4" x14ac:dyDescent="0.25">
      <c r="C280" s="35"/>
      <c r="D280" s="37"/>
    </row>
    <row r="281" spans="3:4" x14ac:dyDescent="0.25">
      <c r="C281" s="35"/>
      <c r="D281" s="37"/>
    </row>
    <row r="282" spans="3:4" x14ac:dyDescent="0.25">
      <c r="C282" s="35"/>
      <c r="D282" s="37"/>
    </row>
    <row r="283" spans="3:4" x14ac:dyDescent="0.25">
      <c r="C283" s="35"/>
      <c r="D283" s="37"/>
    </row>
    <row r="284" spans="3:4" x14ac:dyDescent="0.25">
      <c r="C284" s="38"/>
      <c r="D284" s="39"/>
    </row>
    <row r="285" spans="3:4" x14ac:dyDescent="0.25">
      <c r="C285" s="35"/>
      <c r="D285" s="37"/>
    </row>
    <row r="286" spans="3:4" x14ac:dyDescent="0.25">
      <c r="C286" s="35"/>
      <c r="D286" s="37"/>
    </row>
    <row r="287" spans="3:4" x14ac:dyDescent="0.25">
      <c r="C287" s="35"/>
      <c r="D287" s="37"/>
    </row>
    <row r="288" spans="3:4" x14ac:dyDescent="0.25">
      <c r="C288" s="35"/>
      <c r="D288" s="37"/>
    </row>
    <row r="289" spans="3:4" x14ac:dyDescent="0.25">
      <c r="C289" s="35"/>
      <c r="D289" s="37"/>
    </row>
    <row r="290" spans="3:4" x14ac:dyDescent="0.25">
      <c r="C290" s="35"/>
      <c r="D290" s="37"/>
    </row>
    <row r="291" spans="3:4" x14ac:dyDescent="0.25">
      <c r="C291" s="38"/>
      <c r="D291" s="39"/>
    </row>
    <row r="292" spans="3:4" x14ac:dyDescent="0.25">
      <c r="C292" s="35"/>
      <c r="D292" s="37"/>
    </row>
    <row r="293" spans="3:4" x14ac:dyDescent="0.25">
      <c r="C293" s="38"/>
      <c r="D293" s="39"/>
    </row>
    <row r="294" spans="3:4" x14ac:dyDescent="0.25">
      <c r="C294" s="35"/>
      <c r="D294" s="37"/>
    </row>
    <row r="295" spans="3:4" x14ac:dyDescent="0.25">
      <c r="C295" s="35"/>
      <c r="D295" s="37"/>
    </row>
    <row r="296" spans="3:4" x14ac:dyDescent="0.25">
      <c r="C296" s="35"/>
      <c r="D296" s="37"/>
    </row>
    <row r="297" spans="3:4" x14ac:dyDescent="0.25">
      <c r="C297" s="35"/>
      <c r="D297" s="37"/>
    </row>
    <row r="298" spans="3:4" x14ac:dyDescent="0.25">
      <c r="C298" s="35"/>
      <c r="D298" s="37"/>
    </row>
    <row r="299" spans="3:4" x14ac:dyDescent="0.25">
      <c r="C299" s="38"/>
      <c r="D299" s="39"/>
    </row>
    <row r="300" spans="3:4" x14ac:dyDescent="0.25">
      <c r="C300" s="35"/>
      <c r="D300" s="37"/>
    </row>
    <row r="301" spans="3:4" x14ac:dyDescent="0.25">
      <c r="C301" s="38"/>
      <c r="D301" s="39"/>
    </row>
    <row r="302" spans="3:4" x14ac:dyDescent="0.25">
      <c r="C302" s="38"/>
      <c r="D302" s="39"/>
    </row>
    <row r="303" spans="3:4" x14ac:dyDescent="0.25">
      <c r="C303" s="35"/>
      <c r="D303" s="37"/>
    </row>
    <row r="304" spans="3:4" x14ac:dyDescent="0.25">
      <c r="C304" s="38"/>
      <c r="D304" s="39"/>
    </row>
    <row r="305" spans="3:4" x14ac:dyDescent="0.25">
      <c r="C305" s="35"/>
      <c r="D305" s="37"/>
    </row>
    <row r="306" spans="3:4" x14ac:dyDescent="0.25">
      <c r="C306" s="35"/>
      <c r="D306" s="37"/>
    </row>
    <row r="307" spans="3:4" x14ac:dyDescent="0.25">
      <c r="C307" s="35"/>
      <c r="D307" s="37"/>
    </row>
    <row r="308" spans="3:4" x14ac:dyDescent="0.25">
      <c r="C308" s="35"/>
      <c r="D308" s="37"/>
    </row>
    <row r="309" spans="3:4" x14ac:dyDescent="0.25">
      <c r="C309" s="38"/>
      <c r="D309" s="39"/>
    </row>
    <row r="310" spans="3:4" x14ac:dyDescent="0.25">
      <c r="C310" s="35"/>
      <c r="D310" s="37"/>
    </row>
    <row r="311" spans="3:4" x14ac:dyDescent="0.25">
      <c r="C311" s="35"/>
      <c r="D311" s="37"/>
    </row>
    <row r="312" spans="3:4" x14ac:dyDescent="0.25">
      <c r="C312" s="35"/>
      <c r="D312" s="37"/>
    </row>
    <row r="313" spans="3:4" x14ac:dyDescent="0.25">
      <c r="C313" s="38"/>
      <c r="D313" s="39"/>
    </row>
    <row r="314" spans="3:4" x14ac:dyDescent="0.25">
      <c r="C314" s="35"/>
      <c r="D314" s="37"/>
    </row>
    <row r="315" spans="3:4" x14ac:dyDescent="0.25">
      <c r="C315" s="38"/>
      <c r="D315" s="39"/>
    </row>
    <row r="316" spans="3:4" x14ac:dyDescent="0.25">
      <c r="C316" s="35"/>
      <c r="D316" s="37"/>
    </row>
    <row r="317" spans="3:4" x14ac:dyDescent="0.25">
      <c r="C317" s="35"/>
      <c r="D317" s="37"/>
    </row>
    <row r="318" spans="3:4" x14ac:dyDescent="0.25">
      <c r="C318" s="35"/>
      <c r="D318" s="37"/>
    </row>
    <row r="319" spans="3:4" x14ac:dyDescent="0.25">
      <c r="C319" s="38"/>
      <c r="D319" s="39"/>
    </row>
    <row r="320" spans="3:4" x14ac:dyDescent="0.25">
      <c r="C320" s="35"/>
      <c r="D320" s="37"/>
    </row>
    <row r="321" spans="3:4" x14ac:dyDescent="0.25">
      <c r="C321" s="35"/>
      <c r="D321" s="37"/>
    </row>
    <row r="322" spans="3:4" x14ac:dyDescent="0.25">
      <c r="C322" s="35"/>
      <c r="D322" s="37"/>
    </row>
    <row r="323" spans="3:4" x14ac:dyDescent="0.25">
      <c r="C323" s="38"/>
      <c r="D323" s="39"/>
    </row>
    <row r="324" spans="3:4" x14ac:dyDescent="0.25">
      <c r="C324" s="35"/>
      <c r="D324" s="37"/>
    </row>
    <row r="325" spans="3:4" x14ac:dyDescent="0.25">
      <c r="C325" s="35"/>
      <c r="D325" s="37"/>
    </row>
  </sheetData>
  <sortState xmlns:xlrd2="http://schemas.microsoft.com/office/spreadsheetml/2017/richdata2" ref="A2:J260">
    <sortCondition ref="I2:I260"/>
  </sortState>
  <conditionalFormatting sqref="C2:C260">
    <cfRule type="duplicateValues" dxfId="39" priority="3"/>
  </conditionalFormatting>
  <conditionalFormatting sqref="C1:C1048576">
    <cfRule type="duplicateValues" dxfId="3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F010-E342-4C4F-9A3E-D3E5A5F5B340}">
  <dimension ref="A1:J103"/>
  <sheetViews>
    <sheetView tabSelected="1" topLeftCell="A26" workbookViewId="0">
      <selection activeCell="D52" sqref="D52"/>
    </sheetView>
  </sheetViews>
  <sheetFormatPr defaultRowHeight="15" x14ac:dyDescent="0.25"/>
  <cols>
    <col min="1" max="1" width="10.85546875" customWidth="1"/>
    <col min="2" max="2" width="31.85546875" customWidth="1"/>
    <col min="3" max="3" width="26.28515625" customWidth="1"/>
    <col min="4" max="4" width="59.42578125" customWidth="1"/>
    <col min="5" max="5" width="12.5703125" customWidth="1"/>
    <col min="6" max="6" width="15.42578125" customWidth="1"/>
    <col min="7" max="7" width="11.28515625" customWidth="1"/>
    <col min="8" max="8" width="19.42578125" customWidth="1"/>
    <col min="9" max="9" width="25.7109375" customWidth="1"/>
  </cols>
  <sheetData>
    <row r="1" spans="1:10" x14ac:dyDescent="0.25">
      <c r="A1" s="40" t="s">
        <v>5</v>
      </c>
      <c r="B1" s="40" t="s">
        <v>6</v>
      </c>
      <c r="C1" s="40" t="s">
        <v>7</v>
      </c>
      <c r="D1" s="40" t="s">
        <v>8</v>
      </c>
      <c r="E1" s="40" t="s">
        <v>9</v>
      </c>
      <c r="F1" s="40" t="s">
        <v>10</v>
      </c>
      <c r="G1" s="40" t="s">
        <v>11</v>
      </c>
      <c r="H1" s="41" t="s">
        <v>12</v>
      </c>
      <c r="I1" s="40" t="s">
        <v>13</v>
      </c>
    </row>
    <row r="2" spans="1:10" x14ac:dyDescent="0.25">
      <c r="A2" s="17">
        <v>46177</v>
      </c>
      <c r="B2" s="11" t="s">
        <v>92</v>
      </c>
      <c r="C2" s="14">
        <v>351104510374700</v>
      </c>
      <c r="D2" s="11" t="s">
        <v>93</v>
      </c>
      <c r="E2" s="11">
        <v>4341.7700000000004</v>
      </c>
      <c r="F2" s="11">
        <v>4341.7700000000004</v>
      </c>
      <c r="G2" s="11">
        <v>0</v>
      </c>
      <c r="H2" s="11">
        <v>0</v>
      </c>
      <c r="I2" s="11" t="s">
        <v>94</v>
      </c>
      <c r="J2" s="11"/>
    </row>
    <row r="3" spans="1:10" x14ac:dyDescent="0.25">
      <c r="A3" s="17">
        <v>46196</v>
      </c>
      <c r="B3" s="11" t="s">
        <v>430</v>
      </c>
      <c r="C3" s="14">
        <v>352853115426666</v>
      </c>
      <c r="D3" s="11" t="s">
        <v>330</v>
      </c>
      <c r="E3" s="11">
        <v>670.88</v>
      </c>
      <c r="F3" s="11">
        <v>620.25</v>
      </c>
      <c r="G3" s="11">
        <v>50.63</v>
      </c>
      <c r="H3" s="11">
        <v>8.16</v>
      </c>
      <c r="I3" s="11" t="s">
        <v>94</v>
      </c>
      <c r="J3" s="11"/>
    </row>
    <row r="4" spans="1:10" x14ac:dyDescent="0.25">
      <c r="A4" s="27">
        <v>46175</v>
      </c>
      <c r="B4" s="11" t="s">
        <v>34</v>
      </c>
      <c r="C4" s="26">
        <v>357254472231267</v>
      </c>
      <c r="D4" s="11"/>
      <c r="E4" s="11">
        <v>3063.29</v>
      </c>
      <c r="F4" s="11">
        <v>2750</v>
      </c>
      <c r="G4" s="11">
        <f>E4-F4</f>
        <v>313.28999999999996</v>
      </c>
      <c r="H4" s="16">
        <f>(E4-F4)/F4</f>
        <v>0.11392363636363635</v>
      </c>
      <c r="I4" s="11" t="s">
        <v>35</v>
      </c>
      <c r="J4" s="11"/>
    </row>
    <row r="5" spans="1:10" x14ac:dyDescent="0.25">
      <c r="A5" s="27">
        <v>46177</v>
      </c>
      <c r="B5" s="11" t="s">
        <v>36</v>
      </c>
      <c r="C5" s="26">
        <v>358434708127583</v>
      </c>
      <c r="D5" s="11" t="s">
        <v>99</v>
      </c>
      <c r="E5" s="11">
        <v>3367.08</v>
      </c>
      <c r="F5" s="11">
        <v>3050</v>
      </c>
      <c r="G5" s="11">
        <f>E5-F5</f>
        <v>317.07999999999993</v>
      </c>
      <c r="H5" s="16">
        <f>(E5-F5)/F5</f>
        <v>0.1039606557377049</v>
      </c>
      <c r="I5" s="11" t="s">
        <v>35</v>
      </c>
      <c r="J5" s="11"/>
    </row>
    <row r="6" spans="1:10" x14ac:dyDescent="0.25">
      <c r="A6" s="27">
        <v>46182</v>
      </c>
      <c r="B6" s="11" t="s">
        <v>34</v>
      </c>
      <c r="C6" s="26">
        <v>359477637299931</v>
      </c>
      <c r="D6" s="11" t="s">
        <v>207</v>
      </c>
      <c r="E6" s="11">
        <v>2987.34</v>
      </c>
      <c r="F6" s="11">
        <v>2600</v>
      </c>
      <c r="G6" s="11">
        <f>E6-F6</f>
        <v>387.34000000000015</v>
      </c>
      <c r="H6" s="16">
        <f>(E6-F6)/F6</f>
        <v>0.14897692307692315</v>
      </c>
      <c r="I6" s="11" t="s">
        <v>35</v>
      </c>
      <c r="J6" s="11"/>
    </row>
    <row r="7" spans="1:10" x14ac:dyDescent="0.25">
      <c r="A7" s="27">
        <v>46184</v>
      </c>
      <c r="B7" s="11" t="s">
        <v>36</v>
      </c>
      <c r="C7" s="26">
        <v>350552890635903</v>
      </c>
      <c r="D7" s="11" t="s">
        <v>275</v>
      </c>
      <c r="E7" s="11">
        <v>3455.69</v>
      </c>
      <c r="F7" s="11">
        <v>3000</v>
      </c>
      <c r="G7" s="11">
        <f>E7-F7</f>
        <v>455.69000000000005</v>
      </c>
      <c r="H7" s="16">
        <f>(E7-F7)/F7</f>
        <v>0.15189666666666668</v>
      </c>
      <c r="I7" s="11" t="s">
        <v>35</v>
      </c>
      <c r="J7" s="11"/>
    </row>
    <row r="8" spans="1:10" x14ac:dyDescent="0.25">
      <c r="A8" s="27">
        <v>46185</v>
      </c>
      <c r="B8" s="11" t="s">
        <v>36</v>
      </c>
      <c r="C8" s="26">
        <v>350230972375512</v>
      </c>
      <c r="D8" s="11" t="s">
        <v>277</v>
      </c>
      <c r="E8" s="11">
        <v>3734.17</v>
      </c>
      <c r="F8" s="11">
        <v>3200</v>
      </c>
      <c r="G8" s="11">
        <f>E8-F8</f>
        <v>534.17000000000007</v>
      </c>
      <c r="H8" s="16">
        <f>(E8-F8)/F8</f>
        <v>0.16692812500000001</v>
      </c>
      <c r="I8" s="11" t="s">
        <v>35</v>
      </c>
      <c r="J8" s="11"/>
    </row>
    <row r="9" spans="1:10" x14ac:dyDescent="0.25">
      <c r="A9" s="27">
        <v>46190</v>
      </c>
      <c r="B9" s="11" t="s">
        <v>34</v>
      </c>
      <c r="C9" s="26">
        <v>359477634049081</v>
      </c>
      <c r="D9" s="11" t="s">
        <v>311</v>
      </c>
      <c r="E9" s="11">
        <v>3025.31</v>
      </c>
      <c r="F9" s="11">
        <v>2600</v>
      </c>
      <c r="G9" s="11">
        <f>E9-F9</f>
        <v>425.30999999999995</v>
      </c>
      <c r="H9" s="16">
        <f>(E9-F9)/F9</f>
        <v>0.1635807692307692</v>
      </c>
      <c r="I9" s="11" t="s">
        <v>35</v>
      </c>
      <c r="J9" s="11"/>
    </row>
    <row r="10" spans="1:10" x14ac:dyDescent="0.25">
      <c r="A10" s="27">
        <v>46192</v>
      </c>
      <c r="B10" s="11" t="s">
        <v>34</v>
      </c>
      <c r="C10" s="26">
        <v>359477633235715</v>
      </c>
      <c r="D10" s="11" t="s">
        <v>331</v>
      </c>
      <c r="E10" s="11">
        <v>3012.65</v>
      </c>
      <c r="F10" s="11">
        <v>2600</v>
      </c>
      <c r="G10" s="11">
        <f>E10-F10</f>
        <v>412.65000000000009</v>
      </c>
      <c r="H10" s="16">
        <f>(E10-F10)/F10</f>
        <v>0.15871153846153849</v>
      </c>
      <c r="I10" s="11" t="s">
        <v>35</v>
      </c>
      <c r="J10" s="11"/>
    </row>
    <row r="11" spans="1:10" x14ac:dyDescent="0.25">
      <c r="A11" s="28">
        <v>46200</v>
      </c>
      <c r="B11" s="19" t="s">
        <v>482</v>
      </c>
      <c r="C11" s="29">
        <v>352905161312222</v>
      </c>
      <c r="D11" s="19"/>
      <c r="E11" s="19">
        <v>1797.46</v>
      </c>
      <c r="F11" s="19">
        <v>2050</v>
      </c>
      <c r="G11" s="19">
        <f>E11-F11</f>
        <v>-252.53999999999996</v>
      </c>
      <c r="H11" s="22">
        <f>(E11-F11)/F11</f>
        <v>-0.123190243902439</v>
      </c>
      <c r="I11" s="19" t="s">
        <v>35</v>
      </c>
      <c r="J11" s="19" t="s">
        <v>55</v>
      </c>
    </row>
    <row r="12" spans="1:10" x14ac:dyDescent="0.25">
      <c r="A12" s="28">
        <v>46200</v>
      </c>
      <c r="B12" s="19" t="s">
        <v>482</v>
      </c>
      <c r="C12" s="29">
        <v>356706681272813</v>
      </c>
      <c r="D12" s="19" t="s">
        <v>17</v>
      </c>
      <c r="E12" s="19">
        <v>1797.46</v>
      </c>
      <c r="F12" s="19">
        <v>2000</v>
      </c>
      <c r="G12" s="19">
        <f>E12-F12</f>
        <v>-202.53999999999996</v>
      </c>
      <c r="H12" s="22">
        <f>(E12-F12)/F12</f>
        <v>-0.10126999999999999</v>
      </c>
      <c r="I12" s="19" t="s">
        <v>35</v>
      </c>
      <c r="J12" s="19" t="s">
        <v>55</v>
      </c>
    </row>
    <row r="13" spans="1:10" x14ac:dyDescent="0.25">
      <c r="A13" s="27">
        <v>46200</v>
      </c>
      <c r="B13" s="11" t="s">
        <v>36</v>
      </c>
      <c r="C13" s="26">
        <v>359178373435016</v>
      </c>
      <c r="D13" s="11" t="s">
        <v>332</v>
      </c>
      <c r="E13" s="11">
        <v>3367.08</v>
      </c>
      <c r="F13" s="11">
        <v>3000</v>
      </c>
      <c r="G13" s="11">
        <f>E13-F13</f>
        <v>367.07999999999993</v>
      </c>
      <c r="H13" s="16">
        <f>(E13-F13)/F13</f>
        <v>0.12235999999999998</v>
      </c>
      <c r="I13" s="11" t="s">
        <v>35</v>
      </c>
      <c r="J13" s="11"/>
    </row>
    <row r="14" spans="1:10" x14ac:dyDescent="0.25">
      <c r="A14" s="27">
        <v>46202</v>
      </c>
      <c r="B14" s="11" t="s">
        <v>554</v>
      </c>
      <c r="C14" s="26">
        <v>355079365252746</v>
      </c>
      <c r="D14" s="11" t="s">
        <v>99</v>
      </c>
      <c r="E14" s="11">
        <v>3253.16</v>
      </c>
      <c r="F14" s="11">
        <v>2700</v>
      </c>
      <c r="G14" s="11">
        <f>E14-F14</f>
        <v>553.15999999999985</v>
      </c>
      <c r="H14" s="16">
        <f>(E14-F14)/F14</f>
        <v>0.20487407407407401</v>
      </c>
      <c r="I14" s="11" t="s">
        <v>35</v>
      </c>
      <c r="J14" s="11"/>
    </row>
    <row r="15" spans="1:10" x14ac:dyDescent="0.25">
      <c r="A15" s="27">
        <v>46202</v>
      </c>
      <c r="B15" s="11" t="s">
        <v>36</v>
      </c>
      <c r="C15" s="26">
        <v>359652124265419</v>
      </c>
      <c r="D15" s="11" t="s">
        <v>555</v>
      </c>
      <c r="E15" s="11">
        <v>3518.98</v>
      </c>
      <c r="F15" s="11">
        <v>3200</v>
      </c>
      <c r="G15" s="11">
        <f>E15-F15</f>
        <v>318.98</v>
      </c>
      <c r="H15" s="16">
        <f>(E15-F15)/F15</f>
        <v>9.9681249999999999E-2</v>
      </c>
      <c r="I15" s="11" t="s">
        <v>35</v>
      </c>
      <c r="J15" s="11"/>
    </row>
    <row r="16" spans="1:10" x14ac:dyDescent="0.25">
      <c r="A16" s="27">
        <v>46175</v>
      </c>
      <c r="B16" s="11" t="s">
        <v>36</v>
      </c>
      <c r="C16" s="26">
        <v>353497858288153</v>
      </c>
      <c r="D16" s="11" t="s">
        <v>37</v>
      </c>
      <c r="E16" s="11">
        <v>3443.03</v>
      </c>
      <c r="F16" s="11">
        <v>2713.2</v>
      </c>
      <c r="G16" s="11">
        <f>E16-F16</f>
        <v>729.83000000000038</v>
      </c>
      <c r="H16" s="16">
        <f>(E16-F16)/F16</f>
        <v>0.26899233377561566</v>
      </c>
      <c r="I16" s="11" t="s">
        <v>31</v>
      </c>
      <c r="J16" s="11"/>
    </row>
    <row r="17" spans="1:10" x14ac:dyDescent="0.25">
      <c r="A17" s="27">
        <v>46175</v>
      </c>
      <c r="B17" s="11" t="s">
        <v>36</v>
      </c>
      <c r="C17" s="26">
        <v>358902514996631</v>
      </c>
      <c r="D17" s="11" t="s">
        <v>37</v>
      </c>
      <c r="E17" s="11">
        <v>3443.03</v>
      </c>
      <c r="F17" s="11">
        <v>3213</v>
      </c>
      <c r="G17" s="11">
        <f>E17-F17</f>
        <v>230.0300000000002</v>
      </c>
      <c r="H17" s="16">
        <f>(E17-F17)/F17</f>
        <v>7.1593526299408711E-2</v>
      </c>
      <c r="I17" s="11" t="s">
        <v>31</v>
      </c>
      <c r="J17" s="11"/>
    </row>
    <row r="18" spans="1:10" x14ac:dyDescent="0.25">
      <c r="A18" s="28">
        <v>46176</v>
      </c>
      <c r="B18" s="19" t="s">
        <v>54</v>
      </c>
      <c r="C18" s="29">
        <v>352355704171646</v>
      </c>
      <c r="D18" s="19" t="s">
        <v>48</v>
      </c>
      <c r="E18" s="19">
        <v>3570</v>
      </c>
      <c r="F18" s="19">
        <v>3659.25</v>
      </c>
      <c r="G18" s="19">
        <f>E18-F18</f>
        <v>-89.25</v>
      </c>
      <c r="H18" s="22">
        <f>(E18-F18)/F18</f>
        <v>-2.4390243902439025E-2</v>
      </c>
      <c r="I18" s="19" t="s">
        <v>31</v>
      </c>
      <c r="J18" s="19" t="s">
        <v>55</v>
      </c>
    </row>
    <row r="19" spans="1:10" x14ac:dyDescent="0.25">
      <c r="A19" s="28">
        <v>46176</v>
      </c>
      <c r="B19" s="19" t="s">
        <v>54</v>
      </c>
      <c r="C19" s="29">
        <v>352355706876119</v>
      </c>
      <c r="D19" s="19" t="s">
        <v>48</v>
      </c>
      <c r="E19" s="19">
        <v>3570</v>
      </c>
      <c r="F19" s="19">
        <v>3659.25</v>
      </c>
      <c r="G19" s="19">
        <f>E19-F19</f>
        <v>-89.25</v>
      </c>
      <c r="H19" s="22">
        <f>(E19-F19)/F19</f>
        <v>-2.4390243902439025E-2</v>
      </c>
      <c r="I19" s="19" t="s">
        <v>31</v>
      </c>
      <c r="J19" s="19" t="s">
        <v>55</v>
      </c>
    </row>
    <row r="20" spans="1:10" x14ac:dyDescent="0.25">
      <c r="A20" s="28">
        <v>46176</v>
      </c>
      <c r="B20" s="19" t="s">
        <v>54</v>
      </c>
      <c r="C20" s="29">
        <v>352355709591491</v>
      </c>
      <c r="D20" s="19" t="s">
        <v>48</v>
      </c>
      <c r="E20" s="19">
        <v>3570</v>
      </c>
      <c r="F20" s="19">
        <v>3659.25</v>
      </c>
      <c r="G20" s="19">
        <f>E20-F20</f>
        <v>-89.25</v>
      </c>
      <c r="H20" s="22">
        <f>(E20-F20)/F20</f>
        <v>-2.4390243902439025E-2</v>
      </c>
      <c r="I20" s="19" t="s">
        <v>31</v>
      </c>
      <c r="J20" s="19" t="s">
        <v>55</v>
      </c>
    </row>
    <row r="21" spans="1:10" x14ac:dyDescent="0.25">
      <c r="A21" s="28">
        <v>46176</v>
      </c>
      <c r="B21" s="19" t="s">
        <v>54</v>
      </c>
      <c r="C21" s="29">
        <v>352355709841441</v>
      </c>
      <c r="D21" s="19" t="s">
        <v>48</v>
      </c>
      <c r="E21" s="19">
        <v>3570</v>
      </c>
      <c r="F21" s="19">
        <v>3677.1</v>
      </c>
      <c r="G21" s="19">
        <f>E21-F21</f>
        <v>-107.09999999999991</v>
      </c>
      <c r="H21" s="22">
        <f>(E21-F21)/F21</f>
        <v>-2.9126213592232986E-2</v>
      </c>
      <c r="I21" s="19" t="s">
        <v>31</v>
      </c>
      <c r="J21" s="19" t="s">
        <v>55</v>
      </c>
    </row>
    <row r="22" spans="1:10" x14ac:dyDescent="0.25">
      <c r="A22" s="27">
        <v>46177</v>
      </c>
      <c r="B22" s="11" t="s">
        <v>90</v>
      </c>
      <c r="C22" s="26">
        <v>351682397269283</v>
      </c>
      <c r="D22" s="11" t="s">
        <v>91</v>
      </c>
      <c r="E22" s="11">
        <v>1493.67</v>
      </c>
      <c r="F22" s="11">
        <v>999.6</v>
      </c>
      <c r="G22" s="11">
        <f>E22-F22</f>
        <v>494.07000000000005</v>
      </c>
      <c r="H22" s="16">
        <f>(E22-F22)/F22</f>
        <v>0.49426770708283319</v>
      </c>
      <c r="I22" s="11" t="s">
        <v>31</v>
      </c>
      <c r="J22" s="11"/>
    </row>
    <row r="23" spans="1:10" x14ac:dyDescent="0.25">
      <c r="A23" s="27">
        <v>46177</v>
      </c>
      <c r="B23" s="11" t="s">
        <v>95</v>
      </c>
      <c r="C23" s="26">
        <v>350795045818052</v>
      </c>
      <c r="D23" s="11" t="s">
        <v>96</v>
      </c>
      <c r="E23" s="11">
        <v>3316.45</v>
      </c>
      <c r="F23" s="11">
        <v>2748.9</v>
      </c>
      <c r="G23" s="11">
        <f>E23-F23</f>
        <v>567.54999999999973</v>
      </c>
      <c r="H23" s="16">
        <f>(E23-F23)/F23</f>
        <v>0.20646440394339544</v>
      </c>
      <c r="I23" s="11" t="s">
        <v>31</v>
      </c>
      <c r="J23" s="11"/>
    </row>
    <row r="24" spans="1:10" x14ac:dyDescent="0.25">
      <c r="A24" s="27">
        <v>46177</v>
      </c>
      <c r="B24" s="11" t="s">
        <v>34</v>
      </c>
      <c r="C24" s="26">
        <v>354956974060332</v>
      </c>
      <c r="D24" s="11" t="s">
        <v>97</v>
      </c>
      <c r="E24" s="11">
        <v>3139.24</v>
      </c>
      <c r="F24" s="11">
        <v>2677.5</v>
      </c>
      <c r="G24" s="11">
        <f>E24-F24</f>
        <v>461.73999999999978</v>
      </c>
      <c r="H24" s="16">
        <f>(E24-F24)/F24</f>
        <v>0.17245191409897284</v>
      </c>
      <c r="I24" s="11" t="s">
        <v>31</v>
      </c>
      <c r="J24" s="11"/>
    </row>
    <row r="25" spans="1:10" x14ac:dyDescent="0.25">
      <c r="A25" s="27">
        <v>46177</v>
      </c>
      <c r="B25" s="11" t="s">
        <v>36</v>
      </c>
      <c r="C25" s="26">
        <v>357247254328418</v>
      </c>
      <c r="D25" s="11" t="s">
        <v>98</v>
      </c>
      <c r="E25" s="11">
        <v>3291.13</v>
      </c>
      <c r="F25" s="11">
        <v>2998.8</v>
      </c>
      <c r="G25" s="11">
        <f>E25-F25</f>
        <v>292.32999999999993</v>
      </c>
      <c r="H25" s="16">
        <f>(E25-F25)/F25</f>
        <v>9.7482326263838834E-2</v>
      </c>
      <c r="I25" s="11" t="s">
        <v>31</v>
      </c>
      <c r="J25" s="11"/>
    </row>
    <row r="26" spans="1:10" x14ac:dyDescent="0.25">
      <c r="A26" s="27">
        <v>46177</v>
      </c>
      <c r="B26" s="11" t="s">
        <v>36</v>
      </c>
      <c r="C26" s="26">
        <v>357329443565710</v>
      </c>
      <c r="D26" s="11" t="s">
        <v>37</v>
      </c>
      <c r="E26" s="11">
        <v>3392.4</v>
      </c>
      <c r="F26" s="11">
        <v>3248.7</v>
      </c>
      <c r="G26" s="11">
        <f>E26-F26</f>
        <v>143.70000000000027</v>
      </c>
      <c r="H26" s="16">
        <f>(E26-F26)/F26</f>
        <v>4.4233077846523312E-2</v>
      </c>
      <c r="I26" s="11" t="s">
        <v>31</v>
      </c>
      <c r="J26" s="11"/>
    </row>
    <row r="27" spans="1:10" x14ac:dyDescent="0.25">
      <c r="A27" s="27">
        <v>46177</v>
      </c>
      <c r="B27" s="11" t="s">
        <v>36</v>
      </c>
      <c r="C27" s="26">
        <v>357329448436974</v>
      </c>
      <c r="D27" s="11" t="s">
        <v>99</v>
      </c>
      <c r="E27" s="11">
        <v>3354.43</v>
      </c>
      <c r="F27" s="11">
        <v>3177.3</v>
      </c>
      <c r="G27" s="11">
        <f>E27-F27</f>
        <v>177.12999999999965</v>
      </c>
      <c r="H27" s="16">
        <f>(E27-F27)/F27</f>
        <v>5.5748591571459935E-2</v>
      </c>
      <c r="I27" s="11" t="s">
        <v>31</v>
      </c>
      <c r="J27" s="11"/>
    </row>
    <row r="28" spans="1:10" x14ac:dyDescent="0.25">
      <c r="A28" s="27">
        <v>46178</v>
      </c>
      <c r="B28" s="11" t="s">
        <v>90</v>
      </c>
      <c r="C28" s="26">
        <v>351682397748443</v>
      </c>
      <c r="D28" s="11" t="s">
        <v>91</v>
      </c>
      <c r="E28" s="11">
        <v>1493.67</v>
      </c>
      <c r="F28" s="11">
        <v>999.6</v>
      </c>
      <c r="G28" s="11">
        <f>E28-F28</f>
        <v>494.07000000000005</v>
      </c>
      <c r="H28" s="16">
        <f>(E28-F28)/F28</f>
        <v>0.49426770708283319</v>
      </c>
      <c r="I28" s="11" t="s">
        <v>31</v>
      </c>
      <c r="J28" s="11"/>
    </row>
    <row r="29" spans="1:10" x14ac:dyDescent="0.25">
      <c r="A29" s="27">
        <v>46178</v>
      </c>
      <c r="B29" s="11" t="s">
        <v>34</v>
      </c>
      <c r="C29" s="26">
        <v>355079367074833</v>
      </c>
      <c r="D29" s="11" t="s">
        <v>97</v>
      </c>
      <c r="E29" s="11">
        <v>3101.26</v>
      </c>
      <c r="F29" s="11">
        <v>2677.5</v>
      </c>
      <c r="G29" s="11">
        <f>E29-F29</f>
        <v>423.76000000000022</v>
      </c>
      <c r="H29" s="16">
        <f>(E29-F29)/F29</f>
        <v>0.15826704014939316</v>
      </c>
      <c r="I29" s="11" t="s">
        <v>31</v>
      </c>
      <c r="J29" s="11"/>
    </row>
    <row r="30" spans="1:10" x14ac:dyDescent="0.25">
      <c r="A30" s="27">
        <v>46178</v>
      </c>
      <c r="B30" s="11" t="s">
        <v>34</v>
      </c>
      <c r="C30" s="26">
        <v>356245419984696</v>
      </c>
      <c r="D30" s="11" t="s">
        <v>99</v>
      </c>
      <c r="E30" s="11">
        <v>3063.29</v>
      </c>
      <c r="F30" s="11">
        <v>2677.5</v>
      </c>
      <c r="G30" s="11">
        <f>E30-F30</f>
        <v>385.78999999999996</v>
      </c>
      <c r="H30" s="16">
        <f>(E30-F30)/F30</f>
        <v>0.1440859010270775</v>
      </c>
      <c r="I30" s="11" t="s">
        <v>31</v>
      </c>
      <c r="J30" s="11"/>
    </row>
    <row r="31" spans="1:10" x14ac:dyDescent="0.25">
      <c r="A31" s="27">
        <v>46178</v>
      </c>
      <c r="B31" s="11" t="s">
        <v>36</v>
      </c>
      <c r="C31" s="26">
        <v>350035239482591</v>
      </c>
      <c r="D31" s="11" t="s">
        <v>37</v>
      </c>
      <c r="E31" s="11">
        <v>3443.03</v>
      </c>
      <c r="F31" s="11">
        <v>3034.5</v>
      </c>
      <c r="G31" s="11">
        <f>E31-F31</f>
        <v>408.5300000000002</v>
      </c>
      <c r="H31" s="16">
        <f>(E31-F31)/F31</f>
        <v>0.13462843961113863</v>
      </c>
      <c r="I31" s="11" t="s">
        <v>31</v>
      </c>
      <c r="J31" s="11"/>
    </row>
    <row r="32" spans="1:10" x14ac:dyDescent="0.25">
      <c r="A32" s="27">
        <v>46178</v>
      </c>
      <c r="B32" s="11" t="s">
        <v>36</v>
      </c>
      <c r="C32" s="26">
        <v>356392249976268</v>
      </c>
      <c r="D32" s="11" t="s">
        <v>37</v>
      </c>
      <c r="E32" s="11">
        <v>3443.03</v>
      </c>
      <c r="F32" s="11">
        <v>3034.5</v>
      </c>
      <c r="G32" s="11">
        <f>E32-F32</f>
        <v>408.5300000000002</v>
      </c>
      <c r="H32" s="16">
        <f>(E32-F32)/F32</f>
        <v>0.13462843961113863</v>
      </c>
      <c r="I32" s="11" t="s">
        <v>31</v>
      </c>
      <c r="J32" s="11"/>
    </row>
    <row r="33" spans="1:10" x14ac:dyDescent="0.25">
      <c r="A33" s="27">
        <v>46178</v>
      </c>
      <c r="B33" s="11" t="s">
        <v>36</v>
      </c>
      <c r="C33" s="26">
        <v>358434702781393</v>
      </c>
      <c r="D33" s="11" t="s">
        <v>37</v>
      </c>
      <c r="E33" s="11">
        <v>3443.03</v>
      </c>
      <c r="F33" s="11">
        <v>3034.5</v>
      </c>
      <c r="G33" s="11">
        <f>E33-F33</f>
        <v>408.5300000000002</v>
      </c>
      <c r="H33" s="16">
        <f>(E33-F33)/F33</f>
        <v>0.13462843961113863</v>
      </c>
      <c r="I33" s="11" t="s">
        <v>31</v>
      </c>
      <c r="J33" s="11"/>
    </row>
    <row r="34" spans="1:10" x14ac:dyDescent="0.25">
      <c r="A34" s="27">
        <v>46179</v>
      </c>
      <c r="B34" s="11" t="s">
        <v>164</v>
      </c>
      <c r="C34" s="26">
        <v>357208787454352</v>
      </c>
      <c r="D34" s="11" t="s">
        <v>165</v>
      </c>
      <c r="E34" s="11">
        <v>2265.8200000000002</v>
      </c>
      <c r="F34" s="11">
        <v>1892.1</v>
      </c>
      <c r="G34" s="11">
        <f>E34-F34</f>
        <v>373.72000000000025</v>
      </c>
      <c r="H34" s="16">
        <f>(E34-F34)/F34</f>
        <v>0.19751598752708646</v>
      </c>
      <c r="I34" s="11" t="s">
        <v>31</v>
      </c>
      <c r="J34" s="11"/>
    </row>
    <row r="35" spans="1:10" x14ac:dyDescent="0.25">
      <c r="A35" s="27">
        <v>46182</v>
      </c>
      <c r="B35" s="11" t="s">
        <v>92</v>
      </c>
      <c r="C35" s="26">
        <v>351614409967901</v>
      </c>
      <c r="D35" s="11" t="s">
        <v>205</v>
      </c>
      <c r="E35" s="11">
        <v>2455.69</v>
      </c>
      <c r="F35" s="11">
        <v>2106.3000000000002</v>
      </c>
      <c r="G35" s="11">
        <f>E35-F35</f>
        <v>349.38999999999987</v>
      </c>
      <c r="H35" s="16">
        <f>(E35-F35)/F35</f>
        <v>0.16587855481175515</v>
      </c>
      <c r="I35" s="11" t="s">
        <v>31</v>
      </c>
      <c r="J35" s="11"/>
    </row>
    <row r="36" spans="1:10" x14ac:dyDescent="0.25">
      <c r="A36" s="27">
        <v>46182</v>
      </c>
      <c r="B36" s="11" t="s">
        <v>34</v>
      </c>
      <c r="C36" s="26">
        <v>355832519971417</v>
      </c>
      <c r="D36" s="11" t="s">
        <v>207</v>
      </c>
      <c r="E36" s="11">
        <v>3227.84</v>
      </c>
      <c r="F36" s="11">
        <v>2677.5</v>
      </c>
      <c r="G36" s="11">
        <f>E36-F36</f>
        <v>550.34000000000015</v>
      </c>
      <c r="H36" s="16">
        <f>(E36-F36)/F36</f>
        <v>0.20554248366013078</v>
      </c>
      <c r="I36" s="11" t="s">
        <v>31</v>
      </c>
      <c r="J36" s="11"/>
    </row>
    <row r="37" spans="1:10" x14ac:dyDescent="0.25">
      <c r="A37" s="27">
        <v>46182</v>
      </c>
      <c r="B37" s="11" t="s">
        <v>36</v>
      </c>
      <c r="C37" s="26">
        <v>355246652904624</v>
      </c>
      <c r="D37" s="11"/>
      <c r="E37" s="11">
        <v>3392.4</v>
      </c>
      <c r="F37" s="11">
        <v>3257.8</v>
      </c>
      <c r="G37" s="11">
        <f>E37-F37</f>
        <v>134.59999999999991</v>
      </c>
      <c r="H37" s="16">
        <f>(E37-F37)/F37</f>
        <v>4.131622567376754E-2</v>
      </c>
      <c r="I37" s="11" t="s">
        <v>31</v>
      </c>
      <c r="J37" s="11"/>
    </row>
    <row r="38" spans="1:10" x14ac:dyDescent="0.25">
      <c r="A38" s="27">
        <v>46182</v>
      </c>
      <c r="B38" s="11" t="s">
        <v>36</v>
      </c>
      <c r="C38" s="26">
        <v>357329447094428</v>
      </c>
      <c r="D38" s="11" t="s">
        <v>37</v>
      </c>
      <c r="E38" s="11">
        <v>3417.72</v>
      </c>
      <c r="F38" s="11">
        <v>3034.5</v>
      </c>
      <c r="G38" s="11">
        <f>E38-F38</f>
        <v>383.2199999999998</v>
      </c>
      <c r="H38" s="16">
        <f>(E38-F38)/F38</f>
        <v>0.12628769154720706</v>
      </c>
      <c r="I38" s="11" t="s">
        <v>31</v>
      </c>
      <c r="J38" s="11"/>
    </row>
    <row r="39" spans="1:10" x14ac:dyDescent="0.25">
      <c r="A39" s="27">
        <v>46188</v>
      </c>
      <c r="B39" s="11" t="s">
        <v>34</v>
      </c>
      <c r="C39" s="26">
        <v>352440635277744</v>
      </c>
      <c r="D39" s="11" t="s">
        <v>37</v>
      </c>
      <c r="E39" s="11">
        <v>3000</v>
      </c>
      <c r="F39" s="11">
        <v>2891.7</v>
      </c>
      <c r="G39" s="11">
        <f>E39-F39</f>
        <v>108.30000000000018</v>
      </c>
      <c r="H39" s="16">
        <f>(E39-F39)/F39</f>
        <v>3.7452017844174769E-2</v>
      </c>
      <c r="I39" s="11" t="s">
        <v>31</v>
      </c>
      <c r="J39" s="11"/>
    </row>
    <row r="40" spans="1:10" x14ac:dyDescent="0.25">
      <c r="A40" s="27">
        <v>46189</v>
      </c>
      <c r="B40" s="11" t="s">
        <v>34</v>
      </c>
      <c r="C40" s="26">
        <v>355820205154547</v>
      </c>
      <c r="D40" s="11" t="s">
        <v>97</v>
      </c>
      <c r="E40" s="11">
        <v>3063.29</v>
      </c>
      <c r="F40" s="11">
        <v>2677.5</v>
      </c>
      <c r="G40" s="11">
        <f>E40-F40</f>
        <v>385.78999999999996</v>
      </c>
      <c r="H40" s="16">
        <f>(E40-F40)/F40</f>
        <v>0.1440859010270775</v>
      </c>
      <c r="I40" s="11" t="s">
        <v>31</v>
      </c>
      <c r="J40" s="11"/>
    </row>
    <row r="41" spans="1:10" x14ac:dyDescent="0.25">
      <c r="A41" s="27">
        <v>46192</v>
      </c>
      <c r="B41" s="11" t="s">
        <v>329</v>
      </c>
      <c r="C41" s="26">
        <v>352551952296362</v>
      </c>
      <c r="D41" s="11" t="s">
        <v>330</v>
      </c>
      <c r="E41" s="11">
        <v>2025.31</v>
      </c>
      <c r="F41" s="11">
        <v>1700.5</v>
      </c>
      <c r="G41" s="11">
        <f>E41-F41</f>
        <v>324.80999999999995</v>
      </c>
      <c r="H41" s="16">
        <f>(E41-F41)/F41</f>
        <v>0.19100852690385178</v>
      </c>
      <c r="I41" s="11" t="s">
        <v>31</v>
      </c>
      <c r="J41" s="11"/>
    </row>
    <row r="42" spans="1:10" x14ac:dyDescent="0.25">
      <c r="A42" s="27">
        <v>46193</v>
      </c>
      <c r="B42" s="11" t="s">
        <v>329</v>
      </c>
      <c r="C42" s="26">
        <v>358606711541302</v>
      </c>
      <c r="D42" s="11" t="s">
        <v>416</v>
      </c>
      <c r="E42" s="11">
        <v>2025.31</v>
      </c>
      <c r="F42" s="11">
        <v>1356.6</v>
      </c>
      <c r="G42" s="11">
        <f>E42-F42</f>
        <v>668.71</v>
      </c>
      <c r="H42" s="16">
        <f>(E42-F42)/F42</f>
        <v>0.49293085655314761</v>
      </c>
      <c r="I42" s="11" t="s">
        <v>31</v>
      </c>
      <c r="J42" s="11"/>
    </row>
    <row r="43" spans="1:10" x14ac:dyDescent="0.25">
      <c r="A43" s="27">
        <v>46202</v>
      </c>
      <c r="B43" s="11" t="s">
        <v>550</v>
      </c>
      <c r="C43" s="26" t="s">
        <v>551</v>
      </c>
      <c r="D43" s="11" t="s">
        <v>17</v>
      </c>
      <c r="E43" s="11">
        <v>734.17</v>
      </c>
      <c r="F43" s="11">
        <v>714</v>
      </c>
      <c r="G43" s="11">
        <f>E43-F43</f>
        <v>20.169999999999959</v>
      </c>
      <c r="H43" s="16">
        <f>(E43-F43)/F43</f>
        <v>2.8249299719887898E-2</v>
      </c>
      <c r="I43" s="11" t="s">
        <v>31</v>
      </c>
      <c r="J43" s="11"/>
    </row>
    <row r="44" spans="1:10" x14ac:dyDescent="0.25">
      <c r="A44" s="17">
        <v>46203</v>
      </c>
      <c r="B44" s="11" t="s">
        <v>36</v>
      </c>
      <c r="C44" s="14">
        <v>353427330787076</v>
      </c>
      <c r="D44" s="11" t="s">
        <v>555</v>
      </c>
      <c r="E44" s="11">
        <v>3518.98</v>
      </c>
      <c r="F44" s="11">
        <v>3105.9</v>
      </c>
      <c r="G44" s="11">
        <f>E44-F44</f>
        <v>413.07999999999993</v>
      </c>
      <c r="H44" s="16">
        <f>(E44-F44)/F44</f>
        <v>0.13299848675102222</v>
      </c>
      <c r="I44" s="11" t="s">
        <v>31</v>
      </c>
      <c r="J44" s="11"/>
    </row>
    <row r="45" spans="1:10" x14ac:dyDescent="0.25">
      <c r="A45" s="17">
        <v>46203</v>
      </c>
      <c r="B45" s="11" t="s">
        <v>36</v>
      </c>
      <c r="C45" s="14">
        <v>350651441751316</v>
      </c>
      <c r="D45" s="11" t="s">
        <v>563</v>
      </c>
      <c r="E45" s="11">
        <v>4784.8100000000004</v>
      </c>
      <c r="F45" s="15">
        <v>4676.7909090909097</v>
      </c>
      <c r="G45" s="15">
        <f>E45-F45</f>
        <v>108.01909090909066</v>
      </c>
      <c r="H45" s="16">
        <f>(E45-F45)/F45</f>
        <v>2.3096839907706668E-2</v>
      </c>
      <c r="I45" s="11" t="s">
        <v>18</v>
      </c>
      <c r="J45" s="11"/>
    </row>
    <row r="46" spans="1:10" x14ac:dyDescent="0.25">
      <c r="E46" s="32" t="s">
        <v>567</v>
      </c>
      <c r="F46" s="32" t="s">
        <v>574</v>
      </c>
      <c r="G46" s="32" t="s">
        <v>575</v>
      </c>
      <c r="H46" s="33" t="s">
        <v>572</v>
      </c>
    </row>
    <row r="47" spans="1:10" x14ac:dyDescent="0.25">
      <c r="E47" s="5">
        <f t="shared" ref="E47:G47" si="0">SUM(E2:E46)</f>
        <v>132444.34999999998</v>
      </c>
      <c r="F47" s="42">
        <f t="shared" si="0"/>
        <v>119693.16090909092</v>
      </c>
      <c r="G47" s="42">
        <f t="shared" si="0"/>
        <v>12751.189090909093</v>
      </c>
      <c r="H47" s="43">
        <f>AVERAGE(H2:H46)</f>
        <v>0.31059634475706616</v>
      </c>
    </row>
    <row r="50" spans="3:3" x14ac:dyDescent="0.25">
      <c r="C50" s="35"/>
    </row>
    <row r="51" spans="3:3" x14ac:dyDescent="0.25">
      <c r="C51" s="35"/>
    </row>
    <row r="52" spans="3:3" x14ac:dyDescent="0.25">
      <c r="C52" s="35"/>
    </row>
    <row r="53" spans="3:3" x14ac:dyDescent="0.25">
      <c r="C53" s="36"/>
    </row>
    <row r="54" spans="3:3" x14ac:dyDescent="0.25">
      <c r="C54" s="35"/>
    </row>
    <row r="55" spans="3:3" x14ac:dyDescent="0.25">
      <c r="C55" s="35"/>
    </row>
    <row r="56" spans="3:3" x14ac:dyDescent="0.25">
      <c r="C56" s="35"/>
    </row>
    <row r="57" spans="3:3" x14ac:dyDescent="0.25">
      <c r="C57" s="35"/>
    </row>
    <row r="58" spans="3:3" x14ac:dyDescent="0.25">
      <c r="C58" s="35"/>
    </row>
    <row r="59" spans="3:3" x14ac:dyDescent="0.25">
      <c r="C59" s="35"/>
    </row>
    <row r="60" spans="3:3" x14ac:dyDescent="0.25">
      <c r="C60" s="35"/>
    </row>
    <row r="61" spans="3:3" x14ac:dyDescent="0.25">
      <c r="C61" s="35"/>
    </row>
    <row r="62" spans="3:3" x14ac:dyDescent="0.25">
      <c r="C62" s="36"/>
    </row>
    <row r="63" spans="3:3" x14ac:dyDescent="0.25">
      <c r="C63" s="35"/>
    </row>
    <row r="64" spans="3:3" x14ac:dyDescent="0.25">
      <c r="C64" s="35"/>
    </row>
    <row r="65" spans="3:3" x14ac:dyDescent="0.25">
      <c r="C65" s="35"/>
    </row>
    <row r="66" spans="3:3" x14ac:dyDescent="0.25">
      <c r="C66" s="35"/>
    </row>
    <row r="67" spans="3:3" x14ac:dyDescent="0.25">
      <c r="C67" s="35"/>
    </row>
    <row r="68" spans="3:3" x14ac:dyDescent="0.25">
      <c r="C68" s="35"/>
    </row>
    <row r="69" spans="3:3" x14ac:dyDescent="0.25">
      <c r="C69" s="36"/>
    </row>
    <row r="70" spans="3:3" x14ac:dyDescent="0.25">
      <c r="C70" s="35"/>
    </row>
    <row r="71" spans="3:3" x14ac:dyDescent="0.25">
      <c r="C71" s="36"/>
    </row>
    <row r="72" spans="3:3" x14ac:dyDescent="0.25">
      <c r="C72" s="35"/>
    </row>
    <row r="73" spans="3:3" x14ac:dyDescent="0.25">
      <c r="C73" s="35"/>
    </row>
    <row r="74" spans="3:3" x14ac:dyDescent="0.25">
      <c r="C74" s="35"/>
    </row>
    <row r="75" spans="3:3" x14ac:dyDescent="0.25">
      <c r="C75" s="35"/>
    </row>
    <row r="76" spans="3:3" x14ac:dyDescent="0.25">
      <c r="C76" s="35"/>
    </row>
    <row r="77" spans="3:3" x14ac:dyDescent="0.25">
      <c r="C77" s="36"/>
    </row>
    <row r="78" spans="3:3" x14ac:dyDescent="0.25">
      <c r="C78" s="35"/>
    </row>
    <row r="79" spans="3:3" x14ac:dyDescent="0.25">
      <c r="C79" s="36"/>
    </row>
    <row r="80" spans="3:3" x14ac:dyDescent="0.25">
      <c r="C80" s="36"/>
    </row>
    <row r="81" spans="3:3" x14ac:dyDescent="0.25">
      <c r="C81" s="35"/>
    </row>
    <row r="82" spans="3:3" x14ac:dyDescent="0.25">
      <c r="C82" s="36"/>
    </row>
    <row r="83" spans="3:3" x14ac:dyDescent="0.25">
      <c r="C83" s="35"/>
    </row>
    <row r="84" spans="3:3" x14ac:dyDescent="0.25">
      <c r="C84" s="35"/>
    </row>
    <row r="85" spans="3:3" x14ac:dyDescent="0.25">
      <c r="C85" s="35"/>
    </row>
    <row r="86" spans="3:3" x14ac:dyDescent="0.25">
      <c r="C86" s="35"/>
    </row>
    <row r="87" spans="3:3" x14ac:dyDescent="0.25">
      <c r="C87" s="36"/>
    </row>
    <row r="88" spans="3:3" x14ac:dyDescent="0.25">
      <c r="C88" s="35"/>
    </row>
    <row r="89" spans="3:3" x14ac:dyDescent="0.25">
      <c r="C89" s="35"/>
    </row>
    <row r="90" spans="3:3" x14ac:dyDescent="0.25">
      <c r="C90" s="35"/>
    </row>
    <row r="91" spans="3:3" x14ac:dyDescent="0.25">
      <c r="C91" s="36"/>
    </row>
    <row r="92" spans="3:3" x14ac:dyDescent="0.25">
      <c r="C92" s="35"/>
    </row>
    <row r="93" spans="3:3" x14ac:dyDescent="0.25">
      <c r="C93" s="36"/>
    </row>
    <row r="94" spans="3:3" x14ac:dyDescent="0.25">
      <c r="C94" s="35"/>
    </row>
    <row r="95" spans="3:3" x14ac:dyDescent="0.25">
      <c r="C95" s="35"/>
    </row>
    <row r="96" spans="3:3" x14ac:dyDescent="0.25">
      <c r="C96" s="35"/>
    </row>
    <row r="97" spans="3:3" x14ac:dyDescent="0.25">
      <c r="C97" s="36"/>
    </row>
    <row r="98" spans="3:3" x14ac:dyDescent="0.25">
      <c r="C98" s="35"/>
    </row>
    <row r="99" spans="3:3" x14ac:dyDescent="0.25">
      <c r="C99" s="35"/>
    </row>
    <row r="100" spans="3:3" x14ac:dyDescent="0.25">
      <c r="C100" s="35"/>
    </row>
    <row r="101" spans="3:3" x14ac:dyDescent="0.25">
      <c r="C101" s="36"/>
    </row>
    <row r="102" spans="3:3" x14ac:dyDescent="0.25">
      <c r="C102" s="35"/>
    </row>
    <row r="103" spans="3:3" x14ac:dyDescent="0.25">
      <c r="C103" s="35"/>
    </row>
  </sheetData>
  <conditionalFormatting sqref="C2:C3">
    <cfRule type="duplicateValues" dxfId="37" priority="37"/>
  </conditionalFormatting>
  <conditionalFormatting sqref="C4:C5">
    <cfRule type="duplicateValues" dxfId="36" priority="36"/>
  </conditionalFormatting>
  <conditionalFormatting sqref="C4:C5">
    <cfRule type="duplicateValues" dxfId="35" priority="35"/>
  </conditionalFormatting>
  <conditionalFormatting sqref="C6:C9">
    <cfRule type="duplicateValues" dxfId="34" priority="34"/>
  </conditionalFormatting>
  <conditionalFormatting sqref="C6:C9">
    <cfRule type="duplicateValues" dxfId="33" priority="33"/>
  </conditionalFormatting>
  <conditionalFormatting sqref="C10">
    <cfRule type="duplicateValues" dxfId="32" priority="32"/>
  </conditionalFormatting>
  <conditionalFormatting sqref="C10">
    <cfRule type="duplicateValues" dxfId="31" priority="31"/>
  </conditionalFormatting>
  <conditionalFormatting sqref="C11:C12">
    <cfRule type="duplicateValues" dxfId="30" priority="30"/>
  </conditionalFormatting>
  <conditionalFormatting sqref="C11:C12">
    <cfRule type="duplicateValues" dxfId="29" priority="29"/>
  </conditionalFormatting>
  <conditionalFormatting sqref="C13:C15">
    <cfRule type="duplicateValues" dxfId="28" priority="28"/>
  </conditionalFormatting>
  <conditionalFormatting sqref="C13:C15">
    <cfRule type="duplicateValues" dxfId="27" priority="27"/>
  </conditionalFormatting>
  <conditionalFormatting sqref="C16:C17">
    <cfRule type="duplicateValues" dxfId="26" priority="26"/>
  </conditionalFormatting>
  <conditionalFormatting sqref="C16:C17">
    <cfRule type="duplicateValues" dxfId="25" priority="25"/>
  </conditionalFormatting>
  <conditionalFormatting sqref="C18">
    <cfRule type="duplicateValues" dxfId="24" priority="24"/>
  </conditionalFormatting>
  <conditionalFormatting sqref="C18">
    <cfRule type="duplicateValues" dxfId="23" priority="23"/>
  </conditionalFormatting>
  <conditionalFormatting sqref="C19">
    <cfRule type="duplicateValues" dxfId="22" priority="22"/>
  </conditionalFormatting>
  <conditionalFormatting sqref="C19">
    <cfRule type="duplicateValues" dxfId="21" priority="21"/>
  </conditionalFormatting>
  <conditionalFormatting sqref="C20:C21">
    <cfRule type="duplicateValues" dxfId="20" priority="20"/>
  </conditionalFormatting>
  <conditionalFormatting sqref="C20:C21">
    <cfRule type="duplicateValues" dxfId="19" priority="19"/>
  </conditionalFormatting>
  <conditionalFormatting sqref="C22:C27">
    <cfRule type="duplicateValues" dxfId="18" priority="18"/>
  </conditionalFormatting>
  <conditionalFormatting sqref="C22:C27">
    <cfRule type="duplicateValues" dxfId="17" priority="17"/>
  </conditionalFormatting>
  <conditionalFormatting sqref="C28:C33">
    <cfRule type="duplicateValues" dxfId="16" priority="16"/>
  </conditionalFormatting>
  <conditionalFormatting sqref="C28:C33">
    <cfRule type="duplicateValues" dxfId="15" priority="15"/>
  </conditionalFormatting>
  <conditionalFormatting sqref="C34">
    <cfRule type="duplicateValues" dxfId="14" priority="14"/>
  </conditionalFormatting>
  <conditionalFormatting sqref="C34">
    <cfRule type="duplicateValues" dxfId="13" priority="13"/>
  </conditionalFormatting>
  <conditionalFormatting sqref="C35:C38">
    <cfRule type="duplicateValues" dxfId="12" priority="12"/>
  </conditionalFormatting>
  <conditionalFormatting sqref="C35:C38">
    <cfRule type="duplicateValues" dxfId="11" priority="11"/>
  </conditionalFormatting>
  <conditionalFormatting sqref="C39:C42">
    <cfRule type="duplicateValues" dxfId="10" priority="10"/>
  </conditionalFormatting>
  <conditionalFormatting sqref="C39:C42">
    <cfRule type="duplicateValues" dxfId="9" priority="9"/>
  </conditionalFormatting>
  <conditionalFormatting sqref="C43">
    <cfRule type="duplicateValues" dxfId="8" priority="8"/>
  </conditionalFormatting>
  <conditionalFormatting sqref="C43">
    <cfRule type="duplicateValues" dxfId="7" priority="7"/>
  </conditionalFormatting>
  <conditionalFormatting sqref="C44">
    <cfRule type="duplicateValues" dxfId="6" priority="6"/>
  </conditionalFormatting>
  <conditionalFormatting sqref="C44">
    <cfRule type="duplicateValues" dxfId="5" priority="5"/>
  </conditionalFormatting>
  <conditionalFormatting sqref="C50:C103">
    <cfRule type="duplicateValues" dxfId="4" priority="4"/>
  </conditionalFormatting>
  <conditionalFormatting sqref="C1:C44 C46:C1048576">
    <cfRule type="duplicateValues" dxfId="3" priority="3"/>
  </conditionalFormatting>
  <conditionalFormatting sqref="C45">
    <cfRule type="duplicateValues" dxfId="2" priority="2"/>
  </conditionalFormatting>
  <conditionalFormatting sqref="C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Australia</vt:lpstr>
      <vt:lpstr>NewZealand</vt:lpstr>
      <vt:lpstr>ST USA</vt:lpstr>
      <vt:lpstr>USA </vt:lpstr>
      <vt:lpstr>Karachi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2026-06-30T16:49:57Z</dcterms:created>
  <dcterms:modified xsi:type="dcterms:W3CDTF">2026-07-01T13:48:54Z</dcterms:modified>
</cp:coreProperties>
</file>