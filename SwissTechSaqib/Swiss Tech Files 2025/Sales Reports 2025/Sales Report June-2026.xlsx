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4D93170D-8994-426E-8834-C90E9E6D7D0C}" xr6:coauthVersionLast="47" xr6:coauthVersionMax="47" xr10:uidLastSave="{00000000-0000-0000-0000-000000000000}"/>
  <bookViews>
    <workbookView xWindow="-120" yWindow="-120" windowWidth="29040" windowHeight="15720" activeTab="1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8" i="2" l="1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0" i="2" s="1"/>
</calcChain>
</file>

<file path=xl/sharedStrings.xml><?xml version="1.0" encoding="utf-8"?>
<sst xmlns="http://schemas.openxmlformats.org/spreadsheetml/2006/main" count="5183" uniqueCount="594">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</sst>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5" fillId="0" borderId="0" xfId="0" applyFont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AF396E0-14CD-4B92-AB27-039AE1E776EB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4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0"/>
  <sheetViews>
    <sheetView tabSelected="1" topLeftCell="A200" workbookViewId="0">
      <selection activeCell="D225" sqref="D225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>F2/11</f>
        <v>92.122727272727275</v>
      </c>
      <c r="H2" s="13">
        <f>F2-G2</f>
        <v>921.22727272727275</v>
      </c>
      <c r="I2" s="13">
        <f>E2-H2</f>
        <v>338.77272727272725</v>
      </c>
      <c r="J2" s="14">
        <f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>F3/11</f>
        <v>92.122727272727275</v>
      </c>
      <c r="H3" s="13">
        <f>F3-G3</f>
        <v>921.22727272727275</v>
      </c>
      <c r="I3" s="13">
        <f>E3-H3</f>
        <v>338.77272727272725</v>
      </c>
      <c r="J3" s="14">
        <f>(E3-H3)/H3</f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>F4/11</f>
        <v>92.122727272727275</v>
      </c>
      <c r="H4" s="13">
        <f>F4-G4</f>
        <v>921.22727272727275</v>
      </c>
      <c r="I4" s="13">
        <f>E4-H4</f>
        <v>338.77272727272725</v>
      </c>
      <c r="J4" s="14">
        <f>(E4-H4)/H4</f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>F5/11</f>
        <v>92.122727272727275</v>
      </c>
      <c r="H5" s="13">
        <f>F5-G5</f>
        <v>921.22727272727275</v>
      </c>
      <c r="I5" s="13">
        <f>E5-H5</f>
        <v>338.77272727272725</v>
      </c>
      <c r="J5" s="14">
        <f>(E5-H5)/H5</f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>F6/11</f>
        <v>92.122727272727275</v>
      </c>
      <c r="H6" s="13">
        <f>F6-G6</f>
        <v>921.22727272727275</v>
      </c>
      <c r="I6" s="13">
        <f>E6-H6</f>
        <v>338.77272727272725</v>
      </c>
      <c r="J6" s="14">
        <f>(E6-H6)/H6</f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>F7/11</f>
        <v>92.122727272727275</v>
      </c>
      <c r="H7" s="13">
        <f>F7-G7</f>
        <v>921.22727272727275</v>
      </c>
      <c r="I7" s="13">
        <f>E7-H7</f>
        <v>338.77272727272725</v>
      </c>
      <c r="J7" s="14">
        <f>(E7-H7)/H7</f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>F8/11</f>
        <v>92.122727272727275</v>
      </c>
      <c r="H8" s="13">
        <f>F8-G8</f>
        <v>921.22727272727275</v>
      </c>
      <c r="I8" s="13">
        <f>E8-H8</f>
        <v>338.77272727272725</v>
      </c>
      <c r="J8" s="14">
        <f>(E8-H8)/H8</f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>F9/11</f>
        <v>92.122727272727275</v>
      </c>
      <c r="H9" s="13">
        <f>F9-G9</f>
        <v>921.22727272727275</v>
      </c>
      <c r="I9" s="13">
        <f>E9-H9</f>
        <v>338.77272727272725</v>
      </c>
      <c r="J9" s="14">
        <f>(E9-H9)/H9</f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>F10/11</f>
        <v>92.122727272727275</v>
      </c>
      <c r="H10" s="13">
        <f>F10-G10</f>
        <v>921.22727272727275</v>
      </c>
      <c r="I10" s="13">
        <f>E10-H10</f>
        <v>338.77272727272725</v>
      </c>
      <c r="J10" s="14">
        <f>(E10-H10)/H10</f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>F11/11</f>
        <v>92.122727272727275</v>
      </c>
      <c r="H11" s="13">
        <f>F11-G11</f>
        <v>921.22727272727275</v>
      </c>
      <c r="I11" s="13">
        <f>E11-H11</f>
        <v>338.77272727272725</v>
      </c>
      <c r="J11" s="14">
        <f>(E11-H11)/H11</f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>F12/11</f>
        <v>92.122727272727275</v>
      </c>
      <c r="H12" s="13">
        <f>F12-G12</f>
        <v>921.22727272727275</v>
      </c>
      <c r="I12" s="13">
        <f>E12-H12</f>
        <v>338.77272727272725</v>
      </c>
      <c r="J12" s="14">
        <f>(E12-H12)/H12</f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>F13/11</f>
        <v>105.30818181818182</v>
      </c>
      <c r="H13" s="13">
        <f>F13-G13</f>
        <v>1053.0818181818183</v>
      </c>
      <c r="I13" s="13">
        <f>E13-H13</f>
        <v>706.91818181818167</v>
      </c>
      <c r="J13" s="14">
        <f>(E13-H13)/H13</f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>F14/11</f>
        <v>105.30818181818182</v>
      </c>
      <c r="H14" s="13">
        <f>F14-G14</f>
        <v>1053.0818181818183</v>
      </c>
      <c r="I14" s="13">
        <f>E14-H14</f>
        <v>706.91818181818167</v>
      </c>
      <c r="J14" s="14">
        <f>(E14-H14)/H14</f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>F15/11</f>
        <v>105.30818181818182</v>
      </c>
      <c r="H15" s="13">
        <f>F15-G15</f>
        <v>1053.0818181818183</v>
      </c>
      <c r="I15" s="13">
        <f>E15-H15</f>
        <v>706.91818181818167</v>
      </c>
      <c r="J15" s="14">
        <f>(E15-H15)/H15</f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>F16/11</f>
        <v>105.30818181818182</v>
      </c>
      <c r="H16" s="13">
        <f>F16-G16</f>
        <v>1053.0818181818183</v>
      </c>
      <c r="I16" s="13">
        <f>E16-H16</f>
        <v>706.91818181818167</v>
      </c>
      <c r="J16" s="14">
        <f>(E16-H16)/H16</f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>F17/11</f>
        <v>105.30818181818182</v>
      </c>
      <c r="H17" s="13">
        <f>F17-G17</f>
        <v>1053.0818181818183</v>
      </c>
      <c r="I17" s="13">
        <f>E17-H17</f>
        <v>706.91818181818167</v>
      </c>
      <c r="J17" s="14">
        <f>(E17-H17)/H17</f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>F18/11</f>
        <v>105.30818181818182</v>
      </c>
      <c r="H18" s="13">
        <f>F18-G18</f>
        <v>1053.0818181818183</v>
      </c>
      <c r="I18" s="13">
        <f>E18-H18</f>
        <v>706.91818181818167</v>
      </c>
      <c r="J18" s="14">
        <f>(E18-H18)/H18</f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>F19/11</f>
        <v>137.57909090909089</v>
      </c>
      <c r="H19" s="13">
        <f>F19-G19</f>
        <v>1375.7909090909091</v>
      </c>
      <c r="I19" s="13">
        <f>E19-H19</f>
        <v>657.53909090909087</v>
      </c>
      <c r="J19" s="14">
        <f>(E19-H19)/H19</f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>F20/11</f>
        <v>137.57909090909089</v>
      </c>
      <c r="H20" s="13">
        <f>F20-G20</f>
        <v>1375.7909090909091</v>
      </c>
      <c r="I20" s="13">
        <f>E20-H20</f>
        <v>657.53909090909087</v>
      </c>
      <c r="J20" s="14">
        <f>(E20-H20)/H20</f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>F21/11</f>
        <v>137.57909090909089</v>
      </c>
      <c r="H21" s="13">
        <f>F21-G21</f>
        <v>1375.7909090909091</v>
      </c>
      <c r="I21" s="13">
        <f>E21-H21</f>
        <v>524.20909090909095</v>
      </c>
      <c r="J21" s="14">
        <f>(E21-H21)/H21</f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>F22/11</f>
        <v>137.57909090909089</v>
      </c>
      <c r="H22" s="13">
        <f>F22-G22</f>
        <v>1375.7909090909091</v>
      </c>
      <c r="I22" s="13">
        <f>E22-H22</f>
        <v>524.20909090909095</v>
      </c>
      <c r="J22" s="14">
        <f>(E22-H22)/H22</f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>F23/11</f>
        <v>137.57909090909089</v>
      </c>
      <c r="H23" s="13">
        <f>F23-G23</f>
        <v>1375.7909090909091</v>
      </c>
      <c r="I23" s="13">
        <f>E23-H23</f>
        <v>657.53909090909087</v>
      </c>
      <c r="J23" s="14">
        <f>(E23-H23)/H23</f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>F24/11</f>
        <v>9.0909090909090917</v>
      </c>
      <c r="H24" s="13">
        <f>F24-G24</f>
        <v>90.909090909090907</v>
      </c>
      <c r="I24" s="13">
        <f>E24-H24</f>
        <v>59.090909090909093</v>
      </c>
      <c r="J24" s="14">
        <f>(E24-H24)/H24</f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>F25/11</f>
        <v>9.0909090909090917</v>
      </c>
      <c r="H25" s="13">
        <f>F25-G25</f>
        <v>90.909090909090907</v>
      </c>
      <c r="I25" s="13">
        <f>E25-H25</f>
        <v>59.090909090909093</v>
      </c>
      <c r="J25" s="14">
        <f>(E25-H25)/H25</f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>F26/11</f>
        <v>9.0909090909090917</v>
      </c>
      <c r="H26" s="13">
        <f>F26-G26</f>
        <v>90.909090909090907</v>
      </c>
      <c r="I26" s="13">
        <f>E26-H26</f>
        <v>59.090909090909093</v>
      </c>
      <c r="J26" s="14">
        <f>(E26-H26)/H26</f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>F27/11</f>
        <v>9.0909090909090917</v>
      </c>
      <c r="H27" s="13">
        <f>F27-G27</f>
        <v>90.909090909090907</v>
      </c>
      <c r="I27" s="13">
        <f>E27-H27</f>
        <v>59.090909090909093</v>
      </c>
      <c r="J27" s="14">
        <f>(E27-H27)/H27</f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>F28/11</f>
        <v>189.30999999999997</v>
      </c>
      <c r="H28" s="18">
        <f>F28-G28</f>
        <v>1893.1</v>
      </c>
      <c r="I28" s="18">
        <f>E28-H28</f>
        <v>-193.09999999999991</v>
      </c>
      <c r="J28" s="19">
        <f>(E28-H28)/H28</f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>F29/11</f>
        <v>189.30999999999997</v>
      </c>
      <c r="H29" s="18">
        <f>F29-G29</f>
        <v>1893.1</v>
      </c>
      <c r="I29" s="18">
        <f>E29-H29</f>
        <v>-193.09999999999991</v>
      </c>
      <c r="J29" s="19">
        <f>(E29-H29)/H29</f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>F30/11</f>
        <v>189.30999999999997</v>
      </c>
      <c r="H30" s="18">
        <f>F30-G30</f>
        <v>1893.1</v>
      </c>
      <c r="I30" s="18">
        <f>E30-H30</f>
        <v>-193.09999999999991</v>
      </c>
      <c r="J30" s="19">
        <f>(E30-H30)/H30</f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>F31/11</f>
        <v>189.30999999999997</v>
      </c>
      <c r="H31" s="18">
        <f>F31-G31</f>
        <v>1893.1</v>
      </c>
      <c r="I31" s="18">
        <f>E31-H31</f>
        <v>-193.09999999999991</v>
      </c>
      <c r="J31" s="19">
        <f>(E31-H31)/H31</f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>F32/11</f>
        <v>189.30999999999997</v>
      </c>
      <c r="H32" s="18">
        <f>F32-G32</f>
        <v>1893.1</v>
      </c>
      <c r="I32" s="18">
        <f>E32-H32</f>
        <v>-193.09999999999991</v>
      </c>
      <c r="J32" s="19">
        <f>(E32-H32)/H32</f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>F33/11</f>
        <v>189.30999999999997</v>
      </c>
      <c r="H33" s="18">
        <f>F33-G33</f>
        <v>1893.1</v>
      </c>
      <c r="I33" s="18">
        <f>E33-H33</f>
        <v>-193.09999999999991</v>
      </c>
      <c r="J33" s="19">
        <f>(E33-H33)/H33</f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>F34/11</f>
        <v>189.30999999999997</v>
      </c>
      <c r="H34" s="18">
        <f>F34-G34</f>
        <v>1893.1</v>
      </c>
      <c r="I34" s="18">
        <f>E34-H34</f>
        <v>-193.09999999999991</v>
      </c>
      <c r="J34" s="19">
        <f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>F35/11</f>
        <v>189.30999999999997</v>
      </c>
      <c r="H35" s="18">
        <f>F35-G35</f>
        <v>1893.1</v>
      </c>
      <c r="I35" s="18">
        <f>E35-H35</f>
        <v>-193.09999999999991</v>
      </c>
      <c r="J35" s="19">
        <f>(E35-H35)/H35</f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>F36/11</f>
        <v>189.30999999999997</v>
      </c>
      <c r="H36" s="18">
        <f>F36-G36</f>
        <v>1893.1</v>
      </c>
      <c r="I36" s="18">
        <f>E36-H36</f>
        <v>-193.09999999999991</v>
      </c>
      <c r="J36" s="19">
        <f>(E36-H36)/H36</f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>F37/11</f>
        <v>189.30999999999997</v>
      </c>
      <c r="H37" s="18">
        <f>F37-G37</f>
        <v>1893.1</v>
      </c>
      <c r="I37" s="18">
        <f>E37-H37</f>
        <v>-193.09999999999991</v>
      </c>
      <c r="J37" s="19">
        <f>(E37-H37)/H37</f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>F38/11</f>
        <v>441.48363636363632</v>
      </c>
      <c r="H38" s="13">
        <f>F38-G38</f>
        <v>4414.8363636363638</v>
      </c>
      <c r="I38" s="13">
        <f>E38-H38</f>
        <v>1235.1636363636362</v>
      </c>
      <c r="J38" s="14">
        <f>(E38-H38)/H38</f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>F39/11</f>
        <v>448.03727272727269</v>
      </c>
      <c r="H39" s="13">
        <f>F39-G39</f>
        <v>4480.3727272727274</v>
      </c>
      <c r="I39" s="13">
        <f>E39-H39</f>
        <v>1119.6272727272726</v>
      </c>
      <c r="J39" s="14">
        <f>(E39-H39)/H39</f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>F40/11</f>
        <v>448.03727272727269</v>
      </c>
      <c r="H40" s="13">
        <f>F40-G40</f>
        <v>4480.3727272727274</v>
      </c>
      <c r="I40" s="13">
        <f>E40-H40</f>
        <v>1119.6272727272726</v>
      </c>
      <c r="J40" s="14">
        <f>(E40-H40)/H40</f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>F41/11</f>
        <v>441.48363636363632</v>
      </c>
      <c r="H41" s="13">
        <f>F41-G41</f>
        <v>4414.8363636363638</v>
      </c>
      <c r="I41" s="13">
        <f>E41-H41</f>
        <v>1235.1636363636362</v>
      </c>
      <c r="J41" s="14">
        <f>(E41-H41)/H41</f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>F42/11</f>
        <v>84.394545454545451</v>
      </c>
      <c r="H42" s="13">
        <f>F42-G42</f>
        <v>843.9454545454546</v>
      </c>
      <c r="I42" s="13">
        <f>E42-H42</f>
        <v>491.0545454545454</v>
      </c>
      <c r="J42" s="14">
        <f>(E42-H42)/H42</f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>F43/11</f>
        <v>92.122727272727275</v>
      </c>
      <c r="H43" s="13">
        <f>F43-G43</f>
        <v>921.22727272727275</v>
      </c>
      <c r="I43" s="13">
        <f>E43-H43</f>
        <v>413.77272727272725</v>
      </c>
      <c r="J43" s="14">
        <f>(E43-H43)/H43</f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>F44/11</f>
        <v>92.122727272727275</v>
      </c>
      <c r="H44" s="13">
        <f>F44-G44</f>
        <v>921.22727272727275</v>
      </c>
      <c r="I44" s="13">
        <f>E44-H44</f>
        <v>413.77272727272725</v>
      </c>
      <c r="J44" s="14">
        <f>(E44-H44)/H44</f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>F45/11</f>
        <v>92.621818181818185</v>
      </c>
      <c r="H45" s="13">
        <f>F45-G45</f>
        <v>926.21818181818185</v>
      </c>
      <c r="I45" s="13">
        <f>E45-H45</f>
        <v>408.78181818181815</v>
      </c>
      <c r="J45" s="14">
        <f>(E45-H45)/H45</f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>F46/11</f>
        <v>84.394545454545451</v>
      </c>
      <c r="H46" s="13">
        <f>F46-G46</f>
        <v>843.9454545454546</v>
      </c>
      <c r="I46" s="13">
        <f>E46-H46</f>
        <v>491.0545454545454</v>
      </c>
      <c r="J46" s="14">
        <f>(E46-H46)/H46</f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>F47/11</f>
        <v>92.122727272727275</v>
      </c>
      <c r="H47" s="13">
        <f>F47-G47</f>
        <v>921.22727272727275</v>
      </c>
      <c r="I47" s="13">
        <f>E47-H47</f>
        <v>413.77272727272725</v>
      </c>
      <c r="J47" s="14">
        <f>(E47-H47)/H47</f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>F48/11</f>
        <v>92.122727272727275</v>
      </c>
      <c r="H48" s="13">
        <f>F48-G48</f>
        <v>921.22727272727275</v>
      </c>
      <c r="I48" s="13">
        <f>E48-H48</f>
        <v>413.77272727272725</v>
      </c>
      <c r="J48" s="14">
        <f>(E48-H48)/H48</f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>F49/11</f>
        <v>100.75181818181818</v>
      </c>
      <c r="H49" s="13">
        <f>F49-G49</f>
        <v>1007.5181818181818</v>
      </c>
      <c r="I49" s="13">
        <f>E49-H49</f>
        <v>327.4818181818182</v>
      </c>
      <c r="J49" s="14">
        <f>(E49-H49)/H49</f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>F50/11</f>
        <v>92.122727272727275</v>
      </c>
      <c r="H50" s="13">
        <f>F50-G50</f>
        <v>921.22727272727275</v>
      </c>
      <c r="I50" s="13">
        <f>E50-H50</f>
        <v>413.77272727272725</v>
      </c>
      <c r="J50" s="14">
        <f>(E50-H50)/H50</f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>F51/11</f>
        <v>100.75181818181818</v>
      </c>
      <c r="H51" s="13">
        <f>F51-G51</f>
        <v>1007.5181818181818</v>
      </c>
      <c r="I51" s="13">
        <f>E51-H51</f>
        <v>327.4818181818182</v>
      </c>
      <c r="J51" s="14">
        <f>(E51-H51)/H51</f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>F52/11</f>
        <v>92.122727272727275</v>
      </c>
      <c r="H52" s="13">
        <f>F52-G52</f>
        <v>921.22727272727275</v>
      </c>
      <c r="I52" s="13">
        <f>E52-H52</f>
        <v>413.77272727272725</v>
      </c>
      <c r="J52" s="14">
        <f>(E52-H52)/H52</f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>F53/11</f>
        <v>100.75181818181818</v>
      </c>
      <c r="H53" s="13">
        <f>F53-G53</f>
        <v>1007.5181818181818</v>
      </c>
      <c r="I53" s="13">
        <f>E53-H53</f>
        <v>327.4818181818182</v>
      </c>
      <c r="J53" s="14">
        <f>(E53-H53)/H53</f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>F54/11</f>
        <v>92.122727272727275</v>
      </c>
      <c r="H54" s="13">
        <f>F54-G54</f>
        <v>921.22727272727275</v>
      </c>
      <c r="I54" s="13">
        <f>E54-H54</f>
        <v>413.77272727272725</v>
      </c>
      <c r="J54" s="14">
        <f>(E54-H54)/H54</f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>F55/11</f>
        <v>100.75181818181818</v>
      </c>
      <c r="H55" s="13">
        <f>F55-G55</f>
        <v>1007.5181818181818</v>
      </c>
      <c r="I55" s="13">
        <f>E55-H55</f>
        <v>327.4818181818182</v>
      </c>
      <c r="J55" s="14">
        <f>(E55-H55)/H55</f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>F56/11</f>
        <v>92.122727272727275</v>
      </c>
      <c r="H56" s="13">
        <f>F56-G56</f>
        <v>921.22727272727275</v>
      </c>
      <c r="I56" s="13">
        <f>E56-H56</f>
        <v>413.77272727272725</v>
      </c>
      <c r="J56" s="14">
        <f>(E56-H56)/H56</f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>F57/11</f>
        <v>100.75181818181818</v>
      </c>
      <c r="H57" s="13">
        <f>F57-G57</f>
        <v>1007.5181818181818</v>
      </c>
      <c r="I57" s="13">
        <f>E57-H57</f>
        <v>327.4818181818182</v>
      </c>
      <c r="J57" s="14">
        <f>(E57-H57)/H57</f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>F58/11</f>
        <v>100.75181818181818</v>
      </c>
      <c r="H58" s="13">
        <f>F58-G58</f>
        <v>1007.5181818181818</v>
      </c>
      <c r="I58" s="13">
        <f>E58-H58</f>
        <v>327.4818181818182</v>
      </c>
      <c r="J58" s="14">
        <f>(E58-H58)/H58</f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>F59/11</f>
        <v>84.394545454545451</v>
      </c>
      <c r="H59" s="13">
        <f>F59-G59</f>
        <v>843.9454545454546</v>
      </c>
      <c r="I59" s="13">
        <f>E59-H59</f>
        <v>491.0545454545454</v>
      </c>
      <c r="J59" s="14">
        <f>(E59-H59)/H59</f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>F60/11</f>
        <v>100.75181818181818</v>
      </c>
      <c r="H60" s="13">
        <f>F60-G60</f>
        <v>1007.5181818181818</v>
      </c>
      <c r="I60" s="13">
        <f>E60-H60</f>
        <v>327.4818181818182</v>
      </c>
      <c r="J60" s="14">
        <f>(E60-H60)/H60</f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>F61/11</f>
        <v>92.122727272727275</v>
      </c>
      <c r="H61" s="13">
        <f>F61-G61</f>
        <v>921.22727272727275</v>
      </c>
      <c r="I61" s="13">
        <f>E61-H61</f>
        <v>413.77272727272725</v>
      </c>
      <c r="J61" s="14">
        <f>(E61-H61)/H61</f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>F62/11</f>
        <v>84.394545454545451</v>
      </c>
      <c r="H62" s="13">
        <f>F62-G62</f>
        <v>843.9454545454546</v>
      </c>
      <c r="I62" s="13">
        <f>E62-H62</f>
        <v>491.0545454545454</v>
      </c>
      <c r="J62" s="14">
        <f>(E62-H62)/H62</f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>F63/11</f>
        <v>100.75181818181818</v>
      </c>
      <c r="H63" s="13">
        <f>F63-G63</f>
        <v>1007.5181818181818</v>
      </c>
      <c r="I63" s="13">
        <f>E63-H63</f>
        <v>327.4818181818182</v>
      </c>
      <c r="J63" s="14">
        <f>(E63-H63)/H63</f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>F64/11</f>
        <v>100.75181818181818</v>
      </c>
      <c r="H64" s="13">
        <f>F64-G64</f>
        <v>1007.5181818181818</v>
      </c>
      <c r="I64" s="13">
        <f>E64-H64</f>
        <v>327.4818181818182</v>
      </c>
      <c r="J64" s="14">
        <f>(E64-H64)/H64</f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>F65/11</f>
        <v>92.122727272727275</v>
      </c>
      <c r="H65" s="13">
        <f>F65-G65</f>
        <v>921.22727272727275</v>
      </c>
      <c r="I65" s="13">
        <f>E65-H65</f>
        <v>413.77272727272725</v>
      </c>
      <c r="J65" s="14">
        <f>(E65-H65)/H65</f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>F66/11</f>
        <v>84.394545454545451</v>
      </c>
      <c r="H66" s="13">
        <f>F66-G66</f>
        <v>843.9454545454546</v>
      </c>
      <c r="I66" s="13">
        <f>E66-H66</f>
        <v>491.0545454545454</v>
      </c>
      <c r="J66" s="14">
        <f>(E66-H66)/H66</f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0">F67/11</f>
        <v>92.122727272727275</v>
      </c>
      <c r="H67" s="13">
        <f t="shared" ref="H67:H130" si="1">F67-G67</f>
        <v>921.22727272727275</v>
      </c>
      <c r="I67" s="13">
        <f t="shared" ref="I67:I130" si="2">E67-H67</f>
        <v>413.77272727272725</v>
      </c>
      <c r="J67" s="14">
        <f t="shared" ref="J67:J130" si="3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0"/>
        <v>84.394545454545451</v>
      </c>
      <c r="H68" s="13">
        <f t="shared" si="1"/>
        <v>843.9454545454546</v>
      </c>
      <c r="I68" s="13">
        <f t="shared" si="2"/>
        <v>491.0545454545454</v>
      </c>
      <c r="J68" s="14">
        <f t="shared" si="3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0"/>
        <v>94</v>
      </c>
      <c r="H69" s="13">
        <f t="shared" si="1"/>
        <v>940</v>
      </c>
      <c r="I69" s="13">
        <f t="shared" si="2"/>
        <v>395</v>
      </c>
      <c r="J69" s="14">
        <f t="shared" si="3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0"/>
        <v>94</v>
      </c>
      <c r="H70" s="13">
        <f t="shared" si="1"/>
        <v>940</v>
      </c>
      <c r="I70" s="13">
        <f t="shared" si="2"/>
        <v>395</v>
      </c>
      <c r="J70" s="14">
        <f t="shared" si="3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0"/>
        <v>94</v>
      </c>
      <c r="H71" s="13">
        <f t="shared" si="1"/>
        <v>940</v>
      </c>
      <c r="I71" s="13">
        <f t="shared" si="2"/>
        <v>395</v>
      </c>
      <c r="J71" s="14">
        <f t="shared" si="3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0"/>
        <v>83.924545454545452</v>
      </c>
      <c r="H72" s="13">
        <f t="shared" si="1"/>
        <v>839.24545454545455</v>
      </c>
      <c r="I72" s="13">
        <f t="shared" si="2"/>
        <v>495.75454545454545</v>
      </c>
      <c r="J72" s="14">
        <f t="shared" si="3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0"/>
        <v>83.924545454545452</v>
      </c>
      <c r="H73" s="13">
        <f t="shared" si="1"/>
        <v>839.24545454545455</v>
      </c>
      <c r="I73" s="13">
        <f t="shared" si="2"/>
        <v>495.75454545454545</v>
      </c>
      <c r="J73" s="14">
        <f t="shared" si="3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0"/>
        <v>94</v>
      </c>
      <c r="H74" s="13">
        <f t="shared" si="1"/>
        <v>940</v>
      </c>
      <c r="I74" s="13">
        <f t="shared" si="2"/>
        <v>395</v>
      </c>
      <c r="J74" s="14">
        <f t="shared" si="3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0"/>
        <v>94</v>
      </c>
      <c r="H75" s="13">
        <f t="shared" si="1"/>
        <v>940</v>
      </c>
      <c r="I75" s="13">
        <f t="shared" si="2"/>
        <v>395</v>
      </c>
      <c r="J75" s="14">
        <f t="shared" si="3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0"/>
        <v>94</v>
      </c>
      <c r="H76" s="13">
        <f t="shared" si="1"/>
        <v>940</v>
      </c>
      <c r="I76" s="13">
        <f t="shared" si="2"/>
        <v>395</v>
      </c>
      <c r="J76" s="14">
        <f t="shared" si="3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0"/>
        <v>94</v>
      </c>
      <c r="H77" s="13">
        <f t="shared" si="1"/>
        <v>940</v>
      </c>
      <c r="I77" s="13">
        <f t="shared" si="2"/>
        <v>395</v>
      </c>
      <c r="J77" s="14">
        <f t="shared" si="3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0"/>
        <v>94</v>
      </c>
      <c r="H78" s="13">
        <f t="shared" si="1"/>
        <v>940</v>
      </c>
      <c r="I78" s="13">
        <f t="shared" si="2"/>
        <v>395</v>
      </c>
      <c r="J78" s="14">
        <f t="shared" si="3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0"/>
        <v>94</v>
      </c>
      <c r="H79" s="13">
        <f t="shared" si="1"/>
        <v>940</v>
      </c>
      <c r="I79" s="13">
        <f t="shared" si="2"/>
        <v>395</v>
      </c>
      <c r="J79" s="14">
        <f t="shared" si="3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0"/>
        <v>84.394545454545451</v>
      </c>
      <c r="H80" s="13">
        <f t="shared" si="1"/>
        <v>843.9454545454546</v>
      </c>
      <c r="I80" s="13">
        <f t="shared" si="2"/>
        <v>491.0545454545454</v>
      </c>
      <c r="J80" s="14">
        <f t="shared" si="3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0"/>
        <v>94</v>
      </c>
      <c r="H81" s="13">
        <f t="shared" si="1"/>
        <v>940</v>
      </c>
      <c r="I81" s="13">
        <f t="shared" si="2"/>
        <v>395</v>
      </c>
      <c r="J81" s="14">
        <f t="shared" si="3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0"/>
        <v>94</v>
      </c>
      <c r="H82" s="13">
        <f t="shared" si="1"/>
        <v>940</v>
      </c>
      <c r="I82" s="13">
        <f t="shared" si="2"/>
        <v>395</v>
      </c>
      <c r="J82" s="14">
        <f t="shared" si="3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0"/>
        <v>94</v>
      </c>
      <c r="H83" s="13">
        <f t="shared" si="1"/>
        <v>940</v>
      </c>
      <c r="I83" s="13">
        <f t="shared" si="2"/>
        <v>395</v>
      </c>
      <c r="J83" s="14">
        <f t="shared" si="3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0"/>
        <v>83.924545454545452</v>
      </c>
      <c r="H84" s="13">
        <f t="shared" si="1"/>
        <v>839.24545454545455</v>
      </c>
      <c r="I84" s="13">
        <f t="shared" si="2"/>
        <v>495.75454545454545</v>
      </c>
      <c r="J84" s="14">
        <f t="shared" si="3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0"/>
        <v>94</v>
      </c>
      <c r="H85" s="13">
        <f t="shared" si="1"/>
        <v>940</v>
      </c>
      <c r="I85" s="13">
        <f t="shared" si="2"/>
        <v>395</v>
      </c>
      <c r="J85" s="14">
        <f t="shared" si="3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0"/>
        <v>94</v>
      </c>
      <c r="H86" s="13">
        <f t="shared" si="1"/>
        <v>940</v>
      </c>
      <c r="I86" s="13">
        <f t="shared" si="2"/>
        <v>395</v>
      </c>
      <c r="J86" s="14">
        <f t="shared" si="3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0"/>
        <v>94</v>
      </c>
      <c r="H87" s="13">
        <f t="shared" si="1"/>
        <v>940</v>
      </c>
      <c r="I87" s="13">
        <f t="shared" si="2"/>
        <v>395</v>
      </c>
      <c r="J87" s="14">
        <f t="shared" si="3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0"/>
        <v>92.621818181818185</v>
      </c>
      <c r="H88" s="13">
        <f t="shared" si="1"/>
        <v>926.21818181818185</v>
      </c>
      <c r="I88" s="13">
        <f t="shared" si="2"/>
        <v>408.78181818181815</v>
      </c>
      <c r="J88" s="14">
        <f t="shared" si="3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0"/>
        <v>93.797272727272727</v>
      </c>
      <c r="H89" s="13">
        <f t="shared" si="1"/>
        <v>937.9727272727273</v>
      </c>
      <c r="I89" s="13">
        <f t="shared" si="2"/>
        <v>397.0272727272727</v>
      </c>
      <c r="J89" s="14">
        <f t="shared" si="3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0"/>
        <v>94</v>
      </c>
      <c r="H90" s="13">
        <f t="shared" si="1"/>
        <v>940</v>
      </c>
      <c r="I90" s="13">
        <f t="shared" si="2"/>
        <v>395</v>
      </c>
      <c r="J90" s="14">
        <f t="shared" si="3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0"/>
        <v>94</v>
      </c>
      <c r="H91" s="13">
        <f t="shared" si="1"/>
        <v>940</v>
      </c>
      <c r="I91" s="13">
        <f t="shared" si="2"/>
        <v>395</v>
      </c>
      <c r="J91" s="14">
        <f t="shared" si="3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0"/>
        <v>93.797272727272727</v>
      </c>
      <c r="H92" s="13">
        <f t="shared" si="1"/>
        <v>937.9727272727273</v>
      </c>
      <c r="I92" s="13">
        <f t="shared" si="2"/>
        <v>397.0272727272727</v>
      </c>
      <c r="J92" s="14">
        <f t="shared" si="3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0"/>
        <v>94</v>
      </c>
      <c r="H93" s="13">
        <f t="shared" si="1"/>
        <v>940</v>
      </c>
      <c r="I93" s="13">
        <f t="shared" si="2"/>
        <v>395</v>
      </c>
      <c r="J93" s="14">
        <f t="shared" si="3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0"/>
        <v>94</v>
      </c>
      <c r="H94" s="13">
        <f t="shared" si="1"/>
        <v>940</v>
      </c>
      <c r="I94" s="13">
        <f t="shared" si="2"/>
        <v>395</v>
      </c>
      <c r="J94" s="14">
        <f t="shared" si="3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0"/>
        <v>94</v>
      </c>
      <c r="H95" s="13">
        <f t="shared" si="1"/>
        <v>940</v>
      </c>
      <c r="I95" s="13">
        <f t="shared" si="2"/>
        <v>395</v>
      </c>
      <c r="J95" s="14">
        <f t="shared" si="3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0"/>
        <v>92.621818181818185</v>
      </c>
      <c r="H96" s="13">
        <f t="shared" si="1"/>
        <v>926.21818181818185</v>
      </c>
      <c r="I96" s="13">
        <f t="shared" si="2"/>
        <v>408.78181818181815</v>
      </c>
      <c r="J96" s="14">
        <f t="shared" si="3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0"/>
        <v>27.694545454545452</v>
      </c>
      <c r="H97" s="13">
        <f t="shared" si="1"/>
        <v>276.94545454545454</v>
      </c>
      <c r="I97" s="13">
        <f t="shared" si="2"/>
        <v>63.054545454545462</v>
      </c>
      <c r="J97" s="14">
        <f t="shared" si="3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0"/>
        <v>26.310000000000002</v>
      </c>
      <c r="H98" s="13">
        <f t="shared" si="1"/>
        <v>263.10000000000002</v>
      </c>
      <c r="I98" s="13">
        <f t="shared" si="2"/>
        <v>76.899999999999977</v>
      </c>
      <c r="J98" s="14">
        <f t="shared" si="3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0"/>
        <v>27.694545454545452</v>
      </c>
      <c r="H99" s="13">
        <f t="shared" si="1"/>
        <v>276.94545454545454</v>
      </c>
      <c r="I99" s="13">
        <f t="shared" si="2"/>
        <v>63.054545454545462</v>
      </c>
      <c r="J99" s="14">
        <f t="shared" si="3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0"/>
        <v>27.694545454545452</v>
      </c>
      <c r="H100" s="13">
        <f t="shared" si="1"/>
        <v>276.94545454545454</v>
      </c>
      <c r="I100" s="13">
        <f t="shared" si="2"/>
        <v>63.054545454545462</v>
      </c>
      <c r="J100" s="14">
        <f t="shared" si="3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0"/>
        <v>27.694545454545452</v>
      </c>
      <c r="H101" s="13">
        <f t="shared" si="1"/>
        <v>276.94545454545454</v>
      </c>
      <c r="I101" s="13">
        <f t="shared" si="2"/>
        <v>63.054545454545462</v>
      </c>
      <c r="J101" s="14">
        <f t="shared" si="3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0"/>
        <v>26.08909090909091</v>
      </c>
      <c r="H102" s="13">
        <f t="shared" si="1"/>
        <v>260.89090909090913</v>
      </c>
      <c r="I102" s="13">
        <f t="shared" si="2"/>
        <v>79.109090909090867</v>
      </c>
      <c r="J102" s="14">
        <f t="shared" si="3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0"/>
        <v>27.694545454545452</v>
      </c>
      <c r="H103" s="13">
        <f t="shared" si="1"/>
        <v>276.94545454545454</v>
      </c>
      <c r="I103" s="13">
        <f t="shared" si="2"/>
        <v>63.054545454545462</v>
      </c>
      <c r="J103" s="14">
        <f t="shared" si="3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0"/>
        <v>27.694545454545452</v>
      </c>
      <c r="H104" s="13">
        <f t="shared" si="1"/>
        <v>276.94545454545454</v>
      </c>
      <c r="I104" s="13">
        <f t="shared" si="2"/>
        <v>63.054545454545462</v>
      </c>
      <c r="J104" s="14">
        <f t="shared" si="3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0"/>
        <v>24.790909090909089</v>
      </c>
      <c r="H105" s="13">
        <f t="shared" si="1"/>
        <v>247.90909090909091</v>
      </c>
      <c r="I105" s="13">
        <f t="shared" si="2"/>
        <v>92.090909090909093</v>
      </c>
      <c r="J105" s="14">
        <f t="shared" si="3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0"/>
        <v>24.790909090909089</v>
      </c>
      <c r="H106" s="13">
        <f t="shared" si="1"/>
        <v>247.90909090909091</v>
      </c>
      <c r="I106" s="13">
        <f t="shared" si="2"/>
        <v>92.090909090909093</v>
      </c>
      <c r="J106" s="14">
        <f t="shared" si="3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0"/>
        <v>24.790909090909089</v>
      </c>
      <c r="H107" s="13">
        <f t="shared" si="1"/>
        <v>247.90909090909091</v>
      </c>
      <c r="I107" s="13">
        <f t="shared" si="2"/>
        <v>92.090909090909093</v>
      </c>
      <c r="J107" s="14">
        <f t="shared" si="3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0"/>
        <v>26.08909090909091</v>
      </c>
      <c r="H108" s="13">
        <f t="shared" si="1"/>
        <v>260.89090909090913</v>
      </c>
      <c r="I108" s="13">
        <f t="shared" si="2"/>
        <v>79.109090909090867</v>
      </c>
      <c r="J108" s="14">
        <f t="shared" si="3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0"/>
        <v>441.48363636363632</v>
      </c>
      <c r="H109" s="13">
        <f t="shared" si="1"/>
        <v>4414.8363636363638</v>
      </c>
      <c r="I109" s="13">
        <f t="shared" si="2"/>
        <v>1160.1636363636362</v>
      </c>
      <c r="J109" s="14">
        <f t="shared" si="3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0"/>
        <v>447.88181818181818</v>
      </c>
      <c r="H110" s="13">
        <f t="shared" si="1"/>
        <v>4478.818181818182</v>
      </c>
      <c r="I110" s="13">
        <f t="shared" si="2"/>
        <v>1121.181818181818</v>
      </c>
      <c r="J110" s="14">
        <f t="shared" si="3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0"/>
        <v>441.48363636363632</v>
      </c>
      <c r="H111" s="13">
        <f t="shared" si="1"/>
        <v>4414.8363636363638</v>
      </c>
      <c r="I111" s="13">
        <f t="shared" si="2"/>
        <v>1160.1636363636362</v>
      </c>
      <c r="J111" s="14">
        <f t="shared" si="3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0"/>
        <v>441.48363636363632</v>
      </c>
      <c r="H112" s="13">
        <f t="shared" si="1"/>
        <v>4414.8363636363638</v>
      </c>
      <c r="I112" s="13">
        <f t="shared" si="2"/>
        <v>1160.1636363636362</v>
      </c>
      <c r="J112" s="14">
        <f t="shared" si="3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0"/>
        <v>447.88181818181818</v>
      </c>
      <c r="H113" s="13">
        <f t="shared" si="1"/>
        <v>4478.818181818182</v>
      </c>
      <c r="I113" s="13">
        <f t="shared" si="2"/>
        <v>1121.181818181818</v>
      </c>
      <c r="J113" s="14">
        <f t="shared" si="3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0"/>
        <v>441.48363636363632</v>
      </c>
      <c r="H114" s="13">
        <f t="shared" si="1"/>
        <v>4414.8363636363638</v>
      </c>
      <c r="I114" s="13">
        <f t="shared" si="2"/>
        <v>1160.1636363636362</v>
      </c>
      <c r="J114" s="14">
        <f t="shared" si="3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0"/>
        <v>441.48363636363632</v>
      </c>
      <c r="H115" s="13">
        <f t="shared" si="1"/>
        <v>4414.8363636363638</v>
      </c>
      <c r="I115" s="13">
        <f t="shared" si="2"/>
        <v>1160.1636363636362</v>
      </c>
      <c r="J115" s="14">
        <f t="shared" si="3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0"/>
        <v>306.4581818181818</v>
      </c>
      <c r="H116" s="13">
        <f t="shared" si="1"/>
        <v>3064.5818181818181</v>
      </c>
      <c r="I116" s="13">
        <f t="shared" si="2"/>
        <v>1035.4181818181819</v>
      </c>
      <c r="J116" s="14">
        <f t="shared" si="3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0"/>
        <v>306.72909090909093</v>
      </c>
      <c r="H117" s="13">
        <f t="shared" si="1"/>
        <v>3067.2909090909088</v>
      </c>
      <c r="I117" s="13">
        <f t="shared" si="2"/>
        <v>1032.7090909090912</v>
      </c>
      <c r="J117" s="14">
        <f t="shared" si="3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0"/>
        <v>306.4581818181818</v>
      </c>
      <c r="H118" s="13">
        <f t="shared" si="1"/>
        <v>3064.5818181818181</v>
      </c>
      <c r="I118" s="13">
        <f t="shared" si="2"/>
        <v>1135.4181818181819</v>
      </c>
      <c r="J118" s="14">
        <f t="shared" si="3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0"/>
        <v>448.03727272727269</v>
      </c>
      <c r="H119" s="13">
        <f t="shared" si="1"/>
        <v>4480.3727272727274</v>
      </c>
      <c r="I119" s="13">
        <f t="shared" si="2"/>
        <v>1019.6272727272726</v>
      </c>
      <c r="J119" s="14">
        <f t="shared" si="3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0"/>
        <v>441.48363636363632</v>
      </c>
      <c r="H120" s="13">
        <f t="shared" si="1"/>
        <v>4414.8363636363638</v>
      </c>
      <c r="I120" s="13">
        <f t="shared" si="2"/>
        <v>1185.1636363636362</v>
      </c>
      <c r="J120" s="14">
        <f t="shared" si="3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0"/>
        <v>448.03727272727269</v>
      </c>
      <c r="H121" s="13">
        <f t="shared" si="1"/>
        <v>4480.3727272727274</v>
      </c>
      <c r="I121" s="13">
        <f t="shared" si="2"/>
        <v>1019.6272727272726</v>
      </c>
      <c r="J121" s="14">
        <f t="shared" si="3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0"/>
        <v>488.4945454545454</v>
      </c>
      <c r="H122" s="13">
        <f t="shared" si="1"/>
        <v>4884.9454545454546</v>
      </c>
      <c r="I122" s="13">
        <f t="shared" si="2"/>
        <v>615.0545454545454</v>
      </c>
      <c r="J122" s="14">
        <f t="shared" si="3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0"/>
        <v>441.48363636363632</v>
      </c>
      <c r="H123" s="13">
        <f t="shared" si="1"/>
        <v>4414.8363636363638</v>
      </c>
      <c r="I123" s="13">
        <f t="shared" si="2"/>
        <v>1185.1636363636362</v>
      </c>
      <c r="J123" s="14">
        <f t="shared" si="3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0"/>
        <v>448.03727272727269</v>
      </c>
      <c r="H124" s="13">
        <f t="shared" si="1"/>
        <v>4480.3727272727274</v>
      </c>
      <c r="I124" s="13">
        <f t="shared" si="2"/>
        <v>1019.6272727272726</v>
      </c>
      <c r="J124" s="14">
        <f t="shared" si="3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0"/>
        <v>448.03727272727269</v>
      </c>
      <c r="H125" s="13">
        <f t="shared" si="1"/>
        <v>4480.3727272727274</v>
      </c>
      <c r="I125" s="13">
        <f t="shared" si="2"/>
        <v>1019.6272727272726</v>
      </c>
      <c r="J125" s="14">
        <f t="shared" si="3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0"/>
        <v>448.03727272727269</v>
      </c>
      <c r="H126" s="13">
        <f t="shared" si="1"/>
        <v>4480.3727272727274</v>
      </c>
      <c r="I126" s="13">
        <f t="shared" si="2"/>
        <v>1119.6272727272726</v>
      </c>
      <c r="J126" s="14">
        <f t="shared" si="3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0"/>
        <v>448.03727272727269</v>
      </c>
      <c r="H127" s="13">
        <f t="shared" si="1"/>
        <v>4480.3727272727274</v>
      </c>
      <c r="I127" s="13">
        <f t="shared" si="2"/>
        <v>1119.6272727272726</v>
      </c>
      <c r="J127" s="14">
        <f t="shared" si="3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0"/>
        <v>448.03727272727269</v>
      </c>
      <c r="H128" s="13">
        <f t="shared" si="1"/>
        <v>4480.3727272727274</v>
      </c>
      <c r="I128" s="13">
        <f t="shared" si="2"/>
        <v>1019.6272727272726</v>
      </c>
      <c r="J128" s="14">
        <f t="shared" si="3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0"/>
        <v>469.29363636363632</v>
      </c>
      <c r="H129" s="13">
        <f t="shared" si="1"/>
        <v>4692.9363636363632</v>
      </c>
      <c r="I129" s="13">
        <f t="shared" si="2"/>
        <v>807.06363636363676</v>
      </c>
      <c r="J129" s="14">
        <f t="shared" si="3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0"/>
        <v>448.03727272727269</v>
      </c>
      <c r="H130" s="13">
        <f t="shared" si="1"/>
        <v>4480.3727272727274</v>
      </c>
      <c r="I130" s="13">
        <f t="shared" si="2"/>
        <v>1019.6272727272726</v>
      </c>
      <c r="J130" s="14">
        <f t="shared" si="3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4">F131/11</f>
        <v>279.04000000000002</v>
      </c>
      <c r="H131" s="13">
        <f t="shared" ref="H131:H191" si="5">F131-G131</f>
        <v>2790.4</v>
      </c>
      <c r="I131" s="13">
        <f t="shared" ref="I131:I191" si="6">E131-H131</f>
        <v>1234.5999999999999</v>
      </c>
      <c r="J131" s="14">
        <f t="shared" ref="J131:J191" si="7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4"/>
        <v>285.74363636363637</v>
      </c>
      <c r="H132" s="13">
        <f t="shared" si="5"/>
        <v>2857.4363636363632</v>
      </c>
      <c r="I132" s="13">
        <f t="shared" si="6"/>
        <v>1167.5636363636368</v>
      </c>
      <c r="J132" s="14">
        <f t="shared" si="7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4"/>
        <v>279.04000000000002</v>
      </c>
      <c r="H133" s="13">
        <f t="shared" si="5"/>
        <v>2790.4</v>
      </c>
      <c r="I133" s="13">
        <f t="shared" si="6"/>
        <v>1234.5999999999999</v>
      </c>
      <c r="J133" s="14">
        <f t="shared" si="7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4"/>
        <v>279.04000000000002</v>
      </c>
      <c r="H134" s="13">
        <f t="shared" si="5"/>
        <v>2790.4</v>
      </c>
      <c r="I134" s="13">
        <f t="shared" si="6"/>
        <v>1234.5999999999999</v>
      </c>
      <c r="J134" s="14">
        <f t="shared" si="7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4"/>
        <v>285.74363636363637</v>
      </c>
      <c r="H135" s="13">
        <f t="shared" si="5"/>
        <v>2857.4363636363632</v>
      </c>
      <c r="I135" s="13">
        <f t="shared" si="6"/>
        <v>1167.5636363636368</v>
      </c>
      <c r="J135" s="14">
        <f t="shared" si="7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4"/>
        <v>279.04000000000002</v>
      </c>
      <c r="H136" s="13">
        <f t="shared" si="5"/>
        <v>2790.4</v>
      </c>
      <c r="I136" s="13">
        <f t="shared" si="6"/>
        <v>1234.5999999999999</v>
      </c>
      <c r="J136" s="14">
        <f t="shared" si="7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4"/>
        <v>279.04000000000002</v>
      </c>
      <c r="H137" s="13">
        <f t="shared" si="5"/>
        <v>2790.4</v>
      </c>
      <c r="I137" s="13">
        <f t="shared" si="6"/>
        <v>1234.5999999999999</v>
      </c>
      <c r="J137" s="14">
        <f t="shared" si="7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4"/>
        <v>285.74363636363637</v>
      </c>
      <c r="H138" s="13">
        <f t="shared" si="5"/>
        <v>2857.4363636363632</v>
      </c>
      <c r="I138" s="13">
        <f t="shared" si="6"/>
        <v>1167.5636363636368</v>
      </c>
      <c r="J138" s="14">
        <f t="shared" si="7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4"/>
        <v>285.74363636363637</v>
      </c>
      <c r="H139" s="13">
        <f t="shared" si="5"/>
        <v>2857.4363636363632</v>
      </c>
      <c r="I139" s="13">
        <f t="shared" si="6"/>
        <v>1167.5636363636368</v>
      </c>
      <c r="J139" s="14">
        <f t="shared" si="7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4"/>
        <v>279.04000000000002</v>
      </c>
      <c r="H140" s="13">
        <f t="shared" si="5"/>
        <v>2790.4</v>
      </c>
      <c r="I140" s="13">
        <f t="shared" si="6"/>
        <v>1234.5999999999999</v>
      </c>
      <c r="J140" s="14">
        <f t="shared" si="7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4"/>
        <v>285.74363636363637</v>
      </c>
      <c r="H141" s="13">
        <f t="shared" si="5"/>
        <v>2857.4363636363632</v>
      </c>
      <c r="I141" s="13">
        <f t="shared" si="6"/>
        <v>1167.5636363636368</v>
      </c>
      <c r="J141" s="14">
        <f t="shared" si="7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4"/>
        <v>285.74363636363637</v>
      </c>
      <c r="H142" s="13">
        <f t="shared" si="5"/>
        <v>2857.4363636363632</v>
      </c>
      <c r="I142" s="13">
        <f t="shared" si="6"/>
        <v>1167.5636363636368</v>
      </c>
      <c r="J142" s="14">
        <f t="shared" si="7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4"/>
        <v>84.38818181818182</v>
      </c>
      <c r="H143" s="13">
        <f t="shared" si="5"/>
        <v>843.88181818181818</v>
      </c>
      <c r="I143" s="13">
        <f t="shared" si="6"/>
        <v>506.11818181818182</v>
      </c>
      <c r="J143" s="14">
        <f t="shared" si="7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4"/>
        <v>448.03727272727269</v>
      </c>
      <c r="H144" s="13">
        <f t="shared" si="5"/>
        <v>4480.3727272727274</v>
      </c>
      <c r="I144" s="13">
        <f t="shared" si="6"/>
        <v>1069.6272727272726</v>
      </c>
      <c r="J144" s="14">
        <f t="shared" si="7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4"/>
        <v>448.03727272727269</v>
      </c>
      <c r="H145" s="13">
        <f t="shared" si="5"/>
        <v>4480.3727272727274</v>
      </c>
      <c r="I145" s="13">
        <f t="shared" si="6"/>
        <v>1069.6272727272726</v>
      </c>
      <c r="J145" s="14">
        <f t="shared" si="7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4"/>
        <v>448.03727272727269</v>
      </c>
      <c r="H146" s="13">
        <f t="shared" si="5"/>
        <v>4480.3727272727274</v>
      </c>
      <c r="I146" s="13">
        <f t="shared" si="6"/>
        <v>1069.6272727272726</v>
      </c>
      <c r="J146" s="14">
        <f t="shared" si="7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4"/>
        <v>448.03727272727269</v>
      </c>
      <c r="H147" s="13">
        <f t="shared" si="5"/>
        <v>4480.3727272727274</v>
      </c>
      <c r="I147" s="13">
        <f t="shared" si="6"/>
        <v>1069.6272727272726</v>
      </c>
      <c r="J147" s="14">
        <f t="shared" si="7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4"/>
        <v>448.03727272727269</v>
      </c>
      <c r="H148" s="13">
        <f t="shared" si="5"/>
        <v>4480.3727272727274</v>
      </c>
      <c r="I148" s="13">
        <f t="shared" si="6"/>
        <v>1069.6272727272726</v>
      </c>
      <c r="J148" s="14">
        <f t="shared" si="7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4"/>
        <v>447.88181818181818</v>
      </c>
      <c r="H149" s="13">
        <f t="shared" si="5"/>
        <v>4478.818181818182</v>
      </c>
      <c r="I149" s="13">
        <f t="shared" si="6"/>
        <v>1071.181818181818</v>
      </c>
      <c r="J149" s="14">
        <f t="shared" si="7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4"/>
        <v>447.88181818181818</v>
      </c>
      <c r="H150" s="13">
        <f t="shared" si="5"/>
        <v>4478.818181818182</v>
      </c>
      <c r="I150" s="13">
        <f t="shared" si="6"/>
        <v>1071.181818181818</v>
      </c>
      <c r="J150" s="14">
        <f t="shared" si="7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4"/>
        <v>447.88181818181818</v>
      </c>
      <c r="H151" s="13">
        <f t="shared" si="5"/>
        <v>4478.818181818182</v>
      </c>
      <c r="I151" s="13">
        <f t="shared" si="6"/>
        <v>1071.181818181818</v>
      </c>
      <c r="J151" s="14">
        <f t="shared" si="7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4"/>
        <v>447.88181818181818</v>
      </c>
      <c r="H152" s="13">
        <f t="shared" si="5"/>
        <v>4478.818181818182</v>
      </c>
      <c r="I152" s="13">
        <f t="shared" si="6"/>
        <v>1221.181818181818</v>
      </c>
      <c r="J152" s="14">
        <f t="shared" si="7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4"/>
        <v>441.48363636363632</v>
      </c>
      <c r="H153" s="13">
        <f t="shared" si="5"/>
        <v>4414.8363636363638</v>
      </c>
      <c r="I153" s="13">
        <f t="shared" si="6"/>
        <v>1135.1636363636362</v>
      </c>
      <c r="J153" s="14">
        <f t="shared" si="7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4"/>
        <v>448.03727272727269</v>
      </c>
      <c r="H154" s="13">
        <f t="shared" si="5"/>
        <v>4480.3727272727274</v>
      </c>
      <c r="I154" s="13">
        <f t="shared" si="6"/>
        <v>1069.6272727272726</v>
      </c>
      <c r="J154" s="14">
        <f t="shared" si="7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4"/>
        <v>441.48363636363632</v>
      </c>
      <c r="H155" s="13">
        <f t="shared" si="5"/>
        <v>4414.8363636363638</v>
      </c>
      <c r="I155" s="13">
        <f t="shared" si="6"/>
        <v>1160.1636363636362</v>
      </c>
      <c r="J155" s="14">
        <f t="shared" si="7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4"/>
        <v>441.48363636363632</v>
      </c>
      <c r="H156" s="13">
        <f t="shared" si="5"/>
        <v>4414.8363636363638</v>
      </c>
      <c r="I156" s="13">
        <f t="shared" si="6"/>
        <v>1135.1636363636362</v>
      </c>
      <c r="J156" s="14">
        <f t="shared" si="7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4"/>
        <v>447.88181818181818</v>
      </c>
      <c r="H157" s="13">
        <f t="shared" si="5"/>
        <v>4478.818181818182</v>
      </c>
      <c r="I157" s="13">
        <f t="shared" si="6"/>
        <v>1071.181818181818</v>
      </c>
      <c r="J157" s="14">
        <f t="shared" si="7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4"/>
        <v>448.03727272727269</v>
      </c>
      <c r="H158" s="13">
        <f t="shared" si="5"/>
        <v>4480.3727272727274</v>
      </c>
      <c r="I158" s="13">
        <f t="shared" si="6"/>
        <v>1069.6272727272726</v>
      </c>
      <c r="J158" s="14">
        <f t="shared" si="7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4"/>
        <v>448.03727272727269</v>
      </c>
      <c r="H159" s="13">
        <f t="shared" si="5"/>
        <v>4480.3727272727274</v>
      </c>
      <c r="I159" s="13">
        <f t="shared" si="6"/>
        <v>1069.6272727272726</v>
      </c>
      <c r="J159" s="14">
        <f t="shared" si="7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4"/>
        <v>447.88181818181818</v>
      </c>
      <c r="H160" s="13">
        <f t="shared" si="5"/>
        <v>4478.818181818182</v>
      </c>
      <c r="I160" s="13">
        <f t="shared" si="6"/>
        <v>1071.181818181818</v>
      </c>
      <c r="J160" s="14">
        <f t="shared" si="7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4"/>
        <v>447.88181818181818</v>
      </c>
      <c r="H161" s="13">
        <f t="shared" si="5"/>
        <v>4478.818181818182</v>
      </c>
      <c r="I161" s="13">
        <f t="shared" si="6"/>
        <v>1261.181818181818</v>
      </c>
      <c r="J161" s="14">
        <f t="shared" si="7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4"/>
        <v>441.48363636363632</v>
      </c>
      <c r="H162" s="13">
        <f t="shared" si="5"/>
        <v>4414.8363636363638</v>
      </c>
      <c r="I162" s="13">
        <f t="shared" si="6"/>
        <v>1135.1636363636362</v>
      </c>
      <c r="J162" s="14">
        <f t="shared" si="7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4"/>
        <v>455.83090909090913</v>
      </c>
      <c r="H163" s="13">
        <f t="shared" si="5"/>
        <v>4558.3090909090915</v>
      </c>
      <c r="I163" s="13">
        <f t="shared" si="6"/>
        <v>991.69090909090846</v>
      </c>
      <c r="J163" s="14">
        <f t="shared" si="7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4"/>
        <v>447.88181818181818</v>
      </c>
      <c r="H164" s="13">
        <f t="shared" si="5"/>
        <v>4478.818181818182</v>
      </c>
      <c r="I164" s="13">
        <f t="shared" si="6"/>
        <v>1261.181818181818</v>
      </c>
      <c r="J164" s="14">
        <f t="shared" si="7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4"/>
        <v>455.83090909090913</v>
      </c>
      <c r="H165" s="13">
        <f t="shared" si="5"/>
        <v>4558.3090909090915</v>
      </c>
      <c r="I165" s="13">
        <f t="shared" si="6"/>
        <v>991.69090909090846</v>
      </c>
      <c r="J165" s="14">
        <f t="shared" si="7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4"/>
        <v>455.83090909090913</v>
      </c>
      <c r="H166" s="13">
        <f t="shared" si="5"/>
        <v>4558.3090909090915</v>
      </c>
      <c r="I166" s="13">
        <f t="shared" si="6"/>
        <v>991.69090909090846</v>
      </c>
      <c r="J166" s="14">
        <f t="shared" si="7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4"/>
        <v>455.83090909090913</v>
      </c>
      <c r="H167" s="13">
        <f t="shared" si="5"/>
        <v>4558.3090909090915</v>
      </c>
      <c r="I167" s="13">
        <f t="shared" si="6"/>
        <v>991.69090909090846</v>
      </c>
      <c r="J167" s="14">
        <f t="shared" si="7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4"/>
        <v>441.48363636363632</v>
      </c>
      <c r="H168" s="13">
        <f t="shared" si="5"/>
        <v>4414.8363636363638</v>
      </c>
      <c r="I168" s="13">
        <f t="shared" si="6"/>
        <v>1135.1636363636362</v>
      </c>
      <c r="J168" s="14">
        <f t="shared" si="7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4"/>
        <v>448.03727272727269</v>
      </c>
      <c r="H169" s="13">
        <f t="shared" si="5"/>
        <v>4480.3727272727274</v>
      </c>
      <c r="I169" s="13">
        <f t="shared" si="6"/>
        <v>1069.6272727272726</v>
      </c>
      <c r="J169" s="14">
        <f t="shared" si="7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4"/>
        <v>448.03727272727269</v>
      </c>
      <c r="H170" s="13">
        <f t="shared" si="5"/>
        <v>4480.3727272727274</v>
      </c>
      <c r="I170" s="13">
        <f t="shared" si="6"/>
        <v>1069.6272727272726</v>
      </c>
      <c r="J170" s="14">
        <f t="shared" si="7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4"/>
        <v>441.48363636363632</v>
      </c>
      <c r="H171" s="13">
        <f t="shared" si="5"/>
        <v>4414.8363636363638</v>
      </c>
      <c r="I171" s="13">
        <f t="shared" si="6"/>
        <v>1135.1636363636362</v>
      </c>
      <c r="J171" s="14">
        <f t="shared" si="7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4"/>
        <v>448.03727272727269</v>
      </c>
      <c r="H172" s="13">
        <f t="shared" si="5"/>
        <v>4480.3727272727274</v>
      </c>
      <c r="I172" s="13">
        <f t="shared" si="6"/>
        <v>1069.6272727272726</v>
      </c>
      <c r="J172" s="14">
        <f t="shared" si="7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4"/>
        <v>447.88181818181818</v>
      </c>
      <c r="H173" s="13">
        <f t="shared" si="5"/>
        <v>4478.818181818182</v>
      </c>
      <c r="I173" s="13">
        <f t="shared" si="6"/>
        <v>1261.181818181818</v>
      </c>
      <c r="J173" s="14">
        <f t="shared" si="7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4"/>
        <v>448.03727272727269</v>
      </c>
      <c r="H174" s="13">
        <f t="shared" si="5"/>
        <v>4480.3727272727274</v>
      </c>
      <c r="I174" s="13">
        <f t="shared" si="6"/>
        <v>1069.6272727272726</v>
      </c>
      <c r="J174" s="14">
        <f t="shared" si="7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4"/>
        <v>447.88181818181818</v>
      </c>
      <c r="H175" s="13">
        <f t="shared" si="5"/>
        <v>4478.818181818182</v>
      </c>
      <c r="I175" s="13">
        <f t="shared" si="6"/>
        <v>1071.181818181818</v>
      </c>
      <c r="J175" s="14">
        <f t="shared" si="7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4"/>
        <v>488.4945454545454</v>
      </c>
      <c r="H176" s="13">
        <f t="shared" si="5"/>
        <v>4884.9454545454546</v>
      </c>
      <c r="I176" s="13">
        <f t="shared" si="6"/>
        <v>665.0545454545454</v>
      </c>
      <c r="J176" s="14">
        <f t="shared" si="7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4"/>
        <v>448.03727272727269</v>
      </c>
      <c r="H177" s="13">
        <f t="shared" si="5"/>
        <v>4480.3727272727274</v>
      </c>
      <c r="I177" s="13">
        <f t="shared" si="6"/>
        <v>1069.6272727272726</v>
      </c>
      <c r="J177" s="14">
        <f t="shared" si="7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4"/>
        <v>455.83090909090913</v>
      </c>
      <c r="H178" s="13">
        <f t="shared" si="5"/>
        <v>4558.3090909090915</v>
      </c>
      <c r="I178" s="13">
        <f t="shared" si="6"/>
        <v>991.69090909090846</v>
      </c>
      <c r="J178" s="14">
        <f t="shared" si="7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4"/>
        <v>448.03727272727269</v>
      </c>
      <c r="H179" s="13">
        <f t="shared" si="5"/>
        <v>4480.3727272727274</v>
      </c>
      <c r="I179" s="13">
        <f t="shared" si="6"/>
        <v>1094.6272727272726</v>
      </c>
      <c r="J179" s="14">
        <f t="shared" si="7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4"/>
        <v>448.03727272727269</v>
      </c>
      <c r="H180" s="13">
        <f t="shared" si="5"/>
        <v>4480.3727272727274</v>
      </c>
      <c r="I180" s="13">
        <f t="shared" si="6"/>
        <v>1069.6272727272726</v>
      </c>
      <c r="J180" s="14">
        <f t="shared" si="7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4"/>
        <v>448.03727272727269</v>
      </c>
      <c r="H181" s="13">
        <f t="shared" si="5"/>
        <v>4480.3727272727274</v>
      </c>
      <c r="I181" s="13">
        <f t="shared" si="6"/>
        <v>1069.6272727272726</v>
      </c>
      <c r="J181" s="14">
        <f t="shared" si="7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4"/>
        <v>447.88181818181818</v>
      </c>
      <c r="H182" s="13">
        <f t="shared" si="5"/>
        <v>4478.818181818182</v>
      </c>
      <c r="I182" s="13">
        <f t="shared" si="6"/>
        <v>1071.181818181818</v>
      </c>
      <c r="J182" s="14">
        <f t="shared" si="7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4"/>
        <v>448.03727272727269</v>
      </c>
      <c r="H183" s="13">
        <f t="shared" si="5"/>
        <v>4480.3727272727274</v>
      </c>
      <c r="I183" s="13">
        <f t="shared" si="6"/>
        <v>1069.6272727272726</v>
      </c>
      <c r="J183" s="14">
        <f t="shared" si="7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4"/>
        <v>448.03727272727269</v>
      </c>
      <c r="H184" s="13">
        <f t="shared" si="5"/>
        <v>4480.3727272727274</v>
      </c>
      <c r="I184" s="13">
        <f t="shared" si="6"/>
        <v>1069.6272727272726</v>
      </c>
      <c r="J184" s="14">
        <f t="shared" si="7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4"/>
        <v>448.03727272727269</v>
      </c>
      <c r="H185" s="13">
        <f t="shared" si="5"/>
        <v>4480.3727272727274</v>
      </c>
      <c r="I185" s="13">
        <f t="shared" si="6"/>
        <v>1069.6272727272726</v>
      </c>
      <c r="J185" s="14">
        <f t="shared" si="7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4"/>
        <v>448.03727272727269</v>
      </c>
      <c r="H186" s="13">
        <f t="shared" si="5"/>
        <v>4480.3727272727274</v>
      </c>
      <c r="I186" s="13">
        <f t="shared" si="6"/>
        <v>1069.6272727272726</v>
      </c>
      <c r="J186" s="14">
        <f t="shared" si="7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4"/>
        <v>447.88181818181818</v>
      </c>
      <c r="H187" s="13">
        <f t="shared" si="5"/>
        <v>4478.818181818182</v>
      </c>
      <c r="I187" s="13">
        <f t="shared" si="6"/>
        <v>1221.181818181818</v>
      </c>
      <c r="J187" s="14">
        <f t="shared" si="7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4"/>
        <v>448.03727272727269</v>
      </c>
      <c r="H188" s="13">
        <f t="shared" si="5"/>
        <v>4480.3727272727274</v>
      </c>
      <c r="I188" s="13">
        <f t="shared" si="6"/>
        <v>1069.6272727272726</v>
      </c>
      <c r="J188" s="14">
        <f t="shared" si="7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4"/>
        <v>441.48363636363632</v>
      </c>
      <c r="H189" s="13">
        <f t="shared" si="5"/>
        <v>4414.8363636363638</v>
      </c>
      <c r="I189" s="13">
        <f t="shared" si="6"/>
        <v>1135.1636363636362</v>
      </c>
      <c r="J189" s="14">
        <f t="shared" si="7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4"/>
        <v>441.48363636363632</v>
      </c>
      <c r="H190" s="13">
        <f t="shared" si="5"/>
        <v>4414.8363636363638</v>
      </c>
      <c r="I190" s="13">
        <f t="shared" si="6"/>
        <v>1135.1636363636362</v>
      </c>
      <c r="J190" s="14">
        <f t="shared" si="7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4"/>
        <v>957.05181818181813</v>
      </c>
      <c r="H191" s="13">
        <f t="shared" si="5"/>
        <v>9570.5181818181809</v>
      </c>
      <c r="I191" s="13">
        <f t="shared" si="6"/>
        <v>2029.4818181818191</v>
      </c>
      <c r="J191" s="14">
        <f t="shared" si="7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>F192/11</f>
        <v>285.74363636363637</v>
      </c>
      <c r="H192" s="13">
        <f>F192-G192</f>
        <v>2857.4363636363632</v>
      </c>
      <c r="I192" s="13">
        <f>E192-H192</f>
        <v>1317.5636363636368</v>
      </c>
      <c r="J192" s="14">
        <f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>F193/11</f>
        <v>138.86636363636364</v>
      </c>
      <c r="H193" s="13">
        <f>F193-G193</f>
        <v>1388.6636363636362</v>
      </c>
      <c r="I193" s="13">
        <f>E193-H193</f>
        <v>681.33636363636379</v>
      </c>
      <c r="J193" s="14">
        <f>(E193-H193)/H193</f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>F194/11</f>
        <v>138.86636363636364</v>
      </c>
      <c r="H194" s="13">
        <f>F194-G194</f>
        <v>1388.6636363636362</v>
      </c>
      <c r="I194" s="13">
        <f>E194-H194</f>
        <v>681.33636363636379</v>
      </c>
      <c r="J194" s="14">
        <f>(E194-H194)/H194</f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>F195/11</f>
        <v>283.18181818181819</v>
      </c>
      <c r="H195" s="13">
        <f>F195-G195</f>
        <v>2831.818181818182</v>
      </c>
      <c r="I195" s="13">
        <f>E195-H195</f>
        <v>1168.181818181818</v>
      </c>
      <c r="J195" s="14">
        <f>(E195-H195)/H195</f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>F196/11</f>
        <v>283.18181818181819</v>
      </c>
      <c r="H196" s="13">
        <f>F196-G196</f>
        <v>2831.818181818182</v>
      </c>
      <c r="I196" s="13">
        <f>E196-H196</f>
        <v>1168.181818181818</v>
      </c>
      <c r="J196" s="14">
        <f>(E196-H196)/H196</f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>F197/11</f>
        <v>283.18181818181819</v>
      </c>
      <c r="H197" s="13">
        <f>F197-G197</f>
        <v>2831.818181818182</v>
      </c>
      <c r="I197" s="13">
        <f>E197-H197</f>
        <v>1168.181818181818</v>
      </c>
      <c r="J197" s="14">
        <f>(E197-H197)/H197</f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>F198/11</f>
        <v>283.18181818181819</v>
      </c>
      <c r="H198" s="13">
        <f>F198-G198</f>
        <v>2831.818181818182</v>
      </c>
      <c r="I198" s="13">
        <f>E198-H198</f>
        <v>1168.181818181818</v>
      </c>
      <c r="J198" s="14">
        <f>(E198-H198)/H198</f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>F199/11</f>
        <v>283.18181818181819</v>
      </c>
      <c r="H199" s="13">
        <f>F199-G199</f>
        <v>2831.818181818182</v>
      </c>
      <c r="I199" s="13">
        <f>E199-H199</f>
        <v>1168.181818181818</v>
      </c>
      <c r="J199" s="14">
        <f>(E199-H199)/H199</f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>F200/11</f>
        <v>283.18181818181819</v>
      </c>
      <c r="H200" s="13">
        <f>F200-G200</f>
        <v>2831.818181818182</v>
      </c>
      <c r="I200" s="13">
        <f>E200-H200</f>
        <v>1168.181818181818</v>
      </c>
      <c r="J200" s="14">
        <f>(E200-H200)/H200</f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>F201/11</f>
        <v>283.18181818181819</v>
      </c>
      <c r="H201" s="13">
        <f>F201-G201</f>
        <v>2831.818181818182</v>
      </c>
      <c r="I201" s="13">
        <f>E201-H201</f>
        <v>1168.181818181818</v>
      </c>
      <c r="J201" s="14">
        <f>(E201-H201)/H201</f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>F202/11</f>
        <v>283.18181818181819</v>
      </c>
      <c r="H202" s="13">
        <f>F202-G202</f>
        <v>2831.818181818182</v>
      </c>
      <c r="I202" s="13">
        <f>E202-H202</f>
        <v>1168.181818181818</v>
      </c>
      <c r="J202" s="14">
        <f>(E202-H202)/H202</f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>F203/11</f>
        <v>283.18181818181819</v>
      </c>
      <c r="H203" s="13">
        <f>F203-G203</f>
        <v>2831.818181818182</v>
      </c>
      <c r="I203" s="13">
        <f>E203-H203</f>
        <v>1168.181818181818</v>
      </c>
      <c r="J203" s="14">
        <f>(E203-H203)/H203</f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>F204/11</f>
        <v>283.18181818181819</v>
      </c>
      <c r="H204" s="13">
        <f>F204-G204</f>
        <v>2831.818181818182</v>
      </c>
      <c r="I204" s="13">
        <f>E204-H204</f>
        <v>1168.181818181818</v>
      </c>
      <c r="J204" s="14">
        <f>(E204-H204)/H204</f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>F205/11</f>
        <v>283.18181818181819</v>
      </c>
      <c r="H205" s="13">
        <f>F205-G205</f>
        <v>2831.818181818182</v>
      </c>
      <c r="I205" s="13">
        <f>E205-H205</f>
        <v>1168.181818181818</v>
      </c>
      <c r="J205" s="14">
        <f>(E205-H205)/H205</f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>F206/11</f>
        <v>283.18181818181819</v>
      </c>
      <c r="H206" s="13">
        <f>F206-G206</f>
        <v>2831.818181818182</v>
      </c>
      <c r="I206" s="13">
        <f>E206-H206</f>
        <v>1168.181818181818</v>
      </c>
      <c r="J206" s="14">
        <f>(E206-H206)/H206</f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>F207/11</f>
        <v>283.18181818181819</v>
      </c>
      <c r="H207" s="13">
        <f>F207-G207</f>
        <v>2831.818181818182</v>
      </c>
      <c r="I207" s="13">
        <f>E207-H207</f>
        <v>1168.181818181818</v>
      </c>
      <c r="J207" s="14">
        <f>(E207-H207)/H207</f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2" t="s">
        <v>583</v>
      </c>
      <c r="C213" s="21">
        <v>10691.07</v>
      </c>
    </row>
    <row r="214" spans="2:12" x14ac:dyDescent="0.25">
      <c r="B214" s="43" t="s">
        <v>584</v>
      </c>
      <c r="C214" s="21">
        <v>15682.45</v>
      </c>
    </row>
    <row r="215" spans="2:12" x14ac:dyDescent="0.25">
      <c r="B215" s="43" t="s">
        <v>585</v>
      </c>
      <c r="C215" s="21">
        <v>11863.87</v>
      </c>
    </row>
    <row r="216" spans="2:12" x14ac:dyDescent="0.25">
      <c r="B216" s="43" t="s">
        <v>590</v>
      </c>
      <c r="C216" s="21">
        <v>3273.66</v>
      </c>
    </row>
    <row r="217" spans="2:12" x14ac:dyDescent="0.25">
      <c r="B217" s="43" t="s">
        <v>586</v>
      </c>
      <c r="C217" s="21">
        <v>15154.99</v>
      </c>
    </row>
    <row r="218" spans="2:12" x14ac:dyDescent="0.25">
      <c r="B218" s="43" t="s">
        <v>576</v>
      </c>
      <c r="C218" s="21">
        <v>10140</v>
      </c>
    </row>
    <row r="219" spans="2:12" x14ac:dyDescent="0.25">
      <c r="B219" s="43" t="s">
        <v>587</v>
      </c>
      <c r="C219" s="32">
        <v>12303.19</v>
      </c>
    </row>
    <row r="220" spans="2:12" x14ac:dyDescent="0.25">
      <c r="B220" s="43" t="s">
        <v>577</v>
      </c>
      <c r="C220" s="21">
        <v>6337.5</v>
      </c>
    </row>
    <row r="221" spans="2:12" x14ac:dyDescent="0.25">
      <c r="B221" s="43" t="s">
        <v>578</v>
      </c>
      <c r="C221" s="21">
        <v>3727.36</v>
      </c>
    </row>
    <row r="222" spans="2:12" x14ac:dyDescent="0.25">
      <c r="B222" s="43" t="s">
        <v>579</v>
      </c>
      <c r="C222" s="21">
        <v>3727.37</v>
      </c>
    </row>
    <row r="223" spans="2:12" x14ac:dyDescent="0.25">
      <c r="B223" s="43" t="s">
        <v>580</v>
      </c>
      <c r="C223" s="21">
        <v>1013.5</v>
      </c>
    </row>
    <row r="224" spans="2:12" x14ac:dyDescent="0.25">
      <c r="B224" s="43" t="s">
        <v>581</v>
      </c>
      <c r="C224" s="21">
        <v>320</v>
      </c>
    </row>
    <row r="225" spans="2:3" x14ac:dyDescent="0.25">
      <c r="B225" s="43" t="s">
        <v>582</v>
      </c>
      <c r="C225" s="21">
        <v>256</v>
      </c>
    </row>
    <row r="226" spans="2:3" x14ac:dyDescent="0.25">
      <c r="B226" s="10" t="s">
        <v>593</v>
      </c>
      <c r="C226" s="21">
        <v>4984.16</v>
      </c>
    </row>
    <row r="227" spans="2:3" x14ac:dyDescent="0.25">
      <c r="B227" s="10"/>
      <c r="C227" s="21"/>
    </row>
    <row r="228" spans="2:3" x14ac:dyDescent="0.25">
      <c r="B228" s="5" t="s">
        <v>588</v>
      </c>
      <c r="C228" s="5">
        <f>SUM(C213:C227)</f>
        <v>99475.12000000001</v>
      </c>
    </row>
    <row r="229" spans="2:3" x14ac:dyDescent="0.25">
      <c r="B229" s="10"/>
      <c r="C229" s="21"/>
    </row>
    <row r="230" spans="2:3" ht="21" x14ac:dyDescent="0.25">
      <c r="B230" s="44" t="s">
        <v>589</v>
      </c>
      <c r="C230" s="45">
        <f>I209-C228</f>
        <v>46915.015454545544</v>
      </c>
    </row>
  </sheetData>
  <conditionalFormatting sqref="C219">
    <cfRule type="duplicateValues" dxfId="47" priority="4"/>
  </conditionalFormatting>
  <conditionalFormatting sqref="C219">
    <cfRule type="duplicateValues" dxfId="46" priority="3"/>
  </conditionalFormatting>
  <conditionalFormatting sqref="C229 C1:C227 C231:C1048576">
    <cfRule type="duplicateValues" dxfId="45" priority="2"/>
  </conditionalFormatting>
  <conditionalFormatting sqref="C218:C222">
    <cfRule type="duplicateValues" dxfId="44" priority="1"/>
  </conditionalFormatting>
  <conditionalFormatting sqref="C2:C207">
    <cfRule type="duplicateValues" dxfId="0" priority="4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97"/>
  <sheetViews>
    <sheetView topLeftCell="A81" workbookViewId="0">
      <selection activeCell="C95" sqref="C95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3" t="s">
        <v>590</v>
      </c>
      <c r="C94" s="22">
        <v>3273.66</v>
      </c>
    </row>
    <row r="95" spans="1:11" x14ac:dyDescent="0.25">
      <c r="B95" s="41" t="s">
        <v>591</v>
      </c>
      <c r="C95" s="22">
        <v>5662.62</v>
      </c>
    </row>
    <row r="96" spans="1:11" x14ac:dyDescent="0.25">
      <c r="B96" s="41" t="s">
        <v>592</v>
      </c>
      <c r="C96" s="22">
        <v>5613.5</v>
      </c>
    </row>
    <row r="97" spans="2:3" x14ac:dyDescent="0.25">
      <c r="B97" t="s">
        <v>593</v>
      </c>
      <c r="C97" s="22">
        <v>4984.16</v>
      </c>
    </row>
  </sheetData>
  <conditionalFormatting sqref="C2:C85">
    <cfRule type="duplicateValues" dxfId="4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1" workbookViewId="0">
      <selection activeCell="B62" sqref="B62"/>
    </sheetView>
  </sheetViews>
  <sheetFormatPr defaultRowHeight="15" x14ac:dyDescent="0.25"/>
  <cols>
    <col min="1" max="1" width="12.42578125" style="22" customWidth="1"/>
    <col min="2" max="2" width="41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43" t="s">
        <v>590</v>
      </c>
      <c r="C61" s="33"/>
    </row>
    <row r="62" spans="1:10" x14ac:dyDescent="0.25">
      <c r="B62" t="s">
        <v>593</v>
      </c>
      <c r="C62" s="33"/>
    </row>
    <row r="63" spans="1:10" x14ac:dyDescent="0.25">
      <c r="C63" s="34"/>
    </row>
    <row r="64" spans="1:10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3"/>
    </row>
    <row r="70" spans="3:3" x14ac:dyDescent="0.25">
      <c r="C70" s="33"/>
    </row>
    <row r="71" spans="3:3" x14ac:dyDescent="0.25">
      <c r="C71" s="33"/>
    </row>
    <row r="72" spans="3:3" x14ac:dyDescent="0.25">
      <c r="C72" s="34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3"/>
    </row>
    <row r="78" spans="3:3" x14ac:dyDescent="0.25">
      <c r="C78" s="33"/>
    </row>
    <row r="79" spans="3:3" x14ac:dyDescent="0.25">
      <c r="C79" s="34"/>
    </row>
    <row r="80" spans="3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2:C53">
    <cfRule type="duplicateValues" dxfId="42" priority="3"/>
  </conditionalFormatting>
  <conditionalFormatting sqref="C60:C113">
    <cfRule type="duplicateValues" dxfId="41" priority="2"/>
  </conditionalFormatting>
  <conditionalFormatting sqref="C1:C1048576">
    <cfRule type="duplicateValues" dxfId="4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41" zoomScale="90" zoomScaleNormal="90" workbookViewId="0">
      <selection activeCell="B277" sqref="B277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>E2-F2</f>
        <v>90</v>
      </c>
      <c r="H2" s="14">
        <f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>E3-F3</f>
        <v>470</v>
      </c>
      <c r="H3" s="14">
        <f>(E3-F3)/F3</f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>E4-F4</f>
        <v>130</v>
      </c>
      <c r="H4" s="14">
        <f>(E4-F4)/F4</f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>E5-F5</f>
        <v>130</v>
      </c>
      <c r="H5" s="14">
        <f>(E5-F5)/F5</f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>E6-F6</f>
        <v>130</v>
      </c>
      <c r="H6" s="14">
        <f>(E6-F6)/F6</f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>E7-F7</f>
        <v>20</v>
      </c>
      <c r="H7" s="14">
        <f>(E7-F7)/F7</f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>E8-F8</f>
        <v>20</v>
      </c>
      <c r="H8" s="14">
        <f>(E8-F8)/F8</f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>E9-F9</f>
        <v>20</v>
      </c>
      <c r="H9" s="14">
        <f>(E9-F9)/F9</f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>E10-F10</f>
        <v>20</v>
      </c>
      <c r="H10" s="14">
        <f>(E10-F10)/F10</f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>E11-F11</f>
        <v>20</v>
      </c>
      <c r="H11" s="14">
        <f>(E11-F11)/F11</f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>E12-F12</f>
        <v>100</v>
      </c>
      <c r="H12" s="14">
        <f>(E12-F12)/F12</f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>E13-F13</f>
        <v>45</v>
      </c>
      <c r="H13" s="14">
        <f>(E13-F13)/F13</f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>E14-F14</f>
        <v>45</v>
      </c>
      <c r="H14" s="14">
        <f>(E14-F14)/F14</f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>E15-F15</f>
        <v>80</v>
      </c>
      <c r="H15" s="14">
        <f>(E15-F15)/F15</f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>E16-F16</f>
        <v>2830</v>
      </c>
      <c r="H16" s="14">
        <f>(E16-F16)/F16</f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>E17-F17</f>
        <v>60</v>
      </c>
      <c r="H17" s="14">
        <f>(E17-F17)/F17</f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>E18-F18</f>
        <v>60</v>
      </c>
      <c r="H18" s="14">
        <f>(E18-F18)/F18</f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>E19-F19</f>
        <v>200</v>
      </c>
      <c r="H19" s="14">
        <f>(E19-F19)/F19</f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>E20-F20</f>
        <v>45</v>
      </c>
      <c r="H20" s="14">
        <f>(E20-F20)/F20</f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>E21-F21</f>
        <v>-50</v>
      </c>
      <c r="H21" s="19">
        <f>(E21-F21)/F21</f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>E22-F22</f>
        <v>-50</v>
      </c>
      <c r="H22" s="19">
        <f>(E22-F22)/F22</f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>E23-F23</f>
        <v>-50</v>
      </c>
      <c r="H23" s="19">
        <f>(E23-F23)/F23</f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>E24-F24</f>
        <v>-50</v>
      </c>
      <c r="H24" s="19">
        <f>(E24-F24)/F24</f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>E25-F25</f>
        <v>-50</v>
      </c>
      <c r="H25" s="19">
        <f>(E25-F25)/F25</f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>E26-F26</f>
        <v>-50</v>
      </c>
      <c r="H26" s="19">
        <f>(E26-F26)/F26</f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>E27-F27</f>
        <v>-50</v>
      </c>
      <c r="H27" s="19">
        <f>(E27-F27)/F27</f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>E28-F28</f>
        <v>-50</v>
      </c>
      <c r="H28" s="19">
        <f>(E28-F28)/F28</f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>E29-F29</f>
        <v>-50</v>
      </c>
      <c r="H29" s="19">
        <f>(E29-F29)/F29</f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>E30-F30</f>
        <v>-100</v>
      </c>
      <c r="H30" s="19">
        <f>(E30-F30)/F30</f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>E31-F31</f>
        <v>100</v>
      </c>
      <c r="H31" s="14">
        <f>(E31-F31)/F31</f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>E32-F32</f>
        <v>95.949999999999818</v>
      </c>
      <c r="H32" s="14">
        <f>(E32-F32)/F32</f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>E33-F33</f>
        <v>95.949999999999818</v>
      </c>
      <c r="H33" s="14">
        <f>(E33-F33)/F33</f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>E34-F34</f>
        <v>95.949999999999818</v>
      </c>
      <c r="H34" s="14">
        <f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>E35-F35</f>
        <v>95.949999999999818</v>
      </c>
      <c r="H35" s="14">
        <f>(E35-F35)/F35</f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>E36-F36</f>
        <v>95.949999999999818</v>
      </c>
      <c r="H36" s="14">
        <f>(E36-F36)/F36</f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>E37-F37</f>
        <v>95.949999999999818</v>
      </c>
      <c r="H37" s="14">
        <f>(E37-F37)/F37</f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>E38-F38</f>
        <v>95.949999999999818</v>
      </c>
      <c r="H38" s="14">
        <f>(E38-F38)/F38</f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>E39-F39</f>
        <v>95.949999999999818</v>
      </c>
      <c r="H39" s="14">
        <f>(E39-F39)/F39</f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>E40-F40</f>
        <v>95.949999999999818</v>
      </c>
      <c r="H40" s="14">
        <f>(E40-F40)/F40</f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>E41-F41</f>
        <v>95.949999999999818</v>
      </c>
      <c r="H41" s="14">
        <f>(E41-F41)/F41</f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>E42-F42</f>
        <v>95.949999999999818</v>
      </c>
      <c r="H42" s="14">
        <f>(E42-F42)/F42</f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>E43-F43</f>
        <v>35.799999999999955</v>
      </c>
      <c r="H43" s="14">
        <f>(E43-F43)/F43</f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>E44-F44</f>
        <v>35.799999999999955</v>
      </c>
      <c r="H44" s="14">
        <f>(E44-F44)/F44</f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>E45-F45</f>
        <v>35.799999999999955</v>
      </c>
      <c r="H45" s="14">
        <f>(E45-F45)/F45</f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>E46-F46</f>
        <v>35.799999999999955</v>
      </c>
      <c r="H46" s="14">
        <f>(E46-F46)/F46</f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>E47-F47</f>
        <v>35.799999999999955</v>
      </c>
      <c r="H47" s="14">
        <f>(E47-F47)/F47</f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>E48-F48</f>
        <v>35.799999999999955</v>
      </c>
      <c r="H48" s="14">
        <f>(E48-F48)/F48</f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>E49-F49</f>
        <v>264</v>
      </c>
      <c r="H49" s="14">
        <f>(E49-F49)/F49</f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>E50-F50</f>
        <v>40.75</v>
      </c>
      <c r="H50" s="14">
        <f>(E50-F50)/F50</f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>E51-F51</f>
        <v>40.75</v>
      </c>
      <c r="H51" s="14">
        <f>(E51-F51)/F51</f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>E52-F52</f>
        <v>40.75</v>
      </c>
      <c r="H52" s="14">
        <f>(E52-F52)/F52</f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>E53-F53</f>
        <v>122.90000000000009</v>
      </c>
      <c r="H53" s="14">
        <f>(E53-F53)/F53</f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>E54-F54</f>
        <v>122.90000000000009</v>
      </c>
      <c r="H54" s="14">
        <f>(E54-F54)/F54</f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>E55-F55</f>
        <v>140.75</v>
      </c>
      <c r="H55" s="14">
        <f>(E55-F55)/F55</f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>E56-F56</f>
        <v>122.90000000000009</v>
      </c>
      <c r="H56" s="14">
        <f>(E56-F56)/F56</f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>E57-F57</f>
        <v>140.75</v>
      </c>
      <c r="H57" s="14">
        <f>(E57-F57)/F57</f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>E58-F58</f>
        <v>140.75</v>
      </c>
      <c r="H58" s="14">
        <f>(E58-F58)/F58</f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>E59-F59</f>
        <v>122.90000000000009</v>
      </c>
      <c r="H59" s="14">
        <f>(E59-F59)/F59</f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>E60-F60</f>
        <v>140.75</v>
      </c>
      <c r="H60" s="14">
        <f>(E60-F60)/F60</f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>E61-F61</f>
        <v>70.5</v>
      </c>
      <c r="H61" s="14">
        <f>(E61-F61)/F61</f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>E62-F62</f>
        <v>70.5</v>
      </c>
      <c r="H62" s="14">
        <f>(E62-F62)/F62</f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>E63-F63</f>
        <v>70.5</v>
      </c>
      <c r="H63" s="14">
        <f>(E63-F63)/F63</f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>E64-F64</f>
        <v>70.5</v>
      </c>
      <c r="H64" s="14">
        <f>(E64-F64)/F64</f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>E65-F65</f>
        <v>70.5</v>
      </c>
      <c r="H65" s="14">
        <f>(E65-F65)/F65</f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>E66-F66</f>
        <v>141.90000000000009</v>
      </c>
      <c r="H66" s="14">
        <f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>E67-F67</f>
        <v>70.5</v>
      </c>
      <c r="H67" s="14">
        <f>(E67-F67)/F67</f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>E68-F68</f>
        <v>70.5</v>
      </c>
      <c r="H68" s="14">
        <f>(E68-F68)/F68</f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>E69-F69</f>
        <v>141.90000000000009</v>
      </c>
      <c r="H69" s="14">
        <f>(E69-F69)/F69</f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>E70-F70</f>
        <v>70.5</v>
      </c>
      <c r="H70" s="14">
        <f>(E70-F70)/F70</f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>E71-F71</f>
        <v>70.5</v>
      </c>
      <c r="H71" s="14">
        <f>(E71-F71)/F71</f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>E72-F72</f>
        <v>70.5</v>
      </c>
      <c r="H72" s="14">
        <f>(E72-F72)/F72</f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>E73-F73</f>
        <v>70.5</v>
      </c>
      <c r="H73" s="14">
        <f>(E73-F73)/F73</f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>E74-F74</f>
        <v>141.90000000000009</v>
      </c>
      <c r="H74" s="14">
        <f>(E74-F74)/F74</f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>E75-F75</f>
        <v>141.90000000000009</v>
      </c>
      <c r="H75" s="14">
        <f>(E75-F75)/F75</f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>E76-F76</f>
        <v>141.90000000000009</v>
      </c>
      <c r="H76" s="14">
        <f>(E76-F76)/F76</f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>E77-F77</f>
        <v>70.5</v>
      </c>
      <c r="H77" s="14">
        <f>(E77-F77)/F77</f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>E78-F78</f>
        <v>70.5</v>
      </c>
      <c r="H78" s="14">
        <f>(E78-F78)/F78</f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>E79-F79</f>
        <v>70.5</v>
      </c>
      <c r="H79" s="14">
        <f>(E79-F79)/F79</f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>E80-F80</f>
        <v>70.5</v>
      </c>
      <c r="H80" s="14">
        <f>(E80-F80)/F80</f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>E81-F81</f>
        <v>70.5</v>
      </c>
      <c r="H81" s="14">
        <f>(E81-F81)/F81</f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>E82-F82</f>
        <v>70.5</v>
      </c>
      <c r="H82" s="14">
        <f>(E82-F82)/F82</f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>E83-F83</f>
        <v>270.5</v>
      </c>
      <c r="H83" s="14">
        <f>(E83-F83)/F83</f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>E84-F84</f>
        <v>341.90000000000009</v>
      </c>
      <c r="H84" s="14">
        <f>(E84-F84)/F84</f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>E85-F85</f>
        <v>70.5</v>
      </c>
      <c r="H85" s="14">
        <f>(E85-F85)/F85</f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>E86-F86</f>
        <v>70.5</v>
      </c>
      <c r="H86" s="14">
        <f>(E86-F86)/F86</f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>E87-F87</f>
        <v>40.799999999999955</v>
      </c>
      <c r="H87" s="14">
        <f>(E87-F87)/F87</f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>E88-F88</f>
        <v>40.799999999999955</v>
      </c>
      <c r="H88" s="14">
        <f>(E88-F88)/F88</f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>E89-F89</f>
        <v>40.799999999999955</v>
      </c>
      <c r="H89" s="14">
        <f>(E89-F89)/F89</f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>E90-F90</f>
        <v>85.450000000000045</v>
      </c>
      <c r="H90" s="14">
        <f>(E90-F90)/F90</f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>E91-F91</f>
        <v>85.450000000000045</v>
      </c>
      <c r="H91" s="14">
        <f>(E91-F91)/F91</f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>E92-F92</f>
        <v>18.050000000000011</v>
      </c>
      <c r="H92" s="14">
        <f>(E92-F92)/F92</f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>E93-F93</f>
        <v>68.050000000000011</v>
      </c>
      <c r="H93" s="14">
        <f>(E93-F93)/F93</f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>E94-F94</f>
        <v>100.5</v>
      </c>
      <c r="H94" s="14">
        <f>(E94-F94)/F94</f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>E95-F95</f>
        <v>100.5</v>
      </c>
      <c r="H95" s="14">
        <f>(E95-F95)/F95</f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>E96-F96</f>
        <v>268.8</v>
      </c>
      <c r="H96" s="14">
        <f>(E96-F96)/F96</f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>E97-F97</f>
        <v>268.8</v>
      </c>
      <c r="H97" s="14">
        <f>(E97-F97)/F97</f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>E98-F98</f>
        <v>206.8</v>
      </c>
      <c r="H98" s="14">
        <f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>E99-F99</f>
        <v>385.2800000000002</v>
      </c>
      <c r="H99" s="14">
        <f>(E99-F99)/F99</f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>E100-F100</f>
        <v>465.30000000000018</v>
      </c>
      <c r="H100" s="14">
        <f>(E100-F100)/F100</f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>E101-F101</f>
        <v>465.2800000000002</v>
      </c>
      <c r="H101" s="14">
        <f>(E101-F101)/F101</f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>E102-F102</f>
        <v>385.30000000000018</v>
      </c>
      <c r="H102" s="14">
        <f>(E102-F102)/F102</f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>E103-F103</f>
        <v>465.2800000000002</v>
      </c>
      <c r="H103" s="14">
        <f>(E103-F103)/F103</f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>E104-F104</f>
        <v>465.30000000000018</v>
      </c>
      <c r="H104" s="14">
        <f>(E104-F104)/F104</f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>E105-F105</f>
        <v>385.2800000000002</v>
      </c>
      <c r="H105" s="14">
        <f>(E105-F105)/F105</f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>E106-F106</f>
        <v>563.65000000000009</v>
      </c>
      <c r="H106" s="14">
        <f>(E106-F106)/F106</f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>E107-F107</f>
        <v>563.65000000000009</v>
      </c>
      <c r="H107" s="14">
        <f>(E107-F107)/F107</f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>E108-F108</f>
        <v>636.20000000000005</v>
      </c>
      <c r="H108" s="14">
        <f>(E108-F108)/F108</f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>E109-F109</f>
        <v>486.20000000000005</v>
      </c>
      <c r="H109" s="14">
        <f>(E109-F109)/F109</f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>E110-F110</f>
        <v>666.2</v>
      </c>
      <c r="H110" s="14">
        <f>(E110-F110)/F110</f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>E111-F111</f>
        <v>666.2</v>
      </c>
      <c r="H111" s="14">
        <f>(E111-F111)/F111</f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>E112-F112</f>
        <v>629.40000000000009</v>
      </c>
      <c r="H112" s="14">
        <f>(E112-F112)/F112</f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>E113-F113</f>
        <v>348.24</v>
      </c>
      <c r="H113" s="14">
        <f>(E113-F113)/F113</f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>E114-F114</f>
        <v>348.24</v>
      </c>
      <c r="H114" s="14">
        <f>(E114-F114)/F114</f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>E115-F115</f>
        <v>-5.6599999999999966</v>
      </c>
      <c r="H115" s="19">
        <f>(E115-F115)/F115</f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>E116-F116</f>
        <v>-5.6599999999999966</v>
      </c>
      <c r="H116" s="19">
        <f>(E116-F116)/F116</f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>E117-F117</f>
        <v>164.70000000000005</v>
      </c>
      <c r="H117" s="14">
        <f>(E117-F117)/F117</f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>E118-F118</f>
        <v>214.70000000000005</v>
      </c>
      <c r="H118" s="14">
        <f>(E118-F118)/F118</f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>E119-F119</f>
        <v>314.70000000000005</v>
      </c>
      <c r="H119" s="14">
        <f>(E119-F119)/F119</f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>E120-F120</f>
        <v>304.25</v>
      </c>
      <c r="H120" s="14">
        <f>(E120-F120)/F120</f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>E121-F121</f>
        <v>204.25</v>
      </c>
      <c r="H121" s="14">
        <f>(E121-F121)/F121</f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>E122-F122</f>
        <v>204.25</v>
      </c>
      <c r="H122" s="14">
        <f>(E122-F122)/F122</f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>E123-F123</f>
        <v>251.59999999999991</v>
      </c>
      <c r="H123" s="14">
        <f>(E123-F123)/F123</f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>E124-F124</f>
        <v>221.59999999999991</v>
      </c>
      <c r="H124" s="14">
        <f>(E124-F124)/F124</f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>E125-F125</f>
        <v>152.09999999999991</v>
      </c>
      <c r="H125" s="14">
        <f>(E125-F125)/F125</f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>E126-F126</f>
        <v>152.09999999999991</v>
      </c>
      <c r="H126" s="14">
        <f>(E126-F126)/F126</f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>E127-F127</f>
        <v>152.09999999999991</v>
      </c>
      <c r="H127" s="14">
        <f>(E127-F127)/F127</f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>E128-F128</f>
        <v>152.09999999999991</v>
      </c>
      <c r="H128" s="14">
        <f>(E128-F128)/F128</f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>E129-F129</f>
        <v>152.09999999999991</v>
      </c>
      <c r="H129" s="14">
        <f>(E129-F129)/F129</f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>E130-F130</f>
        <v>152.09999999999991</v>
      </c>
      <c r="H130" s="14">
        <f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>E131-F131</f>
        <v>152.09999999999991</v>
      </c>
      <c r="H131" s="14">
        <f>(E131-F131)/F131</f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>E132-F132</f>
        <v>152.09999999999991</v>
      </c>
      <c r="H132" s="14">
        <f>(E132-F132)/F132</f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>E133-F133</f>
        <v>152.09999999999991</v>
      </c>
      <c r="H133" s="14">
        <f>(E133-F133)/F133</f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>E134-F134</f>
        <v>152.09999999999991</v>
      </c>
      <c r="H134" s="14">
        <f>(E134-F134)/F134</f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>E135-F135</f>
        <v>152.09999999999991</v>
      </c>
      <c r="H135" s="14">
        <f>(E135-F135)/F135</f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>E136-F136</f>
        <v>152.09999999999991</v>
      </c>
      <c r="H136" s="14">
        <f>(E136-F136)/F136</f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>E137-F137</f>
        <v>152.09999999999991</v>
      </c>
      <c r="H137" s="14">
        <f>(E137-F137)/F137</f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>E138-F138</f>
        <v>152.09999999999991</v>
      </c>
      <c r="H138" s="14">
        <f>(E138-F138)/F138</f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>E139-F139</f>
        <v>152.09999999999991</v>
      </c>
      <c r="H139" s="14">
        <f>(E139-F139)/F139</f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>E140-F140</f>
        <v>152.09999999999991</v>
      </c>
      <c r="H140" s="14">
        <f>(E140-F140)/F140</f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>E141-F141</f>
        <v>152.09999999999991</v>
      </c>
      <c r="H141" s="14">
        <f>(E141-F141)/F141</f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>E142-F142</f>
        <v>152.09999999999991</v>
      </c>
      <c r="H142" s="14">
        <f>(E142-F142)/F142</f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>E143-F143</f>
        <v>152.09999999999991</v>
      </c>
      <c r="H143" s="14">
        <f>(E143-F143)/F143</f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>E144-F144</f>
        <v>152.09999999999991</v>
      </c>
      <c r="H144" s="14">
        <f>(E144-F144)/F144</f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>E145-F145</f>
        <v>152.09999999999991</v>
      </c>
      <c r="H145" s="14">
        <f>(E145-F145)/F145</f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>E146-F146</f>
        <v>152.09999999999991</v>
      </c>
      <c r="H146" s="14">
        <f>(E146-F146)/F146</f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>E147-F147</f>
        <v>152.09999999999991</v>
      </c>
      <c r="H147" s="14">
        <f>(E147-F147)/F147</f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>E148-F148</f>
        <v>152.09999999999991</v>
      </c>
      <c r="H148" s="14">
        <f>(E148-F148)/F148</f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>E149-F149</f>
        <v>152.09999999999991</v>
      </c>
      <c r="H149" s="14">
        <f>(E149-F149)/F149</f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>E150-F150</f>
        <v>152.09999999999991</v>
      </c>
      <c r="H150" s="14">
        <f>(E150-F150)/F150</f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>E151-F151</f>
        <v>152.09999999999991</v>
      </c>
      <c r="H151" s="14">
        <f>(E151-F151)/F151</f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>E152-F152</f>
        <v>152.09999999999991</v>
      </c>
      <c r="H152" s="14">
        <f>(E152-F152)/F152</f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>E153-F153</f>
        <v>147.09999999999991</v>
      </c>
      <c r="H153" s="14">
        <f>(E153-F153)/F153</f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>E154-F154</f>
        <v>147.09999999999991</v>
      </c>
      <c r="H154" s="14">
        <f>(E154-F154)/F154</f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>E155-F155</f>
        <v>147.09999999999991</v>
      </c>
      <c r="H155" s="14">
        <f>(E155-F155)/F155</f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>E156-F156</f>
        <v>147.09999999999991</v>
      </c>
      <c r="H156" s="14">
        <f>(E156-F156)/F156</f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>E157-F157</f>
        <v>147.09999999999991</v>
      </c>
      <c r="H157" s="14">
        <f>(E157-F157)/F157</f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>E158-F158</f>
        <v>152.09999999999991</v>
      </c>
      <c r="H158" s="14">
        <f>(E158-F158)/F158</f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>E159-F159</f>
        <v>147.09999999999991</v>
      </c>
      <c r="H159" s="14">
        <f>(E159-F159)/F159</f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0">E160-F160</f>
        <v>147.09999999999991</v>
      </c>
      <c r="H160" s="14">
        <f t="shared" ref="H160:H223" si="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0"/>
        <v>147.09999999999991</v>
      </c>
      <c r="H161" s="14">
        <f t="shared" si="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0"/>
        <v>147.09999999999991</v>
      </c>
      <c r="H162" s="14">
        <f t="shared" si="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0"/>
        <v>147.09999999999991</v>
      </c>
      <c r="H163" s="14">
        <f t="shared" si="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0"/>
        <v>147.09999999999991</v>
      </c>
      <c r="H164" s="14">
        <f t="shared" si="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0"/>
        <v>152.09999999999991</v>
      </c>
      <c r="H165" s="14">
        <f t="shared" si="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0"/>
        <v>152.09999999999991</v>
      </c>
      <c r="H166" s="14">
        <f t="shared" si="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0"/>
        <v>152.09999999999991</v>
      </c>
      <c r="H167" s="14">
        <f t="shared" si="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0"/>
        <v>152.09999999999991</v>
      </c>
      <c r="H168" s="14">
        <f t="shared" si="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0"/>
        <v>147.09999999999991</v>
      </c>
      <c r="H169" s="14">
        <f t="shared" si="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0"/>
        <v>152.09999999999991</v>
      </c>
      <c r="H170" s="14">
        <f t="shared" si="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0"/>
        <v>147.09999999999991</v>
      </c>
      <c r="H171" s="14">
        <f t="shared" si="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0"/>
        <v>147.09999999999991</v>
      </c>
      <c r="H172" s="14">
        <f t="shared" si="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0"/>
        <v>147.09999999999991</v>
      </c>
      <c r="H173" s="14">
        <f t="shared" si="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0"/>
        <v>152.09999999999991</v>
      </c>
      <c r="H174" s="14">
        <f t="shared" si="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0"/>
        <v>152.09999999999991</v>
      </c>
      <c r="H175" s="14">
        <f t="shared" si="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0"/>
        <v>147.09999999999991</v>
      </c>
      <c r="H176" s="14">
        <f t="shared" si="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0"/>
        <v>147.09999999999991</v>
      </c>
      <c r="H177" s="14">
        <f t="shared" si="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0"/>
        <v>152.09999999999991</v>
      </c>
      <c r="H178" s="14">
        <f t="shared" si="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0"/>
        <v>147.09999999999991</v>
      </c>
      <c r="H179" s="14">
        <f t="shared" si="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0"/>
        <v>147.09999999999991</v>
      </c>
      <c r="H180" s="14">
        <f t="shared" si="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0"/>
        <v>152.09999999999991</v>
      </c>
      <c r="H181" s="14">
        <f t="shared" si="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0"/>
        <v>152.09999999999991</v>
      </c>
      <c r="H182" s="14">
        <f t="shared" si="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0"/>
        <v>147.09999999999991</v>
      </c>
      <c r="H183" s="14">
        <f t="shared" si="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0"/>
        <v>152.09999999999991</v>
      </c>
      <c r="H184" s="14">
        <f t="shared" si="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0"/>
        <v>147.09999999999991</v>
      </c>
      <c r="H185" s="14">
        <f t="shared" si="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0"/>
        <v>147.09999999999991</v>
      </c>
      <c r="H186" s="14">
        <f t="shared" si="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0"/>
        <v>147.09999999999991</v>
      </c>
      <c r="H187" s="14">
        <f t="shared" si="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0"/>
        <v>147.09999999999991</v>
      </c>
      <c r="H188" s="14">
        <f t="shared" si="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0"/>
        <v>147.09999999999991</v>
      </c>
      <c r="H189" s="14">
        <f t="shared" si="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0"/>
        <v>147.09999999999991</v>
      </c>
      <c r="H190" s="14">
        <f t="shared" si="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0"/>
        <v>147.09999999999991</v>
      </c>
      <c r="H191" s="14">
        <f t="shared" si="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0"/>
        <v>152.09999999999991</v>
      </c>
      <c r="H192" s="14">
        <f t="shared" si="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0"/>
        <v>147.09999999999991</v>
      </c>
      <c r="H193" s="14">
        <f t="shared" si="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0"/>
        <v>147.09999999999991</v>
      </c>
      <c r="H194" s="14">
        <f t="shared" si="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0"/>
        <v>147.09999999999991</v>
      </c>
      <c r="H195" s="14">
        <f t="shared" si="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0"/>
        <v>152.09999999999991</v>
      </c>
      <c r="H196" s="14">
        <f t="shared" si="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0"/>
        <v>152.09999999999991</v>
      </c>
      <c r="H197" s="14">
        <f t="shared" si="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0"/>
        <v>147.09999999999991</v>
      </c>
      <c r="H198" s="14">
        <f t="shared" si="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0"/>
        <v>147.09999999999991</v>
      </c>
      <c r="H199" s="14">
        <f t="shared" si="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0"/>
        <v>152.09999999999991</v>
      </c>
      <c r="H200" s="14">
        <f t="shared" si="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0"/>
        <v>152.09999999999991</v>
      </c>
      <c r="H201" s="14">
        <f t="shared" si="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0"/>
        <v>147.09999999999991</v>
      </c>
      <c r="H202" s="14">
        <f t="shared" si="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0"/>
        <v>147.09999999999991</v>
      </c>
      <c r="H203" s="14">
        <f t="shared" si="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0"/>
        <v>147.09999999999991</v>
      </c>
      <c r="H204" s="14">
        <f t="shared" si="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0"/>
        <v>152.09999999999991</v>
      </c>
      <c r="H205" s="14">
        <f t="shared" si="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0"/>
        <v>147.09999999999991</v>
      </c>
      <c r="H206" s="14">
        <f t="shared" si="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0"/>
        <v>147.09999999999991</v>
      </c>
      <c r="H207" s="14">
        <f t="shared" si="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0"/>
        <v>147.09999999999991</v>
      </c>
      <c r="H208" s="14">
        <f t="shared" si="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0"/>
        <v>147.09999999999991</v>
      </c>
      <c r="H209" s="14">
        <f t="shared" si="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0"/>
        <v>152.09999999999991</v>
      </c>
      <c r="H210" s="14">
        <f t="shared" si="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0"/>
        <v>147.09999999999991</v>
      </c>
      <c r="H211" s="14">
        <f t="shared" si="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0"/>
        <v>152.09999999999991</v>
      </c>
      <c r="H212" s="14">
        <f t="shared" si="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0"/>
        <v>445.30000000000018</v>
      </c>
      <c r="H213" s="14">
        <f t="shared" si="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0"/>
        <v>445.30000000000018</v>
      </c>
      <c r="H214" s="14">
        <f t="shared" si="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0"/>
        <v>445.30000000000018</v>
      </c>
      <c r="H215" s="14">
        <f t="shared" si="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0"/>
        <v>445.30000000000018</v>
      </c>
      <c r="H216" s="14">
        <f t="shared" si="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0"/>
        <v>445.30000000000018</v>
      </c>
      <c r="H217" s="14">
        <f t="shared" si="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0"/>
        <v>1455</v>
      </c>
      <c r="H218" s="14">
        <f t="shared" si="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0"/>
        <v>413.29999999999995</v>
      </c>
      <c r="H219" s="14">
        <f t="shared" si="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0"/>
        <v>413.29999999999995</v>
      </c>
      <c r="H220" s="14">
        <f t="shared" si="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0"/>
        <v>203.29999999999995</v>
      </c>
      <c r="H221" s="14">
        <f t="shared" si="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0"/>
        <v>203.29999999999995</v>
      </c>
      <c r="H222" s="14">
        <f t="shared" si="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0"/>
        <v>413.29999999999995</v>
      </c>
      <c r="H223" s="14">
        <f t="shared" si="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>E224-F224</f>
        <v>413.29999999999995</v>
      </c>
      <c r="H224" s="14">
        <f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>E225-F225</f>
        <v>413.29999999999995</v>
      </c>
      <c r="H225" s="14">
        <f>(E225-F225)/F225</f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>E226-F226</f>
        <v>203.29999999999995</v>
      </c>
      <c r="H226" s="14">
        <f>(E226-F226)/F226</f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>E227-F227</f>
        <v>-138.80000000000018</v>
      </c>
      <c r="H227" s="19">
        <f>(E227-F227)/F227</f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>E228-F228</f>
        <v>101.80000000000018</v>
      </c>
      <c r="H228" s="14">
        <f>(E228-F228)/F228</f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>E229-F229</f>
        <v>554.59999999999991</v>
      </c>
      <c r="H229" s="14">
        <f>(E229-F229)/F229</f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>E230-F230</f>
        <v>-338.80000000000018</v>
      </c>
      <c r="H230" s="19">
        <f>(E230-F230)/F230</f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>E231-F231</f>
        <v>815.59999999999991</v>
      </c>
      <c r="H231" s="14">
        <f>(E231-F231)/F231</f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>E232-F232</f>
        <v>-90.5</v>
      </c>
      <c r="H232" s="19">
        <f>(E232-F232)/F232</f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>E233-F233</f>
        <v>-90.5</v>
      </c>
      <c r="H233" s="19">
        <f>(E233-F233)/F233</f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>E234-F234</f>
        <v>645.5</v>
      </c>
      <c r="H234" s="14">
        <f>(E234-F234)/F234</f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>E235-F235</f>
        <v>645.5</v>
      </c>
      <c r="H235" s="14">
        <f>(E235-F235)/F235</f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>E236-F236</f>
        <v>552.5</v>
      </c>
      <c r="H236" s="14">
        <f>(E236-F236)/F236</f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>E237-F237</f>
        <v>1505</v>
      </c>
      <c r="H237" s="14">
        <f>(E237-F237)/F237</f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>E238-F238</f>
        <v>73</v>
      </c>
      <c r="H238" s="14">
        <f>(E238-F238)/F238</f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>E239-F239</f>
        <v>-7</v>
      </c>
      <c r="H239" s="19">
        <f>(E239-F239)/F239</f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>E240-F240</f>
        <v>-7</v>
      </c>
      <c r="H240" s="19">
        <f>(E240-F240)/F240</f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>E241-F241</f>
        <v>-7</v>
      </c>
      <c r="H241" s="19">
        <f>(E241-F241)/F241</f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>E242-F242</f>
        <v>-7</v>
      </c>
      <c r="H242" s="19">
        <f>(E242-F242)/F242</f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>E243-F243</f>
        <v>73</v>
      </c>
      <c r="H243" s="14">
        <f>(E243-F243)/F243</f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>E244-F244</f>
        <v>-7</v>
      </c>
      <c r="H244" s="19">
        <f>(E244-F244)/F244</f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>E245-F245</f>
        <v>73</v>
      </c>
      <c r="H245" s="14">
        <f>(E245-F245)/F245</f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>E246-F246</f>
        <v>102.54999999999995</v>
      </c>
      <c r="H246" s="14">
        <f>(E246-F246)/F246</f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>E247-F247</f>
        <v>174</v>
      </c>
      <c r="H247" s="14">
        <f>(E247-F247)/F247</f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>E248-F248</f>
        <v>174</v>
      </c>
      <c r="H248" s="14">
        <f>(E248-F248)/F248</f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>E249-F249</f>
        <v>174</v>
      </c>
      <c r="H249" s="14">
        <f>(E249-F249)/F249</f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>E250-F250</f>
        <v>174</v>
      </c>
      <c r="H250" s="14">
        <f>(E250-F250)/F250</f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>E251-F251</f>
        <v>369</v>
      </c>
      <c r="H251" s="14">
        <f>(E251-F251)/F251</f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>E252-F252</f>
        <v>369</v>
      </c>
      <c r="H252" s="14">
        <f>(E252-F252)/F252</f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>E253-F253</f>
        <v>174</v>
      </c>
      <c r="H253" s="14">
        <f>(E253-F253)/F253</f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>E254-F254</f>
        <v>174</v>
      </c>
      <c r="H254" s="14">
        <f>(E254-F254)/F254</f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>E255-F255</f>
        <v>174</v>
      </c>
      <c r="H255" s="14">
        <f>(E255-F255)/F255</f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>E256-F256</f>
        <v>369</v>
      </c>
      <c r="H256" s="14">
        <f>(E256-F256)/F256</f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>E257-F257</f>
        <v>445.30000000000018</v>
      </c>
      <c r="H257" s="14">
        <f>(E257-F257)/F257</f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>E258-F258</f>
        <v>445.30000000000018</v>
      </c>
      <c r="H258" s="14">
        <f>(E258-F258)/F258</f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>E259-F259</f>
        <v>445.30000000000018</v>
      </c>
      <c r="H259" s="14">
        <f>(E259-F259)/F259</f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>E260-F260</f>
        <v>445.30000000000018</v>
      </c>
      <c r="H260" s="14">
        <f>(E260-F260)/F260</f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43" t="s">
        <v>590</v>
      </c>
    </row>
    <row r="272" spans="1:10" x14ac:dyDescent="0.25">
      <c r="C272" s="33"/>
      <c r="D272" s="35"/>
    </row>
    <row r="273" spans="3:4" x14ac:dyDescent="0.25">
      <c r="C273" s="33"/>
      <c r="D273" s="35"/>
    </row>
    <row r="274" spans="3:4" x14ac:dyDescent="0.25">
      <c r="C274" s="33"/>
      <c r="D274" s="35"/>
    </row>
    <row r="275" spans="3:4" x14ac:dyDescent="0.25">
      <c r="C275" s="36"/>
      <c r="D275" s="37"/>
    </row>
    <row r="276" spans="3:4" x14ac:dyDescent="0.25">
      <c r="C276" s="33"/>
      <c r="D276" s="35"/>
    </row>
    <row r="277" spans="3:4" x14ac:dyDescent="0.25">
      <c r="C277" s="33"/>
      <c r="D277" s="35"/>
    </row>
    <row r="278" spans="3:4" x14ac:dyDescent="0.25">
      <c r="C278" s="33"/>
      <c r="D278" s="35"/>
    </row>
    <row r="279" spans="3:4" x14ac:dyDescent="0.25">
      <c r="C279" s="33"/>
      <c r="D279" s="35"/>
    </row>
    <row r="280" spans="3:4" x14ac:dyDescent="0.25">
      <c r="C280" s="33"/>
      <c r="D280" s="35"/>
    </row>
    <row r="281" spans="3:4" x14ac:dyDescent="0.25">
      <c r="C281" s="33"/>
      <c r="D281" s="35"/>
    </row>
    <row r="282" spans="3:4" x14ac:dyDescent="0.25">
      <c r="C282" s="33"/>
      <c r="D282" s="35"/>
    </row>
    <row r="283" spans="3:4" x14ac:dyDescent="0.25">
      <c r="C283" s="33"/>
      <c r="D283" s="35"/>
    </row>
    <row r="284" spans="3:4" x14ac:dyDescent="0.25">
      <c r="C284" s="36"/>
      <c r="D284" s="37"/>
    </row>
    <row r="285" spans="3:4" x14ac:dyDescent="0.25">
      <c r="C285" s="33"/>
      <c r="D285" s="35"/>
    </row>
    <row r="286" spans="3:4" x14ac:dyDescent="0.25">
      <c r="C286" s="33"/>
      <c r="D286" s="35"/>
    </row>
    <row r="287" spans="3:4" x14ac:dyDescent="0.25">
      <c r="C287" s="33"/>
      <c r="D287" s="35"/>
    </row>
    <row r="288" spans="3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2:C260">
    <cfRule type="duplicateValues" dxfId="39" priority="3"/>
  </conditionalFormatting>
  <conditionalFormatting sqref="C1:C1048576">
    <cfRule type="duplicateValues" dxfId="3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41" workbookViewId="0">
      <selection activeCell="C10" sqref="C10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>E4-F4</f>
        <v>313.28999999999996</v>
      </c>
      <c r="H4" s="14">
        <f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>E5-F5</f>
        <v>317.07999999999993</v>
      </c>
      <c r="H5" s="14">
        <f>(E5-F5)/F5</f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>E6-F6</f>
        <v>387.34000000000015</v>
      </c>
      <c r="H6" s="14">
        <f>(E6-F6)/F6</f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>E7-F7</f>
        <v>455.69000000000005</v>
      </c>
      <c r="H7" s="14">
        <f>(E7-F7)/F7</f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>E8-F8</f>
        <v>534.17000000000007</v>
      </c>
      <c r="H8" s="14">
        <f>(E8-F8)/F8</f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>E9-F9</f>
        <v>425.30999999999995</v>
      </c>
      <c r="H9" s="14">
        <f>(E9-F9)/F9</f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>E10-F10</f>
        <v>412.65000000000009</v>
      </c>
      <c r="H10" s="14">
        <f>(E10-F10)/F10</f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>E11-F11</f>
        <v>-252.53999999999996</v>
      </c>
      <c r="H11" s="19">
        <f>(E11-F11)/F11</f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>E12-F12</f>
        <v>-202.53999999999996</v>
      </c>
      <c r="H12" s="19">
        <f>(E12-F12)/F12</f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>E13-F13</f>
        <v>367.07999999999993</v>
      </c>
      <c r="H13" s="14">
        <f>(E13-F13)/F13</f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>E14-F14</f>
        <v>553.15999999999985</v>
      </c>
      <c r="H14" s="14">
        <f>(E14-F14)/F14</f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>E15-F15</f>
        <v>318.98</v>
      </c>
      <c r="H15" s="14">
        <f>(E15-F15)/F15</f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>E16-F16</f>
        <v>729.83000000000038</v>
      </c>
      <c r="H16" s="14">
        <f>(E16-F16)/F16</f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>E17-F17</f>
        <v>230.0300000000002</v>
      </c>
      <c r="H17" s="14">
        <f>(E17-F17)/F17</f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>E18-F18</f>
        <v>-89.25</v>
      </c>
      <c r="H18" s="19">
        <f>(E18-F18)/F18</f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>E19-F19</f>
        <v>-89.25</v>
      </c>
      <c r="H19" s="19">
        <f>(E19-F19)/F19</f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>E20-F20</f>
        <v>-89.25</v>
      </c>
      <c r="H20" s="19">
        <f>(E20-F20)/F20</f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>E21-F21</f>
        <v>-107.09999999999991</v>
      </c>
      <c r="H21" s="19">
        <f>(E21-F21)/F21</f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>E22-F22</f>
        <v>494.07000000000005</v>
      </c>
      <c r="H22" s="14">
        <f>(E22-F22)/F22</f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>E23-F23</f>
        <v>567.54999999999973</v>
      </c>
      <c r="H23" s="14">
        <f>(E23-F23)/F23</f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>E24-F24</f>
        <v>461.73999999999978</v>
      </c>
      <c r="H24" s="14">
        <f>(E24-F24)/F24</f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>E25-F25</f>
        <v>292.32999999999993</v>
      </c>
      <c r="H25" s="14">
        <f>(E25-F25)/F25</f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>E26-F26</f>
        <v>143.70000000000027</v>
      </c>
      <c r="H26" s="14">
        <f>(E26-F26)/F26</f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>E27-F27</f>
        <v>177.12999999999965</v>
      </c>
      <c r="H27" s="14">
        <f>(E27-F27)/F27</f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>E28-F28</f>
        <v>494.07000000000005</v>
      </c>
      <c r="H28" s="14">
        <f>(E28-F28)/F28</f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>E29-F29</f>
        <v>423.76000000000022</v>
      </c>
      <c r="H29" s="14">
        <f>(E29-F29)/F29</f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>E30-F30</f>
        <v>385.78999999999996</v>
      </c>
      <c r="H30" s="14">
        <f>(E30-F30)/F30</f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>E31-F31</f>
        <v>408.5300000000002</v>
      </c>
      <c r="H31" s="14">
        <f>(E31-F31)/F31</f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>E32-F32</f>
        <v>408.5300000000002</v>
      </c>
      <c r="H32" s="14">
        <f>(E32-F32)/F32</f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>E33-F33</f>
        <v>408.5300000000002</v>
      </c>
      <c r="H33" s="14">
        <f>(E33-F33)/F33</f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>E34-F34</f>
        <v>373.72000000000025</v>
      </c>
      <c r="H34" s="14">
        <f>(E34-F34)/F34</f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>E35-F35</f>
        <v>349.38999999999987</v>
      </c>
      <c r="H35" s="14">
        <f>(E35-F35)/F35</f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>E36-F36</f>
        <v>550.34000000000015</v>
      </c>
      <c r="H36" s="14">
        <f>(E36-F36)/F36</f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>E37-F37</f>
        <v>134.59999999999991</v>
      </c>
      <c r="H37" s="14">
        <f>(E37-F37)/F37</f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>E38-F38</f>
        <v>383.2199999999998</v>
      </c>
      <c r="H38" s="14">
        <f>(E38-F38)/F38</f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>E39-F39</f>
        <v>108.30000000000018</v>
      </c>
      <c r="H39" s="14">
        <f>(E39-F39)/F39</f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>E40-F40</f>
        <v>385.78999999999996</v>
      </c>
      <c r="H40" s="14">
        <f>(E40-F40)/F40</f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>E41-F41</f>
        <v>324.80999999999995</v>
      </c>
      <c r="H41" s="14">
        <f>(E41-F41)/F41</f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>E42-F42</f>
        <v>668.71</v>
      </c>
      <c r="H42" s="14">
        <f>(E42-F42)/F42</f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>E43-F43</f>
        <v>20.169999999999959</v>
      </c>
      <c r="H43" s="14">
        <f>(E43-F43)/F43</f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>E44-F44</f>
        <v>413.07999999999993</v>
      </c>
      <c r="H44" s="14">
        <f>(E44-F44)/F44</f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>E45-F45</f>
        <v>108.01909090909066</v>
      </c>
      <c r="H45" s="14">
        <f>(E45-F45)/F45</f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0">SUM(E2:E46)</f>
        <v>132444.34999999998</v>
      </c>
      <c r="F47" s="8">
        <f t="shared" si="0"/>
        <v>119693.16090909092</v>
      </c>
      <c r="G47" s="8">
        <f t="shared" si="0"/>
        <v>12751.189090909093</v>
      </c>
      <c r="H47" s="40">
        <f>AVERAGE(H2:H46)</f>
        <v>0.31059634475706616</v>
      </c>
      <c r="I47" s="10"/>
      <c r="J47" s="10"/>
    </row>
    <row r="50" spans="3:3" x14ac:dyDescent="0.25">
      <c r="C50" s="33"/>
    </row>
    <row r="51" spans="3:3" x14ac:dyDescent="0.25">
      <c r="C51" s="33"/>
    </row>
    <row r="52" spans="3:3" x14ac:dyDescent="0.25">
      <c r="C52" s="33"/>
    </row>
    <row r="53" spans="3:3" x14ac:dyDescent="0.25">
      <c r="C53" s="34"/>
    </row>
    <row r="54" spans="3:3" x14ac:dyDescent="0.25">
      <c r="C54" s="33"/>
    </row>
    <row r="55" spans="3:3" x14ac:dyDescent="0.25">
      <c r="C55" s="33"/>
    </row>
    <row r="56" spans="3:3" x14ac:dyDescent="0.25">
      <c r="C56" s="33"/>
    </row>
    <row r="57" spans="3:3" x14ac:dyDescent="0.25">
      <c r="C57" s="33"/>
    </row>
    <row r="58" spans="3:3" x14ac:dyDescent="0.25">
      <c r="C58" s="33"/>
    </row>
    <row r="59" spans="3:3" x14ac:dyDescent="0.25">
      <c r="C59" s="33"/>
    </row>
    <row r="60" spans="3:3" x14ac:dyDescent="0.25">
      <c r="C60" s="33"/>
    </row>
    <row r="61" spans="3:3" x14ac:dyDescent="0.25">
      <c r="C61" s="33"/>
    </row>
    <row r="62" spans="3:3" x14ac:dyDescent="0.25">
      <c r="C62" s="34"/>
    </row>
    <row r="63" spans="3:3" x14ac:dyDescent="0.25">
      <c r="C63" s="33"/>
    </row>
    <row r="64" spans="3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2:C3">
    <cfRule type="duplicateValues" dxfId="37" priority="37"/>
  </conditionalFormatting>
  <conditionalFormatting sqref="C4:C5">
    <cfRule type="duplicateValues" dxfId="36" priority="36"/>
  </conditionalFormatting>
  <conditionalFormatting sqref="C4:C5">
    <cfRule type="duplicateValues" dxfId="35" priority="35"/>
  </conditionalFormatting>
  <conditionalFormatting sqref="C6:C9">
    <cfRule type="duplicateValues" dxfId="34" priority="34"/>
  </conditionalFormatting>
  <conditionalFormatting sqref="C6:C9">
    <cfRule type="duplicateValues" dxfId="33" priority="33"/>
  </conditionalFormatting>
  <conditionalFormatting sqref="C10">
    <cfRule type="duplicateValues" dxfId="32" priority="32"/>
  </conditionalFormatting>
  <conditionalFormatting sqref="C10">
    <cfRule type="duplicateValues" dxfId="31" priority="31"/>
  </conditionalFormatting>
  <conditionalFormatting sqref="C11:C12">
    <cfRule type="duplicateValues" dxfId="30" priority="30"/>
  </conditionalFormatting>
  <conditionalFormatting sqref="C11:C12">
    <cfRule type="duplicateValues" dxfId="29" priority="29"/>
  </conditionalFormatting>
  <conditionalFormatting sqref="C13:C15">
    <cfRule type="duplicateValues" dxfId="28" priority="28"/>
  </conditionalFormatting>
  <conditionalFormatting sqref="C13:C15">
    <cfRule type="duplicateValues" dxfId="27" priority="27"/>
  </conditionalFormatting>
  <conditionalFormatting sqref="C16:C17">
    <cfRule type="duplicateValues" dxfId="26" priority="26"/>
  </conditionalFormatting>
  <conditionalFormatting sqref="C16:C17">
    <cfRule type="duplicateValues" dxfId="25" priority="25"/>
  </conditionalFormatting>
  <conditionalFormatting sqref="C18">
    <cfRule type="duplicateValues" dxfId="24" priority="24"/>
  </conditionalFormatting>
  <conditionalFormatting sqref="C18">
    <cfRule type="duplicateValues" dxfId="23" priority="23"/>
  </conditionalFormatting>
  <conditionalFormatting sqref="C19">
    <cfRule type="duplicateValues" dxfId="22" priority="22"/>
  </conditionalFormatting>
  <conditionalFormatting sqref="C19">
    <cfRule type="duplicateValues" dxfId="21" priority="21"/>
  </conditionalFormatting>
  <conditionalFormatting sqref="C20:C21">
    <cfRule type="duplicateValues" dxfId="20" priority="20"/>
  </conditionalFormatting>
  <conditionalFormatting sqref="C20:C21">
    <cfRule type="duplicateValues" dxfId="19" priority="19"/>
  </conditionalFormatting>
  <conditionalFormatting sqref="C22:C27">
    <cfRule type="duplicateValues" dxfId="18" priority="18"/>
  </conditionalFormatting>
  <conditionalFormatting sqref="C22:C27">
    <cfRule type="duplicateValues" dxfId="17" priority="17"/>
  </conditionalFormatting>
  <conditionalFormatting sqref="C28:C33">
    <cfRule type="duplicateValues" dxfId="16" priority="16"/>
  </conditionalFormatting>
  <conditionalFormatting sqref="C28:C33">
    <cfRule type="duplicateValues" dxfId="15" priority="15"/>
  </conditionalFormatting>
  <conditionalFormatting sqref="C34">
    <cfRule type="duplicateValues" dxfId="14" priority="14"/>
  </conditionalFormatting>
  <conditionalFormatting sqref="C34">
    <cfRule type="duplicateValues" dxfId="13" priority="13"/>
  </conditionalFormatting>
  <conditionalFormatting sqref="C35:C38">
    <cfRule type="duplicateValues" dxfId="12" priority="12"/>
  </conditionalFormatting>
  <conditionalFormatting sqref="C35:C38">
    <cfRule type="duplicateValues" dxfId="11" priority="11"/>
  </conditionalFormatting>
  <conditionalFormatting sqref="C39:C42">
    <cfRule type="duplicateValues" dxfId="10" priority="10"/>
  </conditionalFormatting>
  <conditionalFormatting sqref="C39:C42">
    <cfRule type="duplicateValues" dxfId="9" priority="9"/>
  </conditionalFormatting>
  <conditionalFormatting sqref="C43">
    <cfRule type="duplicateValues" dxfId="8" priority="8"/>
  </conditionalFormatting>
  <conditionalFormatting sqref="C43">
    <cfRule type="duplicateValues" dxfId="7" priority="7"/>
  </conditionalFormatting>
  <conditionalFormatting sqref="C44">
    <cfRule type="duplicateValues" dxfId="6" priority="6"/>
  </conditionalFormatting>
  <conditionalFormatting sqref="C44">
    <cfRule type="duplicateValues" dxfId="5" priority="5"/>
  </conditionalFormatting>
  <conditionalFormatting sqref="C50:C103">
    <cfRule type="duplicateValues" dxfId="4" priority="4"/>
  </conditionalFormatting>
  <conditionalFormatting sqref="C1:C44 C46:C1048576">
    <cfRule type="duplicateValues" dxfId="3" priority="3"/>
  </conditionalFormatting>
  <conditionalFormatting sqref="C45">
    <cfRule type="duplicateValues" dxfId="2" priority="2"/>
  </conditionalFormatting>
  <conditionalFormatting sqref="C45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2026-07-01T16:25:42Z</dcterms:modified>
</cp:coreProperties>
</file>