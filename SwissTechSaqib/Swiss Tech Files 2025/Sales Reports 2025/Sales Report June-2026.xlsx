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63220F67-D459-43A0-8E74-8FD4B1EC3DEB}" xr6:coauthVersionLast="47" xr6:coauthVersionMax="47" xr10:uidLastSave="{00000000-0000-0000-0000-000000000000}"/>
  <bookViews>
    <workbookView xWindow="-120" yWindow="-120" windowWidth="29040" windowHeight="15720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</sheets>
  <definedNames>
    <definedName name="_xlnm._FilterDatabase" localSheetId="0" hidden="1">Sheet1!$A$6:$I$653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3" i="5" l="1"/>
  <c r="F303" i="5"/>
  <c r="G30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2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J213" i="2"/>
  <c r="E213" i="2" l="1"/>
  <c r="F213" i="2"/>
  <c r="G213" i="2"/>
  <c r="H213" i="2"/>
  <c r="I21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" i="2"/>
</calcChain>
</file>

<file path=xl/sharedStrings.xml><?xml version="1.0" encoding="utf-8"?>
<sst xmlns="http://schemas.openxmlformats.org/spreadsheetml/2006/main" count="5107" uniqueCount="576">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</sst>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10" fontId="0" fillId="2" borderId="0" xfId="0" applyNumberFormat="1" applyFill="1"/>
    <xf numFmtId="0" fontId="1" fillId="0" borderId="0" xfId="0" applyFon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sheetPr filterMode="1"/>
  <dimension ref="A1:J655"/>
  <sheetViews>
    <sheetView tabSelected="1" topLeftCell="A593" zoomScale="90" zoomScaleNormal="90" workbookViewId="0">
      <selection activeCell="B668" sqref="B668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hidden="1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hidden="1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hidden="1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hidden="1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hidden="1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hidden="1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hidden="1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hidden="1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hidden="1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hidden="1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hidden="1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hidden="1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hidden="1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hidden="1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hidden="1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hidden="1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hidden="1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hidden="1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hidden="1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hidden="1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hidden="1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hidden="1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hidden="1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hidden="1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hidden="1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hidden="1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hidden="1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hidden="1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hidden="1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hidden="1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hidden="1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hidden="1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hidden="1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hidden="1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hidden="1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hidden="1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hidden="1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hidden="1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hidden="1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hidden="1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hidden="1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hidden="1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hidden="1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hidden="1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hidden="1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hidden="1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hidden="1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hidden="1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hidden="1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hidden="1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hidden="1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hidden="1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hidden="1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hidden="1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hidden="1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hidden="1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hidden="1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hidden="1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hidden="1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hidden="1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hidden="1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hidden="1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hidden="1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hidden="1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hidden="1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hidden="1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hidden="1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hidden="1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hidden="1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hidden="1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hidden="1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hidden="1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hidden="1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hidden="1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hidden="1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hidden="1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hidden="1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hidden="1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hidden="1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hidden="1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hidden="1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hidden="1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hidden="1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hidden="1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hidden="1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hidden="1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hidden="1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hidden="1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hidden="1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hidden="1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hidden="1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hidden="1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hidden="1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hidden="1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hidden="1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hidden="1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hidden="1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hidden="1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hidden="1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hidden="1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hidden="1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hidden="1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hidden="1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hidden="1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hidden="1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hidden="1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hidden="1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hidden="1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hidden="1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hidden="1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hidden="1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hidden="1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hidden="1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hidden="1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hidden="1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hidden="1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hidden="1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hidden="1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hidden="1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hidden="1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hidden="1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hidden="1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hidden="1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hidden="1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hidden="1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hidden="1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hidden="1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hidden="1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hidden="1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hidden="1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hidden="1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hidden="1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hidden="1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hidden="1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hidden="1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hidden="1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hidden="1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hidden="1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hidden="1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hidden="1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hidden="1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hidden="1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hidden="1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hidden="1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hidden="1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hidden="1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hidden="1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hidden="1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hidden="1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hidden="1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hidden="1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hidden="1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hidden="1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hidden="1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hidden="1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hidden="1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hidden="1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hidden="1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hidden="1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hidden="1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hidden="1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hidden="1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hidden="1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hidden="1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hidden="1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hidden="1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hidden="1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hidden="1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hidden="1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hidden="1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hidden="1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hidden="1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hidden="1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hidden="1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hidden="1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hidden="1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hidden="1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hidden="1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hidden="1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hidden="1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hidden="1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hidden="1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hidden="1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hidden="1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hidden="1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hidden="1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hidden="1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hidden="1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hidden="1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hidden="1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hidden="1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hidden="1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hidden="1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hidden="1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hidden="1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hidden="1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hidden="1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hidden="1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hidden="1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hidden="1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hidden="1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hidden="1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hidden="1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hidden="1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hidden="1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hidden="1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hidden="1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hidden="1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hidden="1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hidden="1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hidden="1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hidden="1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hidden="1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hidden="1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hidden="1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hidden="1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hidden="1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hidden="1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hidden="1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hidden="1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hidden="1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hidden="1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hidden="1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hidden="1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hidden="1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hidden="1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hidden="1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hidden="1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hidden="1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hidden="1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hidden="1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hidden="1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hidden="1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hidden="1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hidden="1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hidden="1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hidden="1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hidden="1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hidden="1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hidden="1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hidden="1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hidden="1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hidden="1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hidden="1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hidden="1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hidden="1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hidden="1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hidden="1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hidden="1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hidden="1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hidden="1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hidden="1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hidden="1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hidden="1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hidden="1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hidden="1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hidden="1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hidden="1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hidden="1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hidden="1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hidden="1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hidden="1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hidden="1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hidden="1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hidden="1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hidden="1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hidden="1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hidden="1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hidden="1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hidden="1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hidden="1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hidden="1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hidden="1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hidden="1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hidden="1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hidden="1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hidden="1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hidden="1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hidden="1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hidden="1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hidden="1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hidden="1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hidden="1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hidden="1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hidden="1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hidden="1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hidden="1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hidden="1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hidden="1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hidden="1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hidden="1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hidden="1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hidden="1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hidden="1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hidden="1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hidden="1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hidden="1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hidden="1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hidden="1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hidden="1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hidden="1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hidden="1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hidden="1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hidden="1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hidden="1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hidden="1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hidden="1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hidden="1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hidden="1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hidden="1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hidden="1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hidden="1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hidden="1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hidden="1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hidden="1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hidden="1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hidden="1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hidden="1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hidden="1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hidden="1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hidden="1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hidden="1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hidden="1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hidden="1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hidden="1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hidden="1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hidden="1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hidden="1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hidden="1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hidden="1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hidden="1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hidden="1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hidden="1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hidden="1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hidden="1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hidden="1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hidden="1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hidden="1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hidden="1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hidden="1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hidden="1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hidden="1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hidden="1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hidden="1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hidden="1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hidden="1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hidden="1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hidden="1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3" xr:uid="{9BB2F6C6-EF2F-424D-9FFF-ECB06C81F028}">
    <filterColumn colId="8">
      <filters>
        <filter val="MUDASSIR"/>
        <filter val="OWAIS HOUSTON"/>
      </filters>
    </filterColumn>
  </autoFilter>
  <conditionalFormatting sqref="C1:C655">
    <cfRule type="duplicateValues" dxfId="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13"/>
  <sheetViews>
    <sheetView topLeftCell="A184" workbookViewId="0">
      <selection activeCell="C215" sqref="C215"/>
    </sheetView>
  </sheetViews>
  <sheetFormatPr defaultRowHeight="15" x14ac:dyDescent="0.25"/>
  <cols>
    <col min="1" max="1" width="11" customWidth="1"/>
    <col min="2" max="2" width="42.28515625" customWidth="1"/>
    <col min="3" max="3" width="3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4" t="s">
        <v>5</v>
      </c>
      <c r="B1" s="14" t="s">
        <v>6</v>
      </c>
      <c r="C1" s="14" t="s">
        <v>7</v>
      </c>
      <c r="D1" s="14" t="s">
        <v>8</v>
      </c>
      <c r="E1" s="14" t="s">
        <v>9</v>
      </c>
      <c r="F1" s="14" t="s">
        <v>10</v>
      </c>
      <c r="G1" s="14" t="s">
        <v>565</v>
      </c>
      <c r="H1" s="14" t="s">
        <v>566</v>
      </c>
      <c r="I1" s="14" t="s">
        <v>11</v>
      </c>
      <c r="J1" s="14" t="s">
        <v>12</v>
      </c>
      <c r="K1" s="14" t="s">
        <v>13</v>
      </c>
      <c r="L1" s="13"/>
    </row>
    <row r="2" spans="1:12" x14ac:dyDescent="0.25">
      <c r="A2" s="19">
        <v>46174</v>
      </c>
      <c r="B2" s="13" t="s">
        <v>15</v>
      </c>
      <c r="C2" s="16" t="s">
        <v>16</v>
      </c>
      <c r="D2" s="13" t="s">
        <v>17</v>
      </c>
      <c r="E2" s="13">
        <v>1260</v>
      </c>
      <c r="F2" s="13">
        <v>1013.35</v>
      </c>
      <c r="G2" s="17">
        <f>F2/11</f>
        <v>92.122727272727275</v>
      </c>
      <c r="H2" s="17">
        <f>F2-G2</f>
        <v>921.22727272727275</v>
      </c>
      <c r="I2" s="17">
        <f>E2-H2</f>
        <v>338.77272727272725</v>
      </c>
      <c r="J2" s="18">
        <f>(E2-H2)/H2</f>
        <v>0.36774066216016182</v>
      </c>
      <c r="K2" s="13" t="s">
        <v>18</v>
      </c>
      <c r="L2" s="13"/>
    </row>
    <row r="3" spans="1:12" x14ac:dyDescent="0.25">
      <c r="A3" s="19">
        <v>46174</v>
      </c>
      <c r="B3" s="13" t="s">
        <v>15</v>
      </c>
      <c r="C3" s="16" t="s">
        <v>19</v>
      </c>
      <c r="D3" s="13" t="s">
        <v>17</v>
      </c>
      <c r="E3" s="13">
        <v>1260</v>
      </c>
      <c r="F3" s="13">
        <v>1013.35</v>
      </c>
      <c r="G3" s="17">
        <f t="shared" ref="G3:G66" si="0">F3/11</f>
        <v>92.122727272727275</v>
      </c>
      <c r="H3" s="17">
        <f t="shared" ref="H3:H66" si="1">F3-G3</f>
        <v>921.22727272727275</v>
      </c>
      <c r="I3" s="17">
        <f t="shared" ref="I3:I66" si="2">E3-H3</f>
        <v>338.77272727272725</v>
      </c>
      <c r="J3" s="18">
        <f t="shared" ref="J3:J66" si="3">(E3-H3)/H3</f>
        <v>0.36774066216016182</v>
      </c>
      <c r="K3" s="13" t="s">
        <v>18</v>
      </c>
      <c r="L3" s="13"/>
    </row>
    <row r="4" spans="1:12" x14ac:dyDescent="0.25">
      <c r="A4" s="19">
        <v>46174</v>
      </c>
      <c r="B4" s="13" t="s">
        <v>15</v>
      </c>
      <c r="C4" s="16" t="s">
        <v>20</v>
      </c>
      <c r="D4" s="13" t="s">
        <v>17</v>
      </c>
      <c r="E4" s="13">
        <v>1260</v>
      </c>
      <c r="F4" s="13">
        <v>1013.35</v>
      </c>
      <c r="G4" s="17">
        <f t="shared" si="0"/>
        <v>92.122727272727275</v>
      </c>
      <c r="H4" s="17">
        <f t="shared" si="1"/>
        <v>921.22727272727275</v>
      </c>
      <c r="I4" s="17">
        <f t="shared" si="2"/>
        <v>338.77272727272725</v>
      </c>
      <c r="J4" s="18">
        <f t="shared" si="3"/>
        <v>0.36774066216016182</v>
      </c>
      <c r="K4" s="13" t="s">
        <v>18</v>
      </c>
      <c r="L4" s="13"/>
    </row>
    <row r="5" spans="1:12" x14ac:dyDescent="0.25">
      <c r="A5" s="19">
        <v>46174</v>
      </c>
      <c r="B5" s="13" t="s">
        <v>15</v>
      </c>
      <c r="C5" s="16" t="s">
        <v>21</v>
      </c>
      <c r="D5" s="13" t="s">
        <v>17</v>
      </c>
      <c r="E5" s="13">
        <v>1260</v>
      </c>
      <c r="F5" s="13">
        <v>1013.35</v>
      </c>
      <c r="G5" s="17">
        <f t="shared" si="0"/>
        <v>92.122727272727275</v>
      </c>
      <c r="H5" s="17">
        <f t="shared" si="1"/>
        <v>921.22727272727275</v>
      </c>
      <c r="I5" s="17">
        <f t="shared" si="2"/>
        <v>338.77272727272725</v>
      </c>
      <c r="J5" s="18">
        <f t="shared" si="3"/>
        <v>0.36774066216016182</v>
      </c>
      <c r="K5" s="13" t="s">
        <v>18</v>
      </c>
      <c r="L5" s="13"/>
    </row>
    <row r="6" spans="1:12" x14ac:dyDescent="0.25">
      <c r="A6" s="19">
        <v>46174</v>
      </c>
      <c r="B6" s="13" t="s">
        <v>15</v>
      </c>
      <c r="C6" s="16" t="s">
        <v>22</v>
      </c>
      <c r="D6" s="13" t="s">
        <v>17</v>
      </c>
      <c r="E6" s="13">
        <v>1260</v>
      </c>
      <c r="F6" s="13">
        <v>1013.35</v>
      </c>
      <c r="G6" s="17">
        <f t="shared" si="0"/>
        <v>92.122727272727275</v>
      </c>
      <c r="H6" s="17">
        <f t="shared" si="1"/>
        <v>921.22727272727275</v>
      </c>
      <c r="I6" s="17">
        <f t="shared" si="2"/>
        <v>338.77272727272725</v>
      </c>
      <c r="J6" s="18">
        <f t="shared" si="3"/>
        <v>0.36774066216016182</v>
      </c>
      <c r="K6" s="13" t="s">
        <v>18</v>
      </c>
      <c r="L6" s="13"/>
    </row>
    <row r="7" spans="1:12" x14ac:dyDescent="0.25">
      <c r="A7" s="19">
        <v>46174</v>
      </c>
      <c r="B7" s="13" t="s">
        <v>15</v>
      </c>
      <c r="C7" s="16" t="s">
        <v>23</v>
      </c>
      <c r="D7" s="13" t="s">
        <v>17</v>
      </c>
      <c r="E7" s="13">
        <v>1260</v>
      </c>
      <c r="F7" s="13">
        <v>1013.35</v>
      </c>
      <c r="G7" s="17">
        <f t="shared" si="0"/>
        <v>92.122727272727275</v>
      </c>
      <c r="H7" s="17">
        <f t="shared" si="1"/>
        <v>921.22727272727275</v>
      </c>
      <c r="I7" s="17">
        <f t="shared" si="2"/>
        <v>338.77272727272725</v>
      </c>
      <c r="J7" s="18">
        <f t="shared" si="3"/>
        <v>0.36774066216016182</v>
      </c>
      <c r="K7" s="13" t="s">
        <v>18</v>
      </c>
      <c r="L7" s="13"/>
    </row>
    <row r="8" spans="1:12" x14ac:dyDescent="0.25">
      <c r="A8" s="19">
        <v>46174</v>
      </c>
      <c r="B8" s="13" t="s">
        <v>15</v>
      </c>
      <c r="C8" s="16" t="s">
        <v>24</v>
      </c>
      <c r="D8" s="13" t="s">
        <v>17</v>
      </c>
      <c r="E8" s="13">
        <v>1260</v>
      </c>
      <c r="F8" s="13">
        <v>1013.35</v>
      </c>
      <c r="G8" s="17">
        <f t="shared" si="0"/>
        <v>92.122727272727275</v>
      </c>
      <c r="H8" s="17">
        <f t="shared" si="1"/>
        <v>921.22727272727275</v>
      </c>
      <c r="I8" s="17">
        <f t="shared" si="2"/>
        <v>338.77272727272725</v>
      </c>
      <c r="J8" s="18">
        <f t="shared" si="3"/>
        <v>0.36774066216016182</v>
      </c>
      <c r="K8" s="13" t="s">
        <v>18</v>
      </c>
      <c r="L8" s="13"/>
    </row>
    <row r="9" spans="1:12" x14ac:dyDescent="0.25">
      <c r="A9" s="19">
        <v>46174</v>
      </c>
      <c r="B9" s="13" t="s">
        <v>15</v>
      </c>
      <c r="C9" s="16" t="s">
        <v>25</v>
      </c>
      <c r="D9" s="13" t="s">
        <v>17</v>
      </c>
      <c r="E9" s="13">
        <v>1260</v>
      </c>
      <c r="F9" s="13">
        <v>1013.35</v>
      </c>
      <c r="G9" s="17">
        <f t="shared" si="0"/>
        <v>92.122727272727275</v>
      </c>
      <c r="H9" s="17">
        <f t="shared" si="1"/>
        <v>921.22727272727275</v>
      </c>
      <c r="I9" s="17">
        <f t="shared" si="2"/>
        <v>338.77272727272725</v>
      </c>
      <c r="J9" s="18">
        <f t="shared" si="3"/>
        <v>0.36774066216016182</v>
      </c>
      <c r="K9" s="13" t="s">
        <v>18</v>
      </c>
      <c r="L9" s="13"/>
    </row>
    <row r="10" spans="1:12" x14ac:dyDescent="0.25">
      <c r="A10" s="19">
        <v>46174</v>
      </c>
      <c r="B10" s="13" t="s">
        <v>15</v>
      </c>
      <c r="C10" s="16" t="s">
        <v>26</v>
      </c>
      <c r="D10" s="13" t="s">
        <v>17</v>
      </c>
      <c r="E10" s="13">
        <v>1260</v>
      </c>
      <c r="F10" s="13">
        <v>1013.35</v>
      </c>
      <c r="G10" s="17">
        <f t="shared" si="0"/>
        <v>92.122727272727275</v>
      </c>
      <c r="H10" s="17">
        <f t="shared" si="1"/>
        <v>921.22727272727275</v>
      </c>
      <c r="I10" s="17">
        <f t="shared" si="2"/>
        <v>338.77272727272725</v>
      </c>
      <c r="J10" s="18">
        <f t="shared" si="3"/>
        <v>0.36774066216016182</v>
      </c>
      <c r="K10" s="13" t="s">
        <v>18</v>
      </c>
      <c r="L10" s="13"/>
    </row>
    <row r="11" spans="1:12" x14ac:dyDescent="0.25">
      <c r="A11" s="19">
        <v>46174</v>
      </c>
      <c r="B11" s="13" t="s">
        <v>15</v>
      </c>
      <c r="C11" s="16" t="s">
        <v>27</v>
      </c>
      <c r="D11" s="13" t="s">
        <v>17</v>
      </c>
      <c r="E11" s="13">
        <v>1260</v>
      </c>
      <c r="F11" s="13">
        <v>1013.35</v>
      </c>
      <c r="G11" s="17">
        <f t="shared" si="0"/>
        <v>92.122727272727275</v>
      </c>
      <c r="H11" s="17">
        <f t="shared" si="1"/>
        <v>921.22727272727275</v>
      </c>
      <c r="I11" s="17">
        <f t="shared" si="2"/>
        <v>338.77272727272725</v>
      </c>
      <c r="J11" s="18">
        <f t="shared" si="3"/>
        <v>0.36774066216016182</v>
      </c>
      <c r="K11" s="13" t="s">
        <v>18</v>
      </c>
      <c r="L11" s="13"/>
    </row>
    <row r="12" spans="1:12" x14ac:dyDescent="0.25">
      <c r="A12" s="19">
        <v>46174</v>
      </c>
      <c r="B12" s="13" t="s">
        <v>15</v>
      </c>
      <c r="C12" s="16" t="s">
        <v>28</v>
      </c>
      <c r="D12" s="13" t="s">
        <v>17</v>
      </c>
      <c r="E12" s="13">
        <v>1260</v>
      </c>
      <c r="F12" s="13">
        <v>1013.35</v>
      </c>
      <c r="G12" s="17">
        <f t="shared" si="0"/>
        <v>92.122727272727275</v>
      </c>
      <c r="H12" s="17">
        <f t="shared" si="1"/>
        <v>921.22727272727275</v>
      </c>
      <c r="I12" s="17">
        <f t="shared" si="2"/>
        <v>338.77272727272725</v>
      </c>
      <c r="J12" s="18">
        <f t="shared" si="3"/>
        <v>0.36774066216016182</v>
      </c>
      <c r="K12" s="13" t="s">
        <v>18</v>
      </c>
      <c r="L12" s="13"/>
    </row>
    <row r="13" spans="1:12" x14ac:dyDescent="0.25">
      <c r="A13" s="19">
        <v>46178</v>
      </c>
      <c r="B13" s="13" t="s">
        <v>131</v>
      </c>
      <c r="C13" s="16" t="s">
        <v>134</v>
      </c>
      <c r="D13" s="13"/>
      <c r="E13" s="13">
        <v>1760</v>
      </c>
      <c r="F13" s="13">
        <v>1158.3900000000001</v>
      </c>
      <c r="G13" s="17">
        <f t="shared" si="0"/>
        <v>105.30818181818182</v>
      </c>
      <c r="H13" s="17">
        <f t="shared" si="1"/>
        <v>1053.0818181818183</v>
      </c>
      <c r="I13" s="17">
        <f t="shared" si="2"/>
        <v>706.91818181818167</v>
      </c>
      <c r="J13" s="18">
        <f t="shared" si="3"/>
        <v>0.67128514576265308</v>
      </c>
      <c r="K13" s="13" t="s">
        <v>18</v>
      </c>
      <c r="L13" s="13"/>
    </row>
    <row r="14" spans="1:12" x14ac:dyDescent="0.25">
      <c r="A14" s="19">
        <v>46178</v>
      </c>
      <c r="B14" s="13" t="s">
        <v>131</v>
      </c>
      <c r="C14" s="16" t="s">
        <v>135</v>
      </c>
      <c r="D14" s="13"/>
      <c r="E14" s="13">
        <v>1760</v>
      </c>
      <c r="F14" s="13">
        <v>1158.3900000000001</v>
      </c>
      <c r="G14" s="17">
        <f t="shared" si="0"/>
        <v>105.30818181818182</v>
      </c>
      <c r="H14" s="17">
        <f t="shared" si="1"/>
        <v>1053.0818181818183</v>
      </c>
      <c r="I14" s="17">
        <f t="shared" si="2"/>
        <v>706.91818181818167</v>
      </c>
      <c r="J14" s="18">
        <f t="shared" si="3"/>
        <v>0.67128514576265308</v>
      </c>
      <c r="K14" s="13" t="s">
        <v>18</v>
      </c>
      <c r="L14" s="13"/>
    </row>
    <row r="15" spans="1:12" x14ac:dyDescent="0.25">
      <c r="A15" s="19">
        <v>46178</v>
      </c>
      <c r="B15" s="13" t="s">
        <v>131</v>
      </c>
      <c r="C15" s="16" t="s">
        <v>136</v>
      </c>
      <c r="D15" s="13"/>
      <c r="E15" s="13">
        <v>1760</v>
      </c>
      <c r="F15" s="13">
        <v>1158.3900000000001</v>
      </c>
      <c r="G15" s="17">
        <f t="shared" si="0"/>
        <v>105.30818181818182</v>
      </c>
      <c r="H15" s="17">
        <f t="shared" si="1"/>
        <v>1053.0818181818183</v>
      </c>
      <c r="I15" s="17">
        <f t="shared" si="2"/>
        <v>706.91818181818167</v>
      </c>
      <c r="J15" s="18">
        <f t="shared" si="3"/>
        <v>0.67128514576265308</v>
      </c>
      <c r="K15" s="13" t="s">
        <v>18</v>
      </c>
      <c r="L15" s="13"/>
    </row>
    <row r="16" spans="1:12" x14ac:dyDescent="0.25">
      <c r="A16" s="19">
        <v>46178</v>
      </c>
      <c r="B16" s="13" t="s">
        <v>131</v>
      </c>
      <c r="C16" s="16" t="s">
        <v>137</v>
      </c>
      <c r="D16" s="13"/>
      <c r="E16" s="13">
        <v>1760</v>
      </c>
      <c r="F16" s="13">
        <v>1158.3900000000001</v>
      </c>
      <c r="G16" s="17">
        <f t="shared" si="0"/>
        <v>105.30818181818182</v>
      </c>
      <c r="H16" s="17">
        <f t="shared" si="1"/>
        <v>1053.0818181818183</v>
      </c>
      <c r="I16" s="17">
        <f t="shared" si="2"/>
        <v>706.91818181818167</v>
      </c>
      <c r="J16" s="18">
        <f t="shared" si="3"/>
        <v>0.67128514576265308</v>
      </c>
      <c r="K16" s="13" t="s">
        <v>18</v>
      </c>
      <c r="L16" s="13"/>
    </row>
    <row r="17" spans="1:12" x14ac:dyDescent="0.25">
      <c r="A17" s="19">
        <v>46178</v>
      </c>
      <c r="B17" s="13" t="s">
        <v>131</v>
      </c>
      <c r="C17" s="16" t="s">
        <v>138</v>
      </c>
      <c r="D17" s="13"/>
      <c r="E17" s="13">
        <v>1760</v>
      </c>
      <c r="F17" s="13">
        <v>1158.3900000000001</v>
      </c>
      <c r="G17" s="17">
        <f t="shared" si="0"/>
        <v>105.30818181818182</v>
      </c>
      <c r="H17" s="17">
        <f t="shared" si="1"/>
        <v>1053.0818181818183</v>
      </c>
      <c r="I17" s="17">
        <f t="shared" si="2"/>
        <v>706.91818181818167</v>
      </c>
      <c r="J17" s="18">
        <f t="shared" si="3"/>
        <v>0.67128514576265308</v>
      </c>
      <c r="K17" s="13" t="s">
        <v>18</v>
      </c>
      <c r="L17" s="13"/>
    </row>
    <row r="18" spans="1:12" x14ac:dyDescent="0.25">
      <c r="A18" s="19">
        <v>46178</v>
      </c>
      <c r="B18" s="13" t="s">
        <v>131</v>
      </c>
      <c r="C18" s="16" t="s">
        <v>139</v>
      </c>
      <c r="D18" s="13"/>
      <c r="E18" s="13">
        <v>1760</v>
      </c>
      <c r="F18" s="13">
        <v>1158.3900000000001</v>
      </c>
      <c r="G18" s="17">
        <f t="shared" si="0"/>
        <v>105.30818181818182</v>
      </c>
      <c r="H18" s="17">
        <f t="shared" si="1"/>
        <v>1053.0818181818183</v>
      </c>
      <c r="I18" s="17">
        <f t="shared" si="2"/>
        <v>706.91818181818167</v>
      </c>
      <c r="J18" s="18">
        <f t="shared" si="3"/>
        <v>0.67128514576265308</v>
      </c>
      <c r="K18" s="13" t="s">
        <v>18</v>
      </c>
      <c r="L18" s="13"/>
    </row>
    <row r="19" spans="1:12" x14ac:dyDescent="0.25">
      <c r="A19" s="19">
        <v>46178</v>
      </c>
      <c r="B19" s="13" t="s">
        <v>145</v>
      </c>
      <c r="C19" s="16" t="s">
        <v>146</v>
      </c>
      <c r="D19" s="13"/>
      <c r="E19" s="13">
        <v>2033.33</v>
      </c>
      <c r="F19" s="13">
        <v>1513.37</v>
      </c>
      <c r="G19" s="17">
        <f t="shared" si="0"/>
        <v>137.57909090909089</v>
      </c>
      <c r="H19" s="17">
        <f t="shared" si="1"/>
        <v>1375.7909090909091</v>
      </c>
      <c r="I19" s="17">
        <f t="shared" si="2"/>
        <v>657.53909090909087</v>
      </c>
      <c r="J19" s="18">
        <f t="shared" si="3"/>
        <v>0.47793533636850205</v>
      </c>
      <c r="K19" s="13" t="s">
        <v>147</v>
      </c>
      <c r="L19" s="13"/>
    </row>
    <row r="20" spans="1:12" x14ac:dyDescent="0.25">
      <c r="A20" s="19">
        <v>46178</v>
      </c>
      <c r="B20" s="13" t="s">
        <v>145</v>
      </c>
      <c r="C20" s="16" t="s">
        <v>148</v>
      </c>
      <c r="D20" s="13"/>
      <c r="E20" s="13">
        <v>2033.33</v>
      </c>
      <c r="F20" s="13">
        <v>1513.37</v>
      </c>
      <c r="G20" s="17">
        <f t="shared" si="0"/>
        <v>137.57909090909089</v>
      </c>
      <c r="H20" s="17">
        <f t="shared" si="1"/>
        <v>1375.7909090909091</v>
      </c>
      <c r="I20" s="17">
        <f t="shared" si="2"/>
        <v>657.53909090909087</v>
      </c>
      <c r="J20" s="18">
        <f t="shared" si="3"/>
        <v>0.47793533636850205</v>
      </c>
      <c r="K20" s="13" t="s">
        <v>147</v>
      </c>
      <c r="L20" s="13"/>
    </row>
    <row r="21" spans="1:12" x14ac:dyDescent="0.25">
      <c r="A21" s="19">
        <v>46178</v>
      </c>
      <c r="B21" s="13" t="s">
        <v>145</v>
      </c>
      <c r="C21" s="16" t="s">
        <v>149</v>
      </c>
      <c r="D21" s="13"/>
      <c r="E21" s="13">
        <v>1900</v>
      </c>
      <c r="F21" s="13">
        <v>1513.37</v>
      </c>
      <c r="G21" s="17">
        <f t="shared" si="0"/>
        <v>137.57909090909089</v>
      </c>
      <c r="H21" s="17">
        <f t="shared" si="1"/>
        <v>1375.7909090909091</v>
      </c>
      <c r="I21" s="17">
        <f t="shared" si="2"/>
        <v>524.20909090909095</v>
      </c>
      <c r="J21" s="18">
        <f t="shared" si="3"/>
        <v>0.38102380779320327</v>
      </c>
      <c r="K21" s="13" t="s">
        <v>147</v>
      </c>
      <c r="L21" s="13"/>
    </row>
    <row r="22" spans="1:12" x14ac:dyDescent="0.25">
      <c r="A22" s="19">
        <v>46178</v>
      </c>
      <c r="B22" s="13" t="s">
        <v>145</v>
      </c>
      <c r="C22" s="16" t="s">
        <v>150</v>
      </c>
      <c r="D22" s="13"/>
      <c r="E22" s="13">
        <v>1900</v>
      </c>
      <c r="F22" s="13">
        <v>1513.37</v>
      </c>
      <c r="G22" s="17">
        <f t="shared" si="0"/>
        <v>137.57909090909089</v>
      </c>
      <c r="H22" s="17">
        <f t="shared" si="1"/>
        <v>1375.7909090909091</v>
      </c>
      <c r="I22" s="17">
        <f t="shared" si="2"/>
        <v>524.20909090909095</v>
      </c>
      <c r="J22" s="18">
        <f t="shared" si="3"/>
        <v>0.38102380779320327</v>
      </c>
      <c r="K22" s="13" t="s">
        <v>147</v>
      </c>
      <c r="L22" s="13"/>
    </row>
    <row r="23" spans="1:12" x14ac:dyDescent="0.25">
      <c r="A23" s="19">
        <v>46178</v>
      </c>
      <c r="B23" s="13" t="s">
        <v>145</v>
      </c>
      <c r="C23" s="16" t="s">
        <v>151</v>
      </c>
      <c r="D23" s="13"/>
      <c r="E23" s="13">
        <v>2033.33</v>
      </c>
      <c r="F23" s="13">
        <v>1513.37</v>
      </c>
      <c r="G23" s="17">
        <f t="shared" si="0"/>
        <v>137.57909090909089</v>
      </c>
      <c r="H23" s="17">
        <f t="shared" si="1"/>
        <v>1375.7909090909091</v>
      </c>
      <c r="I23" s="17">
        <f t="shared" si="2"/>
        <v>657.53909090909087</v>
      </c>
      <c r="J23" s="18">
        <f t="shared" si="3"/>
        <v>0.47793533636850205</v>
      </c>
      <c r="K23" s="13" t="s">
        <v>147</v>
      </c>
      <c r="L23" s="13"/>
    </row>
    <row r="24" spans="1:12" x14ac:dyDescent="0.25">
      <c r="A24" s="19">
        <v>46181</v>
      </c>
      <c r="B24" s="13" t="s">
        <v>200</v>
      </c>
      <c r="C24" s="16" t="s">
        <v>201</v>
      </c>
      <c r="D24" s="13" t="s">
        <v>17</v>
      </c>
      <c r="E24" s="13">
        <v>150</v>
      </c>
      <c r="F24" s="13">
        <v>100</v>
      </c>
      <c r="G24" s="17">
        <f t="shared" si="0"/>
        <v>9.0909090909090917</v>
      </c>
      <c r="H24" s="17">
        <f t="shared" si="1"/>
        <v>90.909090909090907</v>
      </c>
      <c r="I24" s="17">
        <f t="shared" si="2"/>
        <v>59.090909090909093</v>
      </c>
      <c r="J24" s="18">
        <f t="shared" si="3"/>
        <v>0.65</v>
      </c>
      <c r="K24" s="13" t="s">
        <v>18</v>
      </c>
      <c r="L24" s="13"/>
    </row>
    <row r="25" spans="1:12" x14ac:dyDescent="0.25">
      <c r="A25" s="19">
        <v>46181</v>
      </c>
      <c r="B25" s="13" t="s">
        <v>200</v>
      </c>
      <c r="C25" s="16" t="s">
        <v>202</v>
      </c>
      <c r="D25" s="13" t="s">
        <v>17</v>
      </c>
      <c r="E25" s="13">
        <v>150</v>
      </c>
      <c r="F25" s="13">
        <v>100</v>
      </c>
      <c r="G25" s="17">
        <f t="shared" si="0"/>
        <v>9.0909090909090917</v>
      </c>
      <c r="H25" s="17">
        <f t="shared" si="1"/>
        <v>90.909090909090907</v>
      </c>
      <c r="I25" s="17">
        <f t="shared" si="2"/>
        <v>59.090909090909093</v>
      </c>
      <c r="J25" s="18">
        <f t="shared" si="3"/>
        <v>0.65</v>
      </c>
      <c r="K25" s="13" t="s">
        <v>18</v>
      </c>
      <c r="L25" s="13"/>
    </row>
    <row r="26" spans="1:12" x14ac:dyDescent="0.25">
      <c r="A26" s="19">
        <v>46181</v>
      </c>
      <c r="B26" s="13" t="s">
        <v>200</v>
      </c>
      <c r="C26" s="16" t="s">
        <v>203</v>
      </c>
      <c r="D26" s="13" t="s">
        <v>17</v>
      </c>
      <c r="E26" s="13">
        <v>150</v>
      </c>
      <c r="F26" s="13">
        <v>100</v>
      </c>
      <c r="G26" s="17">
        <f t="shared" si="0"/>
        <v>9.0909090909090917</v>
      </c>
      <c r="H26" s="17">
        <f t="shared" si="1"/>
        <v>90.909090909090907</v>
      </c>
      <c r="I26" s="17">
        <f t="shared" si="2"/>
        <v>59.090909090909093</v>
      </c>
      <c r="J26" s="18">
        <f t="shared" si="3"/>
        <v>0.65</v>
      </c>
      <c r="K26" s="13" t="s">
        <v>18</v>
      </c>
      <c r="L26" s="13"/>
    </row>
    <row r="27" spans="1:12" x14ac:dyDescent="0.25">
      <c r="A27" s="19">
        <v>46181</v>
      </c>
      <c r="B27" s="13" t="s">
        <v>200</v>
      </c>
      <c r="C27" s="16" t="s">
        <v>204</v>
      </c>
      <c r="D27" s="13" t="s">
        <v>17</v>
      </c>
      <c r="E27" s="13">
        <v>150</v>
      </c>
      <c r="F27" s="13">
        <v>100</v>
      </c>
      <c r="G27" s="17">
        <f t="shared" si="0"/>
        <v>9.0909090909090917</v>
      </c>
      <c r="H27" s="17">
        <f t="shared" si="1"/>
        <v>90.909090909090907</v>
      </c>
      <c r="I27" s="17">
        <f t="shared" si="2"/>
        <v>59.090909090909093</v>
      </c>
      <c r="J27" s="18">
        <f t="shared" si="3"/>
        <v>0.65</v>
      </c>
      <c r="K27" s="13" t="s">
        <v>18</v>
      </c>
      <c r="L27" s="13"/>
    </row>
    <row r="28" spans="1:12" x14ac:dyDescent="0.25">
      <c r="A28" s="20">
        <v>46191</v>
      </c>
      <c r="B28" s="21" t="s">
        <v>312</v>
      </c>
      <c r="C28" s="22" t="s">
        <v>313</v>
      </c>
      <c r="D28" s="21"/>
      <c r="E28" s="21">
        <v>1700</v>
      </c>
      <c r="F28" s="21">
        <v>2082.41</v>
      </c>
      <c r="G28" s="23">
        <f t="shared" si="0"/>
        <v>189.30999999999997</v>
      </c>
      <c r="H28" s="23">
        <f t="shared" si="1"/>
        <v>1893.1</v>
      </c>
      <c r="I28" s="23">
        <f t="shared" si="2"/>
        <v>-193.09999999999991</v>
      </c>
      <c r="J28" s="24">
        <f t="shared" si="3"/>
        <v>-0.10200200728963073</v>
      </c>
      <c r="K28" s="21" t="s">
        <v>147</v>
      </c>
      <c r="L28" s="21" t="s">
        <v>55</v>
      </c>
    </row>
    <row r="29" spans="1:12" x14ac:dyDescent="0.25">
      <c r="A29" s="20">
        <v>46191</v>
      </c>
      <c r="B29" s="21" t="s">
        <v>312</v>
      </c>
      <c r="C29" s="22" t="s">
        <v>314</v>
      </c>
      <c r="D29" s="21"/>
      <c r="E29" s="21">
        <v>1700</v>
      </c>
      <c r="F29" s="21">
        <v>2082.41</v>
      </c>
      <c r="G29" s="23">
        <f t="shared" si="0"/>
        <v>189.30999999999997</v>
      </c>
      <c r="H29" s="23">
        <f t="shared" si="1"/>
        <v>1893.1</v>
      </c>
      <c r="I29" s="23">
        <f t="shared" si="2"/>
        <v>-193.09999999999991</v>
      </c>
      <c r="J29" s="24">
        <f t="shared" si="3"/>
        <v>-0.10200200728963073</v>
      </c>
      <c r="K29" s="21" t="s">
        <v>147</v>
      </c>
      <c r="L29" s="21" t="s">
        <v>55</v>
      </c>
    </row>
    <row r="30" spans="1:12" x14ac:dyDescent="0.25">
      <c r="A30" s="20">
        <v>46191</v>
      </c>
      <c r="B30" s="21" t="s">
        <v>312</v>
      </c>
      <c r="C30" s="22" t="s">
        <v>315</v>
      </c>
      <c r="D30" s="21"/>
      <c r="E30" s="21">
        <v>1700</v>
      </c>
      <c r="F30" s="21">
        <v>2082.41</v>
      </c>
      <c r="G30" s="23">
        <f t="shared" si="0"/>
        <v>189.30999999999997</v>
      </c>
      <c r="H30" s="23">
        <f t="shared" si="1"/>
        <v>1893.1</v>
      </c>
      <c r="I30" s="23">
        <f t="shared" si="2"/>
        <v>-193.09999999999991</v>
      </c>
      <c r="J30" s="24">
        <f t="shared" si="3"/>
        <v>-0.10200200728963073</v>
      </c>
      <c r="K30" s="21" t="s">
        <v>147</v>
      </c>
      <c r="L30" s="21" t="s">
        <v>55</v>
      </c>
    </row>
    <row r="31" spans="1:12" x14ac:dyDescent="0.25">
      <c r="A31" s="20">
        <v>46191</v>
      </c>
      <c r="B31" s="21" t="s">
        <v>312</v>
      </c>
      <c r="C31" s="22" t="s">
        <v>316</v>
      </c>
      <c r="D31" s="21"/>
      <c r="E31" s="21">
        <v>1700</v>
      </c>
      <c r="F31" s="21">
        <v>2082.41</v>
      </c>
      <c r="G31" s="23">
        <f t="shared" si="0"/>
        <v>189.30999999999997</v>
      </c>
      <c r="H31" s="23">
        <f t="shared" si="1"/>
        <v>1893.1</v>
      </c>
      <c r="I31" s="23">
        <f t="shared" si="2"/>
        <v>-193.09999999999991</v>
      </c>
      <c r="J31" s="24">
        <f t="shared" si="3"/>
        <v>-0.10200200728963073</v>
      </c>
      <c r="K31" s="21" t="s">
        <v>147</v>
      </c>
      <c r="L31" s="21" t="s">
        <v>55</v>
      </c>
    </row>
    <row r="32" spans="1:12" x14ac:dyDescent="0.25">
      <c r="A32" s="20">
        <v>46191</v>
      </c>
      <c r="B32" s="21" t="s">
        <v>312</v>
      </c>
      <c r="C32" s="22" t="s">
        <v>317</v>
      </c>
      <c r="D32" s="21"/>
      <c r="E32" s="21">
        <v>1700</v>
      </c>
      <c r="F32" s="21">
        <v>2082.41</v>
      </c>
      <c r="G32" s="23">
        <f t="shared" si="0"/>
        <v>189.30999999999997</v>
      </c>
      <c r="H32" s="23">
        <f t="shared" si="1"/>
        <v>1893.1</v>
      </c>
      <c r="I32" s="23">
        <f t="shared" si="2"/>
        <v>-193.09999999999991</v>
      </c>
      <c r="J32" s="24">
        <f t="shared" si="3"/>
        <v>-0.10200200728963073</v>
      </c>
      <c r="K32" s="21" t="s">
        <v>147</v>
      </c>
      <c r="L32" s="21" t="s">
        <v>55</v>
      </c>
    </row>
    <row r="33" spans="1:12" x14ac:dyDescent="0.25">
      <c r="A33" s="20">
        <v>46191</v>
      </c>
      <c r="B33" s="21" t="s">
        <v>312</v>
      </c>
      <c r="C33" s="22" t="s">
        <v>318</v>
      </c>
      <c r="D33" s="21"/>
      <c r="E33" s="21">
        <v>1700</v>
      </c>
      <c r="F33" s="21">
        <v>2082.41</v>
      </c>
      <c r="G33" s="23">
        <f t="shared" si="0"/>
        <v>189.30999999999997</v>
      </c>
      <c r="H33" s="23">
        <f t="shared" si="1"/>
        <v>1893.1</v>
      </c>
      <c r="I33" s="23">
        <f t="shared" si="2"/>
        <v>-193.09999999999991</v>
      </c>
      <c r="J33" s="24">
        <f t="shared" si="3"/>
        <v>-0.10200200728963073</v>
      </c>
      <c r="K33" s="21" t="s">
        <v>147</v>
      </c>
      <c r="L33" s="21" t="s">
        <v>55</v>
      </c>
    </row>
    <row r="34" spans="1:12" x14ac:dyDescent="0.25">
      <c r="A34" s="20">
        <v>46191</v>
      </c>
      <c r="B34" s="21" t="s">
        <v>312</v>
      </c>
      <c r="C34" s="22" t="s">
        <v>319</v>
      </c>
      <c r="D34" s="21"/>
      <c r="E34" s="21">
        <v>1700</v>
      </c>
      <c r="F34" s="21">
        <v>2082.41</v>
      </c>
      <c r="G34" s="23">
        <f t="shared" si="0"/>
        <v>189.30999999999997</v>
      </c>
      <c r="H34" s="23">
        <f t="shared" si="1"/>
        <v>1893.1</v>
      </c>
      <c r="I34" s="23">
        <f t="shared" si="2"/>
        <v>-193.09999999999991</v>
      </c>
      <c r="J34" s="24">
        <f t="shared" si="3"/>
        <v>-0.10200200728963073</v>
      </c>
      <c r="K34" s="21" t="s">
        <v>147</v>
      </c>
      <c r="L34" s="21" t="s">
        <v>55</v>
      </c>
    </row>
    <row r="35" spans="1:12" x14ac:dyDescent="0.25">
      <c r="A35" s="20">
        <v>46191</v>
      </c>
      <c r="B35" s="21" t="s">
        <v>312</v>
      </c>
      <c r="C35" s="22" t="s">
        <v>320</v>
      </c>
      <c r="D35" s="21"/>
      <c r="E35" s="21">
        <v>1700</v>
      </c>
      <c r="F35" s="21">
        <v>2082.41</v>
      </c>
      <c r="G35" s="23">
        <f t="shared" si="0"/>
        <v>189.30999999999997</v>
      </c>
      <c r="H35" s="23">
        <f t="shared" si="1"/>
        <v>1893.1</v>
      </c>
      <c r="I35" s="23">
        <f t="shared" si="2"/>
        <v>-193.09999999999991</v>
      </c>
      <c r="J35" s="24">
        <f t="shared" si="3"/>
        <v>-0.10200200728963073</v>
      </c>
      <c r="K35" s="21" t="s">
        <v>147</v>
      </c>
      <c r="L35" s="21" t="s">
        <v>55</v>
      </c>
    </row>
    <row r="36" spans="1:12" x14ac:dyDescent="0.25">
      <c r="A36" s="20">
        <v>46191</v>
      </c>
      <c r="B36" s="21" t="s">
        <v>312</v>
      </c>
      <c r="C36" s="22" t="s">
        <v>321</v>
      </c>
      <c r="D36" s="21"/>
      <c r="E36" s="21">
        <v>1700</v>
      </c>
      <c r="F36" s="21">
        <v>2082.41</v>
      </c>
      <c r="G36" s="23">
        <f t="shared" si="0"/>
        <v>189.30999999999997</v>
      </c>
      <c r="H36" s="23">
        <f t="shared" si="1"/>
        <v>1893.1</v>
      </c>
      <c r="I36" s="23">
        <f t="shared" si="2"/>
        <v>-193.09999999999991</v>
      </c>
      <c r="J36" s="24">
        <f t="shared" si="3"/>
        <v>-0.10200200728963073</v>
      </c>
      <c r="K36" s="21" t="s">
        <v>147</v>
      </c>
      <c r="L36" s="21" t="s">
        <v>55</v>
      </c>
    </row>
    <row r="37" spans="1:12" x14ac:dyDescent="0.25">
      <c r="A37" s="20">
        <v>46191</v>
      </c>
      <c r="B37" s="21" t="s">
        <v>312</v>
      </c>
      <c r="C37" s="22" t="s">
        <v>322</v>
      </c>
      <c r="D37" s="21"/>
      <c r="E37" s="21">
        <v>1700</v>
      </c>
      <c r="F37" s="21">
        <v>2082.41</v>
      </c>
      <c r="G37" s="23">
        <f t="shared" si="0"/>
        <v>189.30999999999997</v>
      </c>
      <c r="H37" s="23">
        <f t="shared" si="1"/>
        <v>1893.1</v>
      </c>
      <c r="I37" s="23">
        <f t="shared" si="2"/>
        <v>-193.09999999999991</v>
      </c>
      <c r="J37" s="24">
        <f t="shared" si="3"/>
        <v>-0.10200200728963073</v>
      </c>
      <c r="K37" s="21" t="s">
        <v>147</v>
      </c>
      <c r="L37" s="21" t="s">
        <v>55</v>
      </c>
    </row>
    <row r="38" spans="1:12" x14ac:dyDescent="0.25">
      <c r="A38" s="19">
        <v>46192</v>
      </c>
      <c r="B38" s="13" t="s">
        <v>333</v>
      </c>
      <c r="C38" s="16" t="s">
        <v>334</v>
      </c>
      <c r="D38" s="13" t="s">
        <v>335</v>
      </c>
      <c r="E38" s="13">
        <v>5650</v>
      </c>
      <c r="F38" s="13">
        <v>4856.32</v>
      </c>
      <c r="G38" s="17">
        <f t="shared" si="0"/>
        <v>441.48363636363632</v>
      </c>
      <c r="H38" s="17">
        <f t="shared" si="1"/>
        <v>4414.8363636363638</v>
      </c>
      <c r="I38" s="17">
        <f t="shared" si="2"/>
        <v>1235.1636363636362</v>
      </c>
      <c r="J38" s="18">
        <f t="shared" si="3"/>
        <v>0.27977563257775429</v>
      </c>
      <c r="K38" s="13" t="s">
        <v>18</v>
      </c>
      <c r="L38" s="13"/>
    </row>
    <row r="39" spans="1:12" x14ac:dyDescent="0.25">
      <c r="A39" s="19">
        <v>46192</v>
      </c>
      <c r="B39" s="13" t="s">
        <v>333</v>
      </c>
      <c r="C39" s="16" t="s">
        <v>336</v>
      </c>
      <c r="D39" s="13" t="s">
        <v>335</v>
      </c>
      <c r="E39" s="13">
        <v>5600</v>
      </c>
      <c r="F39" s="13">
        <v>4928.41</v>
      </c>
      <c r="G39" s="17">
        <f t="shared" si="0"/>
        <v>448.03727272727269</v>
      </c>
      <c r="H39" s="17">
        <f t="shared" si="1"/>
        <v>4480.3727272727274</v>
      </c>
      <c r="I39" s="17">
        <f t="shared" si="2"/>
        <v>1119.6272727272726</v>
      </c>
      <c r="J39" s="18">
        <f t="shared" si="3"/>
        <v>0.24989601108673992</v>
      </c>
      <c r="K39" s="13" t="s">
        <v>18</v>
      </c>
      <c r="L39" s="13"/>
    </row>
    <row r="40" spans="1:12" x14ac:dyDescent="0.25">
      <c r="A40" s="19">
        <v>46192</v>
      </c>
      <c r="B40" s="13" t="s">
        <v>333</v>
      </c>
      <c r="C40" s="16" t="s">
        <v>337</v>
      </c>
      <c r="D40" s="13" t="s">
        <v>335</v>
      </c>
      <c r="E40" s="13">
        <v>5600</v>
      </c>
      <c r="F40" s="13">
        <v>4928.41</v>
      </c>
      <c r="G40" s="17">
        <f t="shared" si="0"/>
        <v>448.03727272727269</v>
      </c>
      <c r="H40" s="17">
        <f t="shared" si="1"/>
        <v>4480.3727272727274</v>
      </c>
      <c r="I40" s="17">
        <f t="shared" si="2"/>
        <v>1119.6272727272726</v>
      </c>
      <c r="J40" s="18">
        <f t="shared" si="3"/>
        <v>0.24989601108673992</v>
      </c>
      <c r="K40" s="13" t="s">
        <v>18</v>
      </c>
      <c r="L40" s="13"/>
    </row>
    <row r="41" spans="1:12" x14ac:dyDescent="0.25">
      <c r="A41" s="19">
        <v>46192</v>
      </c>
      <c r="B41" s="13" t="s">
        <v>333</v>
      </c>
      <c r="C41" s="16" t="s">
        <v>338</v>
      </c>
      <c r="D41" s="13" t="s">
        <v>335</v>
      </c>
      <c r="E41" s="13">
        <v>5650</v>
      </c>
      <c r="F41" s="13">
        <v>4856.32</v>
      </c>
      <c r="G41" s="17">
        <f t="shared" si="0"/>
        <v>441.48363636363632</v>
      </c>
      <c r="H41" s="17">
        <f t="shared" si="1"/>
        <v>4414.8363636363638</v>
      </c>
      <c r="I41" s="17">
        <f t="shared" si="2"/>
        <v>1235.1636363636362</v>
      </c>
      <c r="J41" s="18">
        <f t="shared" si="3"/>
        <v>0.27977563257775429</v>
      </c>
      <c r="K41" s="13" t="s">
        <v>18</v>
      </c>
      <c r="L41" s="13"/>
    </row>
    <row r="42" spans="1:12" x14ac:dyDescent="0.25">
      <c r="A42" s="19">
        <v>46192</v>
      </c>
      <c r="B42" s="13" t="s">
        <v>15</v>
      </c>
      <c r="C42" s="16" t="s">
        <v>339</v>
      </c>
      <c r="D42" s="13" t="s">
        <v>17</v>
      </c>
      <c r="E42" s="13">
        <v>1335</v>
      </c>
      <c r="F42" s="13">
        <v>928.34</v>
      </c>
      <c r="G42" s="17">
        <f t="shared" si="0"/>
        <v>84.394545454545451</v>
      </c>
      <c r="H42" s="17">
        <f t="shared" si="1"/>
        <v>843.9454545454546</v>
      </c>
      <c r="I42" s="17">
        <f t="shared" si="2"/>
        <v>491.0545454545454</v>
      </c>
      <c r="J42" s="18">
        <f t="shared" si="3"/>
        <v>0.58185578559579454</v>
      </c>
      <c r="K42" s="13" t="s">
        <v>18</v>
      </c>
      <c r="L42" s="13"/>
    </row>
    <row r="43" spans="1:12" x14ac:dyDescent="0.25">
      <c r="A43" s="19">
        <v>46192</v>
      </c>
      <c r="B43" s="13" t="s">
        <v>15</v>
      </c>
      <c r="C43" s="16" t="s">
        <v>340</v>
      </c>
      <c r="D43" s="13" t="s">
        <v>17</v>
      </c>
      <c r="E43" s="13">
        <v>1335</v>
      </c>
      <c r="F43" s="13">
        <v>1013.35</v>
      </c>
      <c r="G43" s="17">
        <f t="shared" si="0"/>
        <v>92.122727272727275</v>
      </c>
      <c r="H43" s="17">
        <f t="shared" si="1"/>
        <v>921.22727272727275</v>
      </c>
      <c r="I43" s="17">
        <f t="shared" si="2"/>
        <v>413.77272727272725</v>
      </c>
      <c r="J43" s="18">
        <f t="shared" si="3"/>
        <v>0.44915379681255241</v>
      </c>
      <c r="K43" s="13" t="s">
        <v>18</v>
      </c>
      <c r="L43" s="13"/>
    </row>
    <row r="44" spans="1:12" x14ac:dyDescent="0.25">
      <c r="A44" s="19">
        <v>46192</v>
      </c>
      <c r="B44" s="13" t="s">
        <v>15</v>
      </c>
      <c r="C44" s="16" t="s">
        <v>341</v>
      </c>
      <c r="D44" s="13" t="s">
        <v>17</v>
      </c>
      <c r="E44" s="13">
        <v>1335</v>
      </c>
      <c r="F44" s="13">
        <v>1013.35</v>
      </c>
      <c r="G44" s="17">
        <f t="shared" si="0"/>
        <v>92.122727272727275</v>
      </c>
      <c r="H44" s="17">
        <f t="shared" si="1"/>
        <v>921.22727272727275</v>
      </c>
      <c r="I44" s="17">
        <f t="shared" si="2"/>
        <v>413.77272727272725</v>
      </c>
      <c r="J44" s="18">
        <f t="shared" si="3"/>
        <v>0.44915379681255241</v>
      </c>
      <c r="K44" s="13" t="s">
        <v>18</v>
      </c>
      <c r="L44" s="13"/>
    </row>
    <row r="45" spans="1:12" x14ac:dyDescent="0.25">
      <c r="A45" s="19">
        <v>46192</v>
      </c>
      <c r="B45" s="13" t="s">
        <v>15</v>
      </c>
      <c r="C45" s="16" t="s">
        <v>342</v>
      </c>
      <c r="D45" s="13" t="s">
        <v>17</v>
      </c>
      <c r="E45" s="13">
        <v>1335</v>
      </c>
      <c r="F45" s="13">
        <v>1018.84</v>
      </c>
      <c r="G45" s="17">
        <f t="shared" si="0"/>
        <v>92.621818181818185</v>
      </c>
      <c r="H45" s="17">
        <f t="shared" si="1"/>
        <v>926.21818181818185</v>
      </c>
      <c r="I45" s="17">
        <f t="shared" si="2"/>
        <v>408.78181818181815</v>
      </c>
      <c r="J45" s="18">
        <f t="shared" si="3"/>
        <v>0.44134505908680455</v>
      </c>
      <c r="K45" s="13" t="s">
        <v>18</v>
      </c>
      <c r="L45" s="13"/>
    </row>
    <row r="46" spans="1:12" x14ac:dyDescent="0.25">
      <c r="A46" s="19">
        <v>46192</v>
      </c>
      <c r="B46" s="13" t="s">
        <v>15</v>
      </c>
      <c r="C46" s="16" t="s">
        <v>343</v>
      </c>
      <c r="D46" s="13" t="s">
        <v>17</v>
      </c>
      <c r="E46" s="13">
        <v>1335</v>
      </c>
      <c r="F46" s="13">
        <v>928.34</v>
      </c>
      <c r="G46" s="17">
        <f t="shared" si="0"/>
        <v>84.394545454545451</v>
      </c>
      <c r="H46" s="17">
        <f t="shared" si="1"/>
        <v>843.9454545454546</v>
      </c>
      <c r="I46" s="17">
        <f t="shared" si="2"/>
        <v>491.0545454545454</v>
      </c>
      <c r="J46" s="18">
        <f t="shared" si="3"/>
        <v>0.58185578559579454</v>
      </c>
      <c r="K46" s="13" t="s">
        <v>18</v>
      </c>
      <c r="L46" s="13"/>
    </row>
    <row r="47" spans="1:12" x14ac:dyDescent="0.25">
      <c r="A47" s="19">
        <v>46192</v>
      </c>
      <c r="B47" s="13" t="s">
        <v>15</v>
      </c>
      <c r="C47" s="16" t="s">
        <v>344</v>
      </c>
      <c r="D47" s="13" t="s">
        <v>17</v>
      </c>
      <c r="E47" s="13">
        <v>1335</v>
      </c>
      <c r="F47" s="13">
        <v>1013.35</v>
      </c>
      <c r="G47" s="17">
        <f t="shared" si="0"/>
        <v>92.122727272727275</v>
      </c>
      <c r="H47" s="17">
        <f t="shared" si="1"/>
        <v>921.22727272727275</v>
      </c>
      <c r="I47" s="17">
        <f t="shared" si="2"/>
        <v>413.77272727272725</v>
      </c>
      <c r="J47" s="18">
        <f t="shared" si="3"/>
        <v>0.44915379681255241</v>
      </c>
      <c r="K47" s="13" t="s">
        <v>18</v>
      </c>
      <c r="L47" s="13"/>
    </row>
    <row r="48" spans="1:12" x14ac:dyDescent="0.25">
      <c r="A48" s="19">
        <v>46192</v>
      </c>
      <c r="B48" s="13" t="s">
        <v>15</v>
      </c>
      <c r="C48" s="16" t="s">
        <v>345</v>
      </c>
      <c r="D48" s="13" t="s">
        <v>17</v>
      </c>
      <c r="E48" s="13">
        <v>1335</v>
      </c>
      <c r="F48" s="13">
        <v>1013.35</v>
      </c>
      <c r="G48" s="17">
        <f t="shared" si="0"/>
        <v>92.122727272727275</v>
      </c>
      <c r="H48" s="17">
        <f t="shared" si="1"/>
        <v>921.22727272727275</v>
      </c>
      <c r="I48" s="17">
        <f t="shared" si="2"/>
        <v>413.77272727272725</v>
      </c>
      <c r="J48" s="18">
        <f t="shared" si="3"/>
        <v>0.44915379681255241</v>
      </c>
      <c r="K48" s="13" t="s">
        <v>18</v>
      </c>
      <c r="L48" s="13"/>
    </row>
    <row r="49" spans="1:12" x14ac:dyDescent="0.25">
      <c r="A49" s="19">
        <v>46192</v>
      </c>
      <c r="B49" s="13" t="s">
        <v>15</v>
      </c>
      <c r="C49" s="16" t="s">
        <v>346</v>
      </c>
      <c r="D49" s="13" t="s">
        <v>17</v>
      </c>
      <c r="E49" s="13">
        <v>1335</v>
      </c>
      <c r="F49" s="13">
        <v>1108.27</v>
      </c>
      <c r="G49" s="17">
        <f t="shared" si="0"/>
        <v>100.75181818181818</v>
      </c>
      <c r="H49" s="17">
        <f t="shared" si="1"/>
        <v>1007.5181818181818</v>
      </c>
      <c r="I49" s="17">
        <f t="shared" si="2"/>
        <v>327.4818181818182</v>
      </c>
      <c r="J49" s="18">
        <f t="shared" si="3"/>
        <v>0.32503812247917929</v>
      </c>
      <c r="K49" s="13" t="s">
        <v>18</v>
      </c>
      <c r="L49" s="13"/>
    </row>
    <row r="50" spans="1:12" x14ac:dyDescent="0.25">
      <c r="A50" s="19">
        <v>46192</v>
      </c>
      <c r="B50" s="13" t="s">
        <v>15</v>
      </c>
      <c r="C50" s="16" t="s">
        <v>347</v>
      </c>
      <c r="D50" s="13" t="s">
        <v>17</v>
      </c>
      <c r="E50" s="13">
        <v>1335</v>
      </c>
      <c r="F50" s="13">
        <v>1013.35</v>
      </c>
      <c r="G50" s="17">
        <f t="shared" si="0"/>
        <v>92.122727272727275</v>
      </c>
      <c r="H50" s="17">
        <f t="shared" si="1"/>
        <v>921.22727272727275</v>
      </c>
      <c r="I50" s="17">
        <f t="shared" si="2"/>
        <v>413.77272727272725</v>
      </c>
      <c r="J50" s="18">
        <f t="shared" si="3"/>
        <v>0.44915379681255241</v>
      </c>
      <c r="K50" s="13" t="s">
        <v>18</v>
      </c>
      <c r="L50" s="13"/>
    </row>
    <row r="51" spans="1:12" x14ac:dyDescent="0.25">
      <c r="A51" s="19">
        <v>46192</v>
      </c>
      <c r="B51" s="13" t="s">
        <v>15</v>
      </c>
      <c r="C51" s="16" t="s">
        <v>348</v>
      </c>
      <c r="D51" s="13" t="s">
        <v>17</v>
      </c>
      <c r="E51" s="13">
        <v>1335</v>
      </c>
      <c r="F51" s="13">
        <v>1108.27</v>
      </c>
      <c r="G51" s="17">
        <f t="shared" si="0"/>
        <v>100.75181818181818</v>
      </c>
      <c r="H51" s="17">
        <f t="shared" si="1"/>
        <v>1007.5181818181818</v>
      </c>
      <c r="I51" s="17">
        <f t="shared" si="2"/>
        <v>327.4818181818182</v>
      </c>
      <c r="J51" s="18">
        <f t="shared" si="3"/>
        <v>0.32503812247917929</v>
      </c>
      <c r="K51" s="13" t="s">
        <v>18</v>
      </c>
      <c r="L51" s="13"/>
    </row>
    <row r="52" spans="1:12" x14ac:dyDescent="0.25">
      <c r="A52" s="19">
        <v>46192</v>
      </c>
      <c r="B52" s="13" t="s">
        <v>15</v>
      </c>
      <c r="C52" s="16" t="s">
        <v>349</v>
      </c>
      <c r="D52" s="13" t="s">
        <v>17</v>
      </c>
      <c r="E52" s="13">
        <v>1335</v>
      </c>
      <c r="F52" s="13">
        <v>1013.35</v>
      </c>
      <c r="G52" s="17">
        <f t="shared" si="0"/>
        <v>92.122727272727275</v>
      </c>
      <c r="H52" s="17">
        <f t="shared" si="1"/>
        <v>921.22727272727275</v>
      </c>
      <c r="I52" s="17">
        <f t="shared" si="2"/>
        <v>413.77272727272725</v>
      </c>
      <c r="J52" s="18">
        <f t="shared" si="3"/>
        <v>0.44915379681255241</v>
      </c>
      <c r="K52" s="13" t="s">
        <v>18</v>
      </c>
      <c r="L52" s="13"/>
    </row>
    <row r="53" spans="1:12" x14ac:dyDescent="0.25">
      <c r="A53" s="19">
        <v>46192</v>
      </c>
      <c r="B53" s="13" t="s">
        <v>15</v>
      </c>
      <c r="C53" s="16" t="s">
        <v>350</v>
      </c>
      <c r="D53" s="13" t="s">
        <v>17</v>
      </c>
      <c r="E53" s="13">
        <v>1335</v>
      </c>
      <c r="F53" s="13">
        <v>1108.27</v>
      </c>
      <c r="G53" s="17">
        <f t="shared" si="0"/>
        <v>100.75181818181818</v>
      </c>
      <c r="H53" s="17">
        <f t="shared" si="1"/>
        <v>1007.5181818181818</v>
      </c>
      <c r="I53" s="17">
        <f t="shared" si="2"/>
        <v>327.4818181818182</v>
      </c>
      <c r="J53" s="18">
        <f t="shared" si="3"/>
        <v>0.32503812247917929</v>
      </c>
      <c r="K53" s="13" t="s">
        <v>18</v>
      </c>
      <c r="L53" s="13"/>
    </row>
    <row r="54" spans="1:12" x14ac:dyDescent="0.25">
      <c r="A54" s="19">
        <v>46192</v>
      </c>
      <c r="B54" s="13" t="s">
        <v>15</v>
      </c>
      <c r="C54" s="16" t="s">
        <v>351</v>
      </c>
      <c r="D54" s="13" t="s">
        <v>17</v>
      </c>
      <c r="E54" s="13">
        <v>1335</v>
      </c>
      <c r="F54" s="13">
        <v>1013.35</v>
      </c>
      <c r="G54" s="17">
        <f t="shared" si="0"/>
        <v>92.122727272727275</v>
      </c>
      <c r="H54" s="17">
        <f t="shared" si="1"/>
        <v>921.22727272727275</v>
      </c>
      <c r="I54" s="17">
        <f t="shared" si="2"/>
        <v>413.77272727272725</v>
      </c>
      <c r="J54" s="18">
        <f t="shared" si="3"/>
        <v>0.44915379681255241</v>
      </c>
      <c r="K54" s="13" t="s">
        <v>18</v>
      </c>
      <c r="L54" s="13"/>
    </row>
    <row r="55" spans="1:12" x14ac:dyDescent="0.25">
      <c r="A55" s="19">
        <v>46192</v>
      </c>
      <c r="B55" s="13" t="s">
        <v>15</v>
      </c>
      <c r="C55" s="16" t="s">
        <v>352</v>
      </c>
      <c r="D55" s="13" t="s">
        <v>17</v>
      </c>
      <c r="E55" s="13">
        <v>1335</v>
      </c>
      <c r="F55" s="13">
        <v>1108.27</v>
      </c>
      <c r="G55" s="17">
        <f t="shared" si="0"/>
        <v>100.75181818181818</v>
      </c>
      <c r="H55" s="17">
        <f t="shared" si="1"/>
        <v>1007.5181818181818</v>
      </c>
      <c r="I55" s="17">
        <f t="shared" si="2"/>
        <v>327.4818181818182</v>
      </c>
      <c r="J55" s="18">
        <f t="shared" si="3"/>
        <v>0.32503812247917929</v>
      </c>
      <c r="K55" s="13" t="s">
        <v>18</v>
      </c>
      <c r="L55" s="13"/>
    </row>
    <row r="56" spans="1:12" x14ac:dyDescent="0.25">
      <c r="A56" s="19">
        <v>46192</v>
      </c>
      <c r="B56" s="13" t="s">
        <v>15</v>
      </c>
      <c r="C56" s="16" t="s">
        <v>353</v>
      </c>
      <c r="D56" s="13" t="s">
        <v>17</v>
      </c>
      <c r="E56" s="13">
        <v>1335</v>
      </c>
      <c r="F56" s="13">
        <v>1013.35</v>
      </c>
      <c r="G56" s="17">
        <f t="shared" si="0"/>
        <v>92.122727272727275</v>
      </c>
      <c r="H56" s="17">
        <f t="shared" si="1"/>
        <v>921.22727272727275</v>
      </c>
      <c r="I56" s="17">
        <f t="shared" si="2"/>
        <v>413.77272727272725</v>
      </c>
      <c r="J56" s="18">
        <f t="shared" si="3"/>
        <v>0.44915379681255241</v>
      </c>
      <c r="K56" s="13" t="s">
        <v>18</v>
      </c>
      <c r="L56" s="13"/>
    </row>
    <row r="57" spans="1:12" x14ac:dyDescent="0.25">
      <c r="A57" s="19">
        <v>46192</v>
      </c>
      <c r="B57" s="13" t="s">
        <v>15</v>
      </c>
      <c r="C57" s="16" t="s">
        <v>354</v>
      </c>
      <c r="D57" s="13" t="s">
        <v>17</v>
      </c>
      <c r="E57" s="13">
        <v>1335</v>
      </c>
      <c r="F57" s="13">
        <v>1108.27</v>
      </c>
      <c r="G57" s="17">
        <f t="shared" si="0"/>
        <v>100.75181818181818</v>
      </c>
      <c r="H57" s="17">
        <f t="shared" si="1"/>
        <v>1007.5181818181818</v>
      </c>
      <c r="I57" s="17">
        <f t="shared" si="2"/>
        <v>327.4818181818182</v>
      </c>
      <c r="J57" s="18">
        <f t="shared" si="3"/>
        <v>0.32503812247917929</v>
      </c>
      <c r="K57" s="13" t="s">
        <v>18</v>
      </c>
      <c r="L57" s="13"/>
    </row>
    <row r="58" spans="1:12" x14ac:dyDescent="0.25">
      <c r="A58" s="19">
        <v>46192</v>
      </c>
      <c r="B58" s="13" t="s">
        <v>15</v>
      </c>
      <c r="C58" s="16" t="s">
        <v>355</v>
      </c>
      <c r="D58" s="13" t="s">
        <v>17</v>
      </c>
      <c r="E58" s="13">
        <v>1335</v>
      </c>
      <c r="F58" s="13">
        <v>1108.27</v>
      </c>
      <c r="G58" s="17">
        <f t="shared" si="0"/>
        <v>100.75181818181818</v>
      </c>
      <c r="H58" s="17">
        <f t="shared" si="1"/>
        <v>1007.5181818181818</v>
      </c>
      <c r="I58" s="17">
        <f t="shared" si="2"/>
        <v>327.4818181818182</v>
      </c>
      <c r="J58" s="18">
        <f t="shared" si="3"/>
        <v>0.32503812247917929</v>
      </c>
      <c r="K58" s="13" t="s">
        <v>18</v>
      </c>
      <c r="L58" s="13"/>
    </row>
    <row r="59" spans="1:12" x14ac:dyDescent="0.25">
      <c r="A59" s="19">
        <v>46192</v>
      </c>
      <c r="B59" s="13" t="s">
        <v>15</v>
      </c>
      <c r="C59" s="16" t="s">
        <v>356</v>
      </c>
      <c r="D59" s="13" t="s">
        <v>17</v>
      </c>
      <c r="E59" s="13">
        <v>1335</v>
      </c>
      <c r="F59" s="13">
        <v>928.34</v>
      </c>
      <c r="G59" s="17">
        <f t="shared" si="0"/>
        <v>84.394545454545451</v>
      </c>
      <c r="H59" s="17">
        <f t="shared" si="1"/>
        <v>843.9454545454546</v>
      </c>
      <c r="I59" s="17">
        <f t="shared" si="2"/>
        <v>491.0545454545454</v>
      </c>
      <c r="J59" s="18">
        <f t="shared" si="3"/>
        <v>0.58185578559579454</v>
      </c>
      <c r="K59" s="13" t="s">
        <v>18</v>
      </c>
      <c r="L59" s="13"/>
    </row>
    <row r="60" spans="1:12" x14ac:dyDescent="0.25">
      <c r="A60" s="19">
        <v>46192</v>
      </c>
      <c r="B60" s="13" t="s">
        <v>15</v>
      </c>
      <c r="C60" s="16" t="s">
        <v>357</v>
      </c>
      <c r="D60" s="13" t="s">
        <v>17</v>
      </c>
      <c r="E60" s="13">
        <v>1335</v>
      </c>
      <c r="F60" s="13">
        <v>1108.27</v>
      </c>
      <c r="G60" s="17">
        <f t="shared" si="0"/>
        <v>100.75181818181818</v>
      </c>
      <c r="H60" s="17">
        <f t="shared" si="1"/>
        <v>1007.5181818181818</v>
      </c>
      <c r="I60" s="17">
        <f t="shared" si="2"/>
        <v>327.4818181818182</v>
      </c>
      <c r="J60" s="18">
        <f t="shared" si="3"/>
        <v>0.32503812247917929</v>
      </c>
      <c r="K60" s="13" t="s">
        <v>18</v>
      </c>
      <c r="L60" s="13"/>
    </row>
    <row r="61" spans="1:12" x14ac:dyDescent="0.25">
      <c r="A61" s="19">
        <v>46192</v>
      </c>
      <c r="B61" s="13" t="s">
        <v>15</v>
      </c>
      <c r="C61" s="16" t="s">
        <v>358</v>
      </c>
      <c r="D61" s="13" t="s">
        <v>17</v>
      </c>
      <c r="E61" s="13">
        <v>1335</v>
      </c>
      <c r="F61" s="13">
        <v>1013.35</v>
      </c>
      <c r="G61" s="17">
        <f t="shared" si="0"/>
        <v>92.122727272727275</v>
      </c>
      <c r="H61" s="17">
        <f t="shared" si="1"/>
        <v>921.22727272727275</v>
      </c>
      <c r="I61" s="17">
        <f t="shared" si="2"/>
        <v>413.77272727272725</v>
      </c>
      <c r="J61" s="18">
        <f t="shared" si="3"/>
        <v>0.44915379681255241</v>
      </c>
      <c r="K61" s="13" t="s">
        <v>18</v>
      </c>
      <c r="L61" s="13"/>
    </row>
    <row r="62" spans="1:12" x14ac:dyDescent="0.25">
      <c r="A62" s="19">
        <v>46192</v>
      </c>
      <c r="B62" s="13" t="s">
        <v>15</v>
      </c>
      <c r="C62" s="16" t="s">
        <v>359</v>
      </c>
      <c r="D62" s="13" t="s">
        <v>17</v>
      </c>
      <c r="E62" s="13">
        <v>1335</v>
      </c>
      <c r="F62" s="13">
        <v>928.34</v>
      </c>
      <c r="G62" s="17">
        <f t="shared" si="0"/>
        <v>84.394545454545451</v>
      </c>
      <c r="H62" s="17">
        <f t="shared" si="1"/>
        <v>843.9454545454546</v>
      </c>
      <c r="I62" s="17">
        <f t="shared" si="2"/>
        <v>491.0545454545454</v>
      </c>
      <c r="J62" s="18">
        <f t="shared" si="3"/>
        <v>0.58185578559579454</v>
      </c>
      <c r="K62" s="13" t="s">
        <v>18</v>
      </c>
      <c r="L62" s="13"/>
    </row>
    <row r="63" spans="1:12" x14ac:dyDescent="0.25">
      <c r="A63" s="19">
        <v>46192</v>
      </c>
      <c r="B63" s="13" t="s">
        <v>15</v>
      </c>
      <c r="C63" s="16" t="s">
        <v>360</v>
      </c>
      <c r="D63" s="13" t="s">
        <v>17</v>
      </c>
      <c r="E63" s="13">
        <v>1335</v>
      </c>
      <c r="F63" s="13">
        <v>1108.27</v>
      </c>
      <c r="G63" s="17">
        <f t="shared" si="0"/>
        <v>100.75181818181818</v>
      </c>
      <c r="H63" s="17">
        <f t="shared" si="1"/>
        <v>1007.5181818181818</v>
      </c>
      <c r="I63" s="17">
        <f t="shared" si="2"/>
        <v>327.4818181818182</v>
      </c>
      <c r="J63" s="18">
        <f t="shared" si="3"/>
        <v>0.32503812247917929</v>
      </c>
      <c r="K63" s="13" t="s">
        <v>18</v>
      </c>
      <c r="L63" s="13"/>
    </row>
    <row r="64" spans="1:12" x14ac:dyDescent="0.25">
      <c r="A64" s="19">
        <v>46192</v>
      </c>
      <c r="B64" s="13" t="s">
        <v>15</v>
      </c>
      <c r="C64" s="16" t="s">
        <v>361</v>
      </c>
      <c r="D64" s="13" t="s">
        <v>17</v>
      </c>
      <c r="E64" s="13">
        <v>1335</v>
      </c>
      <c r="F64" s="13">
        <v>1108.27</v>
      </c>
      <c r="G64" s="17">
        <f t="shared" si="0"/>
        <v>100.75181818181818</v>
      </c>
      <c r="H64" s="17">
        <f t="shared" si="1"/>
        <v>1007.5181818181818</v>
      </c>
      <c r="I64" s="17">
        <f t="shared" si="2"/>
        <v>327.4818181818182</v>
      </c>
      <c r="J64" s="18">
        <f t="shared" si="3"/>
        <v>0.32503812247917929</v>
      </c>
      <c r="K64" s="13" t="s">
        <v>18</v>
      </c>
      <c r="L64" s="13"/>
    </row>
    <row r="65" spans="1:12" x14ac:dyDescent="0.25">
      <c r="A65" s="19">
        <v>46192</v>
      </c>
      <c r="B65" s="13" t="s">
        <v>15</v>
      </c>
      <c r="C65" s="16" t="s">
        <v>362</v>
      </c>
      <c r="D65" s="13" t="s">
        <v>17</v>
      </c>
      <c r="E65" s="13">
        <v>1335</v>
      </c>
      <c r="F65" s="13">
        <v>1013.35</v>
      </c>
      <c r="G65" s="17">
        <f t="shared" si="0"/>
        <v>92.122727272727275</v>
      </c>
      <c r="H65" s="17">
        <f t="shared" si="1"/>
        <v>921.22727272727275</v>
      </c>
      <c r="I65" s="17">
        <f t="shared" si="2"/>
        <v>413.77272727272725</v>
      </c>
      <c r="J65" s="18">
        <f t="shared" si="3"/>
        <v>0.44915379681255241</v>
      </c>
      <c r="K65" s="13" t="s">
        <v>18</v>
      </c>
      <c r="L65" s="13"/>
    </row>
    <row r="66" spans="1:12" x14ac:dyDescent="0.25">
      <c r="A66" s="19">
        <v>46192</v>
      </c>
      <c r="B66" s="13" t="s">
        <v>15</v>
      </c>
      <c r="C66" s="16" t="s">
        <v>363</v>
      </c>
      <c r="D66" s="13" t="s">
        <v>17</v>
      </c>
      <c r="E66" s="13">
        <v>1335</v>
      </c>
      <c r="F66" s="13">
        <v>928.34</v>
      </c>
      <c r="G66" s="17">
        <f t="shared" si="0"/>
        <v>84.394545454545451</v>
      </c>
      <c r="H66" s="17">
        <f t="shared" si="1"/>
        <v>843.9454545454546</v>
      </c>
      <c r="I66" s="17">
        <f t="shared" si="2"/>
        <v>491.0545454545454</v>
      </c>
      <c r="J66" s="18">
        <f t="shared" si="3"/>
        <v>0.58185578559579454</v>
      </c>
      <c r="K66" s="13" t="s">
        <v>18</v>
      </c>
      <c r="L66" s="13"/>
    </row>
    <row r="67" spans="1:12" x14ac:dyDescent="0.25">
      <c r="A67" s="19">
        <v>46192</v>
      </c>
      <c r="B67" s="13" t="s">
        <v>15</v>
      </c>
      <c r="C67" s="16" t="s">
        <v>364</v>
      </c>
      <c r="D67" s="13" t="s">
        <v>17</v>
      </c>
      <c r="E67" s="13">
        <v>1335</v>
      </c>
      <c r="F67" s="13">
        <v>1013.35</v>
      </c>
      <c r="G67" s="17">
        <f t="shared" ref="G67:G130" si="4">F67/11</f>
        <v>92.122727272727275</v>
      </c>
      <c r="H67" s="17">
        <f t="shared" ref="H67:H130" si="5">F67-G67</f>
        <v>921.22727272727275</v>
      </c>
      <c r="I67" s="17">
        <f t="shared" ref="I67:I130" si="6">E67-H67</f>
        <v>413.77272727272725</v>
      </c>
      <c r="J67" s="18">
        <f t="shared" ref="J67:J130" si="7">(E67-H67)/H67</f>
        <v>0.44915379681255241</v>
      </c>
      <c r="K67" s="13" t="s">
        <v>18</v>
      </c>
      <c r="L67" s="13"/>
    </row>
    <row r="68" spans="1:12" x14ac:dyDescent="0.25">
      <c r="A68" s="19">
        <v>46192</v>
      </c>
      <c r="B68" s="13" t="s">
        <v>15</v>
      </c>
      <c r="C68" s="16" t="s">
        <v>365</v>
      </c>
      <c r="D68" s="13" t="s">
        <v>17</v>
      </c>
      <c r="E68" s="13">
        <v>1335</v>
      </c>
      <c r="F68" s="13">
        <v>928.34</v>
      </c>
      <c r="G68" s="17">
        <f t="shared" si="4"/>
        <v>84.394545454545451</v>
      </c>
      <c r="H68" s="17">
        <f t="shared" si="5"/>
        <v>843.9454545454546</v>
      </c>
      <c r="I68" s="17">
        <f t="shared" si="6"/>
        <v>491.0545454545454</v>
      </c>
      <c r="J68" s="18">
        <f t="shared" si="7"/>
        <v>0.58185578559579454</v>
      </c>
      <c r="K68" s="13" t="s">
        <v>18</v>
      </c>
      <c r="L68" s="13"/>
    </row>
    <row r="69" spans="1:12" x14ac:dyDescent="0.25">
      <c r="A69" s="19">
        <v>46192</v>
      </c>
      <c r="B69" s="13" t="s">
        <v>15</v>
      </c>
      <c r="C69" s="16" t="s">
        <v>366</v>
      </c>
      <c r="D69" s="13" t="s">
        <v>17</v>
      </c>
      <c r="E69" s="13">
        <v>1335</v>
      </c>
      <c r="F69" s="13">
        <v>1034</v>
      </c>
      <c r="G69" s="17">
        <f t="shared" si="4"/>
        <v>94</v>
      </c>
      <c r="H69" s="17">
        <f t="shared" si="5"/>
        <v>940</v>
      </c>
      <c r="I69" s="17">
        <f t="shared" si="6"/>
        <v>395</v>
      </c>
      <c r="J69" s="18">
        <f t="shared" si="7"/>
        <v>0.42021276595744683</v>
      </c>
      <c r="K69" s="13" t="s">
        <v>18</v>
      </c>
      <c r="L69" s="13"/>
    </row>
    <row r="70" spans="1:12" x14ac:dyDescent="0.25">
      <c r="A70" s="19">
        <v>46192</v>
      </c>
      <c r="B70" s="13" t="s">
        <v>15</v>
      </c>
      <c r="C70" s="16" t="s">
        <v>367</v>
      </c>
      <c r="D70" s="13" t="s">
        <v>17</v>
      </c>
      <c r="E70" s="13">
        <v>1335</v>
      </c>
      <c r="F70" s="13">
        <v>1034</v>
      </c>
      <c r="G70" s="17">
        <f t="shared" si="4"/>
        <v>94</v>
      </c>
      <c r="H70" s="17">
        <f t="shared" si="5"/>
        <v>940</v>
      </c>
      <c r="I70" s="17">
        <f t="shared" si="6"/>
        <v>395</v>
      </c>
      <c r="J70" s="18">
        <f t="shared" si="7"/>
        <v>0.42021276595744683</v>
      </c>
      <c r="K70" s="13" t="s">
        <v>18</v>
      </c>
      <c r="L70" s="13"/>
    </row>
    <row r="71" spans="1:12" x14ac:dyDescent="0.25">
      <c r="A71" s="19">
        <v>46192</v>
      </c>
      <c r="B71" s="13" t="s">
        <v>15</v>
      </c>
      <c r="C71" s="16" t="s">
        <v>368</v>
      </c>
      <c r="D71" s="13" t="s">
        <v>17</v>
      </c>
      <c r="E71" s="13">
        <v>1335</v>
      </c>
      <c r="F71" s="13">
        <v>1034</v>
      </c>
      <c r="G71" s="17">
        <f t="shared" si="4"/>
        <v>94</v>
      </c>
      <c r="H71" s="17">
        <f t="shared" si="5"/>
        <v>940</v>
      </c>
      <c r="I71" s="17">
        <f t="shared" si="6"/>
        <v>395</v>
      </c>
      <c r="J71" s="18">
        <f t="shared" si="7"/>
        <v>0.42021276595744683</v>
      </c>
      <c r="K71" s="13" t="s">
        <v>18</v>
      </c>
      <c r="L71" s="13"/>
    </row>
    <row r="72" spans="1:12" x14ac:dyDescent="0.25">
      <c r="A72" s="19">
        <v>46192</v>
      </c>
      <c r="B72" s="13" t="s">
        <v>15</v>
      </c>
      <c r="C72" s="16" t="s">
        <v>369</v>
      </c>
      <c r="D72" s="13" t="s">
        <v>17</v>
      </c>
      <c r="E72" s="13">
        <v>1335</v>
      </c>
      <c r="F72" s="13">
        <v>923.17</v>
      </c>
      <c r="G72" s="17">
        <f t="shared" si="4"/>
        <v>83.924545454545452</v>
      </c>
      <c r="H72" s="17">
        <f t="shared" si="5"/>
        <v>839.24545454545455</v>
      </c>
      <c r="I72" s="17">
        <f t="shared" si="6"/>
        <v>495.75454545454545</v>
      </c>
      <c r="J72" s="18">
        <f t="shared" si="7"/>
        <v>0.59071460294420308</v>
      </c>
      <c r="K72" s="13" t="s">
        <v>18</v>
      </c>
      <c r="L72" s="13"/>
    </row>
    <row r="73" spans="1:12" x14ac:dyDescent="0.25">
      <c r="A73" s="19">
        <v>46192</v>
      </c>
      <c r="B73" s="13" t="s">
        <v>15</v>
      </c>
      <c r="C73" s="16" t="s">
        <v>370</v>
      </c>
      <c r="D73" s="13" t="s">
        <v>17</v>
      </c>
      <c r="E73" s="13">
        <v>1335</v>
      </c>
      <c r="F73" s="13">
        <v>923.17</v>
      </c>
      <c r="G73" s="17">
        <f t="shared" si="4"/>
        <v>83.924545454545452</v>
      </c>
      <c r="H73" s="17">
        <f t="shared" si="5"/>
        <v>839.24545454545455</v>
      </c>
      <c r="I73" s="17">
        <f t="shared" si="6"/>
        <v>495.75454545454545</v>
      </c>
      <c r="J73" s="18">
        <f t="shared" si="7"/>
        <v>0.59071460294420308</v>
      </c>
      <c r="K73" s="13" t="s">
        <v>18</v>
      </c>
      <c r="L73" s="13"/>
    </row>
    <row r="74" spans="1:12" x14ac:dyDescent="0.25">
      <c r="A74" s="19">
        <v>46192</v>
      </c>
      <c r="B74" s="13" t="s">
        <v>15</v>
      </c>
      <c r="C74" s="16" t="s">
        <v>371</v>
      </c>
      <c r="D74" s="13" t="s">
        <v>17</v>
      </c>
      <c r="E74" s="13">
        <v>1335</v>
      </c>
      <c r="F74" s="13">
        <v>1034</v>
      </c>
      <c r="G74" s="17">
        <f t="shared" si="4"/>
        <v>94</v>
      </c>
      <c r="H74" s="17">
        <f t="shared" si="5"/>
        <v>940</v>
      </c>
      <c r="I74" s="17">
        <f t="shared" si="6"/>
        <v>395</v>
      </c>
      <c r="J74" s="18">
        <f t="shared" si="7"/>
        <v>0.42021276595744683</v>
      </c>
      <c r="K74" s="13" t="s">
        <v>18</v>
      </c>
      <c r="L74" s="13"/>
    </row>
    <row r="75" spans="1:12" x14ac:dyDescent="0.25">
      <c r="A75" s="19">
        <v>46192</v>
      </c>
      <c r="B75" s="13" t="s">
        <v>15</v>
      </c>
      <c r="C75" s="16" t="s">
        <v>372</v>
      </c>
      <c r="D75" s="13" t="s">
        <v>17</v>
      </c>
      <c r="E75" s="13">
        <v>1335</v>
      </c>
      <c r="F75" s="13">
        <v>1034</v>
      </c>
      <c r="G75" s="17">
        <f t="shared" si="4"/>
        <v>94</v>
      </c>
      <c r="H75" s="17">
        <f t="shared" si="5"/>
        <v>940</v>
      </c>
      <c r="I75" s="17">
        <f t="shared" si="6"/>
        <v>395</v>
      </c>
      <c r="J75" s="18">
        <f t="shared" si="7"/>
        <v>0.42021276595744683</v>
      </c>
      <c r="K75" s="13" t="s">
        <v>18</v>
      </c>
      <c r="L75" s="13"/>
    </row>
    <row r="76" spans="1:12" x14ac:dyDescent="0.25">
      <c r="A76" s="19">
        <v>46192</v>
      </c>
      <c r="B76" s="13" t="s">
        <v>15</v>
      </c>
      <c r="C76" s="16" t="s">
        <v>373</v>
      </c>
      <c r="D76" s="13" t="s">
        <v>17</v>
      </c>
      <c r="E76" s="13">
        <v>1335</v>
      </c>
      <c r="F76" s="13">
        <v>1034</v>
      </c>
      <c r="G76" s="17">
        <f t="shared" si="4"/>
        <v>94</v>
      </c>
      <c r="H76" s="17">
        <f t="shared" si="5"/>
        <v>940</v>
      </c>
      <c r="I76" s="17">
        <f t="shared" si="6"/>
        <v>395</v>
      </c>
      <c r="J76" s="18">
        <f t="shared" si="7"/>
        <v>0.42021276595744683</v>
      </c>
      <c r="K76" s="13" t="s">
        <v>18</v>
      </c>
      <c r="L76" s="13"/>
    </row>
    <row r="77" spans="1:12" x14ac:dyDescent="0.25">
      <c r="A77" s="19">
        <v>46192</v>
      </c>
      <c r="B77" s="13" t="s">
        <v>15</v>
      </c>
      <c r="C77" s="16" t="s">
        <v>374</v>
      </c>
      <c r="D77" s="13" t="s">
        <v>17</v>
      </c>
      <c r="E77" s="13">
        <v>1335</v>
      </c>
      <c r="F77" s="13">
        <v>1034</v>
      </c>
      <c r="G77" s="17">
        <f t="shared" si="4"/>
        <v>94</v>
      </c>
      <c r="H77" s="17">
        <f t="shared" si="5"/>
        <v>940</v>
      </c>
      <c r="I77" s="17">
        <f t="shared" si="6"/>
        <v>395</v>
      </c>
      <c r="J77" s="18">
        <f t="shared" si="7"/>
        <v>0.42021276595744683</v>
      </c>
      <c r="K77" s="13" t="s">
        <v>18</v>
      </c>
      <c r="L77" s="13"/>
    </row>
    <row r="78" spans="1:12" x14ac:dyDescent="0.25">
      <c r="A78" s="19">
        <v>46192</v>
      </c>
      <c r="B78" s="13" t="s">
        <v>15</v>
      </c>
      <c r="C78" s="16" t="s">
        <v>375</v>
      </c>
      <c r="D78" s="13" t="s">
        <v>17</v>
      </c>
      <c r="E78" s="13">
        <v>1335</v>
      </c>
      <c r="F78" s="13">
        <v>1034</v>
      </c>
      <c r="G78" s="17">
        <f t="shared" si="4"/>
        <v>94</v>
      </c>
      <c r="H78" s="17">
        <f t="shared" si="5"/>
        <v>940</v>
      </c>
      <c r="I78" s="17">
        <f t="shared" si="6"/>
        <v>395</v>
      </c>
      <c r="J78" s="18">
        <f t="shared" si="7"/>
        <v>0.42021276595744683</v>
      </c>
      <c r="K78" s="13" t="s">
        <v>18</v>
      </c>
      <c r="L78" s="13"/>
    </row>
    <row r="79" spans="1:12" x14ac:dyDescent="0.25">
      <c r="A79" s="19">
        <v>46192</v>
      </c>
      <c r="B79" s="13" t="s">
        <v>15</v>
      </c>
      <c r="C79" s="16" t="s">
        <v>376</v>
      </c>
      <c r="D79" s="13" t="s">
        <v>17</v>
      </c>
      <c r="E79" s="13">
        <v>1335</v>
      </c>
      <c r="F79" s="13">
        <v>1034</v>
      </c>
      <c r="G79" s="17">
        <f t="shared" si="4"/>
        <v>94</v>
      </c>
      <c r="H79" s="17">
        <f t="shared" si="5"/>
        <v>940</v>
      </c>
      <c r="I79" s="17">
        <f t="shared" si="6"/>
        <v>395</v>
      </c>
      <c r="J79" s="18">
        <f t="shared" si="7"/>
        <v>0.42021276595744683</v>
      </c>
      <c r="K79" s="13" t="s">
        <v>18</v>
      </c>
      <c r="L79" s="13"/>
    </row>
    <row r="80" spans="1:12" x14ac:dyDescent="0.25">
      <c r="A80" s="19">
        <v>46192</v>
      </c>
      <c r="B80" s="13" t="s">
        <v>15</v>
      </c>
      <c r="C80" s="16" t="s">
        <v>377</v>
      </c>
      <c r="D80" s="13" t="s">
        <v>17</v>
      </c>
      <c r="E80" s="13">
        <v>1335</v>
      </c>
      <c r="F80" s="13">
        <v>928.34</v>
      </c>
      <c r="G80" s="17">
        <f t="shared" si="4"/>
        <v>84.394545454545451</v>
      </c>
      <c r="H80" s="17">
        <f t="shared" si="5"/>
        <v>843.9454545454546</v>
      </c>
      <c r="I80" s="17">
        <f t="shared" si="6"/>
        <v>491.0545454545454</v>
      </c>
      <c r="J80" s="18">
        <f t="shared" si="7"/>
        <v>0.58185578559579454</v>
      </c>
      <c r="K80" s="13" t="s">
        <v>18</v>
      </c>
      <c r="L80" s="13"/>
    </row>
    <row r="81" spans="1:12" x14ac:dyDescent="0.25">
      <c r="A81" s="19">
        <v>46192</v>
      </c>
      <c r="B81" s="13" t="s">
        <v>15</v>
      </c>
      <c r="C81" s="16" t="s">
        <v>378</v>
      </c>
      <c r="D81" s="13" t="s">
        <v>17</v>
      </c>
      <c r="E81" s="13">
        <v>1335</v>
      </c>
      <c r="F81" s="13">
        <v>1034</v>
      </c>
      <c r="G81" s="17">
        <f t="shared" si="4"/>
        <v>94</v>
      </c>
      <c r="H81" s="17">
        <f t="shared" si="5"/>
        <v>940</v>
      </c>
      <c r="I81" s="17">
        <f t="shared" si="6"/>
        <v>395</v>
      </c>
      <c r="J81" s="18">
        <f t="shared" si="7"/>
        <v>0.42021276595744683</v>
      </c>
      <c r="K81" s="13" t="s">
        <v>18</v>
      </c>
      <c r="L81" s="13"/>
    </row>
    <row r="82" spans="1:12" x14ac:dyDescent="0.25">
      <c r="A82" s="19">
        <v>46192</v>
      </c>
      <c r="B82" s="13" t="s">
        <v>15</v>
      </c>
      <c r="C82" s="16" t="s">
        <v>379</v>
      </c>
      <c r="D82" s="13" t="s">
        <v>17</v>
      </c>
      <c r="E82" s="13">
        <v>1335</v>
      </c>
      <c r="F82" s="13">
        <v>1034</v>
      </c>
      <c r="G82" s="17">
        <f t="shared" si="4"/>
        <v>94</v>
      </c>
      <c r="H82" s="17">
        <f t="shared" si="5"/>
        <v>940</v>
      </c>
      <c r="I82" s="17">
        <f t="shared" si="6"/>
        <v>395</v>
      </c>
      <c r="J82" s="18">
        <f t="shared" si="7"/>
        <v>0.42021276595744683</v>
      </c>
      <c r="K82" s="13" t="s">
        <v>18</v>
      </c>
      <c r="L82" s="13"/>
    </row>
    <row r="83" spans="1:12" x14ac:dyDescent="0.25">
      <c r="A83" s="19">
        <v>46192</v>
      </c>
      <c r="B83" s="13" t="s">
        <v>15</v>
      </c>
      <c r="C83" s="16" t="s">
        <v>380</v>
      </c>
      <c r="D83" s="13" t="s">
        <v>17</v>
      </c>
      <c r="E83" s="13">
        <v>1335</v>
      </c>
      <c r="F83" s="13">
        <v>1034</v>
      </c>
      <c r="G83" s="17">
        <f t="shared" si="4"/>
        <v>94</v>
      </c>
      <c r="H83" s="17">
        <f t="shared" si="5"/>
        <v>940</v>
      </c>
      <c r="I83" s="17">
        <f t="shared" si="6"/>
        <v>395</v>
      </c>
      <c r="J83" s="18">
        <f t="shared" si="7"/>
        <v>0.42021276595744683</v>
      </c>
      <c r="K83" s="13" t="s">
        <v>18</v>
      </c>
      <c r="L83" s="13"/>
    </row>
    <row r="84" spans="1:12" x14ac:dyDescent="0.25">
      <c r="A84" s="19">
        <v>46192</v>
      </c>
      <c r="B84" s="13" t="s">
        <v>15</v>
      </c>
      <c r="C84" s="16" t="s">
        <v>381</v>
      </c>
      <c r="D84" s="13" t="s">
        <v>17</v>
      </c>
      <c r="E84" s="13">
        <v>1335</v>
      </c>
      <c r="F84" s="13">
        <v>923.17</v>
      </c>
      <c r="G84" s="17">
        <f t="shared" si="4"/>
        <v>83.924545454545452</v>
      </c>
      <c r="H84" s="17">
        <f t="shared" si="5"/>
        <v>839.24545454545455</v>
      </c>
      <c r="I84" s="17">
        <f t="shared" si="6"/>
        <v>495.75454545454545</v>
      </c>
      <c r="J84" s="18">
        <f t="shared" si="7"/>
        <v>0.59071460294420308</v>
      </c>
      <c r="K84" s="13" t="s">
        <v>18</v>
      </c>
      <c r="L84" s="13"/>
    </row>
    <row r="85" spans="1:12" x14ac:dyDescent="0.25">
      <c r="A85" s="19">
        <v>46192</v>
      </c>
      <c r="B85" s="13" t="s">
        <v>15</v>
      </c>
      <c r="C85" s="16" t="s">
        <v>382</v>
      </c>
      <c r="D85" s="13" t="s">
        <v>17</v>
      </c>
      <c r="E85" s="13">
        <v>1335</v>
      </c>
      <c r="F85" s="13">
        <v>1034</v>
      </c>
      <c r="G85" s="17">
        <f t="shared" si="4"/>
        <v>94</v>
      </c>
      <c r="H85" s="17">
        <f t="shared" si="5"/>
        <v>940</v>
      </c>
      <c r="I85" s="17">
        <f t="shared" si="6"/>
        <v>395</v>
      </c>
      <c r="J85" s="18">
        <f t="shared" si="7"/>
        <v>0.42021276595744683</v>
      </c>
      <c r="K85" s="13" t="s">
        <v>18</v>
      </c>
      <c r="L85" s="13"/>
    </row>
    <row r="86" spans="1:12" x14ac:dyDescent="0.25">
      <c r="A86" s="19">
        <v>46192</v>
      </c>
      <c r="B86" s="13" t="s">
        <v>15</v>
      </c>
      <c r="C86" s="16" t="s">
        <v>383</v>
      </c>
      <c r="D86" s="13" t="s">
        <v>17</v>
      </c>
      <c r="E86" s="13">
        <v>1335</v>
      </c>
      <c r="F86" s="13">
        <v>1034</v>
      </c>
      <c r="G86" s="17">
        <f t="shared" si="4"/>
        <v>94</v>
      </c>
      <c r="H86" s="17">
        <f t="shared" si="5"/>
        <v>940</v>
      </c>
      <c r="I86" s="17">
        <f t="shared" si="6"/>
        <v>395</v>
      </c>
      <c r="J86" s="18">
        <f t="shared" si="7"/>
        <v>0.42021276595744683</v>
      </c>
      <c r="K86" s="13" t="s">
        <v>18</v>
      </c>
      <c r="L86" s="13"/>
    </row>
    <row r="87" spans="1:12" x14ac:dyDescent="0.25">
      <c r="A87" s="19">
        <v>46192</v>
      </c>
      <c r="B87" s="13" t="s">
        <v>15</v>
      </c>
      <c r="C87" s="16" t="s">
        <v>384</v>
      </c>
      <c r="D87" s="13" t="s">
        <v>17</v>
      </c>
      <c r="E87" s="13">
        <v>1335</v>
      </c>
      <c r="F87" s="13">
        <v>1034</v>
      </c>
      <c r="G87" s="17">
        <f t="shared" si="4"/>
        <v>94</v>
      </c>
      <c r="H87" s="17">
        <f t="shared" si="5"/>
        <v>940</v>
      </c>
      <c r="I87" s="17">
        <f t="shared" si="6"/>
        <v>395</v>
      </c>
      <c r="J87" s="18">
        <f t="shared" si="7"/>
        <v>0.42021276595744683</v>
      </c>
      <c r="K87" s="13" t="s">
        <v>18</v>
      </c>
      <c r="L87" s="13"/>
    </row>
    <row r="88" spans="1:12" x14ac:dyDescent="0.25">
      <c r="A88" s="19">
        <v>46192</v>
      </c>
      <c r="B88" s="13" t="s">
        <v>15</v>
      </c>
      <c r="C88" s="16" t="s">
        <v>385</v>
      </c>
      <c r="D88" s="13" t="s">
        <v>17</v>
      </c>
      <c r="E88" s="13">
        <v>1335</v>
      </c>
      <c r="F88" s="13">
        <v>1018.84</v>
      </c>
      <c r="G88" s="17">
        <f t="shared" si="4"/>
        <v>92.621818181818185</v>
      </c>
      <c r="H88" s="17">
        <f t="shared" si="5"/>
        <v>926.21818181818185</v>
      </c>
      <c r="I88" s="17">
        <f t="shared" si="6"/>
        <v>408.78181818181815</v>
      </c>
      <c r="J88" s="18">
        <f t="shared" si="7"/>
        <v>0.44134505908680455</v>
      </c>
      <c r="K88" s="13" t="s">
        <v>18</v>
      </c>
      <c r="L88" s="13"/>
    </row>
    <row r="89" spans="1:12" x14ac:dyDescent="0.25">
      <c r="A89" s="19">
        <v>46192</v>
      </c>
      <c r="B89" s="13" t="s">
        <v>15</v>
      </c>
      <c r="C89" s="16" t="s">
        <v>386</v>
      </c>
      <c r="D89" s="13" t="s">
        <v>17</v>
      </c>
      <c r="E89" s="13">
        <v>1335</v>
      </c>
      <c r="F89" s="13">
        <v>1031.77</v>
      </c>
      <c r="G89" s="17">
        <f t="shared" si="4"/>
        <v>93.797272727272727</v>
      </c>
      <c r="H89" s="17">
        <f t="shared" si="5"/>
        <v>937.9727272727273</v>
      </c>
      <c r="I89" s="17">
        <f t="shared" si="6"/>
        <v>397.0272727272727</v>
      </c>
      <c r="J89" s="18">
        <f t="shared" si="7"/>
        <v>0.42328232067224281</v>
      </c>
      <c r="K89" s="13" t="s">
        <v>18</v>
      </c>
      <c r="L89" s="13"/>
    </row>
    <row r="90" spans="1:12" x14ac:dyDescent="0.25">
      <c r="A90" s="19">
        <v>46192</v>
      </c>
      <c r="B90" s="13" t="s">
        <v>15</v>
      </c>
      <c r="C90" s="16" t="s">
        <v>387</v>
      </c>
      <c r="D90" s="13" t="s">
        <v>17</v>
      </c>
      <c r="E90" s="13">
        <v>1335</v>
      </c>
      <c r="F90" s="13">
        <v>1034</v>
      </c>
      <c r="G90" s="17">
        <f t="shared" si="4"/>
        <v>94</v>
      </c>
      <c r="H90" s="17">
        <f t="shared" si="5"/>
        <v>940</v>
      </c>
      <c r="I90" s="17">
        <f t="shared" si="6"/>
        <v>395</v>
      </c>
      <c r="J90" s="18">
        <f t="shared" si="7"/>
        <v>0.42021276595744683</v>
      </c>
      <c r="K90" s="13" t="s">
        <v>18</v>
      </c>
      <c r="L90" s="13"/>
    </row>
    <row r="91" spans="1:12" x14ac:dyDescent="0.25">
      <c r="A91" s="19">
        <v>46192</v>
      </c>
      <c r="B91" s="13" t="s">
        <v>15</v>
      </c>
      <c r="C91" s="16" t="s">
        <v>388</v>
      </c>
      <c r="D91" s="13" t="s">
        <v>17</v>
      </c>
      <c r="E91" s="13">
        <v>1335</v>
      </c>
      <c r="F91" s="13">
        <v>1034</v>
      </c>
      <c r="G91" s="17">
        <f t="shared" si="4"/>
        <v>94</v>
      </c>
      <c r="H91" s="17">
        <f t="shared" si="5"/>
        <v>940</v>
      </c>
      <c r="I91" s="17">
        <f t="shared" si="6"/>
        <v>395</v>
      </c>
      <c r="J91" s="18">
        <f t="shared" si="7"/>
        <v>0.42021276595744683</v>
      </c>
      <c r="K91" s="13" t="s">
        <v>18</v>
      </c>
      <c r="L91" s="13"/>
    </row>
    <row r="92" spans="1:12" x14ac:dyDescent="0.25">
      <c r="A92" s="19">
        <v>46192</v>
      </c>
      <c r="B92" s="13" t="s">
        <v>15</v>
      </c>
      <c r="C92" s="16" t="s">
        <v>389</v>
      </c>
      <c r="D92" s="13" t="s">
        <v>17</v>
      </c>
      <c r="E92" s="13">
        <v>1335</v>
      </c>
      <c r="F92" s="13">
        <v>1031.77</v>
      </c>
      <c r="G92" s="17">
        <f t="shared" si="4"/>
        <v>93.797272727272727</v>
      </c>
      <c r="H92" s="17">
        <f t="shared" si="5"/>
        <v>937.9727272727273</v>
      </c>
      <c r="I92" s="17">
        <f t="shared" si="6"/>
        <v>397.0272727272727</v>
      </c>
      <c r="J92" s="18">
        <f t="shared" si="7"/>
        <v>0.42328232067224281</v>
      </c>
      <c r="K92" s="13" t="s">
        <v>18</v>
      </c>
      <c r="L92" s="13"/>
    </row>
    <row r="93" spans="1:12" x14ac:dyDescent="0.25">
      <c r="A93" s="19">
        <v>46192</v>
      </c>
      <c r="B93" s="13" t="s">
        <v>15</v>
      </c>
      <c r="C93" s="16" t="s">
        <v>390</v>
      </c>
      <c r="D93" s="13" t="s">
        <v>17</v>
      </c>
      <c r="E93" s="13">
        <v>1335</v>
      </c>
      <c r="F93" s="13">
        <v>1034</v>
      </c>
      <c r="G93" s="17">
        <f t="shared" si="4"/>
        <v>94</v>
      </c>
      <c r="H93" s="17">
        <f t="shared" si="5"/>
        <v>940</v>
      </c>
      <c r="I93" s="17">
        <f t="shared" si="6"/>
        <v>395</v>
      </c>
      <c r="J93" s="18">
        <f t="shared" si="7"/>
        <v>0.42021276595744683</v>
      </c>
      <c r="K93" s="13" t="s">
        <v>18</v>
      </c>
      <c r="L93" s="13"/>
    </row>
    <row r="94" spans="1:12" x14ac:dyDescent="0.25">
      <c r="A94" s="19">
        <v>46192</v>
      </c>
      <c r="B94" s="13" t="s">
        <v>15</v>
      </c>
      <c r="C94" s="16" t="s">
        <v>391</v>
      </c>
      <c r="D94" s="13" t="s">
        <v>17</v>
      </c>
      <c r="E94" s="13">
        <v>1335</v>
      </c>
      <c r="F94" s="13">
        <v>1034</v>
      </c>
      <c r="G94" s="17">
        <f t="shared" si="4"/>
        <v>94</v>
      </c>
      <c r="H94" s="17">
        <f t="shared" si="5"/>
        <v>940</v>
      </c>
      <c r="I94" s="17">
        <f t="shared" si="6"/>
        <v>395</v>
      </c>
      <c r="J94" s="18">
        <f t="shared" si="7"/>
        <v>0.42021276595744683</v>
      </c>
      <c r="K94" s="13" t="s">
        <v>18</v>
      </c>
      <c r="L94" s="13"/>
    </row>
    <row r="95" spans="1:12" x14ac:dyDescent="0.25">
      <c r="A95" s="19">
        <v>46192</v>
      </c>
      <c r="B95" s="13" t="s">
        <v>15</v>
      </c>
      <c r="C95" s="16" t="s">
        <v>392</v>
      </c>
      <c r="D95" s="13" t="s">
        <v>17</v>
      </c>
      <c r="E95" s="13">
        <v>1335</v>
      </c>
      <c r="F95" s="13">
        <v>1034</v>
      </c>
      <c r="G95" s="17">
        <f t="shared" si="4"/>
        <v>94</v>
      </c>
      <c r="H95" s="17">
        <f t="shared" si="5"/>
        <v>940</v>
      </c>
      <c r="I95" s="17">
        <f t="shared" si="6"/>
        <v>395</v>
      </c>
      <c r="J95" s="18">
        <f t="shared" si="7"/>
        <v>0.42021276595744683</v>
      </c>
      <c r="K95" s="13" t="s">
        <v>18</v>
      </c>
      <c r="L95" s="13"/>
    </row>
    <row r="96" spans="1:12" x14ac:dyDescent="0.25">
      <c r="A96" s="19">
        <v>46192</v>
      </c>
      <c r="B96" s="13" t="s">
        <v>15</v>
      </c>
      <c r="C96" s="16" t="s">
        <v>393</v>
      </c>
      <c r="D96" s="13" t="s">
        <v>17</v>
      </c>
      <c r="E96" s="13">
        <v>1335</v>
      </c>
      <c r="F96" s="13">
        <v>1018.84</v>
      </c>
      <c r="G96" s="17">
        <f t="shared" si="4"/>
        <v>92.621818181818185</v>
      </c>
      <c r="H96" s="17">
        <f t="shared" si="5"/>
        <v>926.21818181818185</v>
      </c>
      <c r="I96" s="17">
        <f t="shared" si="6"/>
        <v>408.78181818181815</v>
      </c>
      <c r="J96" s="18">
        <f t="shared" si="7"/>
        <v>0.44134505908680455</v>
      </c>
      <c r="K96" s="13" t="s">
        <v>18</v>
      </c>
      <c r="L96" s="13"/>
    </row>
    <row r="97" spans="1:12" x14ac:dyDescent="0.25">
      <c r="A97" s="19">
        <v>46193</v>
      </c>
      <c r="B97" s="13" t="s">
        <v>396</v>
      </c>
      <c r="C97" s="16" t="s">
        <v>397</v>
      </c>
      <c r="D97" s="13" t="s">
        <v>398</v>
      </c>
      <c r="E97" s="13">
        <v>340</v>
      </c>
      <c r="F97" s="13">
        <v>304.64</v>
      </c>
      <c r="G97" s="17">
        <f t="shared" si="4"/>
        <v>27.694545454545452</v>
      </c>
      <c r="H97" s="17">
        <f t="shared" si="5"/>
        <v>276.94545454545454</v>
      </c>
      <c r="I97" s="17">
        <f t="shared" si="6"/>
        <v>63.054545454545462</v>
      </c>
      <c r="J97" s="18">
        <f t="shared" si="7"/>
        <v>0.22767857142857145</v>
      </c>
      <c r="K97" s="13" t="s">
        <v>18</v>
      </c>
      <c r="L97" s="13"/>
    </row>
    <row r="98" spans="1:12" x14ac:dyDescent="0.25">
      <c r="A98" s="19">
        <v>46193</v>
      </c>
      <c r="B98" s="13" t="s">
        <v>396</v>
      </c>
      <c r="C98" s="16" t="s">
        <v>399</v>
      </c>
      <c r="D98" s="13" t="s">
        <v>398</v>
      </c>
      <c r="E98" s="13">
        <v>340</v>
      </c>
      <c r="F98" s="13">
        <v>289.41000000000003</v>
      </c>
      <c r="G98" s="17">
        <f t="shared" si="4"/>
        <v>26.310000000000002</v>
      </c>
      <c r="H98" s="17">
        <f t="shared" si="5"/>
        <v>263.10000000000002</v>
      </c>
      <c r="I98" s="17">
        <f t="shared" si="6"/>
        <v>76.899999999999977</v>
      </c>
      <c r="J98" s="18">
        <f t="shared" si="7"/>
        <v>0.29228430254656013</v>
      </c>
      <c r="K98" s="13" t="s">
        <v>18</v>
      </c>
      <c r="L98" s="13"/>
    </row>
    <row r="99" spans="1:12" x14ac:dyDescent="0.25">
      <c r="A99" s="19">
        <v>46193</v>
      </c>
      <c r="B99" s="13" t="s">
        <v>396</v>
      </c>
      <c r="C99" s="16" t="s">
        <v>400</v>
      </c>
      <c r="D99" s="13" t="s">
        <v>398</v>
      </c>
      <c r="E99" s="13">
        <v>340</v>
      </c>
      <c r="F99" s="13">
        <v>304.64</v>
      </c>
      <c r="G99" s="17">
        <f t="shared" si="4"/>
        <v>27.694545454545452</v>
      </c>
      <c r="H99" s="17">
        <f t="shared" si="5"/>
        <v>276.94545454545454</v>
      </c>
      <c r="I99" s="17">
        <f t="shared" si="6"/>
        <v>63.054545454545462</v>
      </c>
      <c r="J99" s="18">
        <f t="shared" si="7"/>
        <v>0.22767857142857145</v>
      </c>
      <c r="K99" s="13" t="s">
        <v>18</v>
      </c>
      <c r="L99" s="13"/>
    </row>
    <row r="100" spans="1:12" x14ac:dyDescent="0.25">
      <c r="A100" s="19">
        <v>46193</v>
      </c>
      <c r="B100" s="13" t="s">
        <v>396</v>
      </c>
      <c r="C100" s="16" t="s">
        <v>401</v>
      </c>
      <c r="D100" s="13" t="s">
        <v>398</v>
      </c>
      <c r="E100" s="13">
        <v>340</v>
      </c>
      <c r="F100" s="13">
        <v>304.64</v>
      </c>
      <c r="G100" s="17">
        <f t="shared" si="4"/>
        <v>27.694545454545452</v>
      </c>
      <c r="H100" s="17">
        <f t="shared" si="5"/>
        <v>276.94545454545454</v>
      </c>
      <c r="I100" s="17">
        <f t="shared" si="6"/>
        <v>63.054545454545462</v>
      </c>
      <c r="J100" s="18">
        <f t="shared" si="7"/>
        <v>0.22767857142857145</v>
      </c>
      <c r="K100" s="13" t="s">
        <v>18</v>
      </c>
      <c r="L100" s="13"/>
    </row>
    <row r="101" spans="1:12" x14ac:dyDescent="0.25">
      <c r="A101" s="19">
        <v>46193</v>
      </c>
      <c r="B101" s="13" t="s">
        <v>396</v>
      </c>
      <c r="C101" s="16" t="s">
        <v>402</v>
      </c>
      <c r="D101" s="13" t="s">
        <v>403</v>
      </c>
      <c r="E101" s="13">
        <v>340</v>
      </c>
      <c r="F101" s="13">
        <v>304.64</v>
      </c>
      <c r="G101" s="17">
        <f t="shared" si="4"/>
        <v>27.694545454545452</v>
      </c>
      <c r="H101" s="17">
        <f t="shared" si="5"/>
        <v>276.94545454545454</v>
      </c>
      <c r="I101" s="17">
        <f t="shared" si="6"/>
        <v>63.054545454545462</v>
      </c>
      <c r="J101" s="18">
        <f t="shared" si="7"/>
        <v>0.22767857142857145</v>
      </c>
      <c r="K101" s="13" t="s">
        <v>18</v>
      </c>
      <c r="L101" s="13"/>
    </row>
    <row r="102" spans="1:12" x14ac:dyDescent="0.25">
      <c r="A102" s="19">
        <v>46193</v>
      </c>
      <c r="B102" s="13" t="s">
        <v>396</v>
      </c>
      <c r="C102" s="16" t="s">
        <v>407</v>
      </c>
      <c r="D102" s="13" t="s">
        <v>408</v>
      </c>
      <c r="E102" s="13">
        <v>340</v>
      </c>
      <c r="F102" s="13">
        <v>286.98</v>
      </c>
      <c r="G102" s="17">
        <f t="shared" si="4"/>
        <v>26.08909090909091</v>
      </c>
      <c r="H102" s="17">
        <f t="shared" si="5"/>
        <v>260.89090909090913</v>
      </c>
      <c r="I102" s="17">
        <f t="shared" si="6"/>
        <v>79.109090909090867</v>
      </c>
      <c r="J102" s="18">
        <f t="shared" si="7"/>
        <v>0.30322670569377635</v>
      </c>
      <c r="K102" s="13" t="s">
        <v>18</v>
      </c>
      <c r="L102" s="13"/>
    </row>
    <row r="103" spans="1:12" x14ac:dyDescent="0.25">
      <c r="A103" s="19">
        <v>46193</v>
      </c>
      <c r="B103" s="13" t="s">
        <v>396</v>
      </c>
      <c r="C103" s="16" t="s">
        <v>409</v>
      </c>
      <c r="D103" s="13" t="s">
        <v>398</v>
      </c>
      <c r="E103" s="13">
        <v>340</v>
      </c>
      <c r="F103" s="13">
        <v>304.64</v>
      </c>
      <c r="G103" s="17">
        <f t="shared" si="4"/>
        <v>27.694545454545452</v>
      </c>
      <c r="H103" s="17">
        <f t="shared" si="5"/>
        <v>276.94545454545454</v>
      </c>
      <c r="I103" s="17">
        <f t="shared" si="6"/>
        <v>63.054545454545462</v>
      </c>
      <c r="J103" s="18">
        <f t="shared" si="7"/>
        <v>0.22767857142857145</v>
      </c>
      <c r="K103" s="13" t="s">
        <v>18</v>
      </c>
      <c r="L103" s="13"/>
    </row>
    <row r="104" spans="1:12" x14ac:dyDescent="0.25">
      <c r="A104" s="19">
        <v>46193</v>
      </c>
      <c r="B104" s="13" t="s">
        <v>396</v>
      </c>
      <c r="C104" s="16" t="s">
        <v>410</v>
      </c>
      <c r="D104" s="13" t="s">
        <v>403</v>
      </c>
      <c r="E104" s="13">
        <v>340</v>
      </c>
      <c r="F104" s="13">
        <v>304.64</v>
      </c>
      <c r="G104" s="17">
        <f t="shared" si="4"/>
        <v>27.694545454545452</v>
      </c>
      <c r="H104" s="17">
        <f t="shared" si="5"/>
        <v>276.94545454545454</v>
      </c>
      <c r="I104" s="17">
        <f t="shared" si="6"/>
        <v>63.054545454545462</v>
      </c>
      <c r="J104" s="18">
        <f t="shared" si="7"/>
        <v>0.22767857142857145</v>
      </c>
      <c r="K104" s="13" t="s">
        <v>18</v>
      </c>
      <c r="L104" s="13"/>
    </row>
    <row r="105" spans="1:12" x14ac:dyDescent="0.25">
      <c r="A105" s="19">
        <v>46193</v>
      </c>
      <c r="B105" s="13" t="s">
        <v>396</v>
      </c>
      <c r="C105" s="16" t="s">
        <v>411</v>
      </c>
      <c r="D105" s="13" t="s">
        <v>408</v>
      </c>
      <c r="E105" s="13">
        <v>340</v>
      </c>
      <c r="F105" s="13">
        <v>272.7</v>
      </c>
      <c r="G105" s="17">
        <f t="shared" si="4"/>
        <v>24.790909090909089</v>
      </c>
      <c r="H105" s="17">
        <f t="shared" si="5"/>
        <v>247.90909090909091</v>
      </c>
      <c r="I105" s="17">
        <f t="shared" si="6"/>
        <v>92.090909090909093</v>
      </c>
      <c r="J105" s="18">
        <f t="shared" si="7"/>
        <v>0.37147048038137148</v>
      </c>
      <c r="K105" s="13" t="s">
        <v>18</v>
      </c>
      <c r="L105" s="13"/>
    </row>
    <row r="106" spans="1:12" x14ac:dyDescent="0.25">
      <c r="A106" s="19">
        <v>46193</v>
      </c>
      <c r="B106" s="13" t="s">
        <v>396</v>
      </c>
      <c r="C106" s="16" t="s">
        <v>412</v>
      </c>
      <c r="D106" s="13" t="s">
        <v>408</v>
      </c>
      <c r="E106" s="13">
        <v>340</v>
      </c>
      <c r="F106" s="13">
        <v>272.7</v>
      </c>
      <c r="G106" s="17">
        <f t="shared" si="4"/>
        <v>24.790909090909089</v>
      </c>
      <c r="H106" s="17">
        <f t="shared" si="5"/>
        <v>247.90909090909091</v>
      </c>
      <c r="I106" s="17">
        <f t="shared" si="6"/>
        <v>92.090909090909093</v>
      </c>
      <c r="J106" s="18">
        <f t="shared" si="7"/>
        <v>0.37147048038137148</v>
      </c>
      <c r="K106" s="13" t="s">
        <v>18</v>
      </c>
      <c r="L106" s="13"/>
    </row>
    <row r="107" spans="1:12" x14ac:dyDescent="0.25">
      <c r="A107" s="19">
        <v>46193</v>
      </c>
      <c r="B107" s="13" t="s">
        <v>396</v>
      </c>
      <c r="C107" s="16" t="s">
        <v>413</v>
      </c>
      <c r="D107" s="13" t="s">
        <v>408</v>
      </c>
      <c r="E107" s="13">
        <v>340</v>
      </c>
      <c r="F107" s="13">
        <v>272.7</v>
      </c>
      <c r="G107" s="17">
        <f t="shared" si="4"/>
        <v>24.790909090909089</v>
      </c>
      <c r="H107" s="17">
        <f t="shared" si="5"/>
        <v>247.90909090909091</v>
      </c>
      <c r="I107" s="17">
        <f t="shared" si="6"/>
        <v>92.090909090909093</v>
      </c>
      <c r="J107" s="18">
        <f t="shared" si="7"/>
        <v>0.37147048038137148</v>
      </c>
      <c r="K107" s="13" t="s">
        <v>18</v>
      </c>
      <c r="L107" s="13"/>
    </row>
    <row r="108" spans="1:12" x14ac:dyDescent="0.25">
      <c r="A108" s="19">
        <v>46193</v>
      </c>
      <c r="B108" s="13" t="s">
        <v>396</v>
      </c>
      <c r="C108" s="16" t="s">
        <v>414</v>
      </c>
      <c r="D108" s="13" t="s">
        <v>408</v>
      </c>
      <c r="E108" s="13">
        <v>340</v>
      </c>
      <c r="F108" s="13">
        <v>286.98</v>
      </c>
      <c r="G108" s="17">
        <f t="shared" si="4"/>
        <v>26.08909090909091</v>
      </c>
      <c r="H108" s="17">
        <f t="shared" si="5"/>
        <v>260.89090909090913</v>
      </c>
      <c r="I108" s="17">
        <f t="shared" si="6"/>
        <v>79.109090909090867</v>
      </c>
      <c r="J108" s="18">
        <f t="shared" si="7"/>
        <v>0.30322670569377635</v>
      </c>
      <c r="K108" s="13" t="s">
        <v>18</v>
      </c>
      <c r="L108" s="13"/>
    </row>
    <row r="109" spans="1:12" x14ac:dyDescent="0.25">
      <c r="A109" s="19">
        <v>46195</v>
      </c>
      <c r="B109" s="13" t="s">
        <v>333</v>
      </c>
      <c r="C109" s="16" t="s">
        <v>423</v>
      </c>
      <c r="D109" s="13" t="s">
        <v>335</v>
      </c>
      <c r="E109" s="13">
        <v>5575</v>
      </c>
      <c r="F109" s="13">
        <v>4856.32</v>
      </c>
      <c r="G109" s="17">
        <f t="shared" si="4"/>
        <v>441.48363636363632</v>
      </c>
      <c r="H109" s="17">
        <f t="shared" si="5"/>
        <v>4414.8363636363638</v>
      </c>
      <c r="I109" s="17">
        <f t="shared" si="6"/>
        <v>1160.1636363636362</v>
      </c>
      <c r="J109" s="18">
        <f t="shared" si="7"/>
        <v>0.26278746046389029</v>
      </c>
      <c r="K109" s="13" t="s">
        <v>18</v>
      </c>
      <c r="L109" s="13"/>
    </row>
    <row r="110" spans="1:12" x14ac:dyDescent="0.25">
      <c r="A110" s="19">
        <v>46195</v>
      </c>
      <c r="B110" s="13" t="s">
        <v>333</v>
      </c>
      <c r="C110" s="16" t="s">
        <v>424</v>
      </c>
      <c r="D110" s="13" t="s">
        <v>168</v>
      </c>
      <c r="E110" s="13">
        <v>5600</v>
      </c>
      <c r="F110" s="13">
        <v>4926.7</v>
      </c>
      <c r="G110" s="17">
        <f t="shared" si="4"/>
        <v>447.88181818181818</v>
      </c>
      <c r="H110" s="17">
        <f t="shared" si="5"/>
        <v>4478.818181818182</v>
      </c>
      <c r="I110" s="17">
        <f t="shared" si="6"/>
        <v>1121.181818181818</v>
      </c>
      <c r="J110" s="18">
        <f t="shared" si="7"/>
        <v>0.25032983538677001</v>
      </c>
      <c r="K110" s="13" t="s">
        <v>18</v>
      </c>
      <c r="L110" s="13"/>
    </row>
    <row r="111" spans="1:12" x14ac:dyDescent="0.25">
      <c r="A111" s="19">
        <v>46195</v>
      </c>
      <c r="B111" s="13" t="s">
        <v>333</v>
      </c>
      <c r="C111" s="16" t="s">
        <v>425</v>
      </c>
      <c r="D111" s="13" t="s">
        <v>335</v>
      </c>
      <c r="E111" s="13">
        <v>5575</v>
      </c>
      <c r="F111" s="13">
        <v>4856.32</v>
      </c>
      <c r="G111" s="17">
        <f t="shared" si="4"/>
        <v>441.48363636363632</v>
      </c>
      <c r="H111" s="17">
        <f t="shared" si="5"/>
        <v>4414.8363636363638</v>
      </c>
      <c r="I111" s="17">
        <f t="shared" si="6"/>
        <v>1160.1636363636362</v>
      </c>
      <c r="J111" s="18">
        <f t="shared" si="7"/>
        <v>0.26278746046389029</v>
      </c>
      <c r="K111" s="13" t="s">
        <v>18</v>
      </c>
      <c r="L111" s="13"/>
    </row>
    <row r="112" spans="1:12" x14ac:dyDescent="0.25">
      <c r="A112" s="19">
        <v>46195</v>
      </c>
      <c r="B112" s="13" t="s">
        <v>333</v>
      </c>
      <c r="C112" s="16" t="s">
        <v>426</v>
      </c>
      <c r="D112" s="13" t="s">
        <v>335</v>
      </c>
      <c r="E112" s="13">
        <v>5575</v>
      </c>
      <c r="F112" s="13">
        <v>4856.32</v>
      </c>
      <c r="G112" s="17">
        <f t="shared" si="4"/>
        <v>441.48363636363632</v>
      </c>
      <c r="H112" s="17">
        <f t="shared" si="5"/>
        <v>4414.8363636363638</v>
      </c>
      <c r="I112" s="17">
        <f t="shared" si="6"/>
        <v>1160.1636363636362</v>
      </c>
      <c r="J112" s="18">
        <f t="shared" si="7"/>
        <v>0.26278746046389029</v>
      </c>
      <c r="K112" s="13" t="s">
        <v>18</v>
      </c>
      <c r="L112" s="13"/>
    </row>
    <row r="113" spans="1:12" x14ac:dyDescent="0.25">
      <c r="A113" s="19">
        <v>46195</v>
      </c>
      <c r="B113" s="13" t="s">
        <v>333</v>
      </c>
      <c r="C113" s="16" t="s">
        <v>427</v>
      </c>
      <c r="D113" s="13" t="s">
        <v>168</v>
      </c>
      <c r="E113" s="13">
        <v>5600</v>
      </c>
      <c r="F113" s="13">
        <v>4926.7</v>
      </c>
      <c r="G113" s="17">
        <f t="shared" si="4"/>
        <v>447.88181818181818</v>
      </c>
      <c r="H113" s="17">
        <f t="shared" si="5"/>
        <v>4478.818181818182</v>
      </c>
      <c r="I113" s="17">
        <f t="shared" si="6"/>
        <v>1121.181818181818</v>
      </c>
      <c r="J113" s="18">
        <f t="shared" si="7"/>
        <v>0.25032983538677001</v>
      </c>
      <c r="K113" s="13" t="s">
        <v>18</v>
      </c>
      <c r="L113" s="13"/>
    </row>
    <row r="114" spans="1:12" x14ac:dyDescent="0.25">
      <c r="A114" s="19">
        <v>46195</v>
      </c>
      <c r="B114" s="13" t="s">
        <v>333</v>
      </c>
      <c r="C114" s="16" t="s">
        <v>428</v>
      </c>
      <c r="D114" s="13" t="s">
        <v>335</v>
      </c>
      <c r="E114" s="13">
        <v>5575</v>
      </c>
      <c r="F114" s="13">
        <v>4856.32</v>
      </c>
      <c r="G114" s="17">
        <f t="shared" si="4"/>
        <v>441.48363636363632</v>
      </c>
      <c r="H114" s="17">
        <f t="shared" si="5"/>
        <v>4414.8363636363638</v>
      </c>
      <c r="I114" s="17">
        <f t="shared" si="6"/>
        <v>1160.1636363636362</v>
      </c>
      <c r="J114" s="18">
        <f t="shared" si="7"/>
        <v>0.26278746046389029</v>
      </c>
      <c r="K114" s="13" t="s">
        <v>18</v>
      </c>
      <c r="L114" s="13"/>
    </row>
    <row r="115" spans="1:12" x14ac:dyDescent="0.25">
      <c r="A115" s="19">
        <v>46195</v>
      </c>
      <c r="B115" s="13" t="s">
        <v>333</v>
      </c>
      <c r="C115" s="16" t="s">
        <v>429</v>
      </c>
      <c r="D115" s="13" t="s">
        <v>335</v>
      </c>
      <c r="E115" s="13">
        <v>5575</v>
      </c>
      <c r="F115" s="13">
        <v>4856.32</v>
      </c>
      <c r="G115" s="17">
        <f t="shared" si="4"/>
        <v>441.48363636363632</v>
      </c>
      <c r="H115" s="17">
        <f t="shared" si="5"/>
        <v>4414.8363636363638</v>
      </c>
      <c r="I115" s="17">
        <f t="shared" si="6"/>
        <v>1160.1636363636362</v>
      </c>
      <c r="J115" s="18">
        <f t="shared" si="7"/>
        <v>0.26278746046389029</v>
      </c>
      <c r="K115" s="13" t="s">
        <v>18</v>
      </c>
      <c r="L115" s="13"/>
    </row>
    <row r="116" spans="1:12" x14ac:dyDescent="0.25">
      <c r="A116" s="19">
        <v>46197</v>
      </c>
      <c r="B116" s="13" t="s">
        <v>324</v>
      </c>
      <c r="C116" s="16">
        <v>21245082000201</v>
      </c>
      <c r="D116" s="13" t="s">
        <v>431</v>
      </c>
      <c r="E116" s="13">
        <v>4100</v>
      </c>
      <c r="F116" s="13">
        <v>3371.04</v>
      </c>
      <c r="G116" s="17">
        <f t="shared" si="4"/>
        <v>306.4581818181818</v>
      </c>
      <c r="H116" s="17">
        <f t="shared" si="5"/>
        <v>3064.5818181818181</v>
      </c>
      <c r="I116" s="17">
        <f t="shared" si="6"/>
        <v>1035.4181818181819</v>
      </c>
      <c r="J116" s="18">
        <f t="shared" si="7"/>
        <v>0.33786605913901946</v>
      </c>
      <c r="K116" s="13" t="s">
        <v>18</v>
      </c>
      <c r="L116" s="13"/>
    </row>
    <row r="117" spans="1:12" x14ac:dyDescent="0.25">
      <c r="A117" s="19">
        <v>46197</v>
      </c>
      <c r="B117" s="13" t="s">
        <v>324</v>
      </c>
      <c r="C117" s="16">
        <v>21245082000207</v>
      </c>
      <c r="D117" s="13" t="s">
        <v>17</v>
      </c>
      <c r="E117" s="13">
        <v>4100</v>
      </c>
      <c r="F117" s="13">
        <v>3374.02</v>
      </c>
      <c r="G117" s="17">
        <f t="shared" si="4"/>
        <v>306.72909090909093</v>
      </c>
      <c r="H117" s="17">
        <f t="shared" si="5"/>
        <v>3067.2909090909088</v>
      </c>
      <c r="I117" s="17">
        <f t="shared" si="6"/>
        <v>1032.7090909090912</v>
      </c>
      <c r="J117" s="18">
        <f t="shared" si="7"/>
        <v>0.33668442984926006</v>
      </c>
      <c r="K117" s="13" t="s">
        <v>18</v>
      </c>
      <c r="L117" s="13"/>
    </row>
    <row r="118" spans="1:12" x14ac:dyDescent="0.25">
      <c r="A118" s="19">
        <v>46197</v>
      </c>
      <c r="B118" s="13" t="s">
        <v>324</v>
      </c>
      <c r="C118" s="16">
        <v>21245082001507</v>
      </c>
      <c r="D118" s="13" t="s">
        <v>114</v>
      </c>
      <c r="E118" s="13">
        <v>4200</v>
      </c>
      <c r="F118" s="13">
        <v>3371.04</v>
      </c>
      <c r="G118" s="17">
        <f t="shared" si="4"/>
        <v>306.4581818181818</v>
      </c>
      <c r="H118" s="17">
        <f t="shared" si="5"/>
        <v>3064.5818181818181</v>
      </c>
      <c r="I118" s="17">
        <f t="shared" si="6"/>
        <v>1135.4181818181819</v>
      </c>
      <c r="J118" s="18">
        <f t="shared" si="7"/>
        <v>0.37049693863021504</v>
      </c>
      <c r="K118" s="13" t="s">
        <v>18</v>
      </c>
      <c r="L118" s="13"/>
    </row>
    <row r="119" spans="1:12" x14ac:dyDescent="0.25">
      <c r="A119" s="19">
        <v>46197</v>
      </c>
      <c r="B119" s="13" t="s">
        <v>333</v>
      </c>
      <c r="C119" s="16" t="s">
        <v>432</v>
      </c>
      <c r="D119" s="13" t="s">
        <v>168</v>
      </c>
      <c r="E119" s="13">
        <v>5500</v>
      </c>
      <c r="F119" s="13">
        <v>4928.41</v>
      </c>
      <c r="G119" s="17">
        <f t="shared" si="4"/>
        <v>448.03727272727269</v>
      </c>
      <c r="H119" s="17">
        <f t="shared" si="5"/>
        <v>4480.3727272727274</v>
      </c>
      <c r="I119" s="17">
        <f t="shared" si="6"/>
        <v>1019.6272727272726</v>
      </c>
      <c r="J119" s="18">
        <f t="shared" si="7"/>
        <v>0.22757643946019099</v>
      </c>
      <c r="K119" s="13" t="s">
        <v>18</v>
      </c>
      <c r="L119" s="13"/>
    </row>
    <row r="120" spans="1:12" x14ac:dyDescent="0.25">
      <c r="A120" s="19">
        <v>46197</v>
      </c>
      <c r="B120" s="13" t="s">
        <v>333</v>
      </c>
      <c r="C120" s="16" t="s">
        <v>433</v>
      </c>
      <c r="D120" s="13" t="s">
        <v>168</v>
      </c>
      <c r="E120" s="13">
        <v>5600</v>
      </c>
      <c r="F120" s="13">
        <v>4856.32</v>
      </c>
      <c r="G120" s="17">
        <f t="shared" si="4"/>
        <v>441.48363636363632</v>
      </c>
      <c r="H120" s="17">
        <f t="shared" si="5"/>
        <v>4414.8363636363638</v>
      </c>
      <c r="I120" s="17">
        <f t="shared" si="6"/>
        <v>1185.1636363636362</v>
      </c>
      <c r="J120" s="18">
        <f t="shared" si="7"/>
        <v>0.26845018450184499</v>
      </c>
      <c r="K120" s="13" t="s">
        <v>18</v>
      </c>
      <c r="L120" s="13"/>
    </row>
    <row r="121" spans="1:12" x14ac:dyDescent="0.25">
      <c r="A121" s="19">
        <v>46197</v>
      </c>
      <c r="B121" s="13" t="s">
        <v>333</v>
      </c>
      <c r="C121" s="16" t="s">
        <v>434</v>
      </c>
      <c r="D121" s="13" t="s">
        <v>168</v>
      </c>
      <c r="E121" s="13">
        <v>5500</v>
      </c>
      <c r="F121" s="13">
        <v>4928.41</v>
      </c>
      <c r="G121" s="17">
        <f t="shared" si="4"/>
        <v>448.03727272727269</v>
      </c>
      <c r="H121" s="17">
        <f t="shared" si="5"/>
        <v>4480.3727272727274</v>
      </c>
      <c r="I121" s="17">
        <f t="shared" si="6"/>
        <v>1019.6272727272726</v>
      </c>
      <c r="J121" s="18">
        <f t="shared" si="7"/>
        <v>0.22757643946019099</v>
      </c>
      <c r="K121" s="13" t="s">
        <v>18</v>
      </c>
      <c r="L121" s="13"/>
    </row>
    <row r="122" spans="1:12" x14ac:dyDescent="0.25">
      <c r="A122" s="19">
        <v>46197</v>
      </c>
      <c r="B122" s="13" t="s">
        <v>333</v>
      </c>
      <c r="C122" s="16" t="s">
        <v>435</v>
      </c>
      <c r="D122" s="13" t="s">
        <v>168</v>
      </c>
      <c r="E122" s="13">
        <v>5500</v>
      </c>
      <c r="F122" s="13">
        <v>5373.44</v>
      </c>
      <c r="G122" s="17">
        <f t="shared" si="4"/>
        <v>488.4945454545454</v>
      </c>
      <c r="H122" s="17">
        <f t="shared" si="5"/>
        <v>4884.9454545454546</v>
      </c>
      <c r="I122" s="17">
        <f t="shared" si="6"/>
        <v>615.0545454545454</v>
      </c>
      <c r="J122" s="18">
        <f t="shared" si="7"/>
        <v>0.12590817055740827</v>
      </c>
      <c r="K122" s="13" t="s">
        <v>18</v>
      </c>
      <c r="L122" s="13"/>
    </row>
    <row r="123" spans="1:12" x14ac:dyDescent="0.25">
      <c r="A123" s="19">
        <v>46197</v>
      </c>
      <c r="B123" s="13" t="s">
        <v>333</v>
      </c>
      <c r="C123" s="16" t="s">
        <v>436</v>
      </c>
      <c r="D123" s="13" t="s">
        <v>168</v>
      </c>
      <c r="E123" s="13">
        <v>5600</v>
      </c>
      <c r="F123" s="13">
        <v>4856.32</v>
      </c>
      <c r="G123" s="17">
        <f t="shared" si="4"/>
        <v>441.48363636363632</v>
      </c>
      <c r="H123" s="17">
        <f t="shared" si="5"/>
        <v>4414.8363636363638</v>
      </c>
      <c r="I123" s="17">
        <f t="shared" si="6"/>
        <v>1185.1636363636362</v>
      </c>
      <c r="J123" s="18">
        <f t="shared" si="7"/>
        <v>0.26845018450184499</v>
      </c>
      <c r="K123" s="13" t="s">
        <v>18</v>
      </c>
      <c r="L123" s="13"/>
    </row>
    <row r="124" spans="1:12" x14ac:dyDescent="0.25">
      <c r="A124" s="19">
        <v>46197</v>
      </c>
      <c r="B124" s="13" t="s">
        <v>333</v>
      </c>
      <c r="C124" s="16" t="s">
        <v>437</v>
      </c>
      <c r="D124" s="13" t="s">
        <v>168</v>
      </c>
      <c r="E124" s="13">
        <v>5500</v>
      </c>
      <c r="F124" s="13">
        <v>4928.41</v>
      </c>
      <c r="G124" s="17">
        <f t="shared" si="4"/>
        <v>448.03727272727269</v>
      </c>
      <c r="H124" s="17">
        <f t="shared" si="5"/>
        <v>4480.3727272727274</v>
      </c>
      <c r="I124" s="17">
        <f t="shared" si="6"/>
        <v>1019.6272727272726</v>
      </c>
      <c r="J124" s="18">
        <f t="shared" si="7"/>
        <v>0.22757643946019099</v>
      </c>
      <c r="K124" s="13" t="s">
        <v>18</v>
      </c>
      <c r="L124" s="13"/>
    </row>
    <row r="125" spans="1:12" x14ac:dyDescent="0.25">
      <c r="A125" s="19">
        <v>46197</v>
      </c>
      <c r="B125" s="13" t="s">
        <v>333</v>
      </c>
      <c r="C125" s="16" t="s">
        <v>438</v>
      </c>
      <c r="D125" s="13" t="s">
        <v>168</v>
      </c>
      <c r="E125" s="13">
        <v>5500</v>
      </c>
      <c r="F125" s="13">
        <v>4928.41</v>
      </c>
      <c r="G125" s="17">
        <f t="shared" si="4"/>
        <v>448.03727272727269</v>
      </c>
      <c r="H125" s="17">
        <f t="shared" si="5"/>
        <v>4480.3727272727274</v>
      </c>
      <c r="I125" s="17">
        <f t="shared" si="6"/>
        <v>1019.6272727272726</v>
      </c>
      <c r="J125" s="18">
        <f t="shared" si="7"/>
        <v>0.22757643946019099</v>
      </c>
      <c r="K125" s="13" t="s">
        <v>18</v>
      </c>
      <c r="L125" s="13"/>
    </row>
    <row r="126" spans="1:12" x14ac:dyDescent="0.25">
      <c r="A126" s="19">
        <v>46197</v>
      </c>
      <c r="B126" s="13" t="s">
        <v>333</v>
      </c>
      <c r="C126" s="16" t="s">
        <v>439</v>
      </c>
      <c r="D126" s="13" t="s">
        <v>168</v>
      </c>
      <c r="E126" s="13">
        <v>5600</v>
      </c>
      <c r="F126" s="13">
        <v>4928.41</v>
      </c>
      <c r="G126" s="17">
        <f t="shared" si="4"/>
        <v>448.03727272727269</v>
      </c>
      <c r="H126" s="17">
        <f t="shared" si="5"/>
        <v>4480.3727272727274</v>
      </c>
      <c r="I126" s="17">
        <f t="shared" si="6"/>
        <v>1119.6272727272726</v>
      </c>
      <c r="J126" s="18">
        <f t="shared" si="7"/>
        <v>0.24989601108673992</v>
      </c>
      <c r="K126" s="13" t="s">
        <v>18</v>
      </c>
      <c r="L126" s="13"/>
    </row>
    <row r="127" spans="1:12" x14ac:dyDescent="0.25">
      <c r="A127" s="19">
        <v>46197</v>
      </c>
      <c r="B127" s="13" t="s">
        <v>333</v>
      </c>
      <c r="C127" s="16" t="s">
        <v>440</v>
      </c>
      <c r="D127" s="13" t="s">
        <v>168</v>
      </c>
      <c r="E127" s="13">
        <v>5600</v>
      </c>
      <c r="F127" s="13">
        <v>4928.41</v>
      </c>
      <c r="G127" s="17">
        <f t="shared" si="4"/>
        <v>448.03727272727269</v>
      </c>
      <c r="H127" s="17">
        <f t="shared" si="5"/>
        <v>4480.3727272727274</v>
      </c>
      <c r="I127" s="17">
        <f t="shared" si="6"/>
        <v>1119.6272727272726</v>
      </c>
      <c r="J127" s="18">
        <f t="shared" si="7"/>
        <v>0.24989601108673992</v>
      </c>
      <c r="K127" s="13" t="s">
        <v>18</v>
      </c>
      <c r="L127" s="13"/>
    </row>
    <row r="128" spans="1:12" x14ac:dyDescent="0.25">
      <c r="A128" s="19">
        <v>46197</v>
      </c>
      <c r="B128" s="13" t="s">
        <v>333</v>
      </c>
      <c r="C128" s="16" t="s">
        <v>441</v>
      </c>
      <c r="D128" s="13" t="s">
        <v>168</v>
      </c>
      <c r="E128" s="13">
        <v>5500</v>
      </c>
      <c r="F128" s="13">
        <v>4928.41</v>
      </c>
      <c r="G128" s="17">
        <f t="shared" si="4"/>
        <v>448.03727272727269</v>
      </c>
      <c r="H128" s="17">
        <f t="shared" si="5"/>
        <v>4480.3727272727274</v>
      </c>
      <c r="I128" s="17">
        <f t="shared" si="6"/>
        <v>1019.6272727272726</v>
      </c>
      <c r="J128" s="18">
        <f t="shared" si="7"/>
        <v>0.22757643946019099</v>
      </c>
      <c r="K128" s="13" t="s">
        <v>18</v>
      </c>
      <c r="L128" s="13"/>
    </row>
    <row r="129" spans="1:12" x14ac:dyDescent="0.25">
      <c r="A129" s="19">
        <v>46197</v>
      </c>
      <c r="B129" s="13" t="s">
        <v>333</v>
      </c>
      <c r="C129" s="16" t="s">
        <v>442</v>
      </c>
      <c r="D129" s="13" t="s">
        <v>168</v>
      </c>
      <c r="E129" s="13">
        <v>5500</v>
      </c>
      <c r="F129" s="13">
        <v>5162.2299999999996</v>
      </c>
      <c r="G129" s="17">
        <f t="shared" si="4"/>
        <v>469.29363636363632</v>
      </c>
      <c r="H129" s="17">
        <f t="shared" si="5"/>
        <v>4692.9363636363632</v>
      </c>
      <c r="I129" s="17">
        <f t="shared" si="6"/>
        <v>807.06363636363676</v>
      </c>
      <c r="J129" s="18">
        <f t="shared" si="7"/>
        <v>0.17197412746041935</v>
      </c>
      <c r="K129" s="13" t="s">
        <v>18</v>
      </c>
      <c r="L129" s="13"/>
    </row>
    <row r="130" spans="1:12" x14ac:dyDescent="0.25">
      <c r="A130" s="19">
        <v>46197</v>
      </c>
      <c r="B130" s="13" t="s">
        <v>333</v>
      </c>
      <c r="C130" s="16" t="s">
        <v>443</v>
      </c>
      <c r="D130" s="13" t="s">
        <v>168</v>
      </c>
      <c r="E130" s="13">
        <v>5500</v>
      </c>
      <c r="F130" s="13">
        <v>4928.41</v>
      </c>
      <c r="G130" s="17">
        <f t="shared" si="4"/>
        <v>448.03727272727269</v>
      </c>
      <c r="H130" s="17">
        <f t="shared" si="5"/>
        <v>4480.3727272727274</v>
      </c>
      <c r="I130" s="17">
        <f t="shared" si="6"/>
        <v>1019.6272727272726</v>
      </c>
      <c r="J130" s="18">
        <f t="shared" si="7"/>
        <v>0.22757643946019099</v>
      </c>
      <c r="K130" s="13" t="s">
        <v>18</v>
      </c>
      <c r="L130" s="13"/>
    </row>
    <row r="131" spans="1:12" x14ac:dyDescent="0.25">
      <c r="A131" s="19">
        <v>46197</v>
      </c>
      <c r="B131" s="13" t="s">
        <v>276</v>
      </c>
      <c r="C131" s="16">
        <v>19909756961</v>
      </c>
      <c r="D131" s="13" t="s">
        <v>17</v>
      </c>
      <c r="E131" s="13">
        <v>4025</v>
      </c>
      <c r="F131" s="13">
        <v>3069.44</v>
      </c>
      <c r="G131" s="17">
        <f t="shared" ref="G131:G194" si="8">F131/11</f>
        <v>279.04000000000002</v>
      </c>
      <c r="H131" s="17">
        <f t="shared" ref="H131:H194" si="9">F131-G131</f>
        <v>2790.4</v>
      </c>
      <c r="I131" s="17">
        <f t="shared" ref="I131:I194" si="10">E131-H131</f>
        <v>1234.5999999999999</v>
      </c>
      <c r="J131" s="18">
        <f t="shared" ref="J131:J194" si="11">(E131-H131)/H131</f>
        <v>0.44244552752293576</v>
      </c>
      <c r="K131" s="13" t="s">
        <v>18</v>
      </c>
      <c r="L131" s="13"/>
    </row>
    <row r="132" spans="1:12" x14ac:dyDescent="0.25">
      <c r="A132" s="19">
        <v>46197</v>
      </c>
      <c r="B132" s="13" t="s">
        <v>276</v>
      </c>
      <c r="C132" s="16">
        <v>29992155069</v>
      </c>
      <c r="D132" s="13" t="s">
        <v>17</v>
      </c>
      <c r="E132" s="13">
        <v>4025</v>
      </c>
      <c r="F132" s="13">
        <v>3143.18</v>
      </c>
      <c r="G132" s="17">
        <f t="shared" si="8"/>
        <v>285.74363636363637</v>
      </c>
      <c r="H132" s="17">
        <f t="shared" si="9"/>
        <v>2857.4363636363632</v>
      </c>
      <c r="I132" s="17">
        <f t="shared" si="10"/>
        <v>1167.5636363636368</v>
      </c>
      <c r="J132" s="18">
        <f t="shared" si="11"/>
        <v>0.40860529781940602</v>
      </c>
      <c r="K132" s="13" t="s">
        <v>18</v>
      </c>
      <c r="L132" s="13"/>
    </row>
    <row r="133" spans="1:12" x14ac:dyDescent="0.25">
      <c r="A133" s="19">
        <v>46197</v>
      </c>
      <c r="B133" s="13" t="s">
        <v>276</v>
      </c>
      <c r="C133" s="16">
        <v>41539044468</v>
      </c>
      <c r="D133" s="13" t="s">
        <v>17</v>
      </c>
      <c r="E133" s="13">
        <v>4025</v>
      </c>
      <c r="F133" s="13">
        <v>3069.44</v>
      </c>
      <c r="G133" s="17">
        <f t="shared" si="8"/>
        <v>279.04000000000002</v>
      </c>
      <c r="H133" s="17">
        <f t="shared" si="9"/>
        <v>2790.4</v>
      </c>
      <c r="I133" s="17">
        <f t="shared" si="10"/>
        <v>1234.5999999999999</v>
      </c>
      <c r="J133" s="18">
        <f t="shared" si="11"/>
        <v>0.44244552752293576</v>
      </c>
      <c r="K133" s="13" t="s">
        <v>18</v>
      </c>
      <c r="L133" s="13"/>
    </row>
    <row r="134" spans="1:12" x14ac:dyDescent="0.25">
      <c r="A134" s="19">
        <v>46197</v>
      </c>
      <c r="B134" s="13" t="s">
        <v>276</v>
      </c>
      <c r="C134" s="16">
        <v>51530014796</v>
      </c>
      <c r="D134" s="13" t="s">
        <v>17</v>
      </c>
      <c r="E134" s="13">
        <v>4025</v>
      </c>
      <c r="F134" s="13">
        <v>3069.44</v>
      </c>
      <c r="G134" s="17">
        <f t="shared" si="8"/>
        <v>279.04000000000002</v>
      </c>
      <c r="H134" s="17">
        <f t="shared" si="9"/>
        <v>2790.4</v>
      </c>
      <c r="I134" s="17">
        <f t="shared" si="10"/>
        <v>1234.5999999999999</v>
      </c>
      <c r="J134" s="18">
        <f t="shared" si="11"/>
        <v>0.44244552752293576</v>
      </c>
      <c r="K134" s="13" t="s">
        <v>18</v>
      </c>
      <c r="L134" s="13"/>
    </row>
    <row r="135" spans="1:12" x14ac:dyDescent="0.25">
      <c r="A135" s="19">
        <v>46197</v>
      </c>
      <c r="B135" s="13" t="s">
        <v>276</v>
      </c>
      <c r="C135" s="16">
        <v>51598053499</v>
      </c>
      <c r="D135" s="13" t="s">
        <v>17</v>
      </c>
      <c r="E135" s="13">
        <v>4025</v>
      </c>
      <c r="F135" s="13">
        <v>3143.18</v>
      </c>
      <c r="G135" s="17">
        <f t="shared" si="8"/>
        <v>285.74363636363637</v>
      </c>
      <c r="H135" s="17">
        <f t="shared" si="9"/>
        <v>2857.4363636363632</v>
      </c>
      <c r="I135" s="17">
        <f t="shared" si="10"/>
        <v>1167.5636363636368</v>
      </c>
      <c r="J135" s="18">
        <f t="shared" si="11"/>
        <v>0.40860529781940602</v>
      </c>
      <c r="K135" s="13" t="s">
        <v>18</v>
      </c>
      <c r="L135" s="13"/>
    </row>
    <row r="136" spans="1:12" x14ac:dyDescent="0.25">
      <c r="A136" s="19">
        <v>46197</v>
      </c>
      <c r="B136" s="13" t="s">
        <v>276</v>
      </c>
      <c r="C136" s="16">
        <v>51601063457</v>
      </c>
      <c r="D136" s="13" t="s">
        <v>17</v>
      </c>
      <c r="E136" s="13">
        <v>4025</v>
      </c>
      <c r="F136" s="13">
        <v>3069.44</v>
      </c>
      <c r="G136" s="17">
        <f t="shared" si="8"/>
        <v>279.04000000000002</v>
      </c>
      <c r="H136" s="17">
        <f t="shared" si="9"/>
        <v>2790.4</v>
      </c>
      <c r="I136" s="17">
        <f t="shared" si="10"/>
        <v>1234.5999999999999</v>
      </c>
      <c r="J136" s="18">
        <f t="shared" si="11"/>
        <v>0.44244552752293576</v>
      </c>
      <c r="K136" s="13" t="s">
        <v>18</v>
      </c>
      <c r="L136" s="13"/>
    </row>
    <row r="137" spans="1:12" x14ac:dyDescent="0.25">
      <c r="A137" s="19">
        <v>46197</v>
      </c>
      <c r="B137" s="13" t="s">
        <v>276</v>
      </c>
      <c r="C137" s="16">
        <v>51619076794</v>
      </c>
      <c r="D137" s="13" t="s">
        <v>17</v>
      </c>
      <c r="E137" s="13">
        <v>4025</v>
      </c>
      <c r="F137" s="13">
        <v>3069.44</v>
      </c>
      <c r="G137" s="17">
        <f t="shared" si="8"/>
        <v>279.04000000000002</v>
      </c>
      <c r="H137" s="17">
        <f t="shared" si="9"/>
        <v>2790.4</v>
      </c>
      <c r="I137" s="17">
        <f t="shared" si="10"/>
        <v>1234.5999999999999</v>
      </c>
      <c r="J137" s="18">
        <f t="shared" si="11"/>
        <v>0.44244552752293576</v>
      </c>
      <c r="K137" s="13" t="s">
        <v>18</v>
      </c>
      <c r="L137" s="13"/>
    </row>
    <row r="138" spans="1:12" x14ac:dyDescent="0.25">
      <c r="A138" s="19">
        <v>46197</v>
      </c>
      <c r="B138" s="13" t="s">
        <v>276</v>
      </c>
      <c r="C138" s="16">
        <v>51634069468</v>
      </c>
      <c r="D138" s="13" t="s">
        <v>17</v>
      </c>
      <c r="E138" s="13">
        <v>4025</v>
      </c>
      <c r="F138" s="13">
        <v>3143.18</v>
      </c>
      <c r="G138" s="17">
        <f t="shared" si="8"/>
        <v>285.74363636363637</v>
      </c>
      <c r="H138" s="17">
        <f t="shared" si="9"/>
        <v>2857.4363636363632</v>
      </c>
      <c r="I138" s="17">
        <f t="shared" si="10"/>
        <v>1167.5636363636368</v>
      </c>
      <c r="J138" s="18">
        <f t="shared" si="11"/>
        <v>0.40860529781940602</v>
      </c>
      <c r="K138" s="13" t="s">
        <v>18</v>
      </c>
      <c r="L138" s="13"/>
    </row>
    <row r="139" spans="1:12" x14ac:dyDescent="0.25">
      <c r="A139" s="19">
        <v>46197</v>
      </c>
      <c r="B139" s="13" t="s">
        <v>276</v>
      </c>
      <c r="C139" s="16">
        <v>51680068477</v>
      </c>
      <c r="D139" s="13" t="s">
        <v>17</v>
      </c>
      <c r="E139" s="13">
        <v>4025</v>
      </c>
      <c r="F139" s="13">
        <v>3143.18</v>
      </c>
      <c r="G139" s="17">
        <f t="shared" si="8"/>
        <v>285.74363636363637</v>
      </c>
      <c r="H139" s="17">
        <f t="shared" si="9"/>
        <v>2857.4363636363632</v>
      </c>
      <c r="I139" s="17">
        <f t="shared" si="10"/>
        <v>1167.5636363636368</v>
      </c>
      <c r="J139" s="18">
        <f t="shared" si="11"/>
        <v>0.40860529781940602</v>
      </c>
      <c r="K139" s="13" t="s">
        <v>18</v>
      </c>
      <c r="L139" s="13"/>
    </row>
    <row r="140" spans="1:12" x14ac:dyDescent="0.25">
      <c r="A140" s="19">
        <v>46197</v>
      </c>
      <c r="B140" s="13" t="s">
        <v>276</v>
      </c>
      <c r="C140" s="16">
        <v>61564064403</v>
      </c>
      <c r="D140" s="13" t="s">
        <v>17</v>
      </c>
      <c r="E140" s="13">
        <v>4025</v>
      </c>
      <c r="F140" s="13">
        <v>3069.44</v>
      </c>
      <c r="G140" s="17">
        <f t="shared" si="8"/>
        <v>279.04000000000002</v>
      </c>
      <c r="H140" s="17">
        <f t="shared" si="9"/>
        <v>2790.4</v>
      </c>
      <c r="I140" s="17">
        <f t="shared" si="10"/>
        <v>1234.5999999999999</v>
      </c>
      <c r="J140" s="18">
        <f t="shared" si="11"/>
        <v>0.44244552752293576</v>
      </c>
      <c r="K140" s="13" t="s">
        <v>18</v>
      </c>
      <c r="L140" s="13"/>
    </row>
    <row r="141" spans="1:12" x14ac:dyDescent="0.25">
      <c r="A141" s="19">
        <v>46197</v>
      </c>
      <c r="B141" s="13" t="s">
        <v>276</v>
      </c>
      <c r="C141" s="16">
        <v>61788004432</v>
      </c>
      <c r="D141" s="13" t="s">
        <v>17</v>
      </c>
      <c r="E141" s="13">
        <v>4025</v>
      </c>
      <c r="F141" s="13">
        <v>3143.18</v>
      </c>
      <c r="G141" s="17">
        <f t="shared" si="8"/>
        <v>285.74363636363637</v>
      </c>
      <c r="H141" s="17">
        <f t="shared" si="9"/>
        <v>2857.4363636363632</v>
      </c>
      <c r="I141" s="17">
        <f t="shared" si="10"/>
        <v>1167.5636363636368</v>
      </c>
      <c r="J141" s="18">
        <f t="shared" si="11"/>
        <v>0.40860529781940602</v>
      </c>
      <c r="K141" s="13" t="s">
        <v>18</v>
      </c>
      <c r="L141" s="13"/>
    </row>
    <row r="142" spans="1:12" x14ac:dyDescent="0.25">
      <c r="A142" s="19">
        <v>46197</v>
      </c>
      <c r="B142" s="13" t="s">
        <v>276</v>
      </c>
      <c r="C142" s="16">
        <v>71517009439</v>
      </c>
      <c r="D142" s="13" t="s">
        <v>17</v>
      </c>
      <c r="E142" s="13">
        <v>4025</v>
      </c>
      <c r="F142" s="13">
        <v>3143.18</v>
      </c>
      <c r="G142" s="17">
        <f t="shared" si="8"/>
        <v>285.74363636363637</v>
      </c>
      <c r="H142" s="17">
        <f t="shared" si="9"/>
        <v>2857.4363636363632</v>
      </c>
      <c r="I142" s="17">
        <f t="shared" si="10"/>
        <v>1167.5636363636368</v>
      </c>
      <c r="J142" s="18">
        <f t="shared" si="11"/>
        <v>0.40860529781940602</v>
      </c>
      <c r="K142" s="13" t="s">
        <v>18</v>
      </c>
      <c r="L142" s="13"/>
    </row>
    <row r="143" spans="1:12" x14ac:dyDescent="0.25">
      <c r="A143" s="19">
        <v>46197</v>
      </c>
      <c r="B143" s="13" t="s">
        <v>15</v>
      </c>
      <c r="C143" s="16" t="s">
        <v>444</v>
      </c>
      <c r="D143" s="13" t="s">
        <v>17</v>
      </c>
      <c r="E143" s="13">
        <v>1350</v>
      </c>
      <c r="F143" s="13">
        <v>928.27</v>
      </c>
      <c r="G143" s="17">
        <f t="shared" si="8"/>
        <v>84.38818181818182</v>
      </c>
      <c r="H143" s="17">
        <f t="shared" si="9"/>
        <v>843.88181818181818</v>
      </c>
      <c r="I143" s="17">
        <f t="shared" si="10"/>
        <v>506.11818181818182</v>
      </c>
      <c r="J143" s="18">
        <f t="shared" si="11"/>
        <v>0.59975007271591241</v>
      </c>
      <c r="K143" s="13" t="s">
        <v>18</v>
      </c>
      <c r="L143" s="13"/>
    </row>
    <row r="144" spans="1:12" x14ac:dyDescent="0.25">
      <c r="A144" s="19">
        <v>46198</v>
      </c>
      <c r="B144" s="13" t="s">
        <v>333</v>
      </c>
      <c r="C144" s="16" t="s">
        <v>445</v>
      </c>
      <c r="D144" s="13" t="s">
        <v>168</v>
      </c>
      <c r="E144" s="13">
        <v>5550</v>
      </c>
      <c r="F144" s="13">
        <v>4928.41</v>
      </c>
      <c r="G144" s="17">
        <f t="shared" si="8"/>
        <v>448.03727272727269</v>
      </c>
      <c r="H144" s="17">
        <f t="shared" si="9"/>
        <v>4480.3727272727274</v>
      </c>
      <c r="I144" s="17">
        <f t="shared" si="10"/>
        <v>1069.6272727272726</v>
      </c>
      <c r="J144" s="18">
        <f t="shared" si="11"/>
        <v>0.23873622527346544</v>
      </c>
      <c r="K144" s="13" t="s">
        <v>18</v>
      </c>
      <c r="L144" s="13"/>
    </row>
    <row r="145" spans="1:12" x14ac:dyDescent="0.25">
      <c r="A145" s="19">
        <v>46198</v>
      </c>
      <c r="B145" s="13" t="s">
        <v>333</v>
      </c>
      <c r="C145" s="16" t="s">
        <v>446</v>
      </c>
      <c r="D145" s="13" t="s">
        <v>168</v>
      </c>
      <c r="E145" s="13">
        <v>5550</v>
      </c>
      <c r="F145" s="13">
        <v>4928.41</v>
      </c>
      <c r="G145" s="17">
        <f t="shared" si="8"/>
        <v>448.03727272727269</v>
      </c>
      <c r="H145" s="17">
        <f t="shared" si="9"/>
        <v>4480.3727272727274</v>
      </c>
      <c r="I145" s="17">
        <f t="shared" si="10"/>
        <v>1069.6272727272726</v>
      </c>
      <c r="J145" s="18">
        <f t="shared" si="11"/>
        <v>0.23873622527346544</v>
      </c>
      <c r="K145" s="13" t="s">
        <v>18</v>
      </c>
      <c r="L145" s="13"/>
    </row>
    <row r="146" spans="1:12" x14ac:dyDescent="0.25">
      <c r="A146" s="19">
        <v>46198</v>
      </c>
      <c r="B146" s="13" t="s">
        <v>333</v>
      </c>
      <c r="C146" s="16" t="s">
        <v>447</v>
      </c>
      <c r="D146" s="13" t="s">
        <v>168</v>
      </c>
      <c r="E146" s="13">
        <v>5550</v>
      </c>
      <c r="F146" s="13">
        <v>4928.41</v>
      </c>
      <c r="G146" s="17">
        <f t="shared" si="8"/>
        <v>448.03727272727269</v>
      </c>
      <c r="H146" s="17">
        <f t="shared" si="9"/>
        <v>4480.3727272727274</v>
      </c>
      <c r="I146" s="17">
        <f t="shared" si="10"/>
        <v>1069.6272727272726</v>
      </c>
      <c r="J146" s="18">
        <f t="shared" si="11"/>
        <v>0.23873622527346544</v>
      </c>
      <c r="K146" s="13" t="s">
        <v>18</v>
      </c>
      <c r="L146" s="13"/>
    </row>
    <row r="147" spans="1:12" x14ac:dyDescent="0.25">
      <c r="A147" s="19">
        <v>46198</v>
      </c>
      <c r="B147" s="13" t="s">
        <v>333</v>
      </c>
      <c r="C147" s="16" t="s">
        <v>448</v>
      </c>
      <c r="D147" s="13" t="s">
        <v>168</v>
      </c>
      <c r="E147" s="13">
        <v>5550</v>
      </c>
      <c r="F147" s="13">
        <v>4928.41</v>
      </c>
      <c r="G147" s="17">
        <f t="shared" si="8"/>
        <v>448.03727272727269</v>
      </c>
      <c r="H147" s="17">
        <f t="shared" si="9"/>
        <v>4480.3727272727274</v>
      </c>
      <c r="I147" s="17">
        <f t="shared" si="10"/>
        <v>1069.6272727272726</v>
      </c>
      <c r="J147" s="18">
        <f t="shared" si="11"/>
        <v>0.23873622527346544</v>
      </c>
      <c r="K147" s="13" t="s">
        <v>18</v>
      </c>
      <c r="L147" s="13"/>
    </row>
    <row r="148" spans="1:12" x14ac:dyDescent="0.25">
      <c r="A148" s="19">
        <v>46198</v>
      </c>
      <c r="B148" s="13" t="s">
        <v>333</v>
      </c>
      <c r="C148" s="16" t="s">
        <v>449</v>
      </c>
      <c r="D148" s="13" t="s">
        <v>168</v>
      </c>
      <c r="E148" s="13">
        <v>5550</v>
      </c>
      <c r="F148" s="13">
        <v>4928.41</v>
      </c>
      <c r="G148" s="17">
        <f t="shared" si="8"/>
        <v>448.03727272727269</v>
      </c>
      <c r="H148" s="17">
        <f t="shared" si="9"/>
        <v>4480.3727272727274</v>
      </c>
      <c r="I148" s="17">
        <f t="shared" si="10"/>
        <v>1069.6272727272726</v>
      </c>
      <c r="J148" s="18">
        <f t="shared" si="11"/>
        <v>0.23873622527346544</v>
      </c>
      <c r="K148" s="13" t="s">
        <v>18</v>
      </c>
      <c r="L148" s="13"/>
    </row>
    <row r="149" spans="1:12" x14ac:dyDescent="0.25">
      <c r="A149" s="19">
        <v>46200</v>
      </c>
      <c r="B149" s="13" t="s">
        <v>333</v>
      </c>
      <c r="C149" s="16" t="s">
        <v>490</v>
      </c>
      <c r="D149" s="13" t="s">
        <v>168</v>
      </c>
      <c r="E149" s="13">
        <v>5550</v>
      </c>
      <c r="F149" s="13">
        <v>4926.7</v>
      </c>
      <c r="G149" s="17">
        <f t="shared" si="8"/>
        <v>447.88181818181818</v>
      </c>
      <c r="H149" s="17">
        <f t="shared" si="9"/>
        <v>4478.818181818182</v>
      </c>
      <c r="I149" s="17">
        <f t="shared" si="10"/>
        <v>1071.181818181818</v>
      </c>
      <c r="J149" s="18">
        <f t="shared" si="11"/>
        <v>0.23916617614224528</v>
      </c>
      <c r="K149" s="13" t="s">
        <v>18</v>
      </c>
      <c r="L149" s="13"/>
    </row>
    <row r="150" spans="1:12" x14ac:dyDescent="0.25">
      <c r="A150" s="19">
        <v>46200</v>
      </c>
      <c r="B150" s="13" t="s">
        <v>333</v>
      </c>
      <c r="C150" s="16" t="s">
        <v>491</v>
      </c>
      <c r="D150" s="13" t="s">
        <v>168</v>
      </c>
      <c r="E150" s="13">
        <v>5550</v>
      </c>
      <c r="F150" s="13">
        <v>4926.7</v>
      </c>
      <c r="G150" s="17">
        <f t="shared" si="8"/>
        <v>447.88181818181818</v>
      </c>
      <c r="H150" s="17">
        <f t="shared" si="9"/>
        <v>4478.818181818182</v>
      </c>
      <c r="I150" s="17">
        <f t="shared" si="10"/>
        <v>1071.181818181818</v>
      </c>
      <c r="J150" s="18">
        <f t="shared" si="11"/>
        <v>0.23916617614224528</v>
      </c>
      <c r="K150" s="13" t="s">
        <v>18</v>
      </c>
      <c r="L150" s="13"/>
    </row>
    <row r="151" spans="1:12" x14ac:dyDescent="0.25">
      <c r="A151" s="19">
        <v>46200</v>
      </c>
      <c r="B151" s="13" t="s">
        <v>333</v>
      </c>
      <c r="C151" s="16" t="s">
        <v>492</v>
      </c>
      <c r="D151" s="13" t="s">
        <v>168</v>
      </c>
      <c r="E151" s="13">
        <v>5550</v>
      </c>
      <c r="F151" s="13">
        <v>4926.7</v>
      </c>
      <c r="G151" s="17">
        <f t="shared" si="8"/>
        <v>447.88181818181818</v>
      </c>
      <c r="H151" s="17">
        <f t="shared" si="9"/>
        <v>4478.818181818182</v>
      </c>
      <c r="I151" s="17">
        <f t="shared" si="10"/>
        <v>1071.181818181818</v>
      </c>
      <c r="J151" s="18">
        <f t="shared" si="11"/>
        <v>0.23916617614224528</v>
      </c>
      <c r="K151" s="13" t="s">
        <v>18</v>
      </c>
      <c r="L151" s="13"/>
    </row>
    <row r="152" spans="1:12" x14ac:dyDescent="0.25">
      <c r="A152" s="19">
        <v>46200</v>
      </c>
      <c r="B152" s="13" t="s">
        <v>333</v>
      </c>
      <c r="C152" s="16" t="s">
        <v>493</v>
      </c>
      <c r="D152" s="13" t="s">
        <v>168</v>
      </c>
      <c r="E152" s="13">
        <v>5700</v>
      </c>
      <c r="F152" s="13">
        <v>4926.7</v>
      </c>
      <c r="G152" s="17">
        <f t="shared" si="8"/>
        <v>447.88181818181818</v>
      </c>
      <c r="H152" s="17">
        <f t="shared" si="9"/>
        <v>4478.818181818182</v>
      </c>
      <c r="I152" s="17">
        <f t="shared" si="10"/>
        <v>1221.181818181818</v>
      </c>
      <c r="J152" s="18">
        <f t="shared" si="11"/>
        <v>0.27265715387581946</v>
      </c>
      <c r="K152" s="13" t="s">
        <v>18</v>
      </c>
      <c r="L152" s="13"/>
    </row>
    <row r="153" spans="1:12" x14ac:dyDescent="0.25">
      <c r="A153" s="19">
        <v>46200</v>
      </c>
      <c r="B153" s="13" t="s">
        <v>333</v>
      </c>
      <c r="C153" s="16" t="s">
        <v>494</v>
      </c>
      <c r="D153" s="13" t="s">
        <v>168</v>
      </c>
      <c r="E153" s="13">
        <v>5550</v>
      </c>
      <c r="F153" s="13">
        <v>4856.32</v>
      </c>
      <c r="G153" s="17">
        <f t="shared" si="8"/>
        <v>441.48363636363632</v>
      </c>
      <c r="H153" s="17">
        <f t="shared" si="9"/>
        <v>4414.8363636363638</v>
      </c>
      <c r="I153" s="17">
        <f t="shared" si="10"/>
        <v>1135.1636363636362</v>
      </c>
      <c r="J153" s="18">
        <f t="shared" si="11"/>
        <v>0.25712473642593564</v>
      </c>
      <c r="K153" s="13" t="s">
        <v>18</v>
      </c>
      <c r="L153" s="13"/>
    </row>
    <row r="154" spans="1:12" x14ac:dyDescent="0.25">
      <c r="A154" s="19">
        <v>46200</v>
      </c>
      <c r="B154" s="13" t="s">
        <v>333</v>
      </c>
      <c r="C154" s="16" t="s">
        <v>495</v>
      </c>
      <c r="D154" s="13" t="s">
        <v>168</v>
      </c>
      <c r="E154" s="13">
        <v>5550</v>
      </c>
      <c r="F154" s="13">
        <v>4928.41</v>
      </c>
      <c r="G154" s="17">
        <f t="shared" si="8"/>
        <v>448.03727272727269</v>
      </c>
      <c r="H154" s="17">
        <f t="shared" si="9"/>
        <v>4480.3727272727274</v>
      </c>
      <c r="I154" s="17">
        <f t="shared" si="10"/>
        <v>1069.6272727272726</v>
      </c>
      <c r="J154" s="18">
        <f t="shared" si="11"/>
        <v>0.23873622527346544</v>
      </c>
      <c r="K154" s="13" t="s">
        <v>18</v>
      </c>
      <c r="L154" s="13"/>
    </row>
    <row r="155" spans="1:12" x14ac:dyDescent="0.25">
      <c r="A155" s="19">
        <v>46200</v>
      </c>
      <c r="B155" s="13" t="s">
        <v>333</v>
      </c>
      <c r="C155" s="16" t="s">
        <v>496</v>
      </c>
      <c r="D155" s="13" t="s">
        <v>335</v>
      </c>
      <c r="E155" s="13">
        <v>5575</v>
      </c>
      <c r="F155" s="13">
        <v>4856.32</v>
      </c>
      <c r="G155" s="17">
        <f t="shared" si="8"/>
        <v>441.48363636363632</v>
      </c>
      <c r="H155" s="17">
        <f t="shared" si="9"/>
        <v>4414.8363636363638</v>
      </c>
      <c r="I155" s="17">
        <f t="shared" si="10"/>
        <v>1160.1636363636362</v>
      </c>
      <c r="J155" s="18">
        <f t="shared" si="11"/>
        <v>0.26278746046389029</v>
      </c>
      <c r="K155" s="13" t="s">
        <v>18</v>
      </c>
      <c r="L155" s="13"/>
    </row>
    <row r="156" spans="1:12" x14ac:dyDescent="0.25">
      <c r="A156" s="19">
        <v>46200</v>
      </c>
      <c r="B156" s="13" t="s">
        <v>333</v>
      </c>
      <c r="C156" s="16" t="s">
        <v>497</v>
      </c>
      <c r="D156" s="13" t="s">
        <v>168</v>
      </c>
      <c r="E156" s="13">
        <v>5550</v>
      </c>
      <c r="F156" s="13">
        <v>4856.32</v>
      </c>
      <c r="G156" s="17">
        <f t="shared" si="8"/>
        <v>441.48363636363632</v>
      </c>
      <c r="H156" s="17">
        <f t="shared" si="9"/>
        <v>4414.8363636363638</v>
      </c>
      <c r="I156" s="17">
        <f t="shared" si="10"/>
        <v>1135.1636363636362</v>
      </c>
      <c r="J156" s="18">
        <f t="shared" si="11"/>
        <v>0.25712473642593564</v>
      </c>
      <c r="K156" s="13" t="s">
        <v>18</v>
      </c>
      <c r="L156" s="13"/>
    </row>
    <row r="157" spans="1:12" x14ac:dyDescent="0.25">
      <c r="A157" s="19">
        <v>46200</v>
      </c>
      <c r="B157" s="13" t="s">
        <v>333</v>
      </c>
      <c r="C157" s="16" t="s">
        <v>498</v>
      </c>
      <c r="D157" s="13" t="s">
        <v>168</v>
      </c>
      <c r="E157" s="13">
        <v>5550</v>
      </c>
      <c r="F157" s="13">
        <v>4926.7</v>
      </c>
      <c r="G157" s="17">
        <f t="shared" si="8"/>
        <v>447.88181818181818</v>
      </c>
      <c r="H157" s="17">
        <f t="shared" si="9"/>
        <v>4478.818181818182</v>
      </c>
      <c r="I157" s="17">
        <f t="shared" si="10"/>
        <v>1071.181818181818</v>
      </c>
      <c r="J157" s="18">
        <f t="shared" si="11"/>
        <v>0.23916617614224528</v>
      </c>
      <c r="K157" s="13" t="s">
        <v>18</v>
      </c>
      <c r="L157" s="13"/>
    </row>
    <row r="158" spans="1:12" x14ac:dyDescent="0.25">
      <c r="A158" s="19">
        <v>46200</v>
      </c>
      <c r="B158" s="13" t="s">
        <v>333</v>
      </c>
      <c r="C158" s="16" t="s">
        <v>499</v>
      </c>
      <c r="D158" s="13" t="s">
        <v>168</v>
      </c>
      <c r="E158" s="13">
        <v>5550</v>
      </c>
      <c r="F158" s="13">
        <v>4928.41</v>
      </c>
      <c r="G158" s="17">
        <f t="shared" si="8"/>
        <v>448.03727272727269</v>
      </c>
      <c r="H158" s="17">
        <f t="shared" si="9"/>
        <v>4480.3727272727274</v>
      </c>
      <c r="I158" s="17">
        <f t="shared" si="10"/>
        <v>1069.6272727272726</v>
      </c>
      <c r="J158" s="18">
        <f t="shared" si="11"/>
        <v>0.23873622527346544</v>
      </c>
      <c r="K158" s="13" t="s">
        <v>18</v>
      </c>
      <c r="L158" s="13"/>
    </row>
    <row r="159" spans="1:12" x14ac:dyDescent="0.25">
      <c r="A159" s="19">
        <v>46200</v>
      </c>
      <c r="B159" s="13" t="s">
        <v>333</v>
      </c>
      <c r="C159" s="16" t="s">
        <v>500</v>
      </c>
      <c r="D159" s="13" t="s">
        <v>168</v>
      </c>
      <c r="E159" s="13">
        <v>5550</v>
      </c>
      <c r="F159" s="13">
        <v>4928.41</v>
      </c>
      <c r="G159" s="17">
        <f t="shared" si="8"/>
        <v>448.03727272727269</v>
      </c>
      <c r="H159" s="17">
        <f t="shared" si="9"/>
        <v>4480.3727272727274</v>
      </c>
      <c r="I159" s="17">
        <f t="shared" si="10"/>
        <v>1069.6272727272726</v>
      </c>
      <c r="J159" s="18">
        <f t="shared" si="11"/>
        <v>0.23873622527346544</v>
      </c>
      <c r="K159" s="13" t="s">
        <v>18</v>
      </c>
      <c r="L159" s="13"/>
    </row>
    <row r="160" spans="1:12" x14ac:dyDescent="0.25">
      <c r="A160" s="19">
        <v>46200</v>
      </c>
      <c r="B160" s="13" t="s">
        <v>333</v>
      </c>
      <c r="C160" s="16" t="s">
        <v>501</v>
      </c>
      <c r="D160" s="13" t="s">
        <v>168</v>
      </c>
      <c r="E160" s="13">
        <v>5550</v>
      </c>
      <c r="F160" s="13">
        <v>4926.7</v>
      </c>
      <c r="G160" s="17">
        <f t="shared" si="8"/>
        <v>447.88181818181818</v>
      </c>
      <c r="H160" s="17">
        <f t="shared" si="9"/>
        <v>4478.818181818182</v>
      </c>
      <c r="I160" s="17">
        <f t="shared" si="10"/>
        <v>1071.181818181818</v>
      </c>
      <c r="J160" s="18">
        <f t="shared" si="11"/>
        <v>0.23916617614224528</v>
      </c>
      <c r="K160" s="13" t="s">
        <v>18</v>
      </c>
      <c r="L160" s="13"/>
    </row>
    <row r="161" spans="1:12" x14ac:dyDescent="0.25">
      <c r="A161" s="19">
        <v>46200</v>
      </c>
      <c r="B161" s="13" t="s">
        <v>333</v>
      </c>
      <c r="C161" s="16" t="s">
        <v>502</v>
      </c>
      <c r="D161" s="13" t="s">
        <v>168</v>
      </c>
      <c r="E161" s="13">
        <v>5740</v>
      </c>
      <c r="F161" s="13">
        <v>4926.7</v>
      </c>
      <c r="G161" s="17">
        <f t="shared" si="8"/>
        <v>447.88181818181818</v>
      </c>
      <c r="H161" s="17">
        <f t="shared" si="9"/>
        <v>4478.818181818182</v>
      </c>
      <c r="I161" s="17">
        <f t="shared" si="10"/>
        <v>1261.181818181818</v>
      </c>
      <c r="J161" s="18">
        <f t="shared" si="11"/>
        <v>0.28158808127143925</v>
      </c>
      <c r="K161" s="13" t="s">
        <v>18</v>
      </c>
      <c r="L161" s="13"/>
    </row>
    <row r="162" spans="1:12" x14ac:dyDescent="0.25">
      <c r="A162" s="19">
        <v>46200</v>
      </c>
      <c r="B162" s="13" t="s">
        <v>333</v>
      </c>
      <c r="C162" s="16" t="s">
        <v>503</v>
      </c>
      <c r="D162" s="13" t="s">
        <v>168</v>
      </c>
      <c r="E162" s="13">
        <v>5550</v>
      </c>
      <c r="F162" s="13">
        <v>4856.32</v>
      </c>
      <c r="G162" s="17">
        <f t="shared" si="8"/>
        <v>441.48363636363632</v>
      </c>
      <c r="H162" s="17">
        <f t="shared" si="9"/>
        <v>4414.8363636363638</v>
      </c>
      <c r="I162" s="17">
        <f t="shared" si="10"/>
        <v>1135.1636363636362</v>
      </c>
      <c r="J162" s="18">
        <f t="shared" si="11"/>
        <v>0.25712473642593564</v>
      </c>
      <c r="K162" s="13" t="s">
        <v>18</v>
      </c>
      <c r="L162" s="13"/>
    </row>
    <row r="163" spans="1:12" x14ac:dyDescent="0.25">
      <c r="A163" s="19">
        <v>46200</v>
      </c>
      <c r="B163" s="13" t="s">
        <v>333</v>
      </c>
      <c r="C163" s="16" t="s">
        <v>504</v>
      </c>
      <c r="D163" s="13" t="s">
        <v>168</v>
      </c>
      <c r="E163" s="13">
        <v>5550</v>
      </c>
      <c r="F163" s="13">
        <v>5014.1400000000003</v>
      </c>
      <c r="G163" s="17">
        <f t="shared" si="8"/>
        <v>455.83090909090913</v>
      </c>
      <c r="H163" s="17">
        <f t="shared" si="9"/>
        <v>4558.3090909090915</v>
      </c>
      <c r="I163" s="17">
        <f t="shared" si="10"/>
        <v>991.69090909090846</v>
      </c>
      <c r="J163" s="18">
        <f t="shared" si="11"/>
        <v>0.21755674951237883</v>
      </c>
      <c r="K163" s="13" t="s">
        <v>18</v>
      </c>
      <c r="L163" s="13"/>
    </row>
    <row r="164" spans="1:12" x14ac:dyDescent="0.25">
      <c r="A164" s="19">
        <v>46200</v>
      </c>
      <c r="B164" s="13" t="s">
        <v>333</v>
      </c>
      <c r="C164" s="16" t="s">
        <v>505</v>
      </c>
      <c r="D164" s="13" t="s">
        <v>168</v>
      </c>
      <c r="E164" s="13">
        <v>5740</v>
      </c>
      <c r="F164" s="13">
        <v>4926.7</v>
      </c>
      <c r="G164" s="17">
        <f t="shared" si="8"/>
        <v>447.88181818181818</v>
      </c>
      <c r="H164" s="17">
        <f t="shared" si="9"/>
        <v>4478.818181818182</v>
      </c>
      <c r="I164" s="17">
        <f t="shared" si="10"/>
        <v>1261.181818181818</v>
      </c>
      <c r="J164" s="18">
        <f t="shared" si="11"/>
        <v>0.28158808127143925</v>
      </c>
      <c r="K164" s="13" t="s">
        <v>18</v>
      </c>
      <c r="L164" s="13"/>
    </row>
    <row r="165" spans="1:12" x14ac:dyDescent="0.25">
      <c r="A165" s="19">
        <v>46200</v>
      </c>
      <c r="B165" s="13" t="s">
        <v>333</v>
      </c>
      <c r="C165" s="16" t="s">
        <v>506</v>
      </c>
      <c r="D165" s="13" t="s">
        <v>168</v>
      </c>
      <c r="E165" s="13">
        <v>5550</v>
      </c>
      <c r="F165" s="13">
        <v>5014.1400000000003</v>
      </c>
      <c r="G165" s="17">
        <f t="shared" si="8"/>
        <v>455.83090909090913</v>
      </c>
      <c r="H165" s="17">
        <f t="shared" si="9"/>
        <v>4558.3090909090915</v>
      </c>
      <c r="I165" s="17">
        <f t="shared" si="10"/>
        <v>991.69090909090846</v>
      </c>
      <c r="J165" s="18">
        <f t="shared" si="11"/>
        <v>0.21755674951237883</v>
      </c>
      <c r="K165" s="13" t="s">
        <v>18</v>
      </c>
      <c r="L165" s="13"/>
    </row>
    <row r="166" spans="1:12" x14ac:dyDescent="0.25">
      <c r="A166" s="19">
        <v>46200</v>
      </c>
      <c r="B166" s="13" t="s">
        <v>333</v>
      </c>
      <c r="C166" s="16" t="s">
        <v>507</v>
      </c>
      <c r="D166" s="13" t="s">
        <v>168</v>
      </c>
      <c r="E166" s="13">
        <v>5550</v>
      </c>
      <c r="F166" s="13">
        <v>5014.1400000000003</v>
      </c>
      <c r="G166" s="17">
        <f t="shared" si="8"/>
        <v>455.83090909090913</v>
      </c>
      <c r="H166" s="17">
        <f t="shared" si="9"/>
        <v>4558.3090909090915</v>
      </c>
      <c r="I166" s="17">
        <f t="shared" si="10"/>
        <v>991.69090909090846</v>
      </c>
      <c r="J166" s="18">
        <f t="shared" si="11"/>
        <v>0.21755674951237883</v>
      </c>
      <c r="K166" s="13" t="s">
        <v>18</v>
      </c>
      <c r="L166" s="13"/>
    </row>
    <row r="167" spans="1:12" x14ac:dyDescent="0.25">
      <c r="A167" s="19">
        <v>46200</v>
      </c>
      <c r="B167" s="13" t="s">
        <v>333</v>
      </c>
      <c r="C167" s="16" t="s">
        <v>508</v>
      </c>
      <c r="D167" s="13" t="s">
        <v>168</v>
      </c>
      <c r="E167" s="13">
        <v>5550</v>
      </c>
      <c r="F167" s="13">
        <v>5014.1400000000003</v>
      </c>
      <c r="G167" s="17">
        <f t="shared" si="8"/>
        <v>455.83090909090913</v>
      </c>
      <c r="H167" s="17">
        <f t="shared" si="9"/>
        <v>4558.3090909090915</v>
      </c>
      <c r="I167" s="17">
        <f t="shared" si="10"/>
        <v>991.69090909090846</v>
      </c>
      <c r="J167" s="18">
        <f t="shared" si="11"/>
        <v>0.21755674951237883</v>
      </c>
      <c r="K167" s="13" t="s">
        <v>18</v>
      </c>
      <c r="L167" s="13"/>
    </row>
    <row r="168" spans="1:12" x14ac:dyDescent="0.25">
      <c r="A168" s="19">
        <v>46200</v>
      </c>
      <c r="B168" s="13" t="s">
        <v>333</v>
      </c>
      <c r="C168" s="16" t="s">
        <v>509</v>
      </c>
      <c r="D168" s="13" t="s">
        <v>335</v>
      </c>
      <c r="E168" s="13">
        <v>5550</v>
      </c>
      <c r="F168" s="13">
        <v>4856.32</v>
      </c>
      <c r="G168" s="17">
        <f t="shared" si="8"/>
        <v>441.48363636363632</v>
      </c>
      <c r="H168" s="17">
        <f t="shared" si="9"/>
        <v>4414.8363636363638</v>
      </c>
      <c r="I168" s="17">
        <f t="shared" si="10"/>
        <v>1135.1636363636362</v>
      </c>
      <c r="J168" s="18">
        <f t="shared" si="11"/>
        <v>0.25712473642593564</v>
      </c>
      <c r="K168" s="13" t="s">
        <v>18</v>
      </c>
      <c r="L168" s="13"/>
    </row>
    <row r="169" spans="1:12" x14ac:dyDescent="0.25">
      <c r="A169" s="19">
        <v>46200</v>
      </c>
      <c r="B169" s="13" t="s">
        <v>333</v>
      </c>
      <c r="C169" s="16" t="s">
        <v>510</v>
      </c>
      <c r="D169" s="13" t="s">
        <v>168</v>
      </c>
      <c r="E169" s="13">
        <v>5550</v>
      </c>
      <c r="F169" s="13">
        <v>4928.41</v>
      </c>
      <c r="G169" s="17">
        <f t="shared" si="8"/>
        <v>448.03727272727269</v>
      </c>
      <c r="H169" s="17">
        <f t="shared" si="9"/>
        <v>4480.3727272727274</v>
      </c>
      <c r="I169" s="17">
        <f t="shared" si="10"/>
        <v>1069.6272727272726</v>
      </c>
      <c r="J169" s="18">
        <f t="shared" si="11"/>
        <v>0.23873622527346544</v>
      </c>
      <c r="K169" s="13" t="s">
        <v>18</v>
      </c>
      <c r="L169" s="13"/>
    </row>
    <row r="170" spans="1:12" x14ac:dyDescent="0.25">
      <c r="A170" s="19">
        <v>46200</v>
      </c>
      <c r="B170" s="13" t="s">
        <v>333</v>
      </c>
      <c r="C170" s="16" t="s">
        <v>511</v>
      </c>
      <c r="D170" s="13" t="s">
        <v>168</v>
      </c>
      <c r="E170" s="13">
        <v>5550</v>
      </c>
      <c r="F170" s="13">
        <v>4928.41</v>
      </c>
      <c r="G170" s="17">
        <f t="shared" si="8"/>
        <v>448.03727272727269</v>
      </c>
      <c r="H170" s="17">
        <f t="shared" si="9"/>
        <v>4480.3727272727274</v>
      </c>
      <c r="I170" s="17">
        <f t="shared" si="10"/>
        <v>1069.6272727272726</v>
      </c>
      <c r="J170" s="18">
        <f t="shared" si="11"/>
        <v>0.23873622527346544</v>
      </c>
      <c r="K170" s="13" t="s">
        <v>18</v>
      </c>
      <c r="L170" s="13"/>
    </row>
    <row r="171" spans="1:12" x14ac:dyDescent="0.25">
      <c r="A171" s="19">
        <v>46200</v>
      </c>
      <c r="B171" s="13" t="s">
        <v>333</v>
      </c>
      <c r="C171" s="16" t="s">
        <v>512</v>
      </c>
      <c r="D171" s="13" t="s">
        <v>168</v>
      </c>
      <c r="E171" s="13">
        <v>5550</v>
      </c>
      <c r="F171" s="13">
        <v>4856.32</v>
      </c>
      <c r="G171" s="17">
        <f t="shared" si="8"/>
        <v>441.48363636363632</v>
      </c>
      <c r="H171" s="17">
        <f t="shared" si="9"/>
        <v>4414.8363636363638</v>
      </c>
      <c r="I171" s="17">
        <f t="shared" si="10"/>
        <v>1135.1636363636362</v>
      </c>
      <c r="J171" s="18">
        <f t="shared" si="11"/>
        <v>0.25712473642593564</v>
      </c>
      <c r="K171" s="13" t="s">
        <v>18</v>
      </c>
      <c r="L171" s="13"/>
    </row>
    <row r="172" spans="1:12" x14ac:dyDescent="0.25">
      <c r="A172" s="19">
        <v>46200</v>
      </c>
      <c r="B172" s="13" t="s">
        <v>333</v>
      </c>
      <c r="C172" s="16" t="s">
        <v>513</v>
      </c>
      <c r="D172" s="13" t="s">
        <v>168</v>
      </c>
      <c r="E172" s="13">
        <v>5550</v>
      </c>
      <c r="F172" s="13">
        <v>4928.41</v>
      </c>
      <c r="G172" s="17">
        <f t="shared" si="8"/>
        <v>448.03727272727269</v>
      </c>
      <c r="H172" s="17">
        <f t="shared" si="9"/>
        <v>4480.3727272727274</v>
      </c>
      <c r="I172" s="17">
        <f t="shared" si="10"/>
        <v>1069.6272727272726</v>
      </c>
      <c r="J172" s="18">
        <f t="shared" si="11"/>
        <v>0.23873622527346544</v>
      </c>
      <c r="K172" s="13" t="s">
        <v>18</v>
      </c>
      <c r="L172" s="13"/>
    </row>
    <row r="173" spans="1:12" x14ac:dyDescent="0.25">
      <c r="A173" s="19">
        <v>46200</v>
      </c>
      <c r="B173" s="13" t="s">
        <v>333</v>
      </c>
      <c r="C173" s="16" t="s">
        <v>514</v>
      </c>
      <c r="D173" s="13" t="s">
        <v>168</v>
      </c>
      <c r="E173" s="13">
        <v>5740</v>
      </c>
      <c r="F173" s="13">
        <v>4926.7</v>
      </c>
      <c r="G173" s="17">
        <f t="shared" si="8"/>
        <v>447.88181818181818</v>
      </c>
      <c r="H173" s="17">
        <f t="shared" si="9"/>
        <v>4478.818181818182</v>
      </c>
      <c r="I173" s="17">
        <f t="shared" si="10"/>
        <v>1261.181818181818</v>
      </c>
      <c r="J173" s="18">
        <f t="shared" si="11"/>
        <v>0.28158808127143925</v>
      </c>
      <c r="K173" s="13" t="s">
        <v>18</v>
      </c>
      <c r="L173" s="13"/>
    </row>
    <row r="174" spans="1:12" x14ac:dyDescent="0.25">
      <c r="A174" s="19">
        <v>46200</v>
      </c>
      <c r="B174" s="13" t="s">
        <v>333</v>
      </c>
      <c r="C174" s="16" t="s">
        <v>515</v>
      </c>
      <c r="D174" s="13" t="s">
        <v>168</v>
      </c>
      <c r="E174" s="13">
        <v>5550</v>
      </c>
      <c r="F174" s="13">
        <v>4928.41</v>
      </c>
      <c r="G174" s="17">
        <f t="shared" si="8"/>
        <v>448.03727272727269</v>
      </c>
      <c r="H174" s="17">
        <f t="shared" si="9"/>
        <v>4480.3727272727274</v>
      </c>
      <c r="I174" s="17">
        <f t="shared" si="10"/>
        <v>1069.6272727272726</v>
      </c>
      <c r="J174" s="18">
        <f t="shared" si="11"/>
        <v>0.23873622527346544</v>
      </c>
      <c r="K174" s="13" t="s">
        <v>18</v>
      </c>
      <c r="L174" s="13"/>
    </row>
    <row r="175" spans="1:12" x14ac:dyDescent="0.25">
      <c r="A175" s="19">
        <v>46200</v>
      </c>
      <c r="B175" s="13" t="s">
        <v>333</v>
      </c>
      <c r="C175" s="16" t="s">
        <v>516</v>
      </c>
      <c r="D175" s="13" t="s">
        <v>168</v>
      </c>
      <c r="E175" s="13">
        <v>5550</v>
      </c>
      <c r="F175" s="13">
        <v>4926.7</v>
      </c>
      <c r="G175" s="17">
        <f t="shared" si="8"/>
        <v>447.88181818181818</v>
      </c>
      <c r="H175" s="17">
        <f t="shared" si="9"/>
        <v>4478.818181818182</v>
      </c>
      <c r="I175" s="17">
        <f t="shared" si="10"/>
        <v>1071.181818181818</v>
      </c>
      <c r="J175" s="18">
        <f t="shared" si="11"/>
        <v>0.23916617614224528</v>
      </c>
      <c r="K175" s="13" t="s">
        <v>18</v>
      </c>
      <c r="L175" s="13"/>
    </row>
    <row r="176" spans="1:12" x14ac:dyDescent="0.25">
      <c r="A176" s="19">
        <v>46200</v>
      </c>
      <c r="B176" s="13" t="s">
        <v>333</v>
      </c>
      <c r="C176" s="16" t="s">
        <v>517</v>
      </c>
      <c r="D176" s="13" t="s">
        <v>168</v>
      </c>
      <c r="E176" s="13">
        <v>5550</v>
      </c>
      <c r="F176" s="13">
        <v>5373.44</v>
      </c>
      <c r="G176" s="17">
        <f t="shared" si="8"/>
        <v>488.4945454545454</v>
      </c>
      <c r="H176" s="17">
        <f t="shared" si="9"/>
        <v>4884.9454545454546</v>
      </c>
      <c r="I176" s="17">
        <f t="shared" si="10"/>
        <v>665.0545454545454</v>
      </c>
      <c r="J176" s="18">
        <f t="shared" si="11"/>
        <v>0.13614369938065746</v>
      </c>
      <c r="K176" s="13" t="s">
        <v>18</v>
      </c>
      <c r="L176" s="13"/>
    </row>
    <row r="177" spans="1:12" x14ac:dyDescent="0.25">
      <c r="A177" s="19">
        <v>46200</v>
      </c>
      <c r="B177" s="13" t="s">
        <v>333</v>
      </c>
      <c r="C177" s="16" t="s">
        <v>518</v>
      </c>
      <c r="D177" s="13" t="s">
        <v>168</v>
      </c>
      <c r="E177" s="13">
        <v>5550</v>
      </c>
      <c r="F177" s="13">
        <v>4928.41</v>
      </c>
      <c r="G177" s="17">
        <f t="shared" si="8"/>
        <v>448.03727272727269</v>
      </c>
      <c r="H177" s="17">
        <f t="shared" si="9"/>
        <v>4480.3727272727274</v>
      </c>
      <c r="I177" s="17">
        <f t="shared" si="10"/>
        <v>1069.6272727272726</v>
      </c>
      <c r="J177" s="18">
        <f t="shared" si="11"/>
        <v>0.23873622527346544</v>
      </c>
      <c r="K177" s="13" t="s">
        <v>18</v>
      </c>
      <c r="L177" s="13"/>
    </row>
    <row r="178" spans="1:12" x14ac:dyDescent="0.25">
      <c r="A178" s="19">
        <v>46200</v>
      </c>
      <c r="B178" s="13" t="s">
        <v>333</v>
      </c>
      <c r="C178" s="16" t="s">
        <v>519</v>
      </c>
      <c r="D178" s="13" t="s">
        <v>168</v>
      </c>
      <c r="E178" s="13">
        <v>5550</v>
      </c>
      <c r="F178" s="13">
        <v>5014.1400000000003</v>
      </c>
      <c r="G178" s="17">
        <f t="shared" si="8"/>
        <v>455.83090909090913</v>
      </c>
      <c r="H178" s="17">
        <f t="shared" si="9"/>
        <v>4558.3090909090915</v>
      </c>
      <c r="I178" s="17">
        <f t="shared" si="10"/>
        <v>991.69090909090846</v>
      </c>
      <c r="J178" s="18">
        <f t="shared" si="11"/>
        <v>0.21755674951237883</v>
      </c>
      <c r="K178" s="13" t="s">
        <v>18</v>
      </c>
      <c r="L178" s="13"/>
    </row>
    <row r="179" spans="1:12" x14ac:dyDescent="0.25">
      <c r="A179" s="19">
        <v>46200</v>
      </c>
      <c r="B179" s="13" t="s">
        <v>333</v>
      </c>
      <c r="C179" s="16" t="s">
        <v>520</v>
      </c>
      <c r="D179" s="13" t="s">
        <v>168</v>
      </c>
      <c r="E179" s="13">
        <v>5575</v>
      </c>
      <c r="F179" s="13">
        <v>4928.41</v>
      </c>
      <c r="G179" s="17">
        <f t="shared" si="8"/>
        <v>448.03727272727269</v>
      </c>
      <c r="H179" s="17">
        <f t="shared" si="9"/>
        <v>4480.3727272727274</v>
      </c>
      <c r="I179" s="17">
        <f t="shared" si="10"/>
        <v>1094.6272727272726</v>
      </c>
      <c r="J179" s="18">
        <f t="shared" si="11"/>
        <v>0.24431611818010268</v>
      </c>
      <c r="K179" s="13" t="s">
        <v>18</v>
      </c>
      <c r="L179" s="13"/>
    </row>
    <row r="180" spans="1:12" x14ac:dyDescent="0.25">
      <c r="A180" s="19">
        <v>46200</v>
      </c>
      <c r="B180" s="13" t="s">
        <v>333</v>
      </c>
      <c r="C180" s="16" t="s">
        <v>521</v>
      </c>
      <c r="D180" s="13" t="s">
        <v>168</v>
      </c>
      <c r="E180" s="13">
        <v>5550</v>
      </c>
      <c r="F180" s="13">
        <v>4928.41</v>
      </c>
      <c r="G180" s="17">
        <f t="shared" si="8"/>
        <v>448.03727272727269</v>
      </c>
      <c r="H180" s="17">
        <f t="shared" si="9"/>
        <v>4480.3727272727274</v>
      </c>
      <c r="I180" s="17">
        <f t="shared" si="10"/>
        <v>1069.6272727272726</v>
      </c>
      <c r="J180" s="18">
        <f t="shared" si="11"/>
        <v>0.23873622527346544</v>
      </c>
      <c r="K180" s="13" t="s">
        <v>18</v>
      </c>
      <c r="L180" s="13"/>
    </row>
    <row r="181" spans="1:12" x14ac:dyDescent="0.25">
      <c r="A181" s="19">
        <v>46200</v>
      </c>
      <c r="B181" s="13" t="s">
        <v>333</v>
      </c>
      <c r="C181" s="16" t="s">
        <v>522</v>
      </c>
      <c r="D181" s="13" t="s">
        <v>168</v>
      </c>
      <c r="E181" s="13">
        <v>5550</v>
      </c>
      <c r="F181" s="13">
        <v>4928.41</v>
      </c>
      <c r="G181" s="17">
        <f t="shared" si="8"/>
        <v>448.03727272727269</v>
      </c>
      <c r="H181" s="17">
        <f t="shared" si="9"/>
        <v>4480.3727272727274</v>
      </c>
      <c r="I181" s="17">
        <f t="shared" si="10"/>
        <v>1069.6272727272726</v>
      </c>
      <c r="J181" s="18">
        <f t="shared" si="11"/>
        <v>0.23873622527346544</v>
      </c>
      <c r="K181" s="13" t="s">
        <v>18</v>
      </c>
      <c r="L181" s="13"/>
    </row>
    <row r="182" spans="1:12" x14ac:dyDescent="0.25">
      <c r="A182" s="19">
        <v>46200</v>
      </c>
      <c r="B182" s="13" t="s">
        <v>333</v>
      </c>
      <c r="C182" s="16" t="s">
        <v>523</v>
      </c>
      <c r="D182" s="13" t="s">
        <v>168</v>
      </c>
      <c r="E182" s="13">
        <v>5550</v>
      </c>
      <c r="F182" s="13">
        <v>4926.7</v>
      </c>
      <c r="G182" s="17">
        <f t="shared" si="8"/>
        <v>447.88181818181818</v>
      </c>
      <c r="H182" s="17">
        <f t="shared" si="9"/>
        <v>4478.818181818182</v>
      </c>
      <c r="I182" s="17">
        <f t="shared" si="10"/>
        <v>1071.181818181818</v>
      </c>
      <c r="J182" s="18">
        <f t="shared" si="11"/>
        <v>0.23916617614224528</v>
      </c>
      <c r="K182" s="13" t="s">
        <v>18</v>
      </c>
      <c r="L182" s="13"/>
    </row>
    <row r="183" spans="1:12" x14ac:dyDescent="0.25">
      <c r="A183" s="19">
        <v>46200</v>
      </c>
      <c r="B183" s="13" t="s">
        <v>333</v>
      </c>
      <c r="C183" s="16" t="s">
        <v>524</v>
      </c>
      <c r="D183" s="13" t="s">
        <v>335</v>
      </c>
      <c r="E183" s="13">
        <v>5550</v>
      </c>
      <c r="F183" s="13">
        <v>4928.41</v>
      </c>
      <c r="G183" s="17">
        <f t="shared" si="8"/>
        <v>448.03727272727269</v>
      </c>
      <c r="H183" s="17">
        <f t="shared" si="9"/>
        <v>4480.3727272727274</v>
      </c>
      <c r="I183" s="17">
        <f t="shared" si="10"/>
        <v>1069.6272727272726</v>
      </c>
      <c r="J183" s="18">
        <f t="shared" si="11"/>
        <v>0.23873622527346544</v>
      </c>
      <c r="K183" s="13" t="s">
        <v>18</v>
      </c>
      <c r="L183" s="13"/>
    </row>
    <row r="184" spans="1:12" x14ac:dyDescent="0.25">
      <c r="A184" s="19">
        <v>46200</v>
      </c>
      <c r="B184" s="13" t="s">
        <v>333</v>
      </c>
      <c r="C184" s="16" t="s">
        <v>525</v>
      </c>
      <c r="D184" s="13" t="s">
        <v>168</v>
      </c>
      <c r="E184" s="13">
        <v>5550</v>
      </c>
      <c r="F184" s="13">
        <v>4928.41</v>
      </c>
      <c r="G184" s="17">
        <f t="shared" si="8"/>
        <v>448.03727272727269</v>
      </c>
      <c r="H184" s="17">
        <f t="shared" si="9"/>
        <v>4480.3727272727274</v>
      </c>
      <c r="I184" s="17">
        <f t="shared" si="10"/>
        <v>1069.6272727272726</v>
      </c>
      <c r="J184" s="18">
        <f t="shared" si="11"/>
        <v>0.23873622527346544</v>
      </c>
      <c r="K184" s="13" t="s">
        <v>18</v>
      </c>
      <c r="L184" s="13"/>
    </row>
    <row r="185" spans="1:12" x14ac:dyDescent="0.25">
      <c r="A185" s="19">
        <v>46200</v>
      </c>
      <c r="B185" s="13" t="s">
        <v>333</v>
      </c>
      <c r="C185" s="16" t="s">
        <v>526</v>
      </c>
      <c r="D185" s="13" t="s">
        <v>335</v>
      </c>
      <c r="E185" s="13">
        <v>5550</v>
      </c>
      <c r="F185" s="13">
        <v>4928.41</v>
      </c>
      <c r="G185" s="17">
        <f t="shared" si="8"/>
        <v>448.03727272727269</v>
      </c>
      <c r="H185" s="17">
        <f t="shared" si="9"/>
        <v>4480.3727272727274</v>
      </c>
      <c r="I185" s="17">
        <f t="shared" si="10"/>
        <v>1069.6272727272726</v>
      </c>
      <c r="J185" s="18">
        <f t="shared" si="11"/>
        <v>0.23873622527346544</v>
      </c>
      <c r="K185" s="13" t="s">
        <v>18</v>
      </c>
      <c r="L185" s="13"/>
    </row>
    <row r="186" spans="1:12" x14ac:dyDescent="0.25">
      <c r="A186" s="19">
        <v>46200</v>
      </c>
      <c r="B186" s="13" t="s">
        <v>333</v>
      </c>
      <c r="C186" s="16" t="s">
        <v>527</v>
      </c>
      <c r="D186" s="13" t="s">
        <v>168</v>
      </c>
      <c r="E186" s="13">
        <v>5550</v>
      </c>
      <c r="F186" s="13">
        <v>4928.41</v>
      </c>
      <c r="G186" s="17">
        <f t="shared" si="8"/>
        <v>448.03727272727269</v>
      </c>
      <c r="H186" s="17">
        <f t="shared" si="9"/>
        <v>4480.3727272727274</v>
      </c>
      <c r="I186" s="17">
        <f t="shared" si="10"/>
        <v>1069.6272727272726</v>
      </c>
      <c r="J186" s="18">
        <f t="shared" si="11"/>
        <v>0.23873622527346544</v>
      </c>
      <c r="K186" s="13" t="s">
        <v>18</v>
      </c>
      <c r="L186" s="13"/>
    </row>
    <row r="187" spans="1:12" x14ac:dyDescent="0.25">
      <c r="A187" s="19">
        <v>46200</v>
      </c>
      <c r="B187" s="13" t="s">
        <v>333</v>
      </c>
      <c r="C187" s="16" t="s">
        <v>528</v>
      </c>
      <c r="D187" s="13" t="s">
        <v>168</v>
      </c>
      <c r="E187" s="13">
        <v>5700</v>
      </c>
      <c r="F187" s="13">
        <v>4926.7</v>
      </c>
      <c r="G187" s="17">
        <f t="shared" si="8"/>
        <v>447.88181818181818</v>
      </c>
      <c r="H187" s="17">
        <f t="shared" si="9"/>
        <v>4478.818181818182</v>
      </c>
      <c r="I187" s="17">
        <f t="shared" si="10"/>
        <v>1221.181818181818</v>
      </c>
      <c r="J187" s="18">
        <f t="shared" si="11"/>
        <v>0.27265715387581946</v>
      </c>
      <c r="K187" s="13" t="s">
        <v>18</v>
      </c>
      <c r="L187" s="13"/>
    </row>
    <row r="188" spans="1:12" x14ac:dyDescent="0.25">
      <c r="A188" s="19">
        <v>46200</v>
      </c>
      <c r="B188" s="13" t="s">
        <v>333</v>
      </c>
      <c r="C188" s="16" t="s">
        <v>529</v>
      </c>
      <c r="D188" s="13" t="s">
        <v>168</v>
      </c>
      <c r="E188" s="13">
        <v>5550</v>
      </c>
      <c r="F188" s="13">
        <v>4928.41</v>
      </c>
      <c r="G188" s="17">
        <f t="shared" si="8"/>
        <v>448.03727272727269</v>
      </c>
      <c r="H188" s="17">
        <f t="shared" si="9"/>
        <v>4480.3727272727274</v>
      </c>
      <c r="I188" s="17">
        <f t="shared" si="10"/>
        <v>1069.6272727272726</v>
      </c>
      <c r="J188" s="18">
        <f t="shared" si="11"/>
        <v>0.23873622527346544</v>
      </c>
      <c r="K188" s="13" t="s">
        <v>18</v>
      </c>
      <c r="L188" s="13"/>
    </row>
    <row r="189" spans="1:12" x14ac:dyDescent="0.25">
      <c r="A189" s="19">
        <v>46200</v>
      </c>
      <c r="B189" s="13" t="s">
        <v>333</v>
      </c>
      <c r="C189" s="16" t="s">
        <v>530</v>
      </c>
      <c r="D189" s="13" t="s">
        <v>335</v>
      </c>
      <c r="E189" s="13">
        <v>5550</v>
      </c>
      <c r="F189" s="13">
        <v>4856.32</v>
      </c>
      <c r="G189" s="17">
        <f t="shared" si="8"/>
        <v>441.48363636363632</v>
      </c>
      <c r="H189" s="17">
        <f t="shared" si="9"/>
        <v>4414.8363636363638</v>
      </c>
      <c r="I189" s="17">
        <f t="shared" si="10"/>
        <v>1135.1636363636362</v>
      </c>
      <c r="J189" s="18">
        <f t="shared" si="11"/>
        <v>0.25712473642593564</v>
      </c>
      <c r="K189" s="13" t="s">
        <v>18</v>
      </c>
      <c r="L189" s="13"/>
    </row>
    <row r="190" spans="1:12" x14ac:dyDescent="0.25">
      <c r="A190" s="19">
        <v>46200</v>
      </c>
      <c r="B190" s="13" t="s">
        <v>333</v>
      </c>
      <c r="C190" s="16" t="s">
        <v>531</v>
      </c>
      <c r="D190" s="13" t="s">
        <v>168</v>
      </c>
      <c r="E190" s="13">
        <v>5550</v>
      </c>
      <c r="F190" s="13">
        <v>4856.32</v>
      </c>
      <c r="G190" s="17">
        <f t="shared" si="8"/>
        <v>441.48363636363632</v>
      </c>
      <c r="H190" s="17">
        <f t="shared" si="9"/>
        <v>4414.8363636363638</v>
      </c>
      <c r="I190" s="17">
        <f t="shared" si="10"/>
        <v>1135.1636363636362</v>
      </c>
      <c r="J190" s="18">
        <f t="shared" si="11"/>
        <v>0.25712473642593564</v>
      </c>
      <c r="K190" s="13" t="s">
        <v>18</v>
      </c>
      <c r="L190" s="13"/>
    </row>
    <row r="191" spans="1:12" x14ac:dyDescent="0.25">
      <c r="A191" s="19">
        <v>46200</v>
      </c>
      <c r="B191" s="13" t="s">
        <v>15</v>
      </c>
      <c r="C191" s="16" t="s">
        <v>546</v>
      </c>
      <c r="D191" s="13" t="s">
        <v>547</v>
      </c>
      <c r="E191" s="13">
        <v>1400</v>
      </c>
      <c r="F191" s="13">
        <v>1108.27</v>
      </c>
      <c r="G191" s="17">
        <f t="shared" si="8"/>
        <v>100.75181818181818</v>
      </c>
      <c r="H191" s="17">
        <f t="shared" si="9"/>
        <v>1007.5181818181818</v>
      </c>
      <c r="I191" s="17">
        <f t="shared" si="10"/>
        <v>392.4818181818182</v>
      </c>
      <c r="J191" s="18">
        <f t="shared" si="11"/>
        <v>0.38955308724408316</v>
      </c>
      <c r="K191" s="13" t="s">
        <v>18</v>
      </c>
      <c r="L191" s="13"/>
    </row>
    <row r="192" spans="1:12" x14ac:dyDescent="0.25">
      <c r="A192" s="19">
        <v>46200</v>
      </c>
      <c r="B192" s="13" t="s">
        <v>15</v>
      </c>
      <c r="C192" s="16" t="s">
        <v>548</v>
      </c>
      <c r="D192" s="13" t="s">
        <v>547</v>
      </c>
      <c r="E192" s="13">
        <v>1400</v>
      </c>
      <c r="F192" s="13">
        <v>932.94</v>
      </c>
      <c r="G192" s="17">
        <f t="shared" si="8"/>
        <v>84.812727272727273</v>
      </c>
      <c r="H192" s="17">
        <f t="shared" si="9"/>
        <v>848.12727272727284</v>
      </c>
      <c r="I192" s="17">
        <f t="shared" si="10"/>
        <v>551.87272727272716</v>
      </c>
      <c r="J192" s="18">
        <f t="shared" si="11"/>
        <v>0.65069565030977317</v>
      </c>
      <c r="K192" s="13" t="s">
        <v>18</v>
      </c>
      <c r="L192" s="13"/>
    </row>
    <row r="193" spans="1:12" x14ac:dyDescent="0.25">
      <c r="A193" s="19">
        <v>46200</v>
      </c>
      <c r="B193" s="13" t="s">
        <v>15</v>
      </c>
      <c r="C193" s="16" t="s">
        <v>549</v>
      </c>
      <c r="D193" s="13" t="s">
        <v>547</v>
      </c>
      <c r="E193" s="13">
        <v>1400</v>
      </c>
      <c r="F193" s="13">
        <v>1108.27</v>
      </c>
      <c r="G193" s="17">
        <f t="shared" si="8"/>
        <v>100.75181818181818</v>
      </c>
      <c r="H193" s="17">
        <f t="shared" si="9"/>
        <v>1007.5181818181818</v>
      </c>
      <c r="I193" s="17">
        <f t="shared" si="10"/>
        <v>392.4818181818182</v>
      </c>
      <c r="J193" s="18">
        <f t="shared" si="11"/>
        <v>0.38955308724408316</v>
      </c>
      <c r="K193" s="13" t="s">
        <v>18</v>
      </c>
      <c r="L193" s="13"/>
    </row>
    <row r="194" spans="1:12" x14ac:dyDescent="0.25">
      <c r="A194" s="19">
        <v>46202</v>
      </c>
      <c r="B194" s="13" t="s">
        <v>552</v>
      </c>
      <c r="C194" s="16" t="s">
        <v>553</v>
      </c>
      <c r="D194" s="13" t="s">
        <v>17</v>
      </c>
      <c r="E194" s="13">
        <v>11600</v>
      </c>
      <c r="F194" s="13">
        <v>10527.57</v>
      </c>
      <c r="G194" s="17">
        <f t="shared" si="8"/>
        <v>957.05181818181813</v>
      </c>
      <c r="H194" s="17">
        <f t="shared" si="9"/>
        <v>9570.5181818181809</v>
      </c>
      <c r="I194" s="17">
        <f t="shared" si="10"/>
        <v>2029.4818181818191</v>
      </c>
      <c r="J194" s="18">
        <f t="shared" si="11"/>
        <v>0.21205558357721691</v>
      </c>
      <c r="K194" s="13" t="s">
        <v>18</v>
      </c>
      <c r="L194" s="13"/>
    </row>
    <row r="195" spans="1:12" x14ac:dyDescent="0.25">
      <c r="A195" s="19">
        <v>46202</v>
      </c>
      <c r="B195" s="13" t="s">
        <v>276</v>
      </c>
      <c r="C195" s="16">
        <v>39784450551</v>
      </c>
      <c r="D195" s="13" t="s">
        <v>17</v>
      </c>
      <c r="E195" s="13">
        <v>4175</v>
      </c>
      <c r="F195" s="13">
        <v>3143.18</v>
      </c>
      <c r="G195" s="17">
        <f t="shared" ref="G195:G211" si="12">F195/11</f>
        <v>285.74363636363637</v>
      </c>
      <c r="H195" s="17">
        <f t="shared" ref="H195:H211" si="13">F195-G195</f>
        <v>2857.4363636363632</v>
      </c>
      <c r="I195" s="17">
        <f t="shared" ref="I195:I211" si="14">E195-H195</f>
        <v>1317.5636363636368</v>
      </c>
      <c r="J195" s="18">
        <f t="shared" ref="J195:J211" si="15">(E195-H195)/H195</f>
        <v>0.4610999051915578</v>
      </c>
      <c r="K195" s="13" t="s">
        <v>18</v>
      </c>
      <c r="L195" s="13"/>
    </row>
    <row r="196" spans="1:12" x14ac:dyDescent="0.25">
      <c r="A196" s="19">
        <v>46202</v>
      </c>
      <c r="B196" s="13" t="s">
        <v>145</v>
      </c>
      <c r="C196" s="16" t="s">
        <v>560</v>
      </c>
      <c r="D196" s="13" t="s">
        <v>561</v>
      </c>
      <c r="E196" s="13">
        <v>2150</v>
      </c>
      <c r="F196" s="13">
        <v>1527.53</v>
      </c>
      <c r="G196" s="17">
        <f t="shared" si="12"/>
        <v>138.86636363636364</v>
      </c>
      <c r="H196" s="17">
        <f t="shared" si="13"/>
        <v>1388.6636363636362</v>
      </c>
      <c r="I196" s="17">
        <f t="shared" si="14"/>
        <v>761.33636363636379</v>
      </c>
      <c r="J196" s="18">
        <f t="shared" si="15"/>
        <v>0.54825109817810469</v>
      </c>
      <c r="K196" s="13" t="s">
        <v>18</v>
      </c>
      <c r="L196" s="13"/>
    </row>
    <row r="197" spans="1:12" x14ac:dyDescent="0.25">
      <c r="A197" s="19">
        <v>46202</v>
      </c>
      <c r="B197" s="13" t="s">
        <v>145</v>
      </c>
      <c r="C197" s="16" t="s">
        <v>562</v>
      </c>
      <c r="D197" s="13" t="s">
        <v>561</v>
      </c>
      <c r="E197" s="13">
        <v>2150</v>
      </c>
      <c r="F197" s="13">
        <v>1527.53</v>
      </c>
      <c r="G197" s="17">
        <f t="shared" si="12"/>
        <v>138.86636363636364</v>
      </c>
      <c r="H197" s="17">
        <f t="shared" si="13"/>
        <v>1388.6636363636362</v>
      </c>
      <c r="I197" s="17">
        <f t="shared" si="14"/>
        <v>761.33636363636379</v>
      </c>
      <c r="J197" s="18">
        <f t="shared" si="15"/>
        <v>0.54825109817810469</v>
      </c>
      <c r="K197" s="13" t="s">
        <v>18</v>
      </c>
      <c r="L197" s="13"/>
    </row>
    <row r="198" spans="1:12" x14ac:dyDescent="0.25">
      <c r="A198" s="19">
        <v>46203</v>
      </c>
      <c r="B198" s="13" t="s">
        <v>36</v>
      </c>
      <c r="C198" s="16">
        <v>350651441751316</v>
      </c>
      <c r="D198" s="13" t="s">
        <v>563</v>
      </c>
      <c r="E198" s="13">
        <v>4784.8100000000004</v>
      </c>
      <c r="F198" s="13">
        <v>5144.47</v>
      </c>
      <c r="G198" s="17">
        <f t="shared" si="12"/>
        <v>467.67909090909092</v>
      </c>
      <c r="H198" s="17">
        <f t="shared" si="13"/>
        <v>4676.7909090909097</v>
      </c>
      <c r="I198" s="17">
        <f t="shared" si="14"/>
        <v>108.01909090909066</v>
      </c>
      <c r="J198" s="18">
        <f t="shared" si="15"/>
        <v>2.3096839907706668E-2</v>
      </c>
      <c r="K198" s="13" t="s">
        <v>18</v>
      </c>
      <c r="L198" s="13"/>
    </row>
    <row r="199" spans="1:12" x14ac:dyDescent="0.25">
      <c r="A199" s="19">
        <v>46203</v>
      </c>
      <c r="B199" s="13" t="s">
        <v>276</v>
      </c>
      <c r="C199" s="16">
        <v>19670053861</v>
      </c>
      <c r="D199" s="13" t="s">
        <v>17</v>
      </c>
      <c r="E199" s="13">
        <v>4000</v>
      </c>
      <c r="F199" s="13">
        <v>3115</v>
      </c>
      <c r="G199" s="17">
        <f t="shared" si="12"/>
        <v>283.18181818181819</v>
      </c>
      <c r="H199" s="17">
        <f t="shared" si="13"/>
        <v>2831.818181818182</v>
      </c>
      <c r="I199" s="17">
        <f t="shared" si="14"/>
        <v>1168.181818181818</v>
      </c>
      <c r="J199" s="18">
        <f t="shared" si="15"/>
        <v>0.41252006420545739</v>
      </c>
      <c r="K199" s="13" t="s">
        <v>18</v>
      </c>
      <c r="L199" s="13"/>
    </row>
    <row r="200" spans="1:12" x14ac:dyDescent="0.25">
      <c r="A200" s="19">
        <v>46203</v>
      </c>
      <c r="B200" s="13" t="s">
        <v>276</v>
      </c>
      <c r="C200" s="16">
        <v>29151959754</v>
      </c>
      <c r="D200" s="13" t="s">
        <v>17</v>
      </c>
      <c r="E200" s="13">
        <v>4000</v>
      </c>
      <c r="F200" s="13">
        <v>3115</v>
      </c>
      <c r="G200" s="17">
        <f t="shared" si="12"/>
        <v>283.18181818181819</v>
      </c>
      <c r="H200" s="17">
        <f t="shared" si="13"/>
        <v>2831.818181818182</v>
      </c>
      <c r="I200" s="17">
        <f t="shared" si="14"/>
        <v>1168.181818181818</v>
      </c>
      <c r="J200" s="18">
        <f t="shared" si="15"/>
        <v>0.41252006420545739</v>
      </c>
      <c r="K200" s="13" t="s">
        <v>18</v>
      </c>
      <c r="L200" s="13"/>
    </row>
    <row r="201" spans="1:12" x14ac:dyDescent="0.25">
      <c r="A201" s="19">
        <v>46203</v>
      </c>
      <c r="B201" s="13" t="s">
        <v>276</v>
      </c>
      <c r="C201" s="16">
        <v>29690452568</v>
      </c>
      <c r="D201" s="13" t="s">
        <v>17</v>
      </c>
      <c r="E201" s="13">
        <v>4000</v>
      </c>
      <c r="F201" s="13">
        <v>3115</v>
      </c>
      <c r="G201" s="17">
        <f t="shared" si="12"/>
        <v>283.18181818181819</v>
      </c>
      <c r="H201" s="17">
        <f t="shared" si="13"/>
        <v>2831.818181818182</v>
      </c>
      <c r="I201" s="17">
        <f t="shared" si="14"/>
        <v>1168.181818181818</v>
      </c>
      <c r="J201" s="18">
        <f t="shared" si="15"/>
        <v>0.41252006420545739</v>
      </c>
      <c r="K201" s="13" t="s">
        <v>18</v>
      </c>
      <c r="L201" s="13"/>
    </row>
    <row r="202" spans="1:12" x14ac:dyDescent="0.25">
      <c r="A202" s="19">
        <v>46203</v>
      </c>
      <c r="B202" s="13" t="s">
        <v>276</v>
      </c>
      <c r="C202" s="16">
        <v>41511018445</v>
      </c>
      <c r="D202" s="13" t="s">
        <v>17</v>
      </c>
      <c r="E202" s="13">
        <v>4000</v>
      </c>
      <c r="F202" s="13">
        <v>3115</v>
      </c>
      <c r="G202" s="17">
        <f t="shared" si="12"/>
        <v>283.18181818181819</v>
      </c>
      <c r="H202" s="17">
        <f t="shared" si="13"/>
        <v>2831.818181818182</v>
      </c>
      <c r="I202" s="17">
        <f t="shared" si="14"/>
        <v>1168.181818181818</v>
      </c>
      <c r="J202" s="18">
        <f t="shared" si="15"/>
        <v>0.41252006420545739</v>
      </c>
      <c r="K202" s="13" t="s">
        <v>18</v>
      </c>
      <c r="L202" s="13"/>
    </row>
    <row r="203" spans="1:12" x14ac:dyDescent="0.25">
      <c r="A203" s="19">
        <v>46203</v>
      </c>
      <c r="B203" s="13" t="s">
        <v>276</v>
      </c>
      <c r="C203" s="16">
        <v>41539033418</v>
      </c>
      <c r="D203" s="13" t="s">
        <v>17</v>
      </c>
      <c r="E203" s="13">
        <v>4000</v>
      </c>
      <c r="F203" s="13">
        <v>3115</v>
      </c>
      <c r="G203" s="17">
        <f t="shared" si="12"/>
        <v>283.18181818181819</v>
      </c>
      <c r="H203" s="17">
        <f t="shared" si="13"/>
        <v>2831.818181818182</v>
      </c>
      <c r="I203" s="17">
        <f t="shared" si="14"/>
        <v>1168.181818181818</v>
      </c>
      <c r="J203" s="18">
        <f t="shared" si="15"/>
        <v>0.41252006420545739</v>
      </c>
      <c r="K203" s="13" t="s">
        <v>18</v>
      </c>
      <c r="L203" s="13"/>
    </row>
    <row r="204" spans="1:12" x14ac:dyDescent="0.25">
      <c r="A204" s="19">
        <v>46203</v>
      </c>
      <c r="B204" s="13" t="s">
        <v>276</v>
      </c>
      <c r="C204" s="16">
        <v>41614067465</v>
      </c>
      <c r="D204" s="13" t="s">
        <v>17</v>
      </c>
      <c r="E204" s="13">
        <v>4000</v>
      </c>
      <c r="F204" s="13">
        <v>3115</v>
      </c>
      <c r="G204" s="17">
        <f t="shared" si="12"/>
        <v>283.18181818181819</v>
      </c>
      <c r="H204" s="17">
        <f t="shared" si="13"/>
        <v>2831.818181818182</v>
      </c>
      <c r="I204" s="17">
        <f t="shared" si="14"/>
        <v>1168.181818181818</v>
      </c>
      <c r="J204" s="18">
        <f t="shared" si="15"/>
        <v>0.41252006420545739</v>
      </c>
      <c r="K204" s="13" t="s">
        <v>18</v>
      </c>
      <c r="L204" s="13"/>
    </row>
    <row r="205" spans="1:12" x14ac:dyDescent="0.25">
      <c r="A205" s="19">
        <v>46203</v>
      </c>
      <c r="B205" s="13" t="s">
        <v>276</v>
      </c>
      <c r="C205" s="16">
        <v>41745009481</v>
      </c>
      <c r="D205" s="13" t="s">
        <v>17</v>
      </c>
      <c r="E205" s="13">
        <v>4000</v>
      </c>
      <c r="F205" s="13">
        <v>3115</v>
      </c>
      <c r="G205" s="17">
        <f t="shared" si="12"/>
        <v>283.18181818181819</v>
      </c>
      <c r="H205" s="17">
        <f t="shared" si="13"/>
        <v>2831.818181818182</v>
      </c>
      <c r="I205" s="17">
        <f t="shared" si="14"/>
        <v>1168.181818181818</v>
      </c>
      <c r="J205" s="18">
        <f t="shared" si="15"/>
        <v>0.41252006420545739</v>
      </c>
      <c r="K205" s="13" t="s">
        <v>18</v>
      </c>
      <c r="L205" s="13"/>
    </row>
    <row r="206" spans="1:12" x14ac:dyDescent="0.25">
      <c r="A206" s="19">
        <v>46203</v>
      </c>
      <c r="B206" s="13" t="s">
        <v>276</v>
      </c>
      <c r="C206" s="16">
        <v>51559056134</v>
      </c>
      <c r="D206" s="13" t="s">
        <v>17</v>
      </c>
      <c r="E206" s="13">
        <v>4000</v>
      </c>
      <c r="F206" s="13">
        <v>3115</v>
      </c>
      <c r="G206" s="17">
        <f t="shared" si="12"/>
        <v>283.18181818181819</v>
      </c>
      <c r="H206" s="17">
        <f t="shared" si="13"/>
        <v>2831.818181818182</v>
      </c>
      <c r="I206" s="17">
        <f t="shared" si="14"/>
        <v>1168.181818181818</v>
      </c>
      <c r="J206" s="18">
        <f t="shared" si="15"/>
        <v>0.41252006420545739</v>
      </c>
      <c r="K206" s="13" t="s">
        <v>18</v>
      </c>
      <c r="L206" s="13"/>
    </row>
    <row r="207" spans="1:12" x14ac:dyDescent="0.25">
      <c r="A207" s="19">
        <v>46203</v>
      </c>
      <c r="B207" s="13" t="s">
        <v>276</v>
      </c>
      <c r="C207" s="16">
        <v>61670053428</v>
      </c>
      <c r="D207" s="13" t="s">
        <v>17</v>
      </c>
      <c r="E207" s="13">
        <v>4000</v>
      </c>
      <c r="F207" s="13">
        <v>3115</v>
      </c>
      <c r="G207" s="17">
        <f t="shared" si="12"/>
        <v>283.18181818181819</v>
      </c>
      <c r="H207" s="17">
        <f t="shared" si="13"/>
        <v>2831.818181818182</v>
      </c>
      <c r="I207" s="17">
        <f t="shared" si="14"/>
        <v>1168.181818181818</v>
      </c>
      <c r="J207" s="18">
        <f t="shared" si="15"/>
        <v>0.41252006420545739</v>
      </c>
      <c r="K207" s="13" t="s">
        <v>18</v>
      </c>
      <c r="L207" s="13"/>
    </row>
    <row r="208" spans="1:12" x14ac:dyDescent="0.25">
      <c r="A208" s="19">
        <v>46203</v>
      </c>
      <c r="B208" s="13" t="s">
        <v>276</v>
      </c>
      <c r="C208" s="16">
        <v>61699071496</v>
      </c>
      <c r="D208" s="13" t="s">
        <v>17</v>
      </c>
      <c r="E208" s="13">
        <v>4000</v>
      </c>
      <c r="F208" s="13">
        <v>3115</v>
      </c>
      <c r="G208" s="17">
        <f t="shared" si="12"/>
        <v>283.18181818181819</v>
      </c>
      <c r="H208" s="17">
        <f t="shared" si="13"/>
        <v>2831.818181818182</v>
      </c>
      <c r="I208" s="17">
        <f t="shared" si="14"/>
        <v>1168.181818181818</v>
      </c>
      <c r="J208" s="18">
        <f t="shared" si="15"/>
        <v>0.41252006420545739</v>
      </c>
      <c r="K208" s="13" t="s">
        <v>18</v>
      </c>
      <c r="L208" s="13"/>
    </row>
    <row r="209" spans="1:12" x14ac:dyDescent="0.25">
      <c r="A209" s="19">
        <v>46203</v>
      </c>
      <c r="B209" s="13" t="s">
        <v>276</v>
      </c>
      <c r="C209" s="16">
        <v>69548862359</v>
      </c>
      <c r="D209" s="13" t="s">
        <v>17</v>
      </c>
      <c r="E209" s="13">
        <v>4000</v>
      </c>
      <c r="F209" s="13">
        <v>3115</v>
      </c>
      <c r="G209" s="17">
        <f t="shared" si="12"/>
        <v>283.18181818181819</v>
      </c>
      <c r="H209" s="17">
        <f t="shared" si="13"/>
        <v>2831.818181818182</v>
      </c>
      <c r="I209" s="17">
        <f t="shared" si="14"/>
        <v>1168.181818181818</v>
      </c>
      <c r="J209" s="18">
        <f t="shared" si="15"/>
        <v>0.41252006420545739</v>
      </c>
      <c r="K209" s="13" t="s">
        <v>18</v>
      </c>
      <c r="L209" s="13"/>
    </row>
    <row r="210" spans="1:12" x14ac:dyDescent="0.25">
      <c r="A210" s="19">
        <v>46203</v>
      </c>
      <c r="B210" s="13" t="s">
        <v>276</v>
      </c>
      <c r="C210" s="16">
        <v>79645154464</v>
      </c>
      <c r="D210" s="13" t="s">
        <v>17</v>
      </c>
      <c r="E210" s="13">
        <v>4000</v>
      </c>
      <c r="F210" s="13">
        <v>3115</v>
      </c>
      <c r="G210" s="17">
        <f t="shared" si="12"/>
        <v>283.18181818181819</v>
      </c>
      <c r="H210" s="17">
        <f t="shared" si="13"/>
        <v>2831.818181818182</v>
      </c>
      <c r="I210" s="17">
        <f t="shared" si="14"/>
        <v>1168.181818181818</v>
      </c>
      <c r="J210" s="18">
        <f t="shared" si="15"/>
        <v>0.41252006420545739</v>
      </c>
      <c r="K210" s="13" t="s">
        <v>18</v>
      </c>
      <c r="L210" s="13"/>
    </row>
    <row r="211" spans="1:12" x14ac:dyDescent="0.25">
      <c r="A211" s="19">
        <v>46203</v>
      </c>
      <c r="B211" s="13" t="s">
        <v>276</v>
      </c>
      <c r="C211" s="16">
        <v>89048444551</v>
      </c>
      <c r="D211" s="13" t="s">
        <v>17</v>
      </c>
      <c r="E211" s="13">
        <v>4000</v>
      </c>
      <c r="F211" s="13">
        <v>3115</v>
      </c>
      <c r="G211" s="17">
        <f t="shared" si="12"/>
        <v>283.18181818181819</v>
      </c>
      <c r="H211" s="17">
        <f t="shared" si="13"/>
        <v>2831.818181818182</v>
      </c>
      <c r="I211" s="17">
        <f t="shared" si="14"/>
        <v>1168.181818181818</v>
      </c>
      <c r="J211" s="18">
        <f t="shared" si="15"/>
        <v>0.41252006420545739</v>
      </c>
      <c r="K211" s="13" t="s">
        <v>18</v>
      </c>
      <c r="L211" s="13"/>
    </row>
    <row r="212" spans="1:12" x14ac:dyDescent="0.25">
      <c r="E212" s="14" t="s">
        <v>567</v>
      </c>
      <c r="F212" s="14" t="s">
        <v>568</v>
      </c>
      <c r="G212" s="15" t="s">
        <v>569</v>
      </c>
      <c r="H212" s="15" t="s">
        <v>570</v>
      </c>
      <c r="I212" s="15" t="s">
        <v>571</v>
      </c>
      <c r="J212" s="8" t="s">
        <v>572</v>
      </c>
      <c r="K212" s="13"/>
      <c r="L212" s="13"/>
    </row>
    <row r="213" spans="1:12" x14ac:dyDescent="0.25">
      <c r="E213" s="10">
        <f t="shared" ref="E213:I213" si="16">SUM(E2:E212)</f>
        <v>662279.80000000005</v>
      </c>
      <c r="F213" s="10">
        <f t="shared" si="16"/>
        <v>565713.29</v>
      </c>
      <c r="G213" s="11">
        <f t="shared" si="16"/>
        <v>51428.48090909086</v>
      </c>
      <c r="H213" s="11">
        <f t="shared" si="16"/>
        <v>514284.80909090937</v>
      </c>
      <c r="I213" s="11">
        <f t="shared" si="16"/>
        <v>147994.99090909102</v>
      </c>
      <c r="J213" s="12">
        <f>AVERAGE(J2:J212)</f>
        <v>0.34187714428884641</v>
      </c>
      <c r="K213" s="13"/>
      <c r="L213" s="13"/>
    </row>
  </sheetData>
  <conditionalFormatting sqref="C2:C211">
    <cfRule type="duplicateValues" dxfId="7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87"/>
  <sheetViews>
    <sheetView workbookViewId="0">
      <selection sqref="A1:K1"/>
    </sheetView>
  </sheetViews>
  <sheetFormatPr defaultRowHeight="15" x14ac:dyDescent="0.25"/>
  <cols>
    <col min="1" max="1" width="14.5703125" style="27" customWidth="1"/>
    <col min="2" max="2" width="34.7109375" customWidth="1"/>
    <col min="3" max="3" width="35" style="27" customWidth="1"/>
    <col min="4" max="4" width="14.85546875" style="27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8" t="s">
        <v>5</v>
      </c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9" t="s">
        <v>565</v>
      </c>
      <c r="H1" s="8" t="s">
        <v>573</v>
      </c>
      <c r="I1" s="8" t="s">
        <v>11</v>
      </c>
      <c r="J1" s="25" t="s">
        <v>12</v>
      </c>
      <c r="K1" s="8" t="s">
        <v>13</v>
      </c>
    </row>
    <row r="2" spans="1:11" x14ac:dyDescent="0.25">
      <c r="A2" s="29">
        <v>46192</v>
      </c>
      <c r="B2" s="13" t="s">
        <v>324</v>
      </c>
      <c r="C2" s="28">
        <v>21105082001253</v>
      </c>
      <c r="D2" s="26" t="s">
        <v>325</v>
      </c>
      <c r="E2" s="13">
        <v>3950</v>
      </c>
      <c r="F2" s="13">
        <v>3473.8</v>
      </c>
      <c r="G2" s="17">
        <f>F2*13.04/100</f>
        <v>452.98352</v>
      </c>
      <c r="H2" s="17">
        <f>F2-G2</f>
        <v>3020.8164800000004</v>
      </c>
      <c r="I2" s="17">
        <f>E2-H2</f>
        <v>929.18351999999959</v>
      </c>
      <c r="J2" s="18">
        <f>(E2-H2)/H2</f>
        <v>0.30759350200578867</v>
      </c>
      <c r="K2" s="13" t="s">
        <v>326</v>
      </c>
    </row>
    <row r="3" spans="1:11" x14ac:dyDescent="0.25">
      <c r="A3" s="29">
        <v>46192</v>
      </c>
      <c r="B3" s="13" t="s">
        <v>324</v>
      </c>
      <c r="C3" s="28">
        <v>21215082000339</v>
      </c>
      <c r="D3" s="26" t="s">
        <v>156</v>
      </c>
      <c r="E3" s="13">
        <v>4120</v>
      </c>
      <c r="F3" s="13">
        <v>3394.85</v>
      </c>
      <c r="G3" s="17">
        <f t="shared" ref="G3:G66" si="0">F3*13.04/100</f>
        <v>442.68843999999996</v>
      </c>
      <c r="H3" s="17">
        <f t="shared" ref="H3:H66" si="1">F3-G3</f>
        <v>2952.16156</v>
      </c>
      <c r="I3" s="17">
        <f t="shared" ref="I3:I66" si="2">E3-H3</f>
        <v>1167.83844</v>
      </c>
      <c r="J3" s="18">
        <f t="shared" ref="J3:J66" si="3">(E3-H3)/H3</f>
        <v>0.3955875775308178</v>
      </c>
      <c r="K3" s="13" t="s">
        <v>326</v>
      </c>
    </row>
    <row r="4" spans="1:11" x14ac:dyDescent="0.25">
      <c r="A4" s="29">
        <v>46192</v>
      </c>
      <c r="B4" s="13" t="s">
        <v>324</v>
      </c>
      <c r="C4" s="28">
        <v>21225082000143</v>
      </c>
      <c r="D4" s="26" t="s">
        <v>156</v>
      </c>
      <c r="E4" s="13">
        <v>4100</v>
      </c>
      <c r="F4" s="13">
        <v>3280.2</v>
      </c>
      <c r="G4" s="17">
        <f t="shared" si="0"/>
        <v>427.73807999999997</v>
      </c>
      <c r="H4" s="17">
        <f t="shared" si="1"/>
        <v>2852.4619199999997</v>
      </c>
      <c r="I4" s="17">
        <f t="shared" si="2"/>
        <v>1247.5380800000003</v>
      </c>
      <c r="J4" s="18">
        <f t="shared" si="3"/>
        <v>0.43735485871096236</v>
      </c>
      <c r="K4" s="13" t="s">
        <v>326</v>
      </c>
    </row>
    <row r="5" spans="1:11" x14ac:dyDescent="0.25">
      <c r="A5" s="29">
        <v>46192</v>
      </c>
      <c r="B5" s="13" t="s">
        <v>324</v>
      </c>
      <c r="C5" s="28">
        <v>21225082000144</v>
      </c>
      <c r="D5" s="26" t="s">
        <v>156</v>
      </c>
      <c r="E5" s="13">
        <v>4100</v>
      </c>
      <c r="F5" s="13">
        <v>3071.88</v>
      </c>
      <c r="G5" s="17">
        <f t="shared" si="0"/>
        <v>400.57315199999999</v>
      </c>
      <c r="H5" s="17">
        <f t="shared" si="1"/>
        <v>2671.3068480000002</v>
      </c>
      <c r="I5" s="17">
        <f t="shared" si="2"/>
        <v>1428.6931519999998</v>
      </c>
      <c r="J5" s="18">
        <f t="shared" si="3"/>
        <v>0.53482929266237544</v>
      </c>
      <c r="K5" s="13" t="s">
        <v>326</v>
      </c>
    </row>
    <row r="6" spans="1:11" x14ac:dyDescent="0.25">
      <c r="A6" s="29">
        <v>46192</v>
      </c>
      <c r="B6" s="13" t="s">
        <v>324</v>
      </c>
      <c r="C6" s="28">
        <v>21225082000254</v>
      </c>
      <c r="D6" s="26" t="s">
        <v>156</v>
      </c>
      <c r="E6" s="13">
        <v>4100</v>
      </c>
      <c r="F6" s="13">
        <v>3394.85</v>
      </c>
      <c r="G6" s="17">
        <f t="shared" si="0"/>
        <v>442.68843999999996</v>
      </c>
      <c r="H6" s="17">
        <f t="shared" si="1"/>
        <v>2952.16156</v>
      </c>
      <c r="I6" s="17">
        <f t="shared" si="2"/>
        <v>1147.83844</v>
      </c>
      <c r="J6" s="18">
        <f t="shared" si="3"/>
        <v>0.38881288055251284</v>
      </c>
      <c r="K6" s="13" t="s">
        <v>326</v>
      </c>
    </row>
    <row r="7" spans="1:11" x14ac:dyDescent="0.25">
      <c r="A7" s="29">
        <v>46192</v>
      </c>
      <c r="B7" s="13" t="s">
        <v>324</v>
      </c>
      <c r="C7" s="28">
        <v>21225082000546</v>
      </c>
      <c r="D7" s="26" t="s">
        <v>156</v>
      </c>
      <c r="E7" s="13">
        <v>4100</v>
      </c>
      <c r="F7" s="13">
        <v>3363.27</v>
      </c>
      <c r="G7" s="17">
        <f t="shared" si="0"/>
        <v>438.57040799999993</v>
      </c>
      <c r="H7" s="17">
        <f t="shared" si="1"/>
        <v>2924.6995919999999</v>
      </c>
      <c r="I7" s="17">
        <f t="shared" si="2"/>
        <v>1175.3004080000001</v>
      </c>
      <c r="J7" s="18">
        <f t="shared" si="3"/>
        <v>0.40185337708352237</v>
      </c>
      <c r="K7" s="13" t="s">
        <v>326</v>
      </c>
    </row>
    <row r="8" spans="1:11" x14ac:dyDescent="0.25">
      <c r="A8" s="29">
        <v>46192</v>
      </c>
      <c r="B8" s="13" t="s">
        <v>324</v>
      </c>
      <c r="C8" s="28">
        <v>21225082000603</v>
      </c>
      <c r="D8" s="26" t="s">
        <v>156</v>
      </c>
      <c r="E8" s="13">
        <v>4100</v>
      </c>
      <c r="F8" s="13">
        <v>3394.85</v>
      </c>
      <c r="G8" s="17">
        <f t="shared" si="0"/>
        <v>442.68843999999996</v>
      </c>
      <c r="H8" s="17">
        <f t="shared" si="1"/>
        <v>2952.16156</v>
      </c>
      <c r="I8" s="17">
        <f t="shared" si="2"/>
        <v>1147.83844</v>
      </c>
      <c r="J8" s="18">
        <f t="shared" si="3"/>
        <v>0.38881288055251284</v>
      </c>
      <c r="K8" s="13" t="s">
        <v>326</v>
      </c>
    </row>
    <row r="9" spans="1:11" x14ac:dyDescent="0.25">
      <c r="A9" s="29">
        <v>46192</v>
      </c>
      <c r="B9" s="13" t="s">
        <v>324</v>
      </c>
      <c r="C9" s="28">
        <v>21225082000606</v>
      </c>
      <c r="D9" s="26" t="s">
        <v>156</v>
      </c>
      <c r="E9" s="13">
        <v>4120</v>
      </c>
      <c r="F9" s="13">
        <v>3394.85</v>
      </c>
      <c r="G9" s="17">
        <f t="shared" si="0"/>
        <v>442.68843999999996</v>
      </c>
      <c r="H9" s="17">
        <f t="shared" si="1"/>
        <v>2952.16156</v>
      </c>
      <c r="I9" s="17">
        <f t="shared" si="2"/>
        <v>1167.83844</v>
      </c>
      <c r="J9" s="18">
        <f t="shared" si="3"/>
        <v>0.3955875775308178</v>
      </c>
      <c r="K9" s="13" t="s">
        <v>326</v>
      </c>
    </row>
    <row r="10" spans="1:11" x14ac:dyDescent="0.25">
      <c r="A10" s="29">
        <v>46192</v>
      </c>
      <c r="B10" s="13" t="s">
        <v>324</v>
      </c>
      <c r="C10" s="28">
        <v>21225082000609</v>
      </c>
      <c r="D10" s="26" t="s">
        <v>156</v>
      </c>
      <c r="E10" s="13">
        <v>4100</v>
      </c>
      <c r="F10" s="13">
        <v>3363.27</v>
      </c>
      <c r="G10" s="17">
        <f t="shared" si="0"/>
        <v>438.57040799999993</v>
      </c>
      <c r="H10" s="17">
        <f t="shared" si="1"/>
        <v>2924.6995919999999</v>
      </c>
      <c r="I10" s="17">
        <f t="shared" si="2"/>
        <v>1175.3004080000001</v>
      </c>
      <c r="J10" s="18">
        <f t="shared" si="3"/>
        <v>0.40185337708352237</v>
      </c>
      <c r="K10" s="13" t="s">
        <v>326</v>
      </c>
    </row>
    <row r="11" spans="1:11" x14ac:dyDescent="0.25">
      <c r="A11" s="29">
        <v>46192</v>
      </c>
      <c r="B11" s="13" t="s">
        <v>324</v>
      </c>
      <c r="C11" s="28">
        <v>21225082000614</v>
      </c>
      <c r="D11" s="26" t="s">
        <v>156</v>
      </c>
      <c r="E11" s="13">
        <v>4100</v>
      </c>
      <c r="F11" s="13">
        <v>3363.27</v>
      </c>
      <c r="G11" s="17">
        <f t="shared" si="0"/>
        <v>438.57040799999993</v>
      </c>
      <c r="H11" s="17">
        <f t="shared" si="1"/>
        <v>2924.6995919999999</v>
      </c>
      <c r="I11" s="17">
        <f t="shared" si="2"/>
        <v>1175.3004080000001</v>
      </c>
      <c r="J11" s="18">
        <f t="shared" si="3"/>
        <v>0.40185337708352237</v>
      </c>
      <c r="K11" s="13" t="s">
        <v>326</v>
      </c>
    </row>
    <row r="12" spans="1:11" x14ac:dyDescent="0.25">
      <c r="A12" s="29">
        <v>46192</v>
      </c>
      <c r="B12" s="13" t="s">
        <v>324</v>
      </c>
      <c r="C12" s="28">
        <v>21225082000616</v>
      </c>
      <c r="D12" s="26" t="s">
        <v>156</v>
      </c>
      <c r="E12" s="13">
        <v>4100</v>
      </c>
      <c r="F12" s="13">
        <v>3280.2</v>
      </c>
      <c r="G12" s="17">
        <f t="shared" si="0"/>
        <v>427.73807999999997</v>
      </c>
      <c r="H12" s="17">
        <f t="shared" si="1"/>
        <v>2852.4619199999997</v>
      </c>
      <c r="I12" s="17">
        <f t="shared" si="2"/>
        <v>1247.5380800000003</v>
      </c>
      <c r="J12" s="18">
        <f t="shared" si="3"/>
        <v>0.43735485871096236</v>
      </c>
      <c r="K12" s="13" t="s">
        <v>326</v>
      </c>
    </row>
    <row r="13" spans="1:11" x14ac:dyDescent="0.25">
      <c r="A13" s="29">
        <v>46192</v>
      </c>
      <c r="B13" s="13" t="s">
        <v>324</v>
      </c>
      <c r="C13" s="28">
        <v>21225082000623</v>
      </c>
      <c r="D13" s="26" t="s">
        <v>156</v>
      </c>
      <c r="E13" s="13">
        <v>4120</v>
      </c>
      <c r="F13" s="13">
        <v>3086.37</v>
      </c>
      <c r="G13" s="17">
        <f t="shared" si="0"/>
        <v>402.46264799999994</v>
      </c>
      <c r="H13" s="17">
        <f t="shared" si="1"/>
        <v>2683.9073520000002</v>
      </c>
      <c r="I13" s="17">
        <f t="shared" si="2"/>
        <v>1436.0926479999998</v>
      </c>
      <c r="J13" s="18">
        <f t="shared" si="3"/>
        <v>0.53507534339061635</v>
      </c>
      <c r="K13" s="13" t="s">
        <v>326</v>
      </c>
    </row>
    <row r="14" spans="1:11" x14ac:dyDescent="0.25">
      <c r="A14" s="29">
        <v>46192</v>
      </c>
      <c r="B14" s="13" t="s">
        <v>324</v>
      </c>
      <c r="C14" s="28">
        <v>21225082000761</v>
      </c>
      <c r="D14" s="26" t="s">
        <v>325</v>
      </c>
      <c r="E14" s="13">
        <v>3950</v>
      </c>
      <c r="F14" s="13">
        <v>3394.85</v>
      </c>
      <c r="G14" s="17">
        <f t="shared" si="0"/>
        <v>442.68843999999996</v>
      </c>
      <c r="H14" s="17">
        <f t="shared" si="1"/>
        <v>2952.16156</v>
      </c>
      <c r="I14" s="17">
        <f t="shared" si="2"/>
        <v>997.83843999999999</v>
      </c>
      <c r="J14" s="18">
        <f t="shared" si="3"/>
        <v>0.33800265321522577</v>
      </c>
      <c r="K14" s="13" t="s">
        <v>326</v>
      </c>
    </row>
    <row r="15" spans="1:11" x14ac:dyDescent="0.25">
      <c r="A15" s="29">
        <v>46192</v>
      </c>
      <c r="B15" s="13" t="s">
        <v>324</v>
      </c>
      <c r="C15" s="28">
        <v>21225082000762</v>
      </c>
      <c r="D15" s="26" t="s">
        <v>325</v>
      </c>
      <c r="E15" s="13">
        <v>3950</v>
      </c>
      <c r="F15" s="13">
        <v>3394.85</v>
      </c>
      <c r="G15" s="17">
        <f t="shared" si="0"/>
        <v>442.68843999999996</v>
      </c>
      <c r="H15" s="17">
        <f t="shared" si="1"/>
        <v>2952.16156</v>
      </c>
      <c r="I15" s="17">
        <f t="shared" si="2"/>
        <v>997.83843999999999</v>
      </c>
      <c r="J15" s="18">
        <f t="shared" si="3"/>
        <v>0.33800265321522577</v>
      </c>
      <c r="K15" s="13" t="s">
        <v>326</v>
      </c>
    </row>
    <row r="16" spans="1:11" x14ac:dyDescent="0.25">
      <c r="A16" s="29">
        <v>46192</v>
      </c>
      <c r="B16" s="13" t="s">
        <v>324</v>
      </c>
      <c r="C16" s="28">
        <v>21225082000764</v>
      </c>
      <c r="D16" s="26" t="s">
        <v>325</v>
      </c>
      <c r="E16" s="13">
        <v>3950</v>
      </c>
      <c r="F16" s="13">
        <v>3473.8</v>
      </c>
      <c r="G16" s="17">
        <f t="shared" si="0"/>
        <v>452.98352</v>
      </c>
      <c r="H16" s="17">
        <f t="shared" si="1"/>
        <v>3020.8164800000004</v>
      </c>
      <c r="I16" s="17">
        <f t="shared" si="2"/>
        <v>929.18351999999959</v>
      </c>
      <c r="J16" s="18">
        <f t="shared" si="3"/>
        <v>0.30759350200578867</v>
      </c>
      <c r="K16" s="13" t="s">
        <v>326</v>
      </c>
    </row>
    <row r="17" spans="1:11" x14ac:dyDescent="0.25">
      <c r="A17" s="29">
        <v>46192</v>
      </c>
      <c r="B17" s="13" t="s">
        <v>324</v>
      </c>
      <c r="C17" s="28">
        <v>21245082000068</v>
      </c>
      <c r="D17" s="26" t="s">
        <v>325</v>
      </c>
      <c r="E17" s="13">
        <v>3950</v>
      </c>
      <c r="F17" s="13">
        <v>3280.2</v>
      </c>
      <c r="G17" s="17">
        <f t="shared" si="0"/>
        <v>427.73807999999997</v>
      </c>
      <c r="H17" s="17">
        <f t="shared" si="1"/>
        <v>2852.4619199999997</v>
      </c>
      <c r="I17" s="17">
        <f t="shared" si="2"/>
        <v>1097.5380800000003</v>
      </c>
      <c r="J17" s="18">
        <f t="shared" si="3"/>
        <v>0.38476870534348812</v>
      </c>
      <c r="K17" s="13" t="s">
        <v>326</v>
      </c>
    </row>
    <row r="18" spans="1:11" x14ac:dyDescent="0.25">
      <c r="A18" s="29">
        <v>46192</v>
      </c>
      <c r="B18" s="13" t="s">
        <v>324</v>
      </c>
      <c r="C18" s="28">
        <v>21245082000332</v>
      </c>
      <c r="D18" s="26" t="s">
        <v>325</v>
      </c>
      <c r="E18" s="13">
        <v>3950</v>
      </c>
      <c r="F18" s="13">
        <v>3363.27</v>
      </c>
      <c r="G18" s="17">
        <f t="shared" si="0"/>
        <v>438.57040799999993</v>
      </c>
      <c r="H18" s="17">
        <f t="shared" si="1"/>
        <v>2924.6995919999999</v>
      </c>
      <c r="I18" s="17">
        <f t="shared" si="2"/>
        <v>1025.3004080000001</v>
      </c>
      <c r="J18" s="18">
        <f t="shared" si="3"/>
        <v>0.35056605840973498</v>
      </c>
      <c r="K18" s="13" t="s">
        <v>326</v>
      </c>
    </row>
    <row r="19" spans="1:11" x14ac:dyDescent="0.25">
      <c r="A19" s="29">
        <v>46192</v>
      </c>
      <c r="B19" s="13" t="s">
        <v>324</v>
      </c>
      <c r="C19" s="28">
        <v>21245082000333</v>
      </c>
      <c r="D19" s="26" t="s">
        <v>325</v>
      </c>
      <c r="E19" s="13">
        <v>3950</v>
      </c>
      <c r="F19" s="13">
        <v>3473.8</v>
      </c>
      <c r="G19" s="17">
        <f t="shared" si="0"/>
        <v>452.98352</v>
      </c>
      <c r="H19" s="17">
        <f t="shared" si="1"/>
        <v>3020.8164800000004</v>
      </c>
      <c r="I19" s="17">
        <f t="shared" si="2"/>
        <v>929.18351999999959</v>
      </c>
      <c r="J19" s="18">
        <f t="shared" si="3"/>
        <v>0.30759350200578867</v>
      </c>
      <c r="K19" s="13" t="s">
        <v>326</v>
      </c>
    </row>
    <row r="20" spans="1:11" x14ac:dyDescent="0.25">
      <c r="A20" s="29">
        <v>46192</v>
      </c>
      <c r="B20" s="13" t="s">
        <v>324</v>
      </c>
      <c r="C20" s="28">
        <v>21245082000336</v>
      </c>
      <c r="D20" s="26" t="s">
        <v>325</v>
      </c>
      <c r="E20" s="13">
        <v>3950</v>
      </c>
      <c r="F20" s="13">
        <v>3473.8</v>
      </c>
      <c r="G20" s="17">
        <f t="shared" si="0"/>
        <v>452.98352</v>
      </c>
      <c r="H20" s="17">
        <f t="shared" si="1"/>
        <v>3020.8164800000004</v>
      </c>
      <c r="I20" s="17">
        <f t="shared" si="2"/>
        <v>929.18351999999959</v>
      </c>
      <c r="J20" s="18">
        <f t="shared" si="3"/>
        <v>0.30759350200578867</v>
      </c>
      <c r="K20" s="13" t="s">
        <v>326</v>
      </c>
    </row>
    <row r="21" spans="1:11" x14ac:dyDescent="0.25">
      <c r="A21" s="29">
        <v>46192</v>
      </c>
      <c r="B21" s="13" t="s">
        <v>324</v>
      </c>
      <c r="C21" s="28">
        <v>21245082000337</v>
      </c>
      <c r="D21" s="26" t="s">
        <v>325</v>
      </c>
      <c r="E21" s="13">
        <v>3950</v>
      </c>
      <c r="F21" s="13">
        <v>3394.85</v>
      </c>
      <c r="G21" s="17">
        <f t="shared" si="0"/>
        <v>442.68843999999996</v>
      </c>
      <c r="H21" s="17">
        <f t="shared" si="1"/>
        <v>2952.16156</v>
      </c>
      <c r="I21" s="17">
        <f t="shared" si="2"/>
        <v>997.83843999999999</v>
      </c>
      <c r="J21" s="18">
        <f t="shared" si="3"/>
        <v>0.33800265321522577</v>
      </c>
      <c r="K21" s="13" t="s">
        <v>326</v>
      </c>
    </row>
    <row r="22" spans="1:11" x14ac:dyDescent="0.25">
      <c r="A22" s="29">
        <v>46192</v>
      </c>
      <c r="B22" s="13" t="s">
        <v>324</v>
      </c>
      <c r="C22" s="28">
        <v>21245082000338</v>
      </c>
      <c r="D22" s="26" t="s">
        <v>325</v>
      </c>
      <c r="E22" s="13">
        <v>3950</v>
      </c>
      <c r="F22" s="13">
        <v>3394.85</v>
      </c>
      <c r="G22" s="17">
        <f t="shared" si="0"/>
        <v>442.68843999999996</v>
      </c>
      <c r="H22" s="17">
        <f t="shared" si="1"/>
        <v>2952.16156</v>
      </c>
      <c r="I22" s="17">
        <f t="shared" si="2"/>
        <v>997.83843999999999</v>
      </c>
      <c r="J22" s="18">
        <f t="shared" si="3"/>
        <v>0.33800265321522577</v>
      </c>
      <c r="K22" s="13" t="s">
        <v>326</v>
      </c>
    </row>
    <row r="23" spans="1:11" x14ac:dyDescent="0.25">
      <c r="A23" s="29">
        <v>46192</v>
      </c>
      <c r="B23" s="13" t="s">
        <v>324</v>
      </c>
      <c r="C23" s="28">
        <v>21245082000339</v>
      </c>
      <c r="D23" s="26" t="s">
        <v>325</v>
      </c>
      <c r="E23" s="13">
        <v>3950</v>
      </c>
      <c r="F23" s="13">
        <v>3363.27</v>
      </c>
      <c r="G23" s="17">
        <f t="shared" si="0"/>
        <v>438.57040799999993</v>
      </c>
      <c r="H23" s="17">
        <f t="shared" si="1"/>
        <v>2924.6995919999999</v>
      </c>
      <c r="I23" s="17">
        <f t="shared" si="2"/>
        <v>1025.3004080000001</v>
      </c>
      <c r="J23" s="18">
        <f t="shared" si="3"/>
        <v>0.35056605840973498</v>
      </c>
      <c r="K23" s="13" t="s">
        <v>326</v>
      </c>
    </row>
    <row r="24" spans="1:11" x14ac:dyDescent="0.25">
      <c r="A24" s="29">
        <v>46192</v>
      </c>
      <c r="B24" s="13" t="s">
        <v>324</v>
      </c>
      <c r="C24" s="28">
        <v>21245082000584</v>
      </c>
      <c r="D24" s="26" t="s">
        <v>156</v>
      </c>
      <c r="E24" s="13">
        <v>4100</v>
      </c>
      <c r="F24" s="13">
        <v>3280.2</v>
      </c>
      <c r="G24" s="17">
        <f t="shared" si="0"/>
        <v>427.73807999999997</v>
      </c>
      <c r="H24" s="17">
        <f t="shared" si="1"/>
        <v>2852.4619199999997</v>
      </c>
      <c r="I24" s="17">
        <f t="shared" si="2"/>
        <v>1247.5380800000003</v>
      </c>
      <c r="J24" s="18">
        <f t="shared" si="3"/>
        <v>0.43735485871096236</v>
      </c>
      <c r="K24" s="13" t="s">
        <v>326</v>
      </c>
    </row>
    <row r="25" spans="1:11" x14ac:dyDescent="0.25">
      <c r="A25" s="29">
        <v>46192</v>
      </c>
      <c r="B25" s="13" t="s">
        <v>324</v>
      </c>
      <c r="C25" s="28">
        <v>21245082000586</v>
      </c>
      <c r="D25" s="26" t="s">
        <v>156</v>
      </c>
      <c r="E25" s="13">
        <v>4100</v>
      </c>
      <c r="F25" s="13">
        <v>3363.27</v>
      </c>
      <c r="G25" s="17">
        <f t="shared" si="0"/>
        <v>438.57040799999993</v>
      </c>
      <c r="H25" s="17">
        <f t="shared" si="1"/>
        <v>2924.6995919999999</v>
      </c>
      <c r="I25" s="17">
        <f t="shared" si="2"/>
        <v>1175.3004080000001</v>
      </c>
      <c r="J25" s="18">
        <f t="shared" si="3"/>
        <v>0.40185337708352237</v>
      </c>
      <c r="K25" s="13" t="s">
        <v>326</v>
      </c>
    </row>
    <row r="26" spans="1:11" x14ac:dyDescent="0.25">
      <c r="A26" s="29">
        <v>46192</v>
      </c>
      <c r="B26" s="13" t="s">
        <v>324</v>
      </c>
      <c r="C26" s="28">
        <v>21245082000587</v>
      </c>
      <c r="D26" s="26" t="s">
        <v>156</v>
      </c>
      <c r="E26" s="13">
        <v>4100</v>
      </c>
      <c r="F26" s="13">
        <v>3071.88</v>
      </c>
      <c r="G26" s="17">
        <f t="shared" si="0"/>
        <v>400.57315199999999</v>
      </c>
      <c r="H26" s="17">
        <f t="shared" si="1"/>
        <v>2671.3068480000002</v>
      </c>
      <c r="I26" s="17">
        <f t="shared" si="2"/>
        <v>1428.6931519999998</v>
      </c>
      <c r="J26" s="18">
        <f t="shared" si="3"/>
        <v>0.53482929266237544</v>
      </c>
      <c r="K26" s="13" t="s">
        <v>326</v>
      </c>
    </row>
    <row r="27" spans="1:11" x14ac:dyDescent="0.25">
      <c r="A27" s="29">
        <v>46192</v>
      </c>
      <c r="B27" s="13" t="s">
        <v>324</v>
      </c>
      <c r="C27" s="28">
        <v>21245082000862</v>
      </c>
      <c r="D27" s="26" t="s">
        <v>156</v>
      </c>
      <c r="E27" s="13">
        <v>4100</v>
      </c>
      <c r="F27" s="13">
        <v>3394.85</v>
      </c>
      <c r="G27" s="17">
        <f t="shared" si="0"/>
        <v>442.68843999999996</v>
      </c>
      <c r="H27" s="17">
        <f t="shared" si="1"/>
        <v>2952.16156</v>
      </c>
      <c r="I27" s="17">
        <f t="shared" si="2"/>
        <v>1147.83844</v>
      </c>
      <c r="J27" s="18">
        <f t="shared" si="3"/>
        <v>0.38881288055251284</v>
      </c>
      <c r="K27" s="13" t="s">
        <v>326</v>
      </c>
    </row>
    <row r="28" spans="1:11" x14ac:dyDescent="0.25">
      <c r="A28" s="29">
        <v>46192</v>
      </c>
      <c r="B28" s="13" t="s">
        <v>324</v>
      </c>
      <c r="C28" s="28">
        <v>21245082000867</v>
      </c>
      <c r="D28" s="26" t="s">
        <v>156</v>
      </c>
      <c r="E28" s="13">
        <v>4100</v>
      </c>
      <c r="F28" s="13">
        <v>3394.85</v>
      </c>
      <c r="G28" s="17">
        <f t="shared" si="0"/>
        <v>442.68843999999996</v>
      </c>
      <c r="H28" s="17">
        <f t="shared" si="1"/>
        <v>2952.16156</v>
      </c>
      <c r="I28" s="17">
        <f t="shared" si="2"/>
        <v>1147.83844</v>
      </c>
      <c r="J28" s="18">
        <f t="shared" si="3"/>
        <v>0.38881288055251284</v>
      </c>
      <c r="K28" s="13" t="s">
        <v>326</v>
      </c>
    </row>
    <row r="29" spans="1:11" x14ac:dyDescent="0.25">
      <c r="A29" s="29">
        <v>46192</v>
      </c>
      <c r="B29" s="13" t="s">
        <v>324</v>
      </c>
      <c r="C29" s="28">
        <v>21245082000954</v>
      </c>
      <c r="D29" s="26" t="s">
        <v>156</v>
      </c>
      <c r="E29" s="13">
        <v>4100</v>
      </c>
      <c r="F29" s="13">
        <v>3394.85</v>
      </c>
      <c r="G29" s="17">
        <f t="shared" si="0"/>
        <v>442.68843999999996</v>
      </c>
      <c r="H29" s="17">
        <f t="shared" si="1"/>
        <v>2952.16156</v>
      </c>
      <c r="I29" s="17">
        <f t="shared" si="2"/>
        <v>1147.83844</v>
      </c>
      <c r="J29" s="18">
        <f t="shared" si="3"/>
        <v>0.38881288055251284</v>
      </c>
      <c r="K29" s="13" t="s">
        <v>326</v>
      </c>
    </row>
    <row r="30" spans="1:11" x14ac:dyDescent="0.25">
      <c r="A30" s="29">
        <v>46192</v>
      </c>
      <c r="B30" s="13" t="s">
        <v>324</v>
      </c>
      <c r="C30" s="28">
        <v>21245082001193</v>
      </c>
      <c r="D30" s="26" t="s">
        <v>156</v>
      </c>
      <c r="E30" s="13">
        <v>4100</v>
      </c>
      <c r="F30" s="13">
        <v>3363.27</v>
      </c>
      <c r="G30" s="17">
        <f t="shared" si="0"/>
        <v>438.57040799999993</v>
      </c>
      <c r="H30" s="17">
        <f t="shared" si="1"/>
        <v>2924.6995919999999</v>
      </c>
      <c r="I30" s="17">
        <f t="shared" si="2"/>
        <v>1175.3004080000001</v>
      </c>
      <c r="J30" s="18">
        <f t="shared" si="3"/>
        <v>0.40185337708352237</v>
      </c>
      <c r="K30" s="13" t="s">
        <v>326</v>
      </c>
    </row>
    <row r="31" spans="1:11" x14ac:dyDescent="0.25">
      <c r="A31" s="29">
        <v>46192</v>
      </c>
      <c r="B31" s="13" t="s">
        <v>324</v>
      </c>
      <c r="C31" s="28">
        <v>21245082001194</v>
      </c>
      <c r="D31" s="26" t="s">
        <v>156</v>
      </c>
      <c r="E31" s="13">
        <v>4120</v>
      </c>
      <c r="F31" s="13">
        <v>3086.37</v>
      </c>
      <c r="G31" s="17">
        <f t="shared" si="0"/>
        <v>402.46264799999994</v>
      </c>
      <c r="H31" s="17">
        <f t="shared" si="1"/>
        <v>2683.9073520000002</v>
      </c>
      <c r="I31" s="17">
        <f t="shared" si="2"/>
        <v>1436.0926479999998</v>
      </c>
      <c r="J31" s="18">
        <f t="shared" si="3"/>
        <v>0.53507534339061635</v>
      </c>
      <c r="K31" s="13" t="s">
        <v>326</v>
      </c>
    </row>
    <row r="32" spans="1:11" x14ac:dyDescent="0.25">
      <c r="A32" s="29">
        <v>46192</v>
      </c>
      <c r="B32" s="13" t="s">
        <v>324</v>
      </c>
      <c r="C32" s="28">
        <v>21245082001195</v>
      </c>
      <c r="D32" s="26" t="s">
        <v>156</v>
      </c>
      <c r="E32" s="13">
        <v>4100</v>
      </c>
      <c r="F32" s="13">
        <v>3086.37</v>
      </c>
      <c r="G32" s="17">
        <f t="shared" si="0"/>
        <v>402.46264799999994</v>
      </c>
      <c r="H32" s="17">
        <f t="shared" si="1"/>
        <v>2683.9073520000002</v>
      </c>
      <c r="I32" s="17">
        <f t="shared" si="2"/>
        <v>1416.0926479999998</v>
      </c>
      <c r="J32" s="18">
        <f t="shared" si="3"/>
        <v>0.52762352133532209</v>
      </c>
      <c r="K32" s="13" t="s">
        <v>326</v>
      </c>
    </row>
    <row r="33" spans="1:11" x14ac:dyDescent="0.25">
      <c r="A33" s="29">
        <v>46192</v>
      </c>
      <c r="B33" s="13" t="s">
        <v>324</v>
      </c>
      <c r="C33" s="28">
        <v>21245082001196</v>
      </c>
      <c r="D33" s="26" t="s">
        <v>156</v>
      </c>
      <c r="E33" s="13">
        <v>4120</v>
      </c>
      <c r="F33" s="13">
        <v>3086.37</v>
      </c>
      <c r="G33" s="17">
        <f t="shared" si="0"/>
        <v>402.46264799999994</v>
      </c>
      <c r="H33" s="17">
        <f t="shared" si="1"/>
        <v>2683.9073520000002</v>
      </c>
      <c r="I33" s="17">
        <f t="shared" si="2"/>
        <v>1436.0926479999998</v>
      </c>
      <c r="J33" s="18">
        <f t="shared" si="3"/>
        <v>0.53507534339061635</v>
      </c>
      <c r="K33" s="13" t="s">
        <v>326</v>
      </c>
    </row>
    <row r="34" spans="1:11" x14ac:dyDescent="0.25">
      <c r="A34" s="29">
        <v>46192</v>
      </c>
      <c r="B34" s="13" t="s">
        <v>324</v>
      </c>
      <c r="C34" s="28">
        <v>21245082001242</v>
      </c>
      <c r="D34" s="26" t="s">
        <v>156</v>
      </c>
      <c r="E34" s="13">
        <v>4100</v>
      </c>
      <c r="F34" s="13">
        <v>3086.37</v>
      </c>
      <c r="G34" s="17">
        <f t="shared" si="0"/>
        <v>402.46264799999994</v>
      </c>
      <c r="H34" s="17">
        <f t="shared" si="1"/>
        <v>2683.9073520000002</v>
      </c>
      <c r="I34" s="17">
        <f t="shared" si="2"/>
        <v>1416.0926479999998</v>
      </c>
      <c r="J34" s="18">
        <f t="shared" si="3"/>
        <v>0.52762352133532209</v>
      </c>
      <c r="K34" s="13" t="s">
        <v>326</v>
      </c>
    </row>
    <row r="35" spans="1:11" x14ac:dyDescent="0.25">
      <c r="A35" s="29">
        <v>46192</v>
      </c>
      <c r="B35" s="13" t="s">
        <v>324</v>
      </c>
      <c r="C35" s="28">
        <v>21245082001245</v>
      </c>
      <c r="D35" s="26" t="s">
        <v>156</v>
      </c>
      <c r="E35" s="13">
        <v>4100</v>
      </c>
      <c r="F35" s="13">
        <v>3363.27</v>
      </c>
      <c r="G35" s="17">
        <f t="shared" si="0"/>
        <v>438.57040799999993</v>
      </c>
      <c r="H35" s="17">
        <f t="shared" si="1"/>
        <v>2924.6995919999999</v>
      </c>
      <c r="I35" s="17">
        <f t="shared" si="2"/>
        <v>1175.3004080000001</v>
      </c>
      <c r="J35" s="18">
        <f t="shared" si="3"/>
        <v>0.40185337708352237</v>
      </c>
      <c r="K35" s="13" t="s">
        <v>326</v>
      </c>
    </row>
    <row r="36" spans="1:11" x14ac:dyDescent="0.25">
      <c r="A36" s="29">
        <v>46192</v>
      </c>
      <c r="B36" s="13" t="s">
        <v>324</v>
      </c>
      <c r="C36" s="28">
        <v>21245082001246</v>
      </c>
      <c r="D36" s="26" t="s">
        <v>156</v>
      </c>
      <c r="E36" s="13">
        <v>4120</v>
      </c>
      <c r="F36" s="13">
        <v>3363.27</v>
      </c>
      <c r="G36" s="17">
        <f t="shared" si="0"/>
        <v>438.57040799999993</v>
      </c>
      <c r="H36" s="17">
        <f t="shared" si="1"/>
        <v>2924.6995919999999</v>
      </c>
      <c r="I36" s="17">
        <f t="shared" si="2"/>
        <v>1195.3004080000001</v>
      </c>
      <c r="J36" s="18">
        <f t="shared" si="3"/>
        <v>0.40869168624002739</v>
      </c>
      <c r="K36" s="13" t="s">
        <v>326</v>
      </c>
    </row>
    <row r="37" spans="1:11" x14ac:dyDescent="0.25">
      <c r="A37" s="29">
        <v>46192</v>
      </c>
      <c r="B37" s="13" t="s">
        <v>324</v>
      </c>
      <c r="C37" s="28">
        <v>21245082001247</v>
      </c>
      <c r="D37" s="26" t="s">
        <v>156</v>
      </c>
      <c r="E37" s="13">
        <v>4100</v>
      </c>
      <c r="F37" s="13">
        <v>3363.27</v>
      </c>
      <c r="G37" s="17">
        <f t="shared" si="0"/>
        <v>438.57040799999993</v>
      </c>
      <c r="H37" s="17">
        <f t="shared" si="1"/>
        <v>2924.6995919999999</v>
      </c>
      <c r="I37" s="17">
        <f t="shared" si="2"/>
        <v>1175.3004080000001</v>
      </c>
      <c r="J37" s="18">
        <f t="shared" si="3"/>
        <v>0.40185337708352237</v>
      </c>
      <c r="K37" s="13" t="s">
        <v>326</v>
      </c>
    </row>
    <row r="38" spans="1:11" x14ac:dyDescent="0.25">
      <c r="A38" s="29">
        <v>46192</v>
      </c>
      <c r="B38" s="13" t="s">
        <v>324</v>
      </c>
      <c r="C38" s="28">
        <v>21245082001248</v>
      </c>
      <c r="D38" s="26" t="s">
        <v>156</v>
      </c>
      <c r="E38" s="13">
        <v>4100</v>
      </c>
      <c r="F38" s="13">
        <v>3363.27</v>
      </c>
      <c r="G38" s="17">
        <f t="shared" si="0"/>
        <v>438.57040799999993</v>
      </c>
      <c r="H38" s="17">
        <f t="shared" si="1"/>
        <v>2924.6995919999999</v>
      </c>
      <c r="I38" s="17">
        <f t="shared" si="2"/>
        <v>1175.3004080000001</v>
      </c>
      <c r="J38" s="18">
        <f t="shared" si="3"/>
        <v>0.40185337708352237</v>
      </c>
      <c r="K38" s="13" t="s">
        <v>326</v>
      </c>
    </row>
    <row r="39" spans="1:11" x14ac:dyDescent="0.25">
      <c r="A39" s="29">
        <v>46192</v>
      </c>
      <c r="B39" s="13" t="s">
        <v>324</v>
      </c>
      <c r="C39" s="28">
        <v>21245082001283</v>
      </c>
      <c r="D39" s="26" t="s">
        <v>156</v>
      </c>
      <c r="E39" s="13">
        <v>4120</v>
      </c>
      <c r="F39" s="13">
        <v>3363.27</v>
      </c>
      <c r="G39" s="17">
        <f t="shared" si="0"/>
        <v>438.57040799999993</v>
      </c>
      <c r="H39" s="17">
        <f t="shared" si="1"/>
        <v>2924.6995919999999</v>
      </c>
      <c r="I39" s="17">
        <f t="shared" si="2"/>
        <v>1195.3004080000001</v>
      </c>
      <c r="J39" s="18">
        <f t="shared" si="3"/>
        <v>0.40869168624002739</v>
      </c>
      <c r="K39" s="13" t="s">
        <v>326</v>
      </c>
    </row>
    <row r="40" spans="1:11" x14ac:dyDescent="0.25">
      <c r="A40" s="29">
        <v>46193</v>
      </c>
      <c r="B40" s="13" t="s">
        <v>324</v>
      </c>
      <c r="C40" s="28">
        <v>21215082000331</v>
      </c>
      <c r="D40" s="26" t="s">
        <v>156</v>
      </c>
      <c r="E40" s="13">
        <v>4100</v>
      </c>
      <c r="F40" s="13">
        <v>3394.85</v>
      </c>
      <c r="G40" s="17">
        <f t="shared" si="0"/>
        <v>442.68843999999996</v>
      </c>
      <c r="H40" s="17">
        <f t="shared" si="1"/>
        <v>2952.16156</v>
      </c>
      <c r="I40" s="17">
        <f t="shared" si="2"/>
        <v>1147.83844</v>
      </c>
      <c r="J40" s="18">
        <f t="shared" si="3"/>
        <v>0.38881288055251284</v>
      </c>
      <c r="K40" s="13" t="s">
        <v>326</v>
      </c>
    </row>
    <row r="41" spans="1:11" x14ac:dyDescent="0.25">
      <c r="A41" s="29">
        <v>46193</v>
      </c>
      <c r="B41" s="13" t="s">
        <v>324</v>
      </c>
      <c r="C41" s="28">
        <v>21215082000332</v>
      </c>
      <c r="D41" s="26" t="s">
        <v>156</v>
      </c>
      <c r="E41" s="13">
        <v>4100</v>
      </c>
      <c r="F41" s="13">
        <v>3394.85</v>
      </c>
      <c r="G41" s="17">
        <f t="shared" si="0"/>
        <v>442.68843999999996</v>
      </c>
      <c r="H41" s="17">
        <f t="shared" si="1"/>
        <v>2952.16156</v>
      </c>
      <c r="I41" s="17">
        <f t="shared" si="2"/>
        <v>1147.83844</v>
      </c>
      <c r="J41" s="18">
        <f t="shared" si="3"/>
        <v>0.38881288055251284</v>
      </c>
      <c r="K41" s="13" t="s">
        <v>326</v>
      </c>
    </row>
    <row r="42" spans="1:11" x14ac:dyDescent="0.25">
      <c r="A42" s="29">
        <v>46193</v>
      </c>
      <c r="B42" s="13" t="s">
        <v>324</v>
      </c>
      <c r="C42" s="28">
        <v>21215082000338</v>
      </c>
      <c r="D42" s="26" t="s">
        <v>156</v>
      </c>
      <c r="E42" s="13">
        <v>4100</v>
      </c>
      <c r="F42" s="13">
        <v>3394.85</v>
      </c>
      <c r="G42" s="17">
        <f t="shared" si="0"/>
        <v>442.68843999999996</v>
      </c>
      <c r="H42" s="17">
        <f t="shared" si="1"/>
        <v>2952.16156</v>
      </c>
      <c r="I42" s="17">
        <f t="shared" si="2"/>
        <v>1147.83844</v>
      </c>
      <c r="J42" s="18">
        <f t="shared" si="3"/>
        <v>0.38881288055251284</v>
      </c>
      <c r="K42" s="13" t="s">
        <v>326</v>
      </c>
    </row>
    <row r="43" spans="1:11" x14ac:dyDescent="0.25">
      <c r="A43" s="29">
        <v>46193</v>
      </c>
      <c r="B43" s="13" t="s">
        <v>324</v>
      </c>
      <c r="C43" s="28">
        <v>21225082000142</v>
      </c>
      <c r="D43" s="26" t="s">
        <v>156</v>
      </c>
      <c r="E43" s="13">
        <v>4100</v>
      </c>
      <c r="F43" s="13">
        <v>3071.88</v>
      </c>
      <c r="G43" s="17">
        <f t="shared" si="0"/>
        <v>400.57315199999999</v>
      </c>
      <c r="H43" s="17">
        <f t="shared" si="1"/>
        <v>2671.3068480000002</v>
      </c>
      <c r="I43" s="17">
        <f t="shared" si="2"/>
        <v>1428.6931519999998</v>
      </c>
      <c r="J43" s="18">
        <f t="shared" si="3"/>
        <v>0.53482929266237544</v>
      </c>
      <c r="K43" s="13" t="s">
        <v>326</v>
      </c>
    </row>
    <row r="44" spans="1:11" x14ac:dyDescent="0.25">
      <c r="A44" s="29">
        <v>46193</v>
      </c>
      <c r="B44" s="13" t="s">
        <v>324</v>
      </c>
      <c r="C44" s="28">
        <v>21235082000146</v>
      </c>
      <c r="D44" s="26" t="s">
        <v>325</v>
      </c>
      <c r="E44" s="13">
        <v>3990</v>
      </c>
      <c r="F44" s="13">
        <v>3280.2</v>
      </c>
      <c r="G44" s="17">
        <f t="shared" si="0"/>
        <v>427.73807999999997</v>
      </c>
      <c r="H44" s="17">
        <f t="shared" si="1"/>
        <v>2852.4619199999997</v>
      </c>
      <c r="I44" s="17">
        <f t="shared" si="2"/>
        <v>1137.5380800000003</v>
      </c>
      <c r="J44" s="18">
        <f t="shared" si="3"/>
        <v>0.39879167957481459</v>
      </c>
      <c r="K44" s="13" t="s">
        <v>326</v>
      </c>
    </row>
    <row r="45" spans="1:11" x14ac:dyDescent="0.25">
      <c r="A45" s="29">
        <v>46193</v>
      </c>
      <c r="B45" s="13" t="s">
        <v>324</v>
      </c>
      <c r="C45" s="28">
        <v>21245082000064</v>
      </c>
      <c r="D45" s="26" t="s">
        <v>325</v>
      </c>
      <c r="E45" s="13">
        <v>3990</v>
      </c>
      <c r="F45" s="13">
        <v>3280.2</v>
      </c>
      <c r="G45" s="17">
        <f t="shared" si="0"/>
        <v>427.73807999999997</v>
      </c>
      <c r="H45" s="17">
        <f t="shared" si="1"/>
        <v>2852.4619199999997</v>
      </c>
      <c r="I45" s="17">
        <f t="shared" si="2"/>
        <v>1137.5380800000003</v>
      </c>
      <c r="J45" s="18">
        <f t="shared" si="3"/>
        <v>0.39879167957481459</v>
      </c>
      <c r="K45" s="13" t="s">
        <v>326</v>
      </c>
    </row>
    <row r="46" spans="1:11" x14ac:dyDescent="0.25">
      <c r="A46" s="29">
        <v>46193</v>
      </c>
      <c r="B46" s="13" t="s">
        <v>324</v>
      </c>
      <c r="C46" s="28">
        <v>21245082000065</v>
      </c>
      <c r="D46" s="26" t="s">
        <v>325</v>
      </c>
      <c r="E46" s="13">
        <v>3950</v>
      </c>
      <c r="F46" s="13">
        <v>3280.2</v>
      </c>
      <c r="G46" s="17">
        <f t="shared" si="0"/>
        <v>427.73807999999997</v>
      </c>
      <c r="H46" s="17">
        <f t="shared" si="1"/>
        <v>2852.4619199999997</v>
      </c>
      <c r="I46" s="17">
        <f t="shared" si="2"/>
        <v>1097.5380800000003</v>
      </c>
      <c r="J46" s="18">
        <f t="shared" si="3"/>
        <v>0.38476870534348812</v>
      </c>
      <c r="K46" s="13" t="s">
        <v>326</v>
      </c>
    </row>
    <row r="47" spans="1:11" x14ac:dyDescent="0.25">
      <c r="A47" s="29">
        <v>46193</v>
      </c>
      <c r="B47" s="13" t="s">
        <v>324</v>
      </c>
      <c r="C47" s="28">
        <v>21245082000340</v>
      </c>
      <c r="D47" s="26" t="s">
        <v>325</v>
      </c>
      <c r="E47" s="13">
        <v>3950</v>
      </c>
      <c r="F47" s="13">
        <v>3280.2</v>
      </c>
      <c r="G47" s="17">
        <f t="shared" si="0"/>
        <v>427.73807999999997</v>
      </c>
      <c r="H47" s="17">
        <f t="shared" si="1"/>
        <v>2852.4619199999997</v>
      </c>
      <c r="I47" s="17">
        <f t="shared" si="2"/>
        <v>1097.5380800000003</v>
      </c>
      <c r="J47" s="18">
        <f t="shared" si="3"/>
        <v>0.38476870534348812</v>
      </c>
      <c r="K47" s="13" t="s">
        <v>326</v>
      </c>
    </row>
    <row r="48" spans="1:11" x14ac:dyDescent="0.25">
      <c r="A48" s="29">
        <v>46193</v>
      </c>
      <c r="B48" s="13" t="s">
        <v>324</v>
      </c>
      <c r="C48" s="28">
        <v>21245082000590</v>
      </c>
      <c r="D48" s="26" t="s">
        <v>156</v>
      </c>
      <c r="E48" s="13">
        <v>4100</v>
      </c>
      <c r="F48" s="13">
        <v>3363.27</v>
      </c>
      <c r="G48" s="17">
        <f t="shared" si="0"/>
        <v>438.57040799999993</v>
      </c>
      <c r="H48" s="17">
        <f t="shared" si="1"/>
        <v>2924.6995919999999</v>
      </c>
      <c r="I48" s="17">
        <f t="shared" si="2"/>
        <v>1175.3004080000001</v>
      </c>
      <c r="J48" s="18">
        <f t="shared" si="3"/>
        <v>0.40185337708352237</v>
      </c>
      <c r="K48" s="13" t="s">
        <v>326</v>
      </c>
    </row>
    <row r="49" spans="1:11" x14ac:dyDescent="0.25">
      <c r="A49" s="29">
        <v>46193</v>
      </c>
      <c r="B49" s="13" t="s">
        <v>324</v>
      </c>
      <c r="C49" s="28">
        <v>21245082000783</v>
      </c>
      <c r="D49" s="26" t="s">
        <v>156</v>
      </c>
      <c r="E49" s="13">
        <v>4100</v>
      </c>
      <c r="F49" s="13">
        <v>3394.85</v>
      </c>
      <c r="G49" s="17">
        <f t="shared" si="0"/>
        <v>442.68843999999996</v>
      </c>
      <c r="H49" s="17">
        <f t="shared" si="1"/>
        <v>2952.16156</v>
      </c>
      <c r="I49" s="17">
        <f t="shared" si="2"/>
        <v>1147.83844</v>
      </c>
      <c r="J49" s="18">
        <f t="shared" si="3"/>
        <v>0.38881288055251284</v>
      </c>
      <c r="K49" s="13" t="s">
        <v>326</v>
      </c>
    </row>
    <row r="50" spans="1:11" x14ac:dyDescent="0.25">
      <c r="A50" s="29">
        <v>46193</v>
      </c>
      <c r="B50" s="13" t="s">
        <v>324</v>
      </c>
      <c r="C50" s="28">
        <v>21245082001191</v>
      </c>
      <c r="D50" s="26" t="s">
        <v>156</v>
      </c>
      <c r="E50" s="13">
        <v>4100</v>
      </c>
      <c r="F50" s="13">
        <v>3086.37</v>
      </c>
      <c r="G50" s="17">
        <f t="shared" si="0"/>
        <v>402.46264799999994</v>
      </c>
      <c r="H50" s="17">
        <f t="shared" si="1"/>
        <v>2683.9073520000002</v>
      </c>
      <c r="I50" s="17">
        <f t="shared" si="2"/>
        <v>1416.0926479999998</v>
      </c>
      <c r="J50" s="18">
        <f t="shared" si="3"/>
        <v>0.52762352133532209</v>
      </c>
      <c r="K50" s="13" t="s">
        <v>326</v>
      </c>
    </row>
    <row r="51" spans="1:11" x14ac:dyDescent="0.25">
      <c r="A51" s="29">
        <v>46193</v>
      </c>
      <c r="B51" s="13" t="s">
        <v>324</v>
      </c>
      <c r="C51" s="28">
        <v>21245082001241</v>
      </c>
      <c r="D51" s="26" t="s">
        <v>156</v>
      </c>
      <c r="E51" s="13">
        <v>4100</v>
      </c>
      <c r="F51" s="13">
        <v>3280.2</v>
      </c>
      <c r="G51" s="17">
        <f t="shared" si="0"/>
        <v>427.73807999999997</v>
      </c>
      <c r="H51" s="17">
        <f t="shared" si="1"/>
        <v>2852.4619199999997</v>
      </c>
      <c r="I51" s="17">
        <f t="shared" si="2"/>
        <v>1247.5380800000003</v>
      </c>
      <c r="J51" s="18">
        <f t="shared" si="3"/>
        <v>0.43735485871096236</v>
      </c>
      <c r="K51" s="13" t="s">
        <v>326</v>
      </c>
    </row>
    <row r="52" spans="1:11" x14ac:dyDescent="0.25">
      <c r="A52" s="29">
        <v>46193</v>
      </c>
      <c r="B52" s="13" t="s">
        <v>324</v>
      </c>
      <c r="C52" s="28">
        <v>21245082001243</v>
      </c>
      <c r="D52" s="26" t="s">
        <v>156</v>
      </c>
      <c r="E52" s="13">
        <v>4100</v>
      </c>
      <c r="F52" s="13">
        <v>3394.85</v>
      </c>
      <c r="G52" s="17">
        <f t="shared" si="0"/>
        <v>442.68843999999996</v>
      </c>
      <c r="H52" s="17">
        <f t="shared" si="1"/>
        <v>2952.16156</v>
      </c>
      <c r="I52" s="17">
        <f t="shared" si="2"/>
        <v>1147.83844</v>
      </c>
      <c r="J52" s="18">
        <f t="shared" si="3"/>
        <v>0.38881288055251284</v>
      </c>
      <c r="K52" s="13" t="s">
        <v>326</v>
      </c>
    </row>
    <row r="53" spans="1:11" x14ac:dyDescent="0.25">
      <c r="A53" s="29">
        <v>46193</v>
      </c>
      <c r="B53" s="13" t="s">
        <v>324</v>
      </c>
      <c r="C53" s="28">
        <v>21245082001250</v>
      </c>
      <c r="D53" s="26" t="s">
        <v>156</v>
      </c>
      <c r="E53" s="13">
        <v>4100</v>
      </c>
      <c r="F53" s="13">
        <v>3086.37</v>
      </c>
      <c r="G53" s="17">
        <f t="shared" si="0"/>
        <v>402.46264799999994</v>
      </c>
      <c r="H53" s="17">
        <f t="shared" si="1"/>
        <v>2683.9073520000002</v>
      </c>
      <c r="I53" s="17">
        <f t="shared" si="2"/>
        <v>1416.0926479999998</v>
      </c>
      <c r="J53" s="18">
        <f t="shared" si="3"/>
        <v>0.52762352133532209</v>
      </c>
      <c r="K53" s="13" t="s">
        <v>326</v>
      </c>
    </row>
    <row r="54" spans="1:11" x14ac:dyDescent="0.25">
      <c r="A54" s="29">
        <v>46193</v>
      </c>
      <c r="B54" s="13" t="s">
        <v>396</v>
      </c>
      <c r="C54" s="28" t="s">
        <v>404</v>
      </c>
      <c r="D54" s="26" t="s">
        <v>405</v>
      </c>
      <c r="E54" s="13">
        <v>340</v>
      </c>
      <c r="F54" s="13">
        <v>314.60000000000002</v>
      </c>
      <c r="G54" s="17">
        <f t="shared" si="0"/>
        <v>41.02384</v>
      </c>
      <c r="H54" s="17">
        <f t="shared" si="1"/>
        <v>273.57616000000002</v>
      </c>
      <c r="I54" s="17">
        <f t="shared" si="2"/>
        <v>66.423839999999984</v>
      </c>
      <c r="J54" s="18">
        <f t="shared" si="3"/>
        <v>0.2427983490959153</v>
      </c>
      <c r="K54" s="13" t="s">
        <v>326</v>
      </c>
    </row>
    <row r="55" spans="1:11" x14ac:dyDescent="0.25">
      <c r="A55" s="29">
        <v>46193</v>
      </c>
      <c r="B55" s="13" t="s">
        <v>396</v>
      </c>
      <c r="C55" s="28" t="s">
        <v>406</v>
      </c>
      <c r="D55" s="26" t="s">
        <v>405</v>
      </c>
      <c r="E55" s="13">
        <v>340</v>
      </c>
      <c r="F55" s="13">
        <v>314.60000000000002</v>
      </c>
      <c r="G55" s="17">
        <f t="shared" si="0"/>
        <v>41.02384</v>
      </c>
      <c r="H55" s="17">
        <f t="shared" si="1"/>
        <v>273.57616000000002</v>
      </c>
      <c r="I55" s="17">
        <f t="shared" si="2"/>
        <v>66.423839999999984</v>
      </c>
      <c r="J55" s="18">
        <f t="shared" si="3"/>
        <v>0.2427983490959153</v>
      </c>
      <c r="K55" s="13" t="s">
        <v>326</v>
      </c>
    </row>
    <row r="56" spans="1:11" x14ac:dyDescent="0.25">
      <c r="A56" s="29">
        <v>46193</v>
      </c>
      <c r="B56" s="13" t="s">
        <v>396</v>
      </c>
      <c r="C56" s="28" t="s">
        <v>415</v>
      </c>
      <c r="D56" s="26" t="s">
        <v>405</v>
      </c>
      <c r="E56" s="13">
        <v>340</v>
      </c>
      <c r="F56" s="13">
        <v>314.60000000000002</v>
      </c>
      <c r="G56" s="17">
        <f t="shared" si="0"/>
        <v>41.02384</v>
      </c>
      <c r="H56" s="17">
        <f t="shared" si="1"/>
        <v>273.57616000000002</v>
      </c>
      <c r="I56" s="17">
        <f t="shared" si="2"/>
        <v>66.423839999999984</v>
      </c>
      <c r="J56" s="18">
        <f t="shared" si="3"/>
        <v>0.2427983490959153</v>
      </c>
      <c r="K56" s="13" t="s">
        <v>326</v>
      </c>
    </row>
    <row r="57" spans="1:11" x14ac:dyDescent="0.25">
      <c r="A57" s="29">
        <v>46195</v>
      </c>
      <c r="B57" s="13" t="s">
        <v>324</v>
      </c>
      <c r="C57" s="28">
        <v>21225082000622</v>
      </c>
      <c r="D57" s="26" t="s">
        <v>156</v>
      </c>
      <c r="E57" s="13">
        <v>4110</v>
      </c>
      <c r="F57" s="13">
        <v>3394.85</v>
      </c>
      <c r="G57" s="17">
        <f t="shared" si="0"/>
        <v>442.68843999999996</v>
      </c>
      <c r="H57" s="17">
        <f t="shared" si="1"/>
        <v>2952.16156</v>
      </c>
      <c r="I57" s="17">
        <f t="shared" si="2"/>
        <v>1157.83844</v>
      </c>
      <c r="J57" s="18">
        <f t="shared" si="3"/>
        <v>0.39220022904166529</v>
      </c>
      <c r="K57" s="13" t="s">
        <v>326</v>
      </c>
    </row>
    <row r="58" spans="1:11" x14ac:dyDescent="0.25">
      <c r="A58" s="29">
        <v>46197</v>
      </c>
      <c r="B58" s="13" t="s">
        <v>324</v>
      </c>
      <c r="C58" s="28">
        <v>21225082000617</v>
      </c>
      <c r="D58" s="26" t="s">
        <v>156</v>
      </c>
      <c r="E58" s="13">
        <v>4200</v>
      </c>
      <c r="F58" s="13">
        <v>3086.37</v>
      </c>
      <c r="G58" s="17">
        <f t="shared" si="0"/>
        <v>402.46264799999994</v>
      </c>
      <c r="H58" s="17">
        <f t="shared" si="1"/>
        <v>2683.9073520000002</v>
      </c>
      <c r="I58" s="17">
        <f t="shared" si="2"/>
        <v>1516.0926479999998</v>
      </c>
      <c r="J58" s="18">
        <f t="shared" si="3"/>
        <v>0.56488263161179331</v>
      </c>
      <c r="K58" s="13" t="s">
        <v>326</v>
      </c>
    </row>
    <row r="59" spans="1:11" x14ac:dyDescent="0.25">
      <c r="A59" s="29">
        <v>46197</v>
      </c>
      <c r="B59" s="13" t="s">
        <v>324</v>
      </c>
      <c r="C59" s="28">
        <v>21245082000585</v>
      </c>
      <c r="D59" s="26" t="s">
        <v>156</v>
      </c>
      <c r="E59" s="13">
        <v>4200</v>
      </c>
      <c r="F59" s="13">
        <v>3394.85</v>
      </c>
      <c r="G59" s="17">
        <f t="shared" si="0"/>
        <v>442.68843999999996</v>
      </c>
      <c r="H59" s="17">
        <f t="shared" si="1"/>
        <v>2952.16156</v>
      </c>
      <c r="I59" s="17">
        <f t="shared" si="2"/>
        <v>1247.83844</v>
      </c>
      <c r="J59" s="18">
        <f t="shared" si="3"/>
        <v>0.42268636544403754</v>
      </c>
      <c r="K59" s="13" t="s">
        <v>326</v>
      </c>
    </row>
    <row r="60" spans="1:11" x14ac:dyDescent="0.25">
      <c r="A60" s="29">
        <v>46197</v>
      </c>
      <c r="B60" s="13" t="s">
        <v>324</v>
      </c>
      <c r="C60" s="28">
        <v>21245082000869</v>
      </c>
      <c r="D60" s="26" t="s">
        <v>156</v>
      </c>
      <c r="E60" s="13">
        <v>4200</v>
      </c>
      <c r="F60" s="13">
        <v>3394.85</v>
      </c>
      <c r="G60" s="17">
        <f t="shared" si="0"/>
        <v>442.68843999999996</v>
      </c>
      <c r="H60" s="17">
        <f t="shared" si="1"/>
        <v>2952.16156</v>
      </c>
      <c r="I60" s="17">
        <f t="shared" si="2"/>
        <v>1247.83844</v>
      </c>
      <c r="J60" s="18">
        <f t="shared" si="3"/>
        <v>0.42268636544403754</v>
      </c>
      <c r="K60" s="13" t="s">
        <v>326</v>
      </c>
    </row>
    <row r="61" spans="1:11" x14ac:dyDescent="0.25">
      <c r="A61" s="29">
        <v>46197</v>
      </c>
      <c r="B61" s="13" t="s">
        <v>208</v>
      </c>
      <c r="C61" s="28">
        <v>59469859757</v>
      </c>
      <c r="D61" s="26" t="s">
        <v>17</v>
      </c>
      <c r="E61" s="13">
        <v>21500</v>
      </c>
      <c r="F61" s="13">
        <v>7059.86</v>
      </c>
      <c r="G61" s="17">
        <f t="shared" si="0"/>
        <v>920.60574399999985</v>
      </c>
      <c r="H61" s="17">
        <f t="shared" si="1"/>
        <v>6139.2542560000002</v>
      </c>
      <c r="I61" s="17">
        <f t="shared" si="2"/>
        <v>15360.745744</v>
      </c>
      <c r="J61" s="18">
        <f t="shared" si="3"/>
        <v>2.5020540123399639</v>
      </c>
      <c r="K61" s="13" t="s">
        <v>326</v>
      </c>
    </row>
    <row r="62" spans="1:11" x14ac:dyDescent="0.25">
      <c r="A62" s="29">
        <v>46200</v>
      </c>
      <c r="B62" s="13" t="s">
        <v>276</v>
      </c>
      <c r="C62" s="28">
        <v>41521060716</v>
      </c>
      <c r="D62" s="26" t="s">
        <v>17</v>
      </c>
      <c r="E62" s="13">
        <v>4000</v>
      </c>
      <c r="F62" s="13">
        <v>3440</v>
      </c>
      <c r="G62" s="17">
        <f t="shared" si="0"/>
        <v>448.57599999999996</v>
      </c>
      <c r="H62" s="17">
        <f t="shared" si="1"/>
        <v>2991.424</v>
      </c>
      <c r="I62" s="17">
        <f t="shared" si="2"/>
        <v>1008.576</v>
      </c>
      <c r="J62" s="18">
        <f t="shared" si="3"/>
        <v>0.33715581609293771</v>
      </c>
      <c r="K62" s="13" t="s">
        <v>326</v>
      </c>
    </row>
    <row r="63" spans="1:11" x14ac:dyDescent="0.25">
      <c r="A63" s="29">
        <v>46200</v>
      </c>
      <c r="B63" s="13" t="s">
        <v>276</v>
      </c>
      <c r="C63" s="28">
        <v>51485094755</v>
      </c>
      <c r="D63" s="26" t="s">
        <v>17</v>
      </c>
      <c r="E63" s="13">
        <v>4000</v>
      </c>
      <c r="F63" s="13">
        <v>3440</v>
      </c>
      <c r="G63" s="17">
        <f t="shared" si="0"/>
        <v>448.57599999999996</v>
      </c>
      <c r="H63" s="17">
        <f t="shared" si="1"/>
        <v>2991.424</v>
      </c>
      <c r="I63" s="17">
        <f t="shared" si="2"/>
        <v>1008.576</v>
      </c>
      <c r="J63" s="18">
        <f t="shared" si="3"/>
        <v>0.33715581609293771</v>
      </c>
      <c r="K63" s="13" t="s">
        <v>326</v>
      </c>
    </row>
    <row r="64" spans="1:11" x14ac:dyDescent="0.25">
      <c r="A64" s="29">
        <v>46200</v>
      </c>
      <c r="B64" s="13" t="s">
        <v>276</v>
      </c>
      <c r="C64" s="28">
        <v>51492087441</v>
      </c>
      <c r="D64" s="26" t="s">
        <v>17</v>
      </c>
      <c r="E64" s="13">
        <v>4000</v>
      </c>
      <c r="F64" s="13">
        <v>3440</v>
      </c>
      <c r="G64" s="17">
        <f t="shared" si="0"/>
        <v>448.57599999999996</v>
      </c>
      <c r="H64" s="17">
        <f t="shared" si="1"/>
        <v>2991.424</v>
      </c>
      <c r="I64" s="17">
        <f t="shared" si="2"/>
        <v>1008.576</v>
      </c>
      <c r="J64" s="18">
        <f t="shared" si="3"/>
        <v>0.33715581609293771</v>
      </c>
      <c r="K64" s="13" t="s">
        <v>326</v>
      </c>
    </row>
    <row r="65" spans="1:11" x14ac:dyDescent="0.25">
      <c r="A65" s="29">
        <v>46200</v>
      </c>
      <c r="B65" s="13" t="s">
        <v>276</v>
      </c>
      <c r="C65" s="28">
        <v>51522027412</v>
      </c>
      <c r="D65" s="26" t="s">
        <v>17</v>
      </c>
      <c r="E65" s="13">
        <v>4000</v>
      </c>
      <c r="F65" s="13">
        <v>3440</v>
      </c>
      <c r="G65" s="17">
        <f t="shared" si="0"/>
        <v>448.57599999999996</v>
      </c>
      <c r="H65" s="17">
        <f t="shared" si="1"/>
        <v>2991.424</v>
      </c>
      <c r="I65" s="17">
        <f t="shared" si="2"/>
        <v>1008.576</v>
      </c>
      <c r="J65" s="18">
        <f t="shared" si="3"/>
        <v>0.33715581609293771</v>
      </c>
      <c r="K65" s="13" t="s">
        <v>326</v>
      </c>
    </row>
    <row r="66" spans="1:11" x14ac:dyDescent="0.25">
      <c r="A66" s="29">
        <v>46200</v>
      </c>
      <c r="B66" s="13" t="s">
        <v>276</v>
      </c>
      <c r="C66" s="28">
        <v>51561059438</v>
      </c>
      <c r="D66" s="26" t="s">
        <v>17</v>
      </c>
      <c r="E66" s="13">
        <v>4000</v>
      </c>
      <c r="F66" s="13">
        <v>3440</v>
      </c>
      <c r="G66" s="17">
        <f t="shared" si="0"/>
        <v>448.57599999999996</v>
      </c>
      <c r="H66" s="17">
        <f t="shared" si="1"/>
        <v>2991.424</v>
      </c>
      <c r="I66" s="17">
        <f t="shared" si="2"/>
        <v>1008.576</v>
      </c>
      <c r="J66" s="18">
        <f t="shared" si="3"/>
        <v>0.33715581609293771</v>
      </c>
      <c r="K66" s="13" t="s">
        <v>326</v>
      </c>
    </row>
    <row r="67" spans="1:11" x14ac:dyDescent="0.25">
      <c r="A67" s="29">
        <v>46200</v>
      </c>
      <c r="B67" s="13" t="s">
        <v>276</v>
      </c>
      <c r="C67" s="28">
        <v>51571009420</v>
      </c>
      <c r="D67" s="26" t="s">
        <v>17</v>
      </c>
      <c r="E67" s="13">
        <v>4000</v>
      </c>
      <c r="F67" s="13">
        <v>3440</v>
      </c>
      <c r="G67" s="17">
        <f t="shared" ref="G67:G85" si="4">F67*13.04/100</f>
        <v>448.57599999999996</v>
      </c>
      <c r="H67" s="17">
        <f t="shared" ref="H67:H85" si="5">F67-G67</f>
        <v>2991.424</v>
      </c>
      <c r="I67" s="17">
        <f t="shared" ref="I67:I85" si="6">E67-H67</f>
        <v>1008.576</v>
      </c>
      <c r="J67" s="18">
        <f t="shared" ref="J67:J85" si="7">(E67-H67)/H67</f>
        <v>0.33715581609293771</v>
      </c>
      <c r="K67" s="13" t="s">
        <v>326</v>
      </c>
    </row>
    <row r="68" spans="1:11" x14ac:dyDescent="0.25">
      <c r="A68" s="29">
        <v>46200</v>
      </c>
      <c r="B68" s="13" t="s">
        <v>276</v>
      </c>
      <c r="C68" s="28">
        <v>51695082427</v>
      </c>
      <c r="D68" s="26" t="s">
        <v>17</v>
      </c>
      <c r="E68" s="13">
        <v>4000</v>
      </c>
      <c r="F68" s="13">
        <v>3440</v>
      </c>
      <c r="G68" s="17">
        <f t="shared" si="4"/>
        <v>448.57599999999996</v>
      </c>
      <c r="H68" s="17">
        <f t="shared" si="5"/>
        <v>2991.424</v>
      </c>
      <c r="I68" s="17">
        <f t="shared" si="6"/>
        <v>1008.576</v>
      </c>
      <c r="J68" s="18">
        <f t="shared" si="7"/>
        <v>0.33715581609293771</v>
      </c>
      <c r="K68" s="13" t="s">
        <v>326</v>
      </c>
    </row>
    <row r="69" spans="1:11" x14ac:dyDescent="0.25">
      <c r="A69" s="29">
        <v>46200</v>
      </c>
      <c r="B69" s="13" t="s">
        <v>276</v>
      </c>
      <c r="C69" s="28">
        <v>61443088466</v>
      </c>
      <c r="D69" s="26" t="s">
        <v>17</v>
      </c>
      <c r="E69" s="13">
        <v>4000</v>
      </c>
      <c r="F69" s="13">
        <v>3440</v>
      </c>
      <c r="G69" s="17">
        <f t="shared" si="4"/>
        <v>448.57599999999996</v>
      </c>
      <c r="H69" s="17">
        <f t="shared" si="5"/>
        <v>2991.424</v>
      </c>
      <c r="I69" s="17">
        <f t="shared" si="6"/>
        <v>1008.576</v>
      </c>
      <c r="J69" s="18">
        <f t="shared" si="7"/>
        <v>0.33715581609293771</v>
      </c>
      <c r="K69" s="13" t="s">
        <v>326</v>
      </c>
    </row>
    <row r="70" spans="1:11" x14ac:dyDescent="0.25">
      <c r="A70" s="29">
        <v>46200</v>
      </c>
      <c r="B70" s="13" t="s">
        <v>276</v>
      </c>
      <c r="C70" s="28">
        <v>61626068403</v>
      </c>
      <c r="D70" s="26" t="s">
        <v>17</v>
      </c>
      <c r="E70" s="13">
        <v>4000</v>
      </c>
      <c r="F70" s="13">
        <v>3440</v>
      </c>
      <c r="G70" s="17">
        <f t="shared" si="4"/>
        <v>448.57599999999996</v>
      </c>
      <c r="H70" s="17">
        <f t="shared" si="5"/>
        <v>2991.424</v>
      </c>
      <c r="I70" s="17">
        <f t="shared" si="6"/>
        <v>1008.576</v>
      </c>
      <c r="J70" s="18">
        <f t="shared" si="7"/>
        <v>0.33715581609293771</v>
      </c>
      <c r="K70" s="13" t="s">
        <v>326</v>
      </c>
    </row>
    <row r="71" spans="1:11" x14ac:dyDescent="0.25">
      <c r="A71" s="29">
        <v>46200</v>
      </c>
      <c r="B71" s="13" t="s">
        <v>276</v>
      </c>
      <c r="C71" s="28">
        <v>61656053480</v>
      </c>
      <c r="D71" s="26" t="s">
        <v>17</v>
      </c>
      <c r="E71" s="13">
        <v>4000</v>
      </c>
      <c r="F71" s="13">
        <v>3440</v>
      </c>
      <c r="G71" s="17">
        <f t="shared" si="4"/>
        <v>448.57599999999996</v>
      </c>
      <c r="H71" s="17">
        <f t="shared" si="5"/>
        <v>2991.424</v>
      </c>
      <c r="I71" s="17">
        <f t="shared" si="6"/>
        <v>1008.576</v>
      </c>
      <c r="J71" s="18">
        <f t="shared" si="7"/>
        <v>0.33715581609293771</v>
      </c>
      <c r="K71" s="13" t="s">
        <v>326</v>
      </c>
    </row>
    <row r="72" spans="1:11" x14ac:dyDescent="0.25">
      <c r="A72" s="29">
        <v>46200</v>
      </c>
      <c r="B72" s="13" t="s">
        <v>276</v>
      </c>
      <c r="C72" s="28">
        <v>71637097455</v>
      </c>
      <c r="D72" s="26" t="s">
        <v>17</v>
      </c>
      <c r="E72" s="13">
        <v>4000</v>
      </c>
      <c r="F72" s="13">
        <v>3440</v>
      </c>
      <c r="G72" s="17">
        <f t="shared" si="4"/>
        <v>448.57599999999996</v>
      </c>
      <c r="H72" s="17">
        <f t="shared" si="5"/>
        <v>2991.424</v>
      </c>
      <c r="I72" s="17">
        <f t="shared" si="6"/>
        <v>1008.576</v>
      </c>
      <c r="J72" s="18">
        <f t="shared" si="7"/>
        <v>0.33715581609293771</v>
      </c>
      <c r="K72" s="13" t="s">
        <v>326</v>
      </c>
    </row>
    <row r="73" spans="1:11" x14ac:dyDescent="0.25">
      <c r="A73" s="29">
        <v>46200</v>
      </c>
      <c r="B73" s="13" t="s">
        <v>276</v>
      </c>
      <c r="C73" s="28">
        <v>71641071478</v>
      </c>
      <c r="D73" s="26" t="s">
        <v>17</v>
      </c>
      <c r="E73" s="13">
        <v>4000</v>
      </c>
      <c r="F73" s="13">
        <v>3440</v>
      </c>
      <c r="G73" s="17">
        <f t="shared" si="4"/>
        <v>448.57599999999996</v>
      </c>
      <c r="H73" s="17">
        <f t="shared" si="5"/>
        <v>2991.424</v>
      </c>
      <c r="I73" s="17">
        <f t="shared" si="6"/>
        <v>1008.576</v>
      </c>
      <c r="J73" s="18">
        <f t="shared" si="7"/>
        <v>0.33715581609293771</v>
      </c>
      <c r="K73" s="13" t="s">
        <v>326</v>
      </c>
    </row>
    <row r="74" spans="1:11" x14ac:dyDescent="0.25">
      <c r="A74" s="29">
        <v>46202</v>
      </c>
      <c r="B74" s="13" t="s">
        <v>324</v>
      </c>
      <c r="C74" s="28">
        <v>21215082000333</v>
      </c>
      <c r="D74" s="26" t="s">
        <v>156</v>
      </c>
      <c r="E74" s="13">
        <v>4125</v>
      </c>
      <c r="F74" s="13">
        <v>3394.85</v>
      </c>
      <c r="G74" s="17">
        <f t="shared" si="4"/>
        <v>442.68843999999996</v>
      </c>
      <c r="H74" s="17">
        <f t="shared" si="5"/>
        <v>2952.16156</v>
      </c>
      <c r="I74" s="17">
        <f t="shared" si="6"/>
        <v>1172.83844</v>
      </c>
      <c r="J74" s="18">
        <f t="shared" si="7"/>
        <v>0.39728125177539403</v>
      </c>
      <c r="K74" s="13" t="s">
        <v>326</v>
      </c>
    </row>
    <row r="75" spans="1:11" x14ac:dyDescent="0.25">
      <c r="A75" s="29">
        <v>46202</v>
      </c>
      <c r="B75" s="13" t="s">
        <v>324</v>
      </c>
      <c r="C75" s="28">
        <v>21215082000334</v>
      </c>
      <c r="D75" s="26" t="s">
        <v>156</v>
      </c>
      <c r="E75" s="13">
        <v>4125</v>
      </c>
      <c r="F75" s="13">
        <v>3394.85</v>
      </c>
      <c r="G75" s="17">
        <f t="shared" si="4"/>
        <v>442.68843999999996</v>
      </c>
      <c r="H75" s="17">
        <f t="shared" si="5"/>
        <v>2952.16156</v>
      </c>
      <c r="I75" s="17">
        <f t="shared" si="6"/>
        <v>1172.83844</v>
      </c>
      <c r="J75" s="18">
        <f t="shared" si="7"/>
        <v>0.39728125177539403</v>
      </c>
      <c r="K75" s="13" t="s">
        <v>326</v>
      </c>
    </row>
    <row r="76" spans="1:11" x14ac:dyDescent="0.25">
      <c r="A76" s="29">
        <v>46202</v>
      </c>
      <c r="B76" s="13" t="s">
        <v>324</v>
      </c>
      <c r="C76" s="28">
        <v>21215082000337</v>
      </c>
      <c r="D76" s="26" t="s">
        <v>156</v>
      </c>
      <c r="E76" s="13">
        <v>4125</v>
      </c>
      <c r="F76" s="13">
        <v>3394.85</v>
      </c>
      <c r="G76" s="17">
        <f t="shared" si="4"/>
        <v>442.68843999999996</v>
      </c>
      <c r="H76" s="17">
        <f t="shared" si="5"/>
        <v>2952.16156</v>
      </c>
      <c r="I76" s="17">
        <f t="shared" si="6"/>
        <v>1172.83844</v>
      </c>
      <c r="J76" s="18">
        <f t="shared" si="7"/>
        <v>0.39728125177539403</v>
      </c>
      <c r="K76" s="13" t="s">
        <v>326</v>
      </c>
    </row>
    <row r="77" spans="1:11" x14ac:dyDescent="0.25">
      <c r="A77" s="29">
        <v>46202</v>
      </c>
      <c r="B77" s="13" t="s">
        <v>324</v>
      </c>
      <c r="C77" s="28">
        <v>21215082000340</v>
      </c>
      <c r="D77" s="26" t="s">
        <v>156</v>
      </c>
      <c r="E77" s="13">
        <v>4125</v>
      </c>
      <c r="F77" s="13">
        <v>3394.85</v>
      </c>
      <c r="G77" s="17">
        <f t="shared" si="4"/>
        <v>442.68843999999996</v>
      </c>
      <c r="H77" s="17">
        <f t="shared" si="5"/>
        <v>2952.16156</v>
      </c>
      <c r="I77" s="17">
        <f t="shared" si="6"/>
        <v>1172.83844</v>
      </c>
      <c r="J77" s="18">
        <f t="shared" si="7"/>
        <v>0.39728125177539403</v>
      </c>
      <c r="K77" s="13" t="s">
        <v>326</v>
      </c>
    </row>
    <row r="78" spans="1:11" x14ac:dyDescent="0.25">
      <c r="A78" s="29">
        <v>46202</v>
      </c>
      <c r="B78" s="13" t="s">
        <v>324</v>
      </c>
      <c r="C78" s="28">
        <v>21225082000255</v>
      </c>
      <c r="D78" s="26" t="s">
        <v>156</v>
      </c>
      <c r="E78" s="13">
        <v>4125</v>
      </c>
      <c r="F78" s="13">
        <v>3394.85</v>
      </c>
      <c r="G78" s="17">
        <f t="shared" si="4"/>
        <v>442.68843999999996</v>
      </c>
      <c r="H78" s="17">
        <f t="shared" si="5"/>
        <v>2952.16156</v>
      </c>
      <c r="I78" s="17">
        <f t="shared" si="6"/>
        <v>1172.83844</v>
      </c>
      <c r="J78" s="18">
        <f t="shared" si="7"/>
        <v>0.39728125177539403</v>
      </c>
      <c r="K78" s="13" t="s">
        <v>326</v>
      </c>
    </row>
    <row r="79" spans="1:11" x14ac:dyDescent="0.25">
      <c r="A79" s="29">
        <v>46202</v>
      </c>
      <c r="B79" s="13" t="s">
        <v>324</v>
      </c>
      <c r="C79" s="28">
        <v>21225082000624</v>
      </c>
      <c r="D79" s="26" t="s">
        <v>156</v>
      </c>
      <c r="E79" s="13">
        <v>4125</v>
      </c>
      <c r="F79" s="13">
        <v>3394.85</v>
      </c>
      <c r="G79" s="17">
        <f t="shared" si="4"/>
        <v>442.68843999999996</v>
      </c>
      <c r="H79" s="17">
        <f t="shared" si="5"/>
        <v>2952.16156</v>
      </c>
      <c r="I79" s="17">
        <f t="shared" si="6"/>
        <v>1172.83844</v>
      </c>
      <c r="J79" s="18">
        <f t="shared" si="7"/>
        <v>0.39728125177539403</v>
      </c>
      <c r="K79" s="13" t="s">
        <v>326</v>
      </c>
    </row>
    <row r="80" spans="1:11" x14ac:dyDescent="0.25">
      <c r="A80" s="29">
        <v>46202</v>
      </c>
      <c r="B80" s="13" t="s">
        <v>324</v>
      </c>
      <c r="C80" s="28">
        <v>21225082000626</v>
      </c>
      <c r="D80" s="26" t="s">
        <v>156</v>
      </c>
      <c r="E80" s="13">
        <v>4125</v>
      </c>
      <c r="F80" s="13">
        <v>3394.85</v>
      </c>
      <c r="G80" s="17">
        <f t="shared" si="4"/>
        <v>442.68843999999996</v>
      </c>
      <c r="H80" s="17">
        <f t="shared" si="5"/>
        <v>2952.16156</v>
      </c>
      <c r="I80" s="17">
        <f t="shared" si="6"/>
        <v>1172.83844</v>
      </c>
      <c r="J80" s="18">
        <f t="shared" si="7"/>
        <v>0.39728125177539403</v>
      </c>
      <c r="K80" s="13" t="s">
        <v>326</v>
      </c>
    </row>
    <row r="81" spans="1:11" x14ac:dyDescent="0.25">
      <c r="A81" s="29">
        <v>46202</v>
      </c>
      <c r="B81" s="13" t="s">
        <v>324</v>
      </c>
      <c r="C81" s="28">
        <v>21225082000627</v>
      </c>
      <c r="D81" s="26" t="s">
        <v>156</v>
      </c>
      <c r="E81" s="13">
        <v>4125</v>
      </c>
      <c r="F81" s="13">
        <v>3394.85</v>
      </c>
      <c r="G81" s="17">
        <f t="shared" si="4"/>
        <v>442.68843999999996</v>
      </c>
      <c r="H81" s="17">
        <f t="shared" si="5"/>
        <v>2952.16156</v>
      </c>
      <c r="I81" s="17">
        <f t="shared" si="6"/>
        <v>1172.83844</v>
      </c>
      <c r="J81" s="18">
        <f t="shared" si="7"/>
        <v>0.39728125177539403</v>
      </c>
      <c r="K81" s="13" t="s">
        <v>326</v>
      </c>
    </row>
    <row r="82" spans="1:11" x14ac:dyDescent="0.25">
      <c r="A82" s="29">
        <v>46202</v>
      </c>
      <c r="B82" s="13" t="s">
        <v>324</v>
      </c>
      <c r="C82" s="28">
        <v>21245082000785</v>
      </c>
      <c r="D82" s="26" t="s">
        <v>156</v>
      </c>
      <c r="E82" s="13">
        <v>4125</v>
      </c>
      <c r="F82" s="13">
        <v>3394.85</v>
      </c>
      <c r="G82" s="17">
        <f t="shared" si="4"/>
        <v>442.68843999999996</v>
      </c>
      <c r="H82" s="17">
        <f t="shared" si="5"/>
        <v>2952.16156</v>
      </c>
      <c r="I82" s="17">
        <f t="shared" si="6"/>
        <v>1172.83844</v>
      </c>
      <c r="J82" s="18">
        <f t="shared" si="7"/>
        <v>0.39728125177539403</v>
      </c>
      <c r="K82" s="13" t="s">
        <v>326</v>
      </c>
    </row>
    <row r="83" spans="1:11" x14ac:dyDescent="0.25">
      <c r="A83" s="29">
        <v>46202</v>
      </c>
      <c r="B83" s="13" t="s">
        <v>324</v>
      </c>
      <c r="C83" s="28">
        <v>21245082001200</v>
      </c>
      <c r="D83" s="26" t="s">
        <v>156</v>
      </c>
      <c r="E83" s="13">
        <v>4125</v>
      </c>
      <c r="F83" s="13">
        <v>3394.85</v>
      </c>
      <c r="G83" s="17">
        <f t="shared" si="4"/>
        <v>442.68843999999996</v>
      </c>
      <c r="H83" s="17">
        <f t="shared" si="5"/>
        <v>2952.16156</v>
      </c>
      <c r="I83" s="17">
        <f t="shared" si="6"/>
        <v>1172.83844</v>
      </c>
      <c r="J83" s="18">
        <f t="shared" si="7"/>
        <v>0.39728125177539403</v>
      </c>
      <c r="K83" s="13" t="s">
        <v>326</v>
      </c>
    </row>
    <row r="84" spans="1:11" x14ac:dyDescent="0.25">
      <c r="A84" s="29">
        <v>46202</v>
      </c>
      <c r="B84" s="13" t="s">
        <v>208</v>
      </c>
      <c r="C84" s="28">
        <v>61703007420</v>
      </c>
      <c r="D84" s="26" t="s">
        <v>17</v>
      </c>
      <c r="E84" s="13">
        <v>21500</v>
      </c>
      <c r="F84" s="13">
        <v>7059.86</v>
      </c>
      <c r="G84" s="17">
        <f t="shared" si="4"/>
        <v>920.60574399999985</v>
      </c>
      <c r="H84" s="17">
        <f t="shared" si="5"/>
        <v>6139.2542560000002</v>
      </c>
      <c r="I84" s="17">
        <f t="shared" si="6"/>
        <v>15360.745744</v>
      </c>
      <c r="J84" s="18">
        <f t="shared" si="7"/>
        <v>2.5020540123399639</v>
      </c>
      <c r="K84" s="13" t="s">
        <v>326</v>
      </c>
    </row>
    <row r="85" spans="1:11" x14ac:dyDescent="0.25">
      <c r="A85" s="29">
        <v>46202</v>
      </c>
      <c r="B85" s="13" t="s">
        <v>208</v>
      </c>
      <c r="C85" s="28">
        <v>61790006667</v>
      </c>
      <c r="D85" s="26" t="s">
        <v>17</v>
      </c>
      <c r="E85" s="13">
        <v>21500</v>
      </c>
      <c r="F85" s="13">
        <v>7092.85</v>
      </c>
      <c r="G85" s="17">
        <f t="shared" si="4"/>
        <v>924.9076399999999</v>
      </c>
      <c r="H85" s="17">
        <f t="shared" si="5"/>
        <v>6167.9423600000009</v>
      </c>
      <c r="I85" s="17">
        <f t="shared" si="6"/>
        <v>15332.057639999999</v>
      </c>
      <c r="J85" s="18">
        <f t="shared" si="7"/>
        <v>2.4857653890267541</v>
      </c>
      <c r="K85" s="13" t="s">
        <v>326</v>
      </c>
    </row>
    <row r="86" spans="1:11" x14ac:dyDescent="0.25">
      <c r="E86" s="8" t="s">
        <v>567</v>
      </c>
      <c r="F86" s="8" t="s">
        <v>568</v>
      </c>
      <c r="G86" s="9" t="s">
        <v>569</v>
      </c>
      <c r="H86" s="9" t="s">
        <v>570</v>
      </c>
      <c r="I86" s="9" t="s">
        <v>571</v>
      </c>
      <c r="J86" s="8" t="s">
        <v>572</v>
      </c>
      <c r="K86" s="13"/>
    </row>
    <row r="87" spans="1:11" x14ac:dyDescent="0.25">
      <c r="E87" s="10">
        <f t="shared" ref="E87:I87" si="8">SUM(E2:E86)</f>
        <v>382650</v>
      </c>
      <c r="F87" s="10">
        <f t="shared" si="8"/>
        <v>282933.13000000012</v>
      </c>
      <c r="G87" s="11">
        <f t="shared" si="8"/>
        <v>36894.480152000018</v>
      </c>
      <c r="H87" s="11">
        <f t="shared" si="8"/>
        <v>246038.64984800009</v>
      </c>
      <c r="I87" s="11">
        <f t="shared" si="8"/>
        <v>136611.35015200009</v>
      </c>
      <c r="J87" s="12">
        <f>AVERAGE(J2:J86)</f>
        <v>0.46973580632680267</v>
      </c>
      <c r="K87" s="13"/>
    </row>
  </sheetData>
  <conditionalFormatting sqref="C2:C85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55"/>
  <sheetViews>
    <sheetView workbookViewId="0">
      <selection sqref="A1:I1"/>
    </sheetView>
  </sheetViews>
  <sheetFormatPr defaultRowHeight="15" x14ac:dyDescent="0.25"/>
  <cols>
    <col min="1" max="1" width="12.42578125" style="27" customWidth="1"/>
    <col min="2" max="2" width="29.28515625" customWidth="1"/>
    <col min="3" max="3" width="21.7109375" style="27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8" t="s">
        <v>5</v>
      </c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8" t="s">
        <v>11</v>
      </c>
      <c r="H1" s="25" t="s">
        <v>12</v>
      </c>
      <c r="I1" s="8" t="s">
        <v>13</v>
      </c>
      <c r="J1" s="13"/>
    </row>
    <row r="2" spans="1:10" x14ac:dyDescent="0.25">
      <c r="A2" s="29">
        <v>46182</v>
      </c>
      <c r="B2" s="13" t="s">
        <v>208</v>
      </c>
      <c r="C2" s="28">
        <v>51567059717</v>
      </c>
      <c r="D2" s="13" t="s">
        <v>17</v>
      </c>
      <c r="E2" s="13">
        <v>20000</v>
      </c>
      <c r="F2" s="13">
        <v>8226.5</v>
      </c>
      <c r="G2" s="13">
        <f>E2-F2</f>
        <v>11773.5</v>
      </c>
      <c r="H2" s="18">
        <f>(E2-F2)/F2</f>
        <v>1.4311675682246399</v>
      </c>
      <c r="I2" s="13" t="s">
        <v>209</v>
      </c>
      <c r="J2" s="13"/>
    </row>
    <row r="3" spans="1:10" x14ac:dyDescent="0.25">
      <c r="A3" s="29">
        <v>46184</v>
      </c>
      <c r="B3" s="13" t="s">
        <v>276</v>
      </c>
      <c r="C3" s="28">
        <v>49373452851</v>
      </c>
      <c r="D3" s="13" t="s">
        <v>17</v>
      </c>
      <c r="E3" s="13">
        <v>4250</v>
      </c>
      <c r="F3" s="13">
        <v>3598.2</v>
      </c>
      <c r="G3" s="13">
        <f t="shared" ref="G3:G53" si="0">E3-F3</f>
        <v>651.80000000000018</v>
      </c>
      <c r="H3" s="18">
        <f t="shared" ref="H3:H53" si="1">(E3-F3)/F3</f>
        <v>0.18114612861986554</v>
      </c>
      <c r="I3" s="13" t="s">
        <v>209</v>
      </c>
      <c r="J3" s="13"/>
    </row>
    <row r="4" spans="1:10" x14ac:dyDescent="0.25">
      <c r="A4" s="29">
        <v>46184</v>
      </c>
      <c r="B4" s="13" t="s">
        <v>276</v>
      </c>
      <c r="C4" s="28">
        <v>79083360152</v>
      </c>
      <c r="D4" s="13" t="s">
        <v>17</v>
      </c>
      <c r="E4" s="13">
        <v>4250</v>
      </c>
      <c r="F4" s="13">
        <v>3598.2</v>
      </c>
      <c r="G4" s="13">
        <f t="shared" si="0"/>
        <v>651.80000000000018</v>
      </c>
      <c r="H4" s="18">
        <f t="shared" si="1"/>
        <v>0.18114612861986554</v>
      </c>
      <c r="I4" s="13" t="s">
        <v>209</v>
      </c>
      <c r="J4" s="13"/>
    </row>
    <row r="5" spans="1:10" x14ac:dyDescent="0.25">
      <c r="A5" s="29">
        <v>46184</v>
      </c>
      <c r="B5" s="13" t="s">
        <v>276</v>
      </c>
      <c r="C5" s="28">
        <v>79979859368</v>
      </c>
      <c r="D5" s="13" t="s">
        <v>17</v>
      </c>
      <c r="E5" s="13">
        <v>4250</v>
      </c>
      <c r="F5" s="13">
        <v>3598.2</v>
      </c>
      <c r="G5" s="13">
        <f t="shared" si="0"/>
        <v>651.80000000000018</v>
      </c>
      <c r="H5" s="18">
        <f t="shared" si="1"/>
        <v>0.18114612861986554</v>
      </c>
      <c r="I5" s="13" t="s">
        <v>209</v>
      </c>
      <c r="J5" s="13"/>
    </row>
    <row r="6" spans="1:10" x14ac:dyDescent="0.25">
      <c r="A6" s="29">
        <v>46184</v>
      </c>
      <c r="B6" s="13" t="s">
        <v>276</v>
      </c>
      <c r="C6" s="28">
        <v>99849164949</v>
      </c>
      <c r="D6" s="13" t="s">
        <v>17</v>
      </c>
      <c r="E6" s="13">
        <v>4250</v>
      </c>
      <c r="F6" s="13">
        <v>3598.2</v>
      </c>
      <c r="G6" s="13">
        <f t="shared" si="0"/>
        <v>651.80000000000018</v>
      </c>
      <c r="H6" s="18">
        <f t="shared" si="1"/>
        <v>0.18114612861986554</v>
      </c>
      <c r="I6" s="13" t="s">
        <v>209</v>
      </c>
      <c r="J6" s="13"/>
    </row>
    <row r="7" spans="1:10" x14ac:dyDescent="0.25">
      <c r="A7" s="29">
        <v>46198</v>
      </c>
      <c r="B7" s="13" t="s">
        <v>171</v>
      </c>
      <c r="C7" s="28" t="s">
        <v>450</v>
      </c>
      <c r="D7" s="13" t="s">
        <v>17</v>
      </c>
      <c r="E7" s="13">
        <v>1800</v>
      </c>
      <c r="F7" s="13">
        <v>1646.13</v>
      </c>
      <c r="G7" s="13">
        <f t="shared" si="0"/>
        <v>153.86999999999989</v>
      </c>
      <c r="H7" s="18">
        <f t="shared" si="1"/>
        <v>9.3473783966029345E-2</v>
      </c>
      <c r="I7" s="13" t="s">
        <v>451</v>
      </c>
      <c r="J7" s="13"/>
    </row>
    <row r="8" spans="1:10" x14ac:dyDescent="0.25">
      <c r="A8" s="29">
        <v>46198</v>
      </c>
      <c r="B8" s="13" t="s">
        <v>171</v>
      </c>
      <c r="C8" s="28" t="s">
        <v>452</v>
      </c>
      <c r="D8" s="13" t="s">
        <v>17</v>
      </c>
      <c r="E8" s="13">
        <v>1800</v>
      </c>
      <c r="F8" s="13">
        <v>1646.13</v>
      </c>
      <c r="G8" s="13">
        <f t="shared" si="0"/>
        <v>153.86999999999989</v>
      </c>
      <c r="H8" s="18">
        <f t="shared" si="1"/>
        <v>9.3473783966029345E-2</v>
      </c>
      <c r="I8" s="13" t="s">
        <v>451</v>
      </c>
      <c r="J8" s="13"/>
    </row>
    <row r="9" spans="1:10" x14ac:dyDescent="0.25">
      <c r="A9" s="29">
        <v>46198</v>
      </c>
      <c r="B9" s="13" t="s">
        <v>171</v>
      </c>
      <c r="C9" s="28" t="s">
        <v>453</v>
      </c>
      <c r="D9" s="13" t="s">
        <v>17</v>
      </c>
      <c r="E9" s="13">
        <v>1800</v>
      </c>
      <c r="F9" s="13">
        <v>1646.13</v>
      </c>
      <c r="G9" s="13">
        <f t="shared" si="0"/>
        <v>153.86999999999989</v>
      </c>
      <c r="H9" s="18">
        <f t="shared" si="1"/>
        <v>9.3473783966029345E-2</v>
      </c>
      <c r="I9" s="13" t="s">
        <v>451</v>
      </c>
      <c r="J9" s="13"/>
    </row>
    <row r="10" spans="1:10" x14ac:dyDescent="0.25">
      <c r="A10" s="29">
        <v>46198</v>
      </c>
      <c r="B10" s="13" t="s">
        <v>171</v>
      </c>
      <c r="C10" s="28" t="s">
        <v>454</v>
      </c>
      <c r="D10" s="13" t="s">
        <v>17</v>
      </c>
      <c r="E10" s="13">
        <v>1800</v>
      </c>
      <c r="F10" s="13">
        <v>1646.13</v>
      </c>
      <c r="G10" s="13">
        <f t="shared" si="0"/>
        <v>153.86999999999989</v>
      </c>
      <c r="H10" s="18">
        <f t="shared" si="1"/>
        <v>9.3473783966029345E-2</v>
      </c>
      <c r="I10" s="13" t="s">
        <v>451</v>
      </c>
      <c r="J10" s="13"/>
    </row>
    <row r="11" spans="1:10" x14ac:dyDescent="0.25">
      <c r="A11" s="29">
        <v>46198</v>
      </c>
      <c r="B11" s="13" t="s">
        <v>171</v>
      </c>
      <c r="C11" s="28" t="s">
        <v>455</v>
      </c>
      <c r="D11" s="13" t="s">
        <v>17</v>
      </c>
      <c r="E11" s="13">
        <v>1800</v>
      </c>
      <c r="F11" s="13">
        <v>1646.13</v>
      </c>
      <c r="G11" s="13">
        <f t="shared" si="0"/>
        <v>153.86999999999989</v>
      </c>
      <c r="H11" s="18">
        <f t="shared" si="1"/>
        <v>9.3473783966029345E-2</v>
      </c>
      <c r="I11" s="13" t="s">
        <v>451</v>
      </c>
      <c r="J11" s="13"/>
    </row>
    <row r="12" spans="1:10" x14ac:dyDescent="0.25">
      <c r="A12" s="29">
        <v>46198</v>
      </c>
      <c r="B12" s="13" t="s">
        <v>171</v>
      </c>
      <c r="C12" s="28" t="s">
        <v>456</v>
      </c>
      <c r="D12" s="13" t="s">
        <v>17</v>
      </c>
      <c r="E12" s="13">
        <v>1800</v>
      </c>
      <c r="F12" s="13">
        <v>1646.13</v>
      </c>
      <c r="G12" s="13">
        <f t="shared" si="0"/>
        <v>153.86999999999989</v>
      </c>
      <c r="H12" s="18">
        <f t="shared" si="1"/>
        <v>9.3473783966029345E-2</v>
      </c>
      <c r="I12" s="13" t="s">
        <v>451</v>
      </c>
      <c r="J12" s="13"/>
    </row>
    <row r="13" spans="1:10" x14ac:dyDescent="0.25">
      <c r="A13" s="29">
        <v>46198</v>
      </c>
      <c r="B13" s="13" t="s">
        <v>171</v>
      </c>
      <c r="C13" s="28" t="s">
        <v>457</v>
      </c>
      <c r="D13" s="13" t="s">
        <v>17</v>
      </c>
      <c r="E13" s="13">
        <v>1800</v>
      </c>
      <c r="F13" s="13">
        <v>1646.13</v>
      </c>
      <c r="G13" s="13">
        <f t="shared" si="0"/>
        <v>153.86999999999989</v>
      </c>
      <c r="H13" s="18">
        <f t="shared" si="1"/>
        <v>9.3473783966029345E-2</v>
      </c>
      <c r="I13" s="13" t="s">
        <v>451</v>
      </c>
      <c r="J13" s="13"/>
    </row>
    <row r="14" spans="1:10" x14ac:dyDescent="0.25">
      <c r="A14" s="29">
        <v>46198</v>
      </c>
      <c r="B14" s="13" t="s">
        <v>171</v>
      </c>
      <c r="C14" s="28" t="s">
        <v>458</v>
      </c>
      <c r="D14" s="13" t="s">
        <v>17</v>
      </c>
      <c r="E14" s="13">
        <v>1800</v>
      </c>
      <c r="F14" s="13">
        <v>1646.13</v>
      </c>
      <c r="G14" s="13">
        <f t="shared" si="0"/>
        <v>153.86999999999989</v>
      </c>
      <c r="H14" s="18">
        <f t="shared" si="1"/>
        <v>9.3473783966029345E-2</v>
      </c>
      <c r="I14" s="13" t="s">
        <v>451</v>
      </c>
      <c r="J14" s="13"/>
    </row>
    <row r="15" spans="1:10" x14ac:dyDescent="0.25">
      <c r="A15" s="29">
        <v>46198</v>
      </c>
      <c r="B15" s="13" t="s">
        <v>171</v>
      </c>
      <c r="C15" s="28" t="s">
        <v>459</v>
      </c>
      <c r="D15" s="13" t="s">
        <v>17</v>
      </c>
      <c r="E15" s="13">
        <v>1800</v>
      </c>
      <c r="F15" s="13">
        <v>1646.13</v>
      </c>
      <c r="G15" s="13">
        <f t="shared" si="0"/>
        <v>153.86999999999989</v>
      </c>
      <c r="H15" s="18">
        <f t="shared" si="1"/>
        <v>9.3473783966029345E-2</v>
      </c>
      <c r="I15" s="13" t="s">
        <v>451</v>
      </c>
      <c r="J15" s="13"/>
    </row>
    <row r="16" spans="1:10" x14ac:dyDescent="0.25">
      <c r="A16" s="29">
        <v>46198</v>
      </c>
      <c r="B16" s="13" t="s">
        <v>171</v>
      </c>
      <c r="C16" s="28" t="s">
        <v>460</v>
      </c>
      <c r="D16" s="13" t="s">
        <v>17</v>
      </c>
      <c r="E16" s="13">
        <v>1800</v>
      </c>
      <c r="F16" s="13">
        <v>1646.13</v>
      </c>
      <c r="G16" s="13">
        <f t="shared" si="0"/>
        <v>153.86999999999989</v>
      </c>
      <c r="H16" s="18">
        <f t="shared" si="1"/>
        <v>9.3473783966029345E-2</v>
      </c>
      <c r="I16" s="13" t="s">
        <v>451</v>
      </c>
      <c r="J16" s="13"/>
    </row>
    <row r="17" spans="1:10" x14ac:dyDescent="0.25">
      <c r="A17" s="29">
        <v>46198</v>
      </c>
      <c r="B17" s="13" t="s">
        <v>171</v>
      </c>
      <c r="C17" s="28" t="s">
        <v>461</v>
      </c>
      <c r="D17" s="13" t="s">
        <v>17</v>
      </c>
      <c r="E17" s="13">
        <v>1800</v>
      </c>
      <c r="F17" s="13">
        <v>1646.13</v>
      </c>
      <c r="G17" s="13">
        <f t="shared" si="0"/>
        <v>153.86999999999989</v>
      </c>
      <c r="H17" s="18">
        <f t="shared" si="1"/>
        <v>9.3473783966029345E-2</v>
      </c>
      <c r="I17" s="13" t="s">
        <v>451</v>
      </c>
      <c r="J17" s="13"/>
    </row>
    <row r="18" spans="1:10" x14ac:dyDescent="0.25">
      <c r="A18" s="29">
        <v>46198</v>
      </c>
      <c r="B18" s="13" t="s">
        <v>171</v>
      </c>
      <c r="C18" s="28" t="s">
        <v>462</v>
      </c>
      <c r="D18" s="13" t="s">
        <v>17</v>
      </c>
      <c r="E18" s="13">
        <v>1800</v>
      </c>
      <c r="F18" s="13">
        <v>1646.13</v>
      </c>
      <c r="G18" s="13">
        <f t="shared" si="0"/>
        <v>153.86999999999989</v>
      </c>
      <c r="H18" s="18">
        <f t="shared" si="1"/>
        <v>9.3473783966029345E-2</v>
      </c>
      <c r="I18" s="13" t="s">
        <v>451</v>
      </c>
      <c r="J18" s="13"/>
    </row>
    <row r="19" spans="1:10" x14ac:dyDescent="0.25">
      <c r="A19" s="29">
        <v>46198</v>
      </c>
      <c r="B19" s="13" t="s">
        <v>171</v>
      </c>
      <c r="C19" s="28" t="s">
        <v>463</v>
      </c>
      <c r="D19" s="13" t="s">
        <v>17</v>
      </c>
      <c r="E19" s="13">
        <v>1800</v>
      </c>
      <c r="F19" s="13">
        <v>1646.13</v>
      </c>
      <c r="G19" s="13">
        <f t="shared" si="0"/>
        <v>153.86999999999989</v>
      </c>
      <c r="H19" s="18">
        <f t="shared" si="1"/>
        <v>9.3473783966029345E-2</v>
      </c>
      <c r="I19" s="13" t="s">
        <v>451</v>
      </c>
      <c r="J19" s="13"/>
    </row>
    <row r="20" spans="1:10" x14ac:dyDescent="0.25">
      <c r="A20" s="29">
        <v>46198</v>
      </c>
      <c r="B20" s="13" t="s">
        <v>171</v>
      </c>
      <c r="C20" s="28" t="s">
        <v>464</v>
      </c>
      <c r="D20" s="13" t="s">
        <v>17</v>
      </c>
      <c r="E20" s="13">
        <v>1800</v>
      </c>
      <c r="F20" s="13">
        <v>1646.13</v>
      </c>
      <c r="G20" s="13">
        <f t="shared" si="0"/>
        <v>153.86999999999989</v>
      </c>
      <c r="H20" s="18">
        <f t="shared" si="1"/>
        <v>9.3473783966029345E-2</v>
      </c>
      <c r="I20" s="13" t="s">
        <v>451</v>
      </c>
      <c r="J20" s="13"/>
    </row>
    <row r="21" spans="1:10" x14ac:dyDescent="0.25">
      <c r="A21" s="29">
        <v>46198</v>
      </c>
      <c r="B21" s="13" t="s">
        <v>171</v>
      </c>
      <c r="C21" s="28" t="s">
        <v>465</v>
      </c>
      <c r="D21" s="13" t="s">
        <v>17</v>
      </c>
      <c r="E21" s="13">
        <v>1800</v>
      </c>
      <c r="F21" s="13">
        <v>1646.13</v>
      </c>
      <c r="G21" s="13">
        <f t="shared" si="0"/>
        <v>153.86999999999989</v>
      </c>
      <c r="H21" s="18">
        <f t="shared" si="1"/>
        <v>9.3473783966029345E-2</v>
      </c>
      <c r="I21" s="13" t="s">
        <v>451</v>
      </c>
      <c r="J21" s="13"/>
    </row>
    <row r="22" spans="1:10" x14ac:dyDescent="0.25">
      <c r="A22" s="29">
        <v>46198</v>
      </c>
      <c r="B22" s="13" t="s">
        <v>171</v>
      </c>
      <c r="C22" s="28" t="s">
        <v>466</v>
      </c>
      <c r="D22" s="13" t="s">
        <v>17</v>
      </c>
      <c r="E22" s="13">
        <v>1800</v>
      </c>
      <c r="F22" s="13">
        <v>1646.13</v>
      </c>
      <c r="G22" s="13">
        <f t="shared" si="0"/>
        <v>153.86999999999989</v>
      </c>
      <c r="H22" s="18">
        <f t="shared" si="1"/>
        <v>9.3473783966029345E-2</v>
      </c>
      <c r="I22" s="13" t="s">
        <v>451</v>
      </c>
      <c r="J22" s="13"/>
    </row>
    <row r="23" spans="1:10" x14ac:dyDescent="0.25">
      <c r="A23" s="29">
        <v>46198</v>
      </c>
      <c r="B23" s="13" t="s">
        <v>171</v>
      </c>
      <c r="C23" s="28" t="s">
        <v>467</v>
      </c>
      <c r="D23" s="13" t="s">
        <v>17</v>
      </c>
      <c r="E23" s="13">
        <v>1800</v>
      </c>
      <c r="F23" s="13">
        <v>1646.13</v>
      </c>
      <c r="G23" s="13">
        <f t="shared" si="0"/>
        <v>153.86999999999989</v>
      </c>
      <c r="H23" s="18">
        <f t="shared" si="1"/>
        <v>9.3473783966029345E-2</v>
      </c>
      <c r="I23" s="13" t="s">
        <v>451</v>
      </c>
      <c r="J23" s="13"/>
    </row>
    <row r="24" spans="1:10" x14ac:dyDescent="0.25">
      <c r="A24" s="29">
        <v>46198</v>
      </c>
      <c r="B24" s="13" t="s">
        <v>171</v>
      </c>
      <c r="C24" s="28" t="s">
        <v>468</v>
      </c>
      <c r="D24" s="13" t="s">
        <v>17</v>
      </c>
      <c r="E24" s="13">
        <v>1800</v>
      </c>
      <c r="F24" s="13">
        <v>1646.13</v>
      </c>
      <c r="G24" s="13">
        <f t="shared" si="0"/>
        <v>153.86999999999989</v>
      </c>
      <c r="H24" s="18">
        <f t="shared" si="1"/>
        <v>9.3473783966029345E-2</v>
      </c>
      <c r="I24" s="13" t="s">
        <v>451</v>
      </c>
      <c r="J24" s="13"/>
    </row>
    <row r="25" spans="1:10" x14ac:dyDescent="0.25">
      <c r="A25" s="29">
        <v>46198</v>
      </c>
      <c r="B25" s="13" t="s">
        <v>171</v>
      </c>
      <c r="C25" s="28" t="s">
        <v>469</v>
      </c>
      <c r="D25" s="13" t="s">
        <v>17</v>
      </c>
      <c r="E25" s="13">
        <v>1800</v>
      </c>
      <c r="F25" s="13">
        <v>1646.13</v>
      </c>
      <c r="G25" s="13">
        <f t="shared" si="0"/>
        <v>153.86999999999989</v>
      </c>
      <c r="H25" s="18">
        <f t="shared" si="1"/>
        <v>9.3473783966029345E-2</v>
      </c>
      <c r="I25" s="13" t="s">
        <v>451</v>
      </c>
      <c r="J25" s="13"/>
    </row>
    <row r="26" spans="1:10" x14ac:dyDescent="0.25">
      <c r="A26" s="29">
        <v>46198</v>
      </c>
      <c r="B26" s="13" t="s">
        <v>171</v>
      </c>
      <c r="C26" s="28" t="s">
        <v>470</v>
      </c>
      <c r="D26" s="13" t="s">
        <v>17</v>
      </c>
      <c r="E26" s="13">
        <v>1800</v>
      </c>
      <c r="F26" s="13">
        <v>1646.13</v>
      </c>
      <c r="G26" s="13">
        <f t="shared" si="0"/>
        <v>153.86999999999989</v>
      </c>
      <c r="H26" s="18">
        <f t="shared" si="1"/>
        <v>9.3473783966029345E-2</v>
      </c>
      <c r="I26" s="13" t="s">
        <v>451</v>
      </c>
      <c r="J26" s="13"/>
    </row>
    <row r="27" spans="1:10" x14ac:dyDescent="0.25">
      <c r="A27" s="29">
        <v>46198</v>
      </c>
      <c r="B27" s="13" t="s">
        <v>171</v>
      </c>
      <c r="C27" s="28" t="s">
        <v>471</v>
      </c>
      <c r="D27" s="13" t="s">
        <v>17</v>
      </c>
      <c r="E27" s="13">
        <v>1800</v>
      </c>
      <c r="F27" s="13">
        <v>1646.13</v>
      </c>
      <c r="G27" s="13">
        <f t="shared" si="0"/>
        <v>153.86999999999989</v>
      </c>
      <c r="H27" s="18">
        <f t="shared" si="1"/>
        <v>9.3473783966029345E-2</v>
      </c>
      <c r="I27" s="13" t="s">
        <v>451</v>
      </c>
      <c r="J27" s="13"/>
    </row>
    <row r="28" spans="1:10" x14ac:dyDescent="0.25">
      <c r="A28" s="29">
        <v>46198</v>
      </c>
      <c r="B28" s="13" t="s">
        <v>171</v>
      </c>
      <c r="C28" s="28" t="s">
        <v>472</v>
      </c>
      <c r="D28" s="13" t="s">
        <v>17</v>
      </c>
      <c r="E28" s="13">
        <v>1800</v>
      </c>
      <c r="F28" s="13">
        <v>1646.13</v>
      </c>
      <c r="G28" s="13">
        <f t="shared" si="0"/>
        <v>153.86999999999989</v>
      </c>
      <c r="H28" s="18">
        <f t="shared" si="1"/>
        <v>9.3473783966029345E-2</v>
      </c>
      <c r="I28" s="13" t="s">
        <v>451</v>
      </c>
      <c r="J28" s="13"/>
    </row>
    <row r="29" spans="1:10" x14ac:dyDescent="0.25">
      <c r="A29" s="29">
        <v>46198</v>
      </c>
      <c r="B29" s="13" t="s">
        <v>171</v>
      </c>
      <c r="C29" s="28" t="s">
        <v>473</v>
      </c>
      <c r="D29" s="13" t="s">
        <v>17</v>
      </c>
      <c r="E29" s="13">
        <v>1800</v>
      </c>
      <c r="F29" s="13">
        <v>1646.13</v>
      </c>
      <c r="G29" s="13">
        <f t="shared" si="0"/>
        <v>153.86999999999989</v>
      </c>
      <c r="H29" s="18">
        <f t="shared" si="1"/>
        <v>9.3473783966029345E-2</v>
      </c>
      <c r="I29" s="13" t="s">
        <v>451</v>
      </c>
      <c r="J29" s="13"/>
    </row>
    <row r="30" spans="1:10" x14ac:dyDescent="0.25">
      <c r="A30" s="29">
        <v>46198</v>
      </c>
      <c r="B30" s="13" t="s">
        <v>171</v>
      </c>
      <c r="C30" s="28" t="s">
        <v>474</v>
      </c>
      <c r="D30" s="13" t="s">
        <v>17</v>
      </c>
      <c r="E30" s="13">
        <v>1800</v>
      </c>
      <c r="F30" s="13">
        <v>1646.13</v>
      </c>
      <c r="G30" s="13">
        <f t="shared" si="0"/>
        <v>153.86999999999989</v>
      </c>
      <c r="H30" s="18">
        <f t="shared" si="1"/>
        <v>9.3473783966029345E-2</v>
      </c>
      <c r="I30" s="13" t="s">
        <v>451</v>
      </c>
      <c r="J30" s="13"/>
    </row>
    <row r="31" spans="1:10" x14ac:dyDescent="0.25">
      <c r="A31" s="29">
        <v>46198</v>
      </c>
      <c r="B31" s="13" t="s">
        <v>171</v>
      </c>
      <c r="C31" s="28" t="s">
        <v>475</v>
      </c>
      <c r="D31" s="13" t="s">
        <v>17</v>
      </c>
      <c r="E31" s="13">
        <v>1800</v>
      </c>
      <c r="F31" s="13">
        <v>1646.13</v>
      </c>
      <c r="G31" s="13">
        <f t="shared" si="0"/>
        <v>153.86999999999989</v>
      </c>
      <c r="H31" s="18">
        <f t="shared" si="1"/>
        <v>9.3473783966029345E-2</v>
      </c>
      <c r="I31" s="13" t="s">
        <v>451</v>
      </c>
      <c r="J31" s="13"/>
    </row>
    <row r="32" spans="1:10" x14ac:dyDescent="0.25">
      <c r="A32" s="29">
        <v>46198</v>
      </c>
      <c r="B32" s="13" t="s">
        <v>171</v>
      </c>
      <c r="C32" s="28" t="s">
        <v>476</v>
      </c>
      <c r="D32" s="13" t="s">
        <v>17</v>
      </c>
      <c r="E32" s="13">
        <v>1800</v>
      </c>
      <c r="F32" s="13">
        <v>1646.13</v>
      </c>
      <c r="G32" s="13">
        <f t="shared" si="0"/>
        <v>153.86999999999989</v>
      </c>
      <c r="H32" s="18">
        <f t="shared" si="1"/>
        <v>9.3473783966029345E-2</v>
      </c>
      <c r="I32" s="13" t="s">
        <v>451</v>
      </c>
      <c r="J32" s="13"/>
    </row>
    <row r="33" spans="1:10" x14ac:dyDescent="0.25">
      <c r="A33" s="29">
        <v>46198</v>
      </c>
      <c r="B33" s="13" t="s">
        <v>171</v>
      </c>
      <c r="C33" s="28" t="s">
        <v>477</v>
      </c>
      <c r="D33" s="13" t="s">
        <v>17</v>
      </c>
      <c r="E33" s="13">
        <v>1800</v>
      </c>
      <c r="F33" s="13">
        <v>1646.13</v>
      </c>
      <c r="G33" s="13">
        <f t="shared" si="0"/>
        <v>153.86999999999989</v>
      </c>
      <c r="H33" s="18">
        <f t="shared" si="1"/>
        <v>9.3473783966029345E-2</v>
      </c>
      <c r="I33" s="13" t="s">
        <v>451</v>
      </c>
      <c r="J33" s="13"/>
    </row>
    <row r="34" spans="1:10" x14ac:dyDescent="0.25">
      <c r="A34" s="29">
        <v>46198</v>
      </c>
      <c r="B34" s="13" t="s">
        <v>171</v>
      </c>
      <c r="C34" s="28" t="s">
        <v>478</v>
      </c>
      <c r="D34" s="13" t="s">
        <v>17</v>
      </c>
      <c r="E34" s="13">
        <v>1800</v>
      </c>
      <c r="F34" s="13">
        <v>1646.13</v>
      </c>
      <c r="G34" s="13">
        <f t="shared" si="0"/>
        <v>153.86999999999989</v>
      </c>
      <c r="H34" s="18">
        <f t="shared" si="1"/>
        <v>9.3473783966029345E-2</v>
      </c>
      <c r="I34" s="13" t="s">
        <v>451</v>
      </c>
      <c r="J34" s="13"/>
    </row>
    <row r="35" spans="1:10" x14ac:dyDescent="0.25">
      <c r="A35" s="29">
        <v>46198</v>
      </c>
      <c r="B35" s="13" t="s">
        <v>171</v>
      </c>
      <c r="C35" s="28" t="s">
        <v>479</v>
      </c>
      <c r="D35" s="13" t="s">
        <v>17</v>
      </c>
      <c r="E35" s="13">
        <v>1800</v>
      </c>
      <c r="F35" s="13">
        <v>1646.13</v>
      </c>
      <c r="G35" s="13">
        <f t="shared" si="0"/>
        <v>153.86999999999989</v>
      </c>
      <c r="H35" s="18">
        <f t="shared" si="1"/>
        <v>9.3473783966029345E-2</v>
      </c>
      <c r="I35" s="13" t="s">
        <v>451</v>
      </c>
      <c r="J35" s="13"/>
    </row>
    <row r="36" spans="1:10" x14ac:dyDescent="0.25">
      <c r="A36" s="29">
        <v>46198</v>
      </c>
      <c r="B36" s="13" t="s">
        <v>171</v>
      </c>
      <c r="C36" s="28" t="s">
        <v>480</v>
      </c>
      <c r="D36" s="13" t="s">
        <v>17</v>
      </c>
      <c r="E36" s="13">
        <v>1800</v>
      </c>
      <c r="F36" s="13">
        <v>1646.13</v>
      </c>
      <c r="G36" s="13">
        <f t="shared" si="0"/>
        <v>153.86999999999989</v>
      </c>
      <c r="H36" s="18">
        <f t="shared" si="1"/>
        <v>9.3473783966029345E-2</v>
      </c>
      <c r="I36" s="13" t="s">
        <v>451</v>
      </c>
      <c r="J36" s="13"/>
    </row>
    <row r="37" spans="1:10" x14ac:dyDescent="0.25">
      <c r="A37" s="29">
        <v>46198</v>
      </c>
      <c r="B37" s="13" t="s">
        <v>171</v>
      </c>
      <c r="C37" s="28" t="s">
        <v>481</v>
      </c>
      <c r="D37" s="13" t="s">
        <v>17</v>
      </c>
      <c r="E37" s="13">
        <v>1800</v>
      </c>
      <c r="F37" s="13">
        <v>1646.13</v>
      </c>
      <c r="G37" s="13">
        <f t="shared" si="0"/>
        <v>153.86999999999989</v>
      </c>
      <c r="H37" s="18">
        <f t="shared" si="1"/>
        <v>9.3473783966029345E-2</v>
      </c>
      <c r="I37" s="13" t="s">
        <v>451</v>
      </c>
      <c r="J37" s="13"/>
    </row>
    <row r="38" spans="1:10" x14ac:dyDescent="0.25">
      <c r="A38" s="34">
        <v>46200</v>
      </c>
      <c r="B38" s="21" t="s">
        <v>54</v>
      </c>
      <c r="C38" s="35">
        <v>352355705028779</v>
      </c>
      <c r="D38" s="21" t="s">
        <v>327</v>
      </c>
      <c r="E38" s="21">
        <v>3750</v>
      </c>
      <c r="F38" s="21">
        <v>4041.4</v>
      </c>
      <c r="G38" s="21">
        <f t="shared" si="0"/>
        <v>-291.40000000000009</v>
      </c>
      <c r="H38" s="24">
        <f t="shared" si="1"/>
        <v>-7.2103726431434673E-2</v>
      </c>
      <c r="I38" s="21" t="s">
        <v>209</v>
      </c>
      <c r="J38" s="21" t="s">
        <v>55</v>
      </c>
    </row>
    <row r="39" spans="1:10" x14ac:dyDescent="0.25">
      <c r="A39" s="34">
        <v>46200</v>
      </c>
      <c r="B39" s="21" t="s">
        <v>54</v>
      </c>
      <c r="C39" s="35">
        <v>352355708102043</v>
      </c>
      <c r="D39" s="21" t="s">
        <v>327</v>
      </c>
      <c r="E39" s="21">
        <v>3750</v>
      </c>
      <c r="F39" s="21">
        <v>4041.4</v>
      </c>
      <c r="G39" s="21">
        <f t="shared" si="0"/>
        <v>-291.40000000000009</v>
      </c>
      <c r="H39" s="24">
        <f t="shared" si="1"/>
        <v>-7.2103726431434673E-2</v>
      </c>
      <c r="I39" s="21" t="s">
        <v>209</v>
      </c>
      <c r="J39" s="21" t="s">
        <v>55</v>
      </c>
    </row>
    <row r="40" spans="1:10" x14ac:dyDescent="0.25">
      <c r="A40" s="29">
        <v>46200</v>
      </c>
      <c r="B40" s="13" t="s">
        <v>489</v>
      </c>
      <c r="C40" s="28">
        <v>352355701394902</v>
      </c>
      <c r="D40" s="13" t="s">
        <v>327</v>
      </c>
      <c r="E40" s="13">
        <v>4700</v>
      </c>
      <c r="F40" s="13">
        <v>4335.32</v>
      </c>
      <c r="G40" s="13">
        <f t="shared" si="0"/>
        <v>364.68000000000029</v>
      </c>
      <c r="H40" s="18">
        <f t="shared" si="1"/>
        <v>8.4118358045080943E-2</v>
      </c>
      <c r="I40" s="13" t="s">
        <v>209</v>
      </c>
      <c r="J40" s="13"/>
    </row>
    <row r="41" spans="1:10" x14ac:dyDescent="0.25">
      <c r="A41" s="29">
        <v>46200</v>
      </c>
      <c r="B41" s="13" t="s">
        <v>489</v>
      </c>
      <c r="C41" s="28">
        <v>352355701982037</v>
      </c>
      <c r="D41" s="13" t="s">
        <v>327</v>
      </c>
      <c r="E41" s="13">
        <v>4700</v>
      </c>
      <c r="F41" s="13">
        <v>4335.32</v>
      </c>
      <c r="G41" s="13">
        <f t="shared" si="0"/>
        <v>364.68000000000029</v>
      </c>
      <c r="H41" s="18">
        <f t="shared" si="1"/>
        <v>8.4118358045080943E-2</v>
      </c>
      <c r="I41" s="13" t="s">
        <v>209</v>
      </c>
      <c r="J41" s="13"/>
    </row>
    <row r="42" spans="1:10" x14ac:dyDescent="0.25">
      <c r="A42" s="29">
        <v>46200</v>
      </c>
      <c r="B42" s="13" t="s">
        <v>489</v>
      </c>
      <c r="C42" s="28">
        <v>352355703486409</v>
      </c>
      <c r="D42" s="13" t="s">
        <v>327</v>
      </c>
      <c r="E42" s="13">
        <v>4700</v>
      </c>
      <c r="F42" s="13">
        <v>4335.32</v>
      </c>
      <c r="G42" s="13">
        <f t="shared" si="0"/>
        <v>364.68000000000029</v>
      </c>
      <c r="H42" s="18">
        <f t="shared" si="1"/>
        <v>8.4118358045080943E-2</v>
      </c>
      <c r="I42" s="13" t="s">
        <v>209</v>
      </c>
      <c r="J42" s="13"/>
    </row>
    <row r="43" spans="1:10" x14ac:dyDescent="0.25">
      <c r="A43" s="29">
        <v>46200</v>
      </c>
      <c r="B43" s="13" t="s">
        <v>489</v>
      </c>
      <c r="C43" s="28">
        <v>352355704770173</v>
      </c>
      <c r="D43" s="13" t="s">
        <v>327</v>
      </c>
      <c r="E43" s="13">
        <v>4700</v>
      </c>
      <c r="F43" s="13">
        <v>4335.32</v>
      </c>
      <c r="G43" s="13">
        <f t="shared" si="0"/>
        <v>364.68000000000029</v>
      </c>
      <c r="H43" s="18">
        <f t="shared" si="1"/>
        <v>8.4118358045080943E-2</v>
      </c>
      <c r="I43" s="13" t="s">
        <v>209</v>
      </c>
      <c r="J43" s="13"/>
    </row>
    <row r="44" spans="1:10" x14ac:dyDescent="0.25">
      <c r="A44" s="29">
        <v>46200</v>
      </c>
      <c r="B44" s="13" t="s">
        <v>489</v>
      </c>
      <c r="C44" s="28">
        <v>352355705023697</v>
      </c>
      <c r="D44" s="13" t="s">
        <v>327</v>
      </c>
      <c r="E44" s="13">
        <v>4700</v>
      </c>
      <c r="F44" s="13">
        <v>4335.32</v>
      </c>
      <c r="G44" s="13">
        <f t="shared" si="0"/>
        <v>364.68000000000029</v>
      </c>
      <c r="H44" s="18">
        <f t="shared" si="1"/>
        <v>8.4118358045080943E-2</v>
      </c>
      <c r="I44" s="13" t="s">
        <v>209</v>
      </c>
      <c r="J44" s="13"/>
    </row>
    <row r="45" spans="1:10" x14ac:dyDescent="0.25">
      <c r="A45" s="29">
        <v>46200</v>
      </c>
      <c r="B45" s="13" t="s">
        <v>489</v>
      </c>
      <c r="C45" s="28">
        <v>352355706247329</v>
      </c>
      <c r="D45" s="13" t="s">
        <v>327</v>
      </c>
      <c r="E45" s="13">
        <v>4700</v>
      </c>
      <c r="F45" s="13">
        <v>4335.32</v>
      </c>
      <c r="G45" s="13">
        <f t="shared" si="0"/>
        <v>364.68000000000029</v>
      </c>
      <c r="H45" s="18">
        <f t="shared" si="1"/>
        <v>8.4118358045080943E-2</v>
      </c>
      <c r="I45" s="13" t="s">
        <v>209</v>
      </c>
      <c r="J45" s="13"/>
    </row>
    <row r="46" spans="1:10" x14ac:dyDescent="0.25">
      <c r="A46" s="29">
        <v>46200</v>
      </c>
      <c r="B46" s="13" t="s">
        <v>489</v>
      </c>
      <c r="C46" s="28">
        <v>352355707802791</v>
      </c>
      <c r="D46" s="13" t="s">
        <v>327</v>
      </c>
      <c r="E46" s="13">
        <v>4700</v>
      </c>
      <c r="F46" s="13">
        <v>4335.32</v>
      </c>
      <c r="G46" s="13">
        <f t="shared" si="0"/>
        <v>364.68000000000029</v>
      </c>
      <c r="H46" s="18">
        <f t="shared" si="1"/>
        <v>8.4118358045080943E-2</v>
      </c>
      <c r="I46" s="13" t="s">
        <v>209</v>
      </c>
      <c r="J46" s="13"/>
    </row>
    <row r="47" spans="1:10" x14ac:dyDescent="0.25">
      <c r="A47" s="29">
        <v>46203</v>
      </c>
      <c r="B47" s="13" t="s">
        <v>276</v>
      </c>
      <c r="C47" s="28">
        <v>19753958452</v>
      </c>
      <c r="D47" s="13" t="s">
        <v>17</v>
      </c>
      <c r="E47" s="13">
        <v>4000</v>
      </c>
      <c r="F47" s="13">
        <v>3393.08</v>
      </c>
      <c r="G47" s="13">
        <f t="shared" si="0"/>
        <v>606.92000000000007</v>
      </c>
      <c r="H47" s="18">
        <f t="shared" si="1"/>
        <v>0.17886993528004058</v>
      </c>
      <c r="I47" s="13" t="s">
        <v>209</v>
      </c>
      <c r="J47" s="13"/>
    </row>
    <row r="48" spans="1:10" x14ac:dyDescent="0.25">
      <c r="A48" s="29">
        <v>46203</v>
      </c>
      <c r="B48" s="13" t="s">
        <v>276</v>
      </c>
      <c r="C48" s="28">
        <v>41673061439</v>
      </c>
      <c r="D48" s="13" t="s">
        <v>17</v>
      </c>
      <c r="E48" s="13">
        <v>4000</v>
      </c>
      <c r="F48" s="13">
        <v>3393.08</v>
      </c>
      <c r="G48" s="13">
        <f t="shared" si="0"/>
        <v>606.92000000000007</v>
      </c>
      <c r="H48" s="18">
        <f t="shared" si="1"/>
        <v>0.17886993528004058</v>
      </c>
      <c r="I48" s="13" t="s">
        <v>209</v>
      </c>
      <c r="J48" s="13"/>
    </row>
    <row r="49" spans="1:10" x14ac:dyDescent="0.25">
      <c r="A49" s="29">
        <v>46203</v>
      </c>
      <c r="B49" s="13" t="s">
        <v>276</v>
      </c>
      <c r="C49" s="28">
        <v>51475082422</v>
      </c>
      <c r="D49" s="13" t="s">
        <v>17</v>
      </c>
      <c r="E49" s="13">
        <v>4000</v>
      </c>
      <c r="F49" s="13">
        <v>3393.08</v>
      </c>
      <c r="G49" s="13">
        <f t="shared" si="0"/>
        <v>606.92000000000007</v>
      </c>
      <c r="H49" s="18">
        <f t="shared" si="1"/>
        <v>0.17886993528004058</v>
      </c>
      <c r="I49" s="13" t="s">
        <v>209</v>
      </c>
      <c r="J49" s="13"/>
    </row>
    <row r="50" spans="1:10" x14ac:dyDescent="0.25">
      <c r="A50" s="29">
        <v>46203</v>
      </c>
      <c r="B50" s="13" t="s">
        <v>276</v>
      </c>
      <c r="C50" s="28">
        <v>51650070425</v>
      </c>
      <c r="D50" s="13" t="s">
        <v>17</v>
      </c>
      <c r="E50" s="13">
        <v>4000</v>
      </c>
      <c r="F50" s="13">
        <v>3393.08</v>
      </c>
      <c r="G50" s="13">
        <f t="shared" si="0"/>
        <v>606.92000000000007</v>
      </c>
      <c r="H50" s="18">
        <f t="shared" si="1"/>
        <v>0.17886993528004058</v>
      </c>
      <c r="I50" s="13" t="s">
        <v>209</v>
      </c>
      <c r="J50" s="13"/>
    </row>
    <row r="51" spans="1:10" x14ac:dyDescent="0.25">
      <c r="A51" s="29">
        <v>46203</v>
      </c>
      <c r="B51" s="13" t="s">
        <v>276</v>
      </c>
      <c r="C51" s="28">
        <v>59796557268</v>
      </c>
      <c r="D51" s="13" t="s">
        <v>17</v>
      </c>
      <c r="E51" s="13">
        <v>4000</v>
      </c>
      <c r="F51" s="13">
        <v>3393.08</v>
      </c>
      <c r="G51" s="13">
        <f t="shared" si="0"/>
        <v>606.92000000000007</v>
      </c>
      <c r="H51" s="18">
        <f t="shared" si="1"/>
        <v>0.17886993528004058</v>
      </c>
      <c r="I51" s="13" t="s">
        <v>209</v>
      </c>
      <c r="J51" s="13"/>
    </row>
    <row r="52" spans="1:10" x14ac:dyDescent="0.25">
      <c r="A52" s="29">
        <v>46203</v>
      </c>
      <c r="B52" s="13" t="s">
        <v>276</v>
      </c>
      <c r="C52" s="28">
        <v>61625090487</v>
      </c>
      <c r="D52" s="13" t="s">
        <v>17</v>
      </c>
      <c r="E52" s="13">
        <v>4000</v>
      </c>
      <c r="F52" s="13">
        <v>3393.08</v>
      </c>
      <c r="G52" s="13">
        <f t="shared" si="0"/>
        <v>606.92000000000007</v>
      </c>
      <c r="H52" s="18">
        <f t="shared" si="1"/>
        <v>0.17886993528004058</v>
      </c>
      <c r="I52" s="13" t="s">
        <v>209</v>
      </c>
      <c r="J52" s="13"/>
    </row>
    <row r="53" spans="1:10" x14ac:dyDescent="0.25">
      <c r="A53" s="29">
        <v>46203</v>
      </c>
      <c r="B53" s="13" t="s">
        <v>276</v>
      </c>
      <c r="C53" s="28">
        <v>79760568862</v>
      </c>
      <c r="D53" s="13" t="s">
        <v>17</v>
      </c>
      <c r="E53" s="13">
        <v>4000</v>
      </c>
      <c r="F53" s="13">
        <v>3393.08</v>
      </c>
      <c r="G53" s="13">
        <f t="shared" si="0"/>
        <v>606.92000000000007</v>
      </c>
      <c r="H53" s="18">
        <f t="shared" si="1"/>
        <v>0.17886993528004058</v>
      </c>
      <c r="I53" s="13" t="s">
        <v>209</v>
      </c>
      <c r="J53" s="13"/>
    </row>
    <row r="54" spans="1:10" x14ac:dyDescent="0.25">
      <c r="E54" s="36" t="s">
        <v>567</v>
      </c>
      <c r="F54" s="36" t="s">
        <v>574</v>
      </c>
      <c r="G54" s="36" t="s">
        <v>575</v>
      </c>
      <c r="H54" s="37" t="s">
        <v>572</v>
      </c>
      <c r="I54" s="13"/>
      <c r="J54" s="13"/>
    </row>
    <row r="55" spans="1:10" x14ac:dyDescent="0.25">
      <c r="E55" s="10">
        <f t="shared" ref="E55:G55" si="2">SUM(E2:E54)</f>
        <v>161200</v>
      </c>
      <c r="F55" s="10">
        <f t="shared" si="2"/>
        <v>135830.93</v>
      </c>
      <c r="G55" s="10">
        <f t="shared" si="2"/>
        <v>25369.069999999956</v>
      </c>
      <c r="H55" s="12">
        <f>AVERAGE(H2:H54)</f>
        <v>0.12981057665507681</v>
      </c>
      <c r="I55" s="13"/>
      <c r="J55" s="13"/>
    </row>
  </sheetData>
  <conditionalFormatting sqref="C2:C53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03"/>
  <sheetViews>
    <sheetView topLeftCell="A304" zoomScale="90" zoomScaleNormal="90" workbookViewId="0">
      <selection activeCell="E2" sqref="E2:G302"/>
    </sheetView>
  </sheetViews>
  <sheetFormatPr defaultRowHeight="15" x14ac:dyDescent="0.25"/>
  <cols>
    <col min="1" max="1" width="13.5703125" style="27" customWidth="1"/>
    <col min="2" max="2" width="54.5703125" bestFit="1" customWidth="1"/>
    <col min="3" max="3" width="35" style="27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9" x14ac:dyDescent="0.25">
      <c r="A1" s="8" t="s">
        <v>5</v>
      </c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8" t="s">
        <v>11</v>
      </c>
      <c r="H1" s="25" t="s">
        <v>12</v>
      </c>
      <c r="I1" s="8" t="s">
        <v>13</v>
      </c>
    </row>
    <row r="2" spans="1:9" x14ac:dyDescent="0.25">
      <c r="A2" s="31">
        <v>46175</v>
      </c>
      <c r="B2" t="s">
        <v>34</v>
      </c>
      <c r="C2" s="30">
        <v>357254472231267</v>
      </c>
      <c r="E2">
        <v>3063.29</v>
      </c>
      <c r="F2">
        <v>2750</v>
      </c>
      <c r="G2">
        <f>E2-F2</f>
        <v>313.28999999999996</v>
      </c>
      <c r="H2" s="4">
        <f>(E2-F2)/F2</f>
        <v>0.11392363636363635</v>
      </c>
      <c r="I2" t="s">
        <v>35</v>
      </c>
    </row>
    <row r="3" spans="1:9" x14ac:dyDescent="0.25">
      <c r="A3" s="31">
        <v>46177</v>
      </c>
      <c r="B3" t="s">
        <v>36</v>
      </c>
      <c r="C3" s="30">
        <v>358434708127583</v>
      </c>
      <c r="D3" t="s">
        <v>99</v>
      </c>
      <c r="E3">
        <v>3367.08</v>
      </c>
      <c r="F3">
        <v>3050</v>
      </c>
      <c r="G3">
        <f t="shared" ref="G3:G66" si="0">E3-F3</f>
        <v>317.07999999999993</v>
      </c>
      <c r="H3" s="4">
        <f t="shared" ref="H3:H66" si="1">(E3-F3)/F3</f>
        <v>0.1039606557377049</v>
      </c>
      <c r="I3" t="s">
        <v>35</v>
      </c>
    </row>
    <row r="4" spans="1:9" x14ac:dyDescent="0.25">
      <c r="A4" s="31">
        <v>46178</v>
      </c>
      <c r="B4" t="s">
        <v>29</v>
      </c>
      <c r="C4" s="30">
        <v>356187984446307</v>
      </c>
      <c r="D4" t="s">
        <v>108</v>
      </c>
      <c r="E4">
        <v>2470</v>
      </c>
      <c r="F4">
        <v>2380</v>
      </c>
      <c r="G4">
        <f t="shared" si="0"/>
        <v>90</v>
      </c>
      <c r="H4" s="4">
        <f t="shared" si="1"/>
        <v>3.7815126050420166E-2</v>
      </c>
      <c r="I4" t="s">
        <v>35</v>
      </c>
    </row>
    <row r="5" spans="1:9" x14ac:dyDescent="0.25">
      <c r="A5" s="31">
        <v>46178</v>
      </c>
      <c r="B5" t="s">
        <v>29</v>
      </c>
      <c r="C5" s="30">
        <v>356187985067631</v>
      </c>
      <c r="D5" t="s">
        <v>109</v>
      </c>
      <c r="E5">
        <v>2850</v>
      </c>
      <c r="F5">
        <v>2380</v>
      </c>
      <c r="G5">
        <f t="shared" si="0"/>
        <v>470</v>
      </c>
      <c r="H5" s="4">
        <f t="shared" si="1"/>
        <v>0.19747899159663865</v>
      </c>
      <c r="I5" t="s">
        <v>35</v>
      </c>
    </row>
    <row r="6" spans="1:9" x14ac:dyDescent="0.25">
      <c r="A6" s="31">
        <v>46178</v>
      </c>
      <c r="B6" t="s">
        <v>29</v>
      </c>
      <c r="C6" s="30">
        <v>358135796129197</v>
      </c>
      <c r="D6" t="s">
        <v>110</v>
      </c>
      <c r="E6">
        <v>2510</v>
      </c>
      <c r="F6">
        <v>2380</v>
      </c>
      <c r="G6">
        <f t="shared" si="0"/>
        <v>130</v>
      </c>
      <c r="H6" s="4">
        <f t="shared" si="1"/>
        <v>5.4621848739495799E-2</v>
      </c>
      <c r="I6" t="s">
        <v>35</v>
      </c>
    </row>
    <row r="7" spans="1:9" x14ac:dyDescent="0.25">
      <c r="A7" s="31">
        <v>46178</v>
      </c>
      <c r="B7" t="s">
        <v>29</v>
      </c>
      <c r="C7" s="30">
        <v>358135796236836</v>
      </c>
      <c r="D7" t="s">
        <v>110</v>
      </c>
      <c r="E7">
        <v>2510</v>
      </c>
      <c r="F7">
        <v>2380</v>
      </c>
      <c r="G7">
        <f t="shared" si="0"/>
        <v>130</v>
      </c>
      <c r="H7" s="4">
        <f t="shared" si="1"/>
        <v>5.4621848739495799E-2</v>
      </c>
      <c r="I7" t="s">
        <v>35</v>
      </c>
    </row>
    <row r="8" spans="1:9" x14ac:dyDescent="0.25">
      <c r="A8" s="31">
        <v>46178</v>
      </c>
      <c r="B8" t="s">
        <v>29</v>
      </c>
      <c r="C8" s="30">
        <v>358135797480052</v>
      </c>
      <c r="D8" t="s">
        <v>110</v>
      </c>
      <c r="E8">
        <v>2510</v>
      </c>
      <c r="F8">
        <v>2380</v>
      </c>
      <c r="G8">
        <f t="shared" si="0"/>
        <v>130</v>
      </c>
      <c r="H8" s="4">
        <f t="shared" si="1"/>
        <v>5.4621848739495799E-2</v>
      </c>
      <c r="I8" t="s">
        <v>35</v>
      </c>
    </row>
    <row r="9" spans="1:9" x14ac:dyDescent="0.25">
      <c r="A9" s="31">
        <v>46179</v>
      </c>
      <c r="B9" t="s">
        <v>162</v>
      </c>
      <c r="C9" s="30">
        <v>350687010566321</v>
      </c>
      <c r="D9" t="s">
        <v>114</v>
      </c>
      <c r="E9">
        <v>2470</v>
      </c>
      <c r="F9">
        <v>2450</v>
      </c>
      <c r="G9">
        <f t="shared" si="0"/>
        <v>20</v>
      </c>
      <c r="H9" s="4">
        <f t="shared" si="1"/>
        <v>8.1632653061224497E-3</v>
      </c>
      <c r="I9" t="s">
        <v>35</v>
      </c>
    </row>
    <row r="10" spans="1:9" x14ac:dyDescent="0.25">
      <c r="A10" s="31">
        <v>46179</v>
      </c>
      <c r="B10" t="s">
        <v>162</v>
      </c>
      <c r="C10" s="30">
        <v>350687011210465</v>
      </c>
      <c r="D10" t="s">
        <v>114</v>
      </c>
      <c r="E10">
        <v>2470</v>
      </c>
      <c r="F10">
        <v>2450</v>
      </c>
      <c r="G10">
        <f t="shared" si="0"/>
        <v>20</v>
      </c>
      <c r="H10" s="4">
        <f t="shared" si="1"/>
        <v>8.1632653061224497E-3</v>
      </c>
      <c r="I10" t="s">
        <v>35</v>
      </c>
    </row>
    <row r="11" spans="1:9" x14ac:dyDescent="0.25">
      <c r="A11" s="31">
        <v>46179</v>
      </c>
      <c r="B11" t="s">
        <v>162</v>
      </c>
      <c r="C11" s="30">
        <v>350687011309069</v>
      </c>
      <c r="D11" t="s">
        <v>114</v>
      </c>
      <c r="E11">
        <v>2470</v>
      </c>
      <c r="F11">
        <v>2450</v>
      </c>
      <c r="G11">
        <f t="shared" si="0"/>
        <v>20</v>
      </c>
      <c r="H11" s="4">
        <f t="shared" si="1"/>
        <v>8.1632653061224497E-3</v>
      </c>
      <c r="I11" t="s">
        <v>35</v>
      </c>
    </row>
    <row r="12" spans="1:9" x14ac:dyDescent="0.25">
      <c r="A12" s="31">
        <v>46179</v>
      </c>
      <c r="B12" t="s">
        <v>162</v>
      </c>
      <c r="C12" s="30">
        <v>351235186309172</v>
      </c>
      <c r="D12" t="s">
        <v>163</v>
      </c>
      <c r="E12">
        <v>2470</v>
      </c>
      <c r="F12">
        <v>2450</v>
      </c>
      <c r="G12">
        <f t="shared" si="0"/>
        <v>20</v>
      </c>
      <c r="H12" s="4">
        <f t="shared" si="1"/>
        <v>8.1632653061224497E-3</v>
      </c>
      <c r="I12" t="s">
        <v>35</v>
      </c>
    </row>
    <row r="13" spans="1:9" x14ac:dyDescent="0.25">
      <c r="A13" s="31">
        <v>46179</v>
      </c>
      <c r="B13" t="s">
        <v>162</v>
      </c>
      <c r="C13" s="30">
        <v>355837670508668</v>
      </c>
      <c r="D13" t="s">
        <v>114</v>
      </c>
      <c r="E13">
        <v>2470</v>
      </c>
      <c r="F13">
        <v>2450</v>
      </c>
      <c r="G13">
        <f t="shared" si="0"/>
        <v>20</v>
      </c>
      <c r="H13" s="4">
        <f t="shared" si="1"/>
        <v>8.1632653061224497E-3</v>
      </c>
      <c r="I13" t="s">
        <v>35</v>
      </c>
    </row>
    <row r="14" spans="1:9" x14ac:dyDescent="0.25">
      <c r="A14" s="31">
        <v>46182</v>
      </c>
      <c r="B14" t="s">
        <v>95</v>
      </c>
      <c r="C14" s="30">
        <v>357247594319119</v>
      </c>
      <c r="D14" t="s">
        <v>206</v>
      </c>
      <c r="E14">
        <v>1900</v>
      </c>
      <c r="F14">
        <v>1800</v>
      </c>
      <c r="G14">
        <f t="shared" si="0"/>
        <v>100</v>
      </c>
      <c r="H14" s="4">
        <f t="shared" si="1"/>
        <v>5.5555555555555552E-2</v>
      </c>
      <c r="I14" t="s">
        <v>35</v>
      </c>
    </row>
    <row r="15" spans="1:9" x14ac:dyDescent="0.25">
      <c r="A15" s="31">
        <v>46182</v>
      </c>
      <c r="B15" t="s">
        <v>34</v>
      </c>
      <c r="C15" s="30">
        <v>359477637299931</v>
      </c>
      <c r="D15" t="s">
        <v>207</v>
      </c>
      <c r="E15">
        <v>2987.34</v>
      </c>
      <c r="F15">
        <v>2600</v>
      </c>
      <c r="G15">
        <f t="shared" si="0"/>
        <v>387.34000000000015</v>
      </c>
      <c r="H15" s="4">
        <f t="shared" si="1"/>
        <v>0.14897692307692315</v>
      </c>
      <c r="I15" t="s">
        <v>35</v>
      </c>
    </row>
    <row r="16" spans="1:9" x14ac:dyDescent="0.25">
      <c r="A16" s="31">
        <v>46184</v>
      </c>
      <c r="B16" t="s">
        <v>36</v>
      </c>
      <c r="C16" s="30">
        <v>350552890635903</v>
      </c>
      <c r="D16" t="s">
        <v>275</v>
      </c>
      <c r="E16">
        <v>3455.69</v>
      </c>
      <c r="F16">
        <v>3000</v>
      </c>
      <c r="G16">
        <f t="shared" si="0"/>
        <v>455.69000000000005</v>
      </c>
      <c r="H16" s="4">
        <f t="shared" si="1"/>
        <v>0.15189666666666668</v>
      </c>
      <c r="I16" t="s">
        <v>35</v>
      </c>
    </row>
    <row r="17" spans="1:10" x14ac:dyDescent="0.25">
      <c r="A17" s="31">
        <v>46185</v>
      </c>
      <c r="B17" t="s">
        <v>36</v>
      </c>
      <c r="C17" s="30">
        <v>350230972375512</v>
      </c>
      <c r="D17" t="s">
        <v>277</v>
      </c>
      <c r="E17">
        <v>3734.17</v>
      </c>
      <c r="F17">
        <v>3200</v>
      </c>
      <c r="G17">
        <f t="shared" si="0"/>
        <v>534.17000000000007</v>
      </c>
      <c r="H17" s="4">
        <f t="shared" si="1"/>
        <v>0.16692812500000001</v>
      </c>
      <c r="I17" t="s">
        <v>35</v>
      </c>
    </row>
    <row r="18" spans="1:10" x14ac:dyDescent="0.25">
      <c r="A18" s="31">
        <v>46190</v>
      </c>
      <c r="B18" t="s">
        <v>34</v>
      </c>
      <c r="C18" s="30">
        <v>359477634049081</v>
      </c>
      <c r="D18" t="s">
        <v>311</v>
      </c>
      <c r="E18">
        <v>3025.31</v>
      </c>
      <c r="F18">
        <v>2600</v>
      </c>
      <c r="G18">
        <f t="shared" si="0"/>
        <v>425.30999999999995</v>
      </c>
      <c r="H18" s="4">
        <f t="shared" si="1"/>
        <v>0.1635807692307692</v>
      </c>
      <c r="I18" t="s">
        <v>35</v>
      </c>
    </row>
    <row r="19" spans="1:10" x14ac:dyDescent="0.25">
      <c r="A19" s="31">
        <v>46192</v>
      </c>
      <c r="B19" t="s">
        <v>29</v>
      </c>
      <c r="C19" s="30">
        <v>356187983270518</v>
      </c>
      <c r="D19" t="s">
        <v>323</v>
      </c>
      <c r="E19">
        <v>2425</v>
      </c>
      <c r="F19">
        <v>2380</v>
      </c>
      <c r="G19">
        <f t="shared" si="0"/>
        <v>45</v>
      </c>
      <c r="H19" s="4">
        <f t="shared" si="1"/>
        <v>1.8907563025210083E-2</v>
      </c>
      <c r="I19" t="s">
        <v>35</v>
      </c>
    </row>
    <row r="20" spans="1:10" x14ac:dyDescent="0.25">
      <c r="A20" s="31">
        <v>46192</v>
      </c>
      <c r="B20" t="s">
        <v>29</v>
      </c>
      <c r="C20" s="30">
        <v>358135797297837</v>
      </c>
      <c r="D20" t="s">
        <v>323</v>
      </c>
      <c r="E20">
        <v>2425</v>
      </c>
      <c r="F20">
        <v>2380</v>
      </c>
      <c r="G20">
        <f t="shared" si="0"/>
        <v>45</v>
      </c>
      <c r="H20" s="4">
        <f t="shared" si="1"/>
        <v>1.8907563025210083E-2</v>
      </c>
      <c r="I20" t="s">
        <v>35</v>
      </c>
    </row>
    <row r="21" spans="1:10" x14ac:dyDescent="0.25">
      <c r="A21" s="31">
        <v>46192</v>
      </c>
      <c r="B21" t="s">
        <v>54</v>
      </c>
      <c r="C21" s="30">
        <v>352355703231599</v>
      </c>
      <c r="D21" t="s">
        <v>327</v>
      </c>
      <c r="E21">
        <v>3830</v>
      </c>
      <c r="F21">
        <v>3750</v>
      </c>
      <c r="G21">
        <f t="shared" si="0"/>
        <v>80</v>
      </c>
      <c r="H21" s="4">
        <f t="shared" si="1"/>
        <v>2.1333333333333333E-2</v>
      </c>
      <c r="I21" t="s">
        <v>35</v>
      </c>
    </row>
    <row r="22" spans="1:10" x14ac:dyDescent="0.25">
      <c r="A22" s="31">
        <v>46192</v>
      </c>
      <c r="B22" t="s">
        <v>54</v>
      </c>
      <c r="C22" s="30">
        <v>352355707695641</v>
      </c>
      <c r="D22" t="s">
        <v>328</v>
      </c>
      <c r="E22">
        <v>3830</v>
      </c>
      <c r="F22">
        <v>1000</v>
      </c>
      <c r="G22">
        <f t="shared" si="0"/>
        <v>2830</v>
      </c>
      <c r="H22" s="4">
        <f t="shared" si="1"/>
        <v>2.83</v>
      </c>
      <c r="I22" t="s">
        <v>35</v>
      </c>
    </row>
    <row r="23" spans="1:10" x14ac:dyDescent="0.25">
      <c r="A23" s="31">
        <v>46192</v>
      </c>
      <c r="B23" t="s">
        <v>34</v>
      </c>
      <c r="C23" s="30">
        <v>359477633235715</v>
      </c>
      <c r="D23" t="s">
        <v>331</v>
      </c>
      <c r="E23">
        <v>3012.65</v>
      </c>
      <c r="F23">
        <v>2600</v>
      </c>
      <c r="G23">
        <f t="shared" si="0"/>
        <v>412.65000000000009</v>
      </c>
      <c r="H23" s="4">
        <f t="shared" si="1"/>
        <v>0.15871153846153849</v>
      </c>
      <c r="I23" t="s">
        <v>35</v>
      </c>
    </row>
    <row r="24" spans="1:10" x14ac:dyDescent="0.25">
      <c r="A24" s="31">
        <v>46192</v>
      </c>
      <c r="B24" t="s">
        <v>36</v>
      </c>
      <c r="C24" s="30">
        <v>351205745111724</v>
      </c>
      <c r="D24" t="s">
        <v>332</v>
      </c>
      <c r="E24">
        <v>3060</v>
      </c>
      <c r="F24">
        <v>3000</v>
      </c>
      <c r="G24">
        <f t="shared" si="0"/>
        <v>60</v>
      </c>
      <c r="H24" s="4">
        <f t="shared" si="1"/>
        <v>0.02</v>
      </c>
      <c r="I24" t="s">
        <v>35</v>
      </c>
    </row>
    <row r="25" spans="1:10" x14ac:dyDescent="0.25">
      <c r="A25" s="31">
        <v>46192</v>
      </c>
      <c r="B25" t="s">
        <v>36</v>
      </c>
      <c r="C25" s="30">
        <v>359652128477234</v>
      </c>
      <c r="D25" t="s">
        <v>332</v>
      </c>
      <c r="E25">
        <v>3060</v>
      </c>
      <c r="F25">
        <v>3000</v>
      </c>
      <c r="G25">
        <f t="shared" si="0"/>
        <v>60</v>
      </c>
      <c r="H25" s="4">
        <f t="shared" si="1"/>
        <v>0.02</v>
      </c>
      <c r="I25" t="s">
        <v>35</v>
      </c>
    </row>
    <row r="26" spans="1:10" x14ac:dyDescent="0.25">
      <c r="A26" s="31">
        <v>46193</v>
      </c>
      <c r="B26" t="s">
        <v>104</v>
      </c>
      <c r="C26" s="30">
        <v>355202683600962</v>
      </c>
      <c r="D26" t="s">
        <v>394</v>
      </c>
      <c r="E26">
        <v>1280</v>
      </c>
      <c r="F26">
        <v>1080</v>
      </c>
      <c r="G26">
        <f t="shared" si="0"/>
        <v>200</v>
      </c>
      <c r="H26" s="4">
        <f t="shared" si="1"/>
        <v>0.18518518518518517</v>
      </c>
      <c r="I26" t="s">
        <v>35</v>
      </c>
    </row>
    <row r="27" spans="1:10" x14ac:dyDescent="0.25">
      <c r="A27" s="31">
        <v>46193</v>
      </c>
      <c r="B27" t="s">
        <v>29</v>
      </c>
      <c r="C27" s="30">
        <v>358135797167600</v>
      </c>
      <c r="D27" t="s">
        <v>395</v>
      </c>
      <c r="E27">
        <v>2425</v>
      </c>
      <c r="F27">
        <v>2380</v>
      </c>
      <c r="G27">
        <f t="shared" si="0"/>
        <v>45</v>
      </c>
      <c r="H27" s="4">
        <f t="shared" si="1"/>
        <v>1.8907563025210083E-2</v>
      </c>
      <c r="I27" t="s">
        <v>35</v>
      </c>
    </row>
    <row r="28" spans="1:10" x14ac:dyDescent="0.25">
      <c r="A28" s="32">
        <v>46195</v>
      </c>
      <c r="B28" s="5" t="s">
        <v>162</v>
      </c>
      <c r="C28" s="33">
        <v>350520605513202</v>
      </c>
      <c r="D28" s="5" t="s">
        <v>421</v>
      </c>
      <c r="E28" s="5">
        <v>2350</v>
      </c>
      <c r="F28" s="5">
        <v>2400</v>
      </c>
      <c r="G28" s="5">
        <f t="shared" si="0"/>
        <v>-50</v>
      </c>
      <c r="H28" s="6">
        <f t="shared" si="1"/>
        <v>-2.0833333333333332E-2</v>
      </c>
      <c r="I28" s="5" t="s">
        <v>35</v>
      </c>
      <c r="J28" s="5" t="s">
        <v>55</v>
      </c>
    </row>
    <row r="29" spans="1:10" x14ac:dyDescent="0.25">
      <c r="A29" s="32">
        <v>46195</v>
      </c>
      <c r="B29" s="5" t="s">
        <v>162</v>
      </c>
      <c r="C29" s="33">
        <v>359090831533813</v>
      </c>
      <c r="D29" s="5" t="s">
        <v>156</v>
      </c>
      <c r="E29" s="5">
        <v>2350</v>
      </c>
      <c r="F29" s="5">
        <v>2400</v>
      </c>
      <c r="G29" s="5">
        <f t="shared" si="0"/>
        <v>-50</v>
      </c>
      <c r="H29" s="6">
        <f t="shared" si="1"/>
        <v>-2.0833333333333332E-2</v>
      </c>
      <c r="I29" s="5" t="s">
        <v>35</v>
      </c>
      <c r="J29" s="5" t="s">
        <v>55</v>
      </c>
    </row>
    <row r="30" spans="1:10" x14ac:dyDescent="0.25">
      <c r="A30" s="32">
        <v>46195</v>
      </c>
      <c r="B30" s="5" t="s">
        <v>162</v>
      </c>
      <c r="C30" s="33">
        <v>359090831548258</v>
      </c>
      <c r="D30" s="5" t="s">
        <v>156</v>
      </c>
      <c r="E30" s="5">
        <v>2350</v>
      </c>
      <c r="F30" s="5">
        <v>2400</v>
      </c>
      <c r="G30" s="5">
        <f t="shared" si="0"/>
        <v>-50</v>
      </c>
      <c r="H30" s="6">
        <f t="shared" si="1"/>
        <v>-2.0833333333333332E-2</v>
      </c>
      <c r="I30" s="5" t="s">
        <v>35</v>
      </c>
      <c r="J30" s="5" t="s">
        <v>55</v>
      </c>
    </row>
    <row r="31" spans="1:10" x14ac:dyDescent="0.25">
      <c r="A31" s="32">
        <v>46195</v>
      </c>
      <c r="B31" s="5" t="s">
        <v>162</v>
      </c>
      <c r="C31" s="33">
        <v>359090831606916</v>
      </c>
      <c r="D31" s="5" t="s">
        <v>421</v>
      </c>
      <c r="E31" s="5">
        <v>2350</v>
      </c>
      <c r="F31" s="5">
        <v>2400</v>
      </c>
      <c r="G31" s="5">
        <f t="shared" si="0"/>
        <v>-50</v>
      </c>
      <c r="H31" s="6">
        <f t="shared" si="1"/>
        <v>-2.0833333333333332E-2</v>
      </c>
      <c r="I31" s="5" t="s">
        <v>35</v>
      </c>
      <c r="J31" s="5" t="s">
        <v>55</v>
      </c>
    </row>
    <row r="32" spans="1:10" x14ac:dyDescent="0.25">
      <c r="A32" s="32">
        <v>46195</v>
      </c>
      <c r="B32" s="5" t="s">
        <v>162</v>
      </c>
      <c r="C32" s="33">
        <v>359090832196180</v>
      </c>
      <c r="D32" s="5" t="s">
        <v>421</v>
      </c>
      <c r="E32" s="5">
        <v>2350</v>
      </c>
      <c r="F32" s="5">
        <v>2400</v>
      </c>
      <c r="G32" s="5">
        <f t="shared" si="0"/>
        <v>-50</v>
      </c>
      <c r="H32" s="6">
        <f t="shared" si="1"/>
        <v>-2.0833333333333332E-2</v>
      </c>
      <c r="I32" s="5" t="s">
        <v>35</v>
      </c>
      <c r="J32" s="5" t="s">
        <v>55</v>
      </c>
    </row>
    <row r="33" spans="1:10" x14ac:dyDescent="0.25">
      <c r="A33" s="32">
        <v>46195</v>
      </c>
      <c r="B33" s="5" t="s">
        <v>162</v>
      </c>
      <c r="C33" s="33">
        <v>359090832438384</v>
      </c>
      <c r="D33" s="5" t="s">
        <v>422</v>
      </c>
      <c r="E33" s="5">
        <v>2350</v>
      </c>
      <c r="F33" s="5">
        <v>2400</v>
      </c>
      <c r="G33" s="5">
        <f t="shared" si="0"/>
        <v>-50</v>
      </c>
      <c r="H33" s="6">
        <f t="shared" si="1"/>
        <v>-2.0833333333333332E-2</v>
      </c>
      <c r="I33" s="5" t="s">
        <v>35</v>
      </c>
      <c r="J33" s="5" t="s">
        <v>55</v>
      </c>
    </row>
    <row r="34" spans="1:10" x14ac:dyDescent="0.25">
      <c r="A34" s="32">
        <v>46195</v>
      </c>
      <c r="B34" s="5" t="s">
        <v>162</v>
      </c>
      <c r="C34" s="33">
        <v>359090832479602</v>
      </c>
      <c r="D34" s="5" t="s">
        <v>156</v>
      </c>
      <c r="E34" s="5">
        <v>2350</v>
      </c>
      <c r="F34" s="5">
        <v>2400</v>
      </c>
      <c r="G34" s="5">
        <f t="shared" si="0"/>
        <v>-50</v>
      </c>
      <c r="H34" s="6">
        <f t="shared" si="1"/>
        <v>-2.0833333333333332E-2</v>
      </c>
      <c r="I34" s="5" t="s">
        <v>35</v>
      </c>
      <c r="J34" s="5" t="s">
        <v>55</v>
      </c>
    </row>
    <row r="35" spans="1:10" x14ac:dyDescent="0.25">
      <c r="A35" s="32">
        <v>46195</v>
      </c>
      <c r="B35" s="5" t="s">
        <v>162</v>
      </c>
      <c r="C35" s="33">
        <v>359090832544124</v>
      </c>
      <c r="D35" s="5" t="s">
        <v>156</v>
      </c>
      <c r="E35" s="5">
        <v>2350</v>
      </c>
      <c r="F35" s="5">
        <v>2400</v>
      </c>
      <c r="G35" s="5">
        <f t="shared" si="0"/>
        <v>-50</v>
      </c>
      <c r="H35" s="6">
        <f t="shared" si="1"/>
        <v>-2.0833333333333332E-2</v>
      </c>
      <c r="I35" s="5" t="s">
        <v>35</v>
      </c>
      <c r="J35" s="5" t="s">
        <v>55</v>
      </c>
    </row>
    <row r="36" spans="1:10" x14ac:dyDescent="0.25">
      <c r="A36" s="32">
        <v>46195</v>
      </c>
      <c r="B36" s="5" t="s">
        <v>162</v>
      </c>
      <c r="C36" s="33">
        <v>359588201549178</v>
      </c>
      <c r="D36" s="5" t="s">
        <v>156</v>
      </c>
      <c r="E36" s="5">
        <v>2350</v>
      </c>
      <c r="F36" s="5">
        <v>2400</v>
      </c>
      <c r="G36" s="5">
        <f t="shared" si="0"/>
        <v>-50</v>
      </c>
      <c r="H36" s="6">
        <f t="shared" si="1"/>
        <v>-2.0833333333333332E-2</v>
      </c>
      <c r="I36" s="5" t="s">
        <v>35</v>
      </c>
      <c r="J36" s="5" t="s">
        <v>55</v>
      </c>
    </row>
    <row r="37" spans="1:10" x14ac:dyDescent="0.25">
      <c r="A37" s="32">
        <v>46200</v>
      </c>
      <c r="B37" s="5" t="s">
        <v>482</v>
      </c>
      <c r="C37" s="33">
        <v>352905161312222</v>
      </c>
      <c r="D37" s="5"/>
      <c r="E37" s="5">
        <v>1797.46</v>
      </c>
      <c r="F37" s="5">
        <v>2050</v>
      </c>
      <c r="G37" s="5">
        <f t="shared" si="0"/>
        <v>-252.53999999999996</v>
      </c>
      <c r="H37" s="6">
        <f t="shared" si="1"/>
        <v>-0.123190243902439</v>
      </c>
      <c r="I37" s="5" t="s">
        <v>35</v>
      </c>
      <c r="J37" s="5" t="s">
        <v>55</v>
      </c>
    </row>
    <row r="38" spans="1:10" x14ac:dyDescent="0.25">
      <c r="A38" s="32">
        <v>46200</v>
      </c>
      <c r="B38" s="5" t="s">
        <v>482</v>
      </c>
      <c r="C38" s="33">
        <v>356706681272813</v>
      </c>
      <c r="D38" s="5" t="s">
        <v>17</v>
      </c>
      <c r="E38" s="5">
        <v>1797.46</v>
      </c>
      <c r="F38" s="5">
        <v>2000</v>
      </c>
      <c r="G38" s="5">
        <f t="shared" si="0"/>
        <v>-202.53999999999996</v>
      </c>
      <c r="H38" s="6">
        <f t="shared" si="1"/>
        <v>-0.10126999999999999</v>
      </c>
      <c r="I38" s="5" t="s">
        <v>35</v>
      </c>
      <c r="J38" s="5" t="s">
        <v>55</v>
      </c>
    </row>
    <row r="39" spans="1:10" x14ac:dyDescent="0.25">
      <c r="A39" s="32">
        <v>46200</v>
      </c>
      <c r="B39" s="5" t="s">
        <v>486</v>
      </c>
      <c r="C39" s="33">
        <v>352255852640766</v>
      </c>
      <c r="D39" s="5" t="s">
        <v>487</v>
      </c>
      <c r="E39" s="5">
        <v>2350</v>
      </c>
      <c r="F39" s="5">
        <v>2450</v>
      </c>
      <c r="G39" s="5">
        <f t="shared" si="0"/>
        <v>-100</v>
      </c>
      <c r="H39" s="6">
        <f t="shared" si="1"/>
        <v>-4.0816326530612242E-2</v>
      </c>
      <c r="I39" s="5" t="s">
        <v>35</v>
      </c>
      <c r="J39" s="5" t="s">
        <v>55</v>
      </c>
    </row>
    <row r="40" spans="1:10" x14ac:dyDescent="0.25">
      <c r="A40" s="31">
        <v>46200</v>
      </c>
      <c r="B40" t="s">
        <v>54</v>
      </c>
      <c r="C40" s="30">
        <v>352355709856035</v>
      </c>
      <c r="D40" t="s">
        <v>488</v>
      </c>
      <c r="E40">
        <v>3600</v>
      </c>
      <c r="F40">
        <v>3500</v>
      </c>
      <c r="G40">
        <f t="shared" si="0"/>
        <v>100</v>
      </c>
      <c r="H40" s="4">
        <f t="shared" si="1"/>
        <v>2.8571428571428571E-2</v>
      </c>
      <c r="I40" t="s">
        <v>35</v>
      </c>
    </row>
    <row r="41" spans="1:10" x14ac:dyDescent="0.25">
      <c r="A41" s="31">
        <v>46200</v>
      </c>
      <c r="B41" t="s">
        <v>36</v>
      </c>
      <c r="C41" s="30">
        <v>359178373435016</v>
      </c>
      <c r="D41" t="s">
        <v>332</v>
      </c>
      <c r="E41">
        <v>3367.08</v>
      </c>
      <c r="F41">
        <v>3000</v>
      </c>
      <c r="G41">
        <f t="shared" si="0"/>
        <v>367.07999999999993</v>
      </c>
      <c r="H41" s="4">
        <f t="shared" si="1"/>
        <v>0.12235999999999998</v>
      </c>
      <c r="I41" t="s">
        <v>35</v>
      </c>
    </row>
    <row r="42" spans="1:10" x14ac:dyDescent="0.25">
      <c r="A42" s="31">
        <v>46202</v>
      </c>
      <c r="B42" t="s">
        <v>554</v>
      </c>
      <c r="C42" s="30">
        <v>355079365252746</v>
      </c>
      <c r="D42" t="s">
        <v>99</v>
      </c>
      <c r="E42">
        <v>3253.16</v>
      </c>
      <c r="F42">
        <v>2700</v>
      </c>
      <c r="G42">
        <f t="shared" si="0"/>
        <v>553.15999999999985</v>
      </c>
      <c r="H42" s="4">
        <f t="shared" si="1"/>
        <v>0.20487407407407401</v>
      </c>
      <c r="I42" t="s">
        <v>35</v>
      </c>
    </row>
    <row r="43" spans="1:10" x14ac:dyDescent="0.25">
      <c r="A43" s="31">
        <v>46202</v>
      </c>
      <c r="B43" t="s">
        <v>36</v>
      </c>
      <c r="C43" s="30">
        <v>359652124265419</v>
      </c>
      <c r="D43" t="s">
        <v>555</v>
      </c>
      <c r="E43">
        <v>3518.98</v>
      </c>
      <c r="F43">
        <v>3200</v>
      </c>
      <c r="G43">
        <f t="shared" si="0"/>
        <v>318.98</v>
      </c>
      <c r="H43" s="4">
        <f t="shared" si="1"/>
        <v>9.9681249999999999E-2</v>
      </c>
      <c r="I43" t="s">
        <v>35</v>
      </c>
    </row>
    <row r="44" spans="1:10" x14ac:dyDescent="0.25">
      <c r="A44" s="31">
        <v>46175</v>
      </c>
      <c r="B44" t="s">
        <v>29</v>
      </c>
      <c r="C44" s="30">
        <v>353938645417530</v>
      </c>
      <c r="D44" t="s">
        <v>30</v>
      </c>
      <c r="E44">
        <v>2470</v>
      </c>
      <c r="F44">
        <v>2374.0500000000002</v>
      </c>
      <c r="G44">
        <f t="shared" si="0"/>
        <v>95.949999999999818</v>
      </c>
      <c r="H44" s="4">
        <f t="shared" si="1"/>
        <v>4.0416166466586557E-2</v>
      </c>
      <c r="I44" t="s">
        <v>31</v>
      </c>
    </row>
    <row r="45" spans="1:10" x14ac:dyDescent="0.25">
      <c r="A45" s="31">
        <v>46175</v>
      </c>
      <c r="B45" t="s">
        <v>29</v>
      </c>
      <c r="C45" s="30">
        <v>353938646827273</v>
      </c>
      <c r="D45" t="s">
        <v>30</v>
      </c>
      <c r="E45">
        <v>2470</v>
      </c>
      <c r="F45">
        <v>2374.0500000000002</v>
      </c>
      <c r="G45">
        <f t="shared" si="0"/>
        <v>95.949999999999818</v>
      </c>
      <c r="H45" s="4">
        <f t="shared" si="1"/>
        <v>4.0416166466586557E-2</v>
      </c>
      <c r="I45" t="s">
        <v>31</v>
      </c>
    </row>
    <row r="46" spans="1:10" x14ac:dyDescent="0.25">
      <c r="A46" s="31">
        <v>46175</v>
      </c>
      <c r="B46" t="s">
        <v>29</v>
      </c>
      <c r="C46" s="30">
        <v>355827875126770</v>
      </c>
      <c r="D46" t="s">
        <v>30</v>
      </c>
      <c r="E46">
        <v>2470</v>
      </c>
      <c r="F46">
        <v>2374.0500000000002</v>
      </c>
      <c r="G46">
        <f t="shared" si="0"/>
        <v>95.949999999999818</v>
      </c>
      <c r="H46" s="4">
        <f t="shared" si="1"/>
        <v>4.0416166466586557E-2</v>
      </c>
      <c r="I46" t="s">
        <v>31</v>
      </c>
    </row>
    <row r="47" spans="1:10" x14ac:dyDescent="0.25">
      <c r="A47" s="31">
        <v>46175</v>
      </c>
      <c r="B47" t="s">
        <v>29</v>
      </c>
      <c r="C47" s="30">
        <v>355827875214956</v>
      </c>
      <c r="D47" t="s">
        <v>30</v>
      </c>
      <c r="E47">
        <v>2470</v>
      </c>
      <c r="F47">
        <v>2374.0500000000002</v>
      </c>
      <c r="G47">
        <f t="shared" si="0"/>
        <v>95.949999999999818</v>
      </c>
      <c r="H47" s="4">
        <f t="shared" si="1"/>
        <v>4.0416166466586557E-2</v>
      </c>
      <c r="I47" t="s">
        <v>31</v>
      </c>
    </row>
    <row r="48" spans="1:10" x14ac:dyDescent="0.25">
      <c r="A48" s="31">
        <v>46175</v>
      </c>
      <c r="B48" t="s">
        <v>29</v>
      </c>
      <c r="C48" s="30">
        <v>355827875806827</v>
      </c>
      <c r="D48" t="s">
        <v>30</v>
      </c>
      <c r="E48">
        <v>2470</v>
      </c>
      <c r="F48">
        <v>2374.0500000000002</v>
      </c>
      <c r="G48">
        <f t="shared" si="0"/>
        <v>95.949999999999818</v>
      </c>
      <c r="H48" s="4">
        <f t="shared" si="1"/>
        <v>4.0416166466586557E-2</v>
      </c>
      <c r="I48" t="s">
        <v>31</v>
      </c>
    </row>
    <row r="49" spans="1:9" x14ac:dyDescent="0.25">
      <c r="A49" s="31">
        <v>46175</v>
      </c>
      <c r="B49" t="s">
        <v>29</v>
      </c>
      <c r="C49" s="30">
        <v>355827876058352</v>
      </c>
      <c r="D49" t="s">
        <v>30</v>
      </c>
      <c r="E49">
        <v>2470</v>
      </c>
      <c r="F49">
        <v>2374.0500000000002</v>
      </c>
      <c r="G49">
        <f t="shared" si="0"/>
        <v>95.949999999999818</v>
      </c>
      <c r="H49" s="4">
        <f t="shared" si="1"/>
        <v>4.0416166466586557E-2</v>
      </c>
      <c r="I49" t="s">
        <v>31</v>
      </c>
    </row>
    <row r="50" spans="1:9" x14ac:dyDescent="0.25">
      <c r="A50" s="31">
        <v>46175</v>
      </c>
      <c r="B50" t="s">
        <v>29</v>
      </c>
      <c r="C50" s="30">
        <v>356187984295779</v>
      </c>
      <c r="D50" t="s">
        <v>30</v>
      </c>
      <c r="E50">
        <v>2470</v>
      </c>
      <c r="F50">
        <v>2374.0500000000002</v>
      </c>
      <c r="G50">
        <f t="shared" si="0"/>
        <v>95.949999999999818</v>
      </c>
      <c r="H50" s="4">
        <f t="shared" si="1"/>
        <v>4.0416166466586557E-2</v>
      </c>
      <c r="I50" t="s">
        <v>31</v>
      </c>
    </row>
    <row r="51" spans="1:9" x14ac:dyDescent="0.25">
      <c r="A51" s="31">
        <v>46175</v>
      </c>
      <c r="B51" t="s">
        <v>29</v>
      </c>
      <c r="C51" s="30">
        <v>356187984941489</v>
      </c>
      <c r="D51" t="s">
        <v>32</v>
      </c>
      <c r="E51">
        <v>2470</v>
      </c>
      <c r="F51">
        <v>2374.0500000000002</v>
      </c>
      <c r="G51">
        <f t="shared" si="0"/>
        <v>95.949999999999818</v>
      </c>
      <c r="H51" s="4">
        <f t="shared" si="1"/>
        <v>4.0416166466586557E-2</v>
      </c>
      <c r="I51" t="s">
        <v>31</v>
      </c>
    </row>
    <row r="52" spans="1:9" x14ac:dyDescent="0.25">
      <c r="A52" s="31">
        <v>46175</v>
      </c>
      <c r="B52" t="s">
        <v>29</v>
      </c>
      <c r="C52" s="30">
        <v>358135795248006</v>
      </c>
      <c r="D52" t="s">
        <v>30</v>
      </c>
      <c r="E52">
        <v>2470</v>
      </c>
      <c r="F52">
        <v>2374.0500000000002</v>
      </c>
      <c r="G52">
        <f t="shared" si="0"/>
        <v>95.949999999999818</v>
      </c>
      <c r="H52" s="4">
        <f t="shared" si="1"/>
        <v>4.0416166466586557E-2</v>
      </c>
      <c r="I52" t="s">
        <v>31</v>
      </c>
    </row>
    <row r="53" spans="1:9" x14ac:dyDescent="0.25">
      <c r="A53" s="31">
        <v>46175</v>
      </c>
      <c r="B53" t="s">
        <v>29</v>
      </c>
      <c r="C53" s="30">
        <v>358135795889312</v>
      </c>
      <c r="D53" t="s">
        <v>30</v>
      </c>
      <c r="E53">
        <v>2470</v>
      </c>
      <c r="F53">
        <v>2374.0500000000002</v>
      </c>
      <c r="G53">
        <f t="shared" si="0"/>
        <v>95.949999999999818</v>
      </c>
      <c r="H53" s="4">
        <f t="shared" si="1"/>
        <v>4.0416166466586557E-2</v>
      </c>
      <c r="I53" t="s">
        <v>31</v>
      </c>
    </row>
    <row r="54" spans="1:9" x14ac:dyDescent="0.25">
      <c r="A54" s="31">
        <v>46175</v>
      </c>
      <c r="B54" t="s">
        <v>29</v>
      </c>
      <c r="C54" s="30">
        <v>358135797262807</v>
      </c>
      <c r="D54" t="s">
        <v>33</v>
      </c>
      <c r="E54">
        <v>2470</v>
      </c>
      <c r="F54">
        <v>2374.0500000000002</v>
      </c>
      <c r="G54">
        <f t="shared" si="0"/>
        <v>95.949999999999818</v>
      </c>
      <c r="H54" s="4">
        <f t="shared" si="1"/>
        <v>4.0416166466586557E-2</v>
      </c>
      <c r="I54" t="s">
        <v>31</v>
      </c>
    </row>
    <row r="55" spans="1:9" x14ac:dyDescent="0.25">
      <c r="A55" s="31">
        <v>46175</v>
      </c>
      <c r="B55" t="s">
        <v>36</v>
      </c>
      <c r="C55" s="30">
        <v>353497858288153</v>
      </c>
      <c r="D55" t="s">
        <v>37</v>
      </c>
      <c r="E55">
        <v>3443.03</v>
      </c>
      <c r="F55">
        <v>2713.2</v>
      </c>
      <c r="G55">
        <f t="shared" si="0"/>
        <v>729.83000000000038</v>
      </c>
      <c r="H55" s="4">
        <f t="shared" si="1"/>
        <v>0.26899233377561566</v>
      </c>
      <c r="I55" t="s">
        <v>31</v>
      </c>
    </row>
    <row r="56" spans="1:9" x14ac:dyDescent="0.25">
      <c r="A56" s="31">
        <v>46175</v>
      </c>
      <c r="B56" t="s">
        <v>36</v>
      </c>
      <c r="C56" s="30">
        <v>358902514996631</v>
      </c>
      <c r="D56" t="s">
        <v>37</v>
      </c>
      <c r="E56">
        <v>3443.03</v>
      </c>
      <c r="F56">
        <v>3213</v>
      </c>
      <c r="G56">
        <f t="shared" si="0"/>
        <v>230.0300000000002</v>
      </c>
      <c r="H56" s="4">
        <f t="shared" si="1"/>
        <v>7.1593526299408711E-2</v>
      </c>
      <c r="I56" t="s">
        <v>31</v>
      </c>
    </row>
    <row r="57" spans="1:9" x14ac:dyDescent="0.25">
      <c r="A57" s="31">
        <v>46175</v>
      </c>
      <c r="B57" t="s">
        <v>38</v>
      </c>
      <c r="C57" s="30" t="s">
        <v>39</v>
      </c>
      <c r="D57" t="s">
        <v>40</v>
      </c>
      <c r="E57">
        <v>2035</v>
      </c>
      <c r="F57">
        <v>1999.2</v>
      </c>
      <c r="G57">
        <f t="shared" si="0"/>
        <v>35.799999999999955</v>
      </c>
      <c r="H57" s="4">
        <f t="shared" si="1"/>
        <v>1.7907162865146035E-2</v>
      </c>
      <c r="I57" t="s">
        <v>31</v>
      </c>
    </row>
    <row r="58" spans="1:9" x14ac:dyDescent="0.25">
      <c r="A58" s="31">
        <v>46175</v>
      </c>
      <c r="B58" t="s">
        <v>38</v>
      </c>
      <c r="C58" s="30" t="s">
        <v>41</v>
      </c>
      <c r="D58" t="s">
        <v>42</v>
      </c>
      <c r="E58">
        <v>2035</v>
      </c>
      <c r="F58">
        <v>1999.2</v>
      </c>
      <c r="G58">
        <f t="shared" si="0"/>
        <v>35.799999999999955</v>
      </c>
      <c r="H58" s="4">
        <f t="shared" si="1"/>
        <v>1.7907162865146035E-2</v>
      </c>
      <c r="I58" t="s">
        <v>31</v>
      </c>
    </row>
    <row r="59" spans="1:9" x14ac:dyDescent="0.25">
      <c r="A59" s="31">
        <v>46175</v>
      </c>
      <c r="B59" t="s">
        <v>38</v>
      </c>
      <c r="C59" s="30" t="s">
        <v>43</v>
      </c>
      <c r="D59" t="s">
        <v>40</v>
      </c>
      <c r="E59">
        <v>2035</v>
      </c>
      <c r="F59">
        <v>1999.2</v>
      </c>
      <c r="G59">
        <f t="shared" si="0"/>
        <v>35.799999999999955</v>
      </c>
      <c r="H59" s="4">
        <f t="shared" si="1"/>
        <v>1.7907162865146035E-2</v>
      </c>
      <c r="I59" t="s">
        <v>31</v>
      </c>
    </row>
    <row r="60" spans="1:9" x14ac:dyDescent="0.25">
      <c r="A60" s="31">
        <v>46175</v>
      </c>
      <c r="B60" t="s">
        <v>38</v>
      </c>
      <c r="C60" s="30" t="s">
        <v>44</v>
      </c>
      <c r="D60" t="s">
        <v>40</v>
      </c>
      <c r="E60">
        <v>2035</v>
      </c>
      <c r="F60">
        <v>1999.2</v>
      </c>
      <c r="G60">
        <f t="shared" si="0"/>
        <v>35.799999999999955</v>
      </c>
      <c r="H60" s="4">
        <f t="shared" si="1"/>
        <v>1.7907162865146035E-2</v>
      </c>
      <c r="I60" t="s">
        <v>31</v>
      </c>
    </row>
    <row r="61" spans="1:9" x14ac:dyDescent="0.25">
      <c r="A61" s="31">
        <v>46175</v>
      </c>
      <c r="B61" t="s">
        <v>38</v>
      </c>
      <c r="C61" s="30" t="s">
        <v>45</v>
      </c>
      <c r="D61" t="s">
        <v>42</v>
      </c>
      <c r="E61">
        <v>2035</v>
      </c>
      <c r="F61">
        <v>1999.2</v>
      </c>
      <c r="G61">
        <f t="shared" si="0"/>
        <v>35.799999999999955</v>
      </c>
      <c r="H61" s="4">
        <f t="shared" si="1"/>
        <v>1.7907162865146035E-2</v>
      </c>
      <c r="I61" t="s">
        <v>31</v>
      </c>
    </row>
    <row r="62" spans="1:9" x14ac:dyDescent="0.25">
      <c r="A62" s="31">
        <v>46175</v>
      </c>
      <c r="B62" t="s">
        <v>38</v>
      </c>
      <c r="C62" s="30" t="s">
        <v>46</v>
      </c>
      <c r="D62" t="s">
        <v>40</v>
      </c>
      <c r="E62">
        <v>2035</v>
      </c>
      <c r="F62">
        <v>1999.2</v>
      </c>
      <c r="G62">
        <f t="shared" si="0"/>
        <v>35.799999999999955</v>
      </c>
      <c r="H62" s="4">
        <f t="shared" si="1"/>
        <v>1.7907162865146035E-2</v>
      </c>
      <c r="I62" t="s">
        <v>31</v>
      </c>
    </row>
    <row r="63" spans="1:9" x14ac:dyDescent="0.25">
      <c r="A63" s="31">
        <v>46176</v>
      </c>
      <c r="B63" t="s">
        <v>47</v>
      </c>
      <c r="C63" s="30">
        <v>358112937062223</v>
      </c>
      <c r="D63" t="s">
        <v>48</v>
      </c>
      <c r="E63">
        <v>3120</v>
      </c>
      <c r="F63">
        <v>2856</v>
      </c>
      <c r="G63">
        <f t="shared" si="0"/>
        <v>264</v>
      </c>
      <c r="H63" s="4">
        <f t="shared" si="1"/>
        <v>9.2436974789915971E-2</v>
      </c>
      <c r="I63" t="s">
        <v>31</v>
      </c>
    </row>
    <row r="64" spans="1:9" x14ac:dyDescent="0.25">
      <c r="A64" s="31">
        <v>46176</v>
      </c>
      <c r="B64" t="s">
        <v>49</v>
      </c>
      <c r="C64" s="30" t="s">
        <v>50</v>
      </c>
      <c r="D64" t="s">
        <v>51</v>
      </c>
      <c r="E64">
        <v>3700</v>
      </c>
      <c r="F64">
        <v>3659.25</v>
      </c>
      <c r="G64">
        <f t="shared" si="0"/>
        <v>40.75</v>
      </c>
      <c r="H64" s="4">
        <f t="shared" si="1"/>
        <v>1.1136161781785885E-2</v>
      </c>
      <c r="I64" t="s">
        <v>31</v>
      </c>
    </row>
    <row r="65" spans="1:10" x14ac:dyDescent="0.25">
      <c r="A65" s="31">
        <v>46176</v>
      </c>
      <c r="B65" t="s">
        <v>49</v>
      </c>
      <c r="C65" s="30" t="s">
        <v>52</v>
      </c>
      <c r="D65" t="s">
        <v>51</v>
      </c>
      <c r="E65">
        <v>3700</v>
      </c>
      <c r="F65">
        <v>3659.25</v>
      </c>
      <c r="G65">
        <f t="shared" si="0"/>
        <v>40.75</v>
      </c>
      <c r="H65" s="4">
        <f t="shared" si="1"/>
        <v>1.1136161781785885E-2</v>
      </c>
      <c r="I65" t="s">
        <v>31</v>
      </c>
    </row>
    <row r="66" spans="1:10" x14ac:dyDescent="0.25">
      <c r="A66" s="31">
        <v>46176</v>
      </c>
      <c r="B66" t="s">
        <v>49</v>
      </c>
      <c r="C66" s="30" t="s">
        <v>53</v>
      </c>
      <c r="D66" t="s">
        <v>51</v>
      </c>
      <c r="E66">
        <v>3700</v>
      </c>
      <c r="F66">
        <v>3659.25</v>
      </c>
      <c r="G66">
        <f t="shared" si="0"/>
        <v>40.75</v>
      </c>
      <c r="H66" s="4">
        <f t="shared" si="1"/>
        <v>1.1136161781785885E-2</v>
      </c>
      <c r="I66" t="s">
        <v>31</v>
      </c>
    </row>
    <row r="67" spans="1:10" x14ac:dyDescent="0.25">
      <c r="A67" s="31">
        <v>46176</v>
      </c>
      <c r="B67" t="s">
        <v>54</v>
      </c>
      <c r="C67" s="30">
        <v>352355700586482</v>
      </c>
      <c r="D67" t="s">
        <v>51</v>
      </c>
      <c r="E67">
        <v>3800</v>
      </c>
      <c r="F67">
        <v>3677.1</v>
      </c>
      <c r="G67">
        <f t="shared" ref="G67:G130" si="2">E67-F67</f>
        <v>122.90000000000009</v>
      </c>
      <c r="H67" s="4">
        <f t="shared" ref="H67:H130" si="3">(E67-F67)/F67</f>
        <v>3.3423077969051723E-2</v>
      </c>
      <c r="I67" t="s">
        <v>31</v>
      </c>
    </row>
    <row r="68" spans="1:10" x14ac:dyDescent="0.25">
      <c r="A68" s="31">
        <v>46176</v>
      </c>
      <c r="B68" t="s">
        <v>54</v>
      </c>
      <c r="C68" s="30">
        <v>352355701349914</v>
      </c>
      <c r="D68" t="s">
        <v>51</v>
      </c>
      <c r="E68">
        <v>3800</v>
      </c>
      <c r="F68">
        <v>3677.1</v>
      </c>
      <c r="G68">
        <f t="shared" si="2"/>
        <v>122.90000000000009</v>
      </c>
      <c r="H68" s="4">
        <f t="shared" si="3"/>
        <v>3.3423077969051723E-2</v>
      </c>
      <c r="I68" t="s">
        <v>31</v>
      </c>
    </row>
    <row r="69" spans="1:10" x14ac:dyDescent="0.25">
      <c r="A69" s="31">
        <v>46176</v>
      </c>
      <c r="B69" t="s">
        <v>54</v>
      </c>
      <c r="C69" s="30">
        <v>352355703818866</v>
      </c>
      <c r="D69" t="s">
        <v>51</v>
      </c>
      <c r="E69">
        <v>3800</v>
      </c>
      <c r="F69">
        <v>3659.25</v>
      </c>
      <c r="G69">
        <f t="shared" si="2"/>
        <v>140.75</v>
      </c>
      <c r="H69" s="4">
        <f t="shared" si="3"/>
        <v>3.8464166154266587E-2</v>
      </c>
      <c r="I69" t="s">
        <v>31</v>
      </c>
    </row>
    <row r="70" spans="1:10" x14ac:dyDescent="0.25">
      <c r="A70" s="32">
        <v>46176</v>
      </c>
      <c r="B70" s="5" t="s">
        <v>54</v>
      </c>
      <c r="C70" s="33">
        <v>352355704171646</v>
      </c>
      <c r="D70" s="5" t="s">
        <v>48</v>
      </c>
      <c r="E70" s="5">
        <v>3570</v>
      </c>
      <c r="F70" s="5">
        <v>3659.25</v>
      </c>
      <c r="G70" s="5">
        <f t="shared" si="2"/>
        <v>-89.25</v>
      </c>
      <c r="H70" s="6">
        <f t="shared" si="3"/>
        <v>-2.4390243902439025E-2</v>
      </c>
      <c r="I70" s="5" t="s">
        <v>31</v>
      </c>
      <c r="J70" s="5" t="s">
        <v>55</v>
      </c>
    </row>
    <row r="71" spans="1:10" x14ac:dyDescent="0.25">
      <c r="A71" s="31">
        <v>46176</v>
      </c>
      <c r="B71" t="s">
        <v>54</v>
      </c>
      <c r="C71" s="30">
        <v>352355705236984</v>
      </c>
      <c r="D71" t="s">
        <v>51</v>
      </c>
      <c r="E71">
        <v>3800</v>
      </c>
      <c r="F71">
        <v>3677.1</v>
      </c>
      <c r="G71">
        <f t="shared" si="2"/>
        <v>122.90000000000009</v>
      </c>
      <c r="H71" s="4">
        <f t="shared" si="3"/>
        <v>3.3423077969051723E-2</v>
      </c>
      <c r="I71" t="s">
        <v>31</v>
      </c>
    </row>
    <row r="72" spans="1:10" x14ac:dyDescent="0.25">
      <c r="A72" s="31">
        <v>46176</v>
      </c>
      <c r="B72" t="s">
        <v>54</v>
      </c>
      <c r="C72" s="30">
        <v>352355706407881</v>
      </c>
      <c r="D72" t="s">
        <v>51</v>
      </c>
      <c r="E72">
        <v>3800</v>
      </c>
      <c r="F72">
        <v>3659.25</v>
      </c>
      <c r="G72">
        <f t="shared" si="2"/>
        <v>140.75</v>
      </c>
      <c r="H72" s="4">
        <f t="shared" si="3"/>
        <v>3.8464166154266587E-2</v>
      </c>
      <c r="I72" t="s">
        <v>31</v>
      </c>
    </row>
    <row r="73" spans="1:10" x14ac:dyDescent="0.25">
      <c r="A73" s="31">
        <v>46176</v>
      </c>
      <c r="B73" t="s">
        <v>54</v>
      </c>
      <c r="C73" s="30">
        <v>352355706487040</v>
      </c>
      <c r="D73" t="s">
        <v>51</v>
      </c>
      <c r="E73">
        <v>3800</v>
      </c>
      <c r="F73">
        <v>3659.25</v>
      </c>
      <c r="G73">
        <f t="shared" si="2"/>
        <v>140.75</v>
      </c>
      <c r="H73" s="4">
        <f t="shared" si="3"/>
        <v>3.8464166154266587E-2</v>
      </c>
      <c r="I73" t="s">
        <v>31</v>
      </c>
    </row>
    <row r="74" spans="1:10" x14ac:dyDescent="0.25">
      <c r="A74" s="32">
        <v>46176</v>
      </c>
      <c r="B74" s="5" t="s">
        <v>54</v>
      </c>
      <c r="C74" s="33">
        <v>352355706876119</v>
      </c>
      <c r="D74" s="5" t="s">
        <v>48</v>
      </c>
      <c r="E74" s="5">
        <v>3570</v>
      </c>
      <c r="F74" s="5">
        <v>3659.25</v>
      </c>
      <c r="G74" s="5">
        <f t="shared" si="2"/>
        <v>-89.25</v>
      </c>
      <c r="H74" s="6">
        <f t="shared" si="3"/>
        <v>-2.4390243902439025E-2</v>
      </c>
      <c r="I74" s="5" t="s">
        <v>31</v>
      </c>
      <c r="J74" s="5" t="s">
        <v>55</v>
      </c>
    </row>
    <row r="75" spans="1:10" x14ac:dyDescent="0.25">
      <c r="A75" s="31">
        <v>46176</v>
      </c>
      <c r="B75" t="s">
        <v>54</v>
      </c>
      <c r="C75" s="30">
        <v>352355707452027</v>
      </c>
      <c r="D75" t="s">
        <v>51</v>
      </c>
      <c r="E75">
        <v>3800</v>
      </c>
      <c r="F75">
        <v>3677.1</v>
      </c>
      <c r="G75">
        <f t="shared" si="2"/>
        <v>122.90000000000009</v>
      </c>
      <c r="H75" s="4">
        <f t="shared" si="3"/>
        <v>3.3423077969051723E-2</v>
      </c>
      <c r="I75" t="s">
        <v>31</v>
      </c>
    </row>
    <row r="76" spans="1:10" x14ac:dyDescent="0.25">
      <c r="A76" s="31">
        <v>46176</v>
      </c>
      <c r="B76" t="s">
        <v>54</v>
      </c>
      <c r="C76" s="30">
        <v>352355708276458</v>
      </c>
      <c r="D76" t="s">
        <v>51</v>
      </c>
      <c r="E76">
        <v>3800</v>
      </c>
      <c r="F76">
        <v>3659.25</v>
      </c>
      <c r="G76">
        <f t="shared" si="2"/>
        <v>140.75</v>
      </c>
      <c r="H76" s="4">
        <f t="shared" si="3"/>
        <v>3.8464166154266587E-2</v>
      </c>
      <c r="I76" t="s">
        <v>31</v>
      </c>
    </row>
    <row r="77" spans="1:10" x14ac:dyDescent="0.25">
      <c r="A77" s="32">
        <v>46176</v>
      </c>
      <c r="B77" s="5" t="s">
        <v>54</v>
      </c>
      <c r="C77" s="33">
        <v>352355709591491</v>
      </c>
      <c r="D77" s="5" t="s">
        <v>48</v>
      </c>
      <c r="E77" s="5">
        <v>3570</v>
      </c>
      <c r="F77" s="5">
        <v>3659.25</v>
      </c>
      <c r="G77" s="5">
        <f t="shared" si="2"/>
        <v>-89.25</v>
      </c>
      <c r="H77" s="6">
        <f t="shared" si="3"/>
        <v>-2.4390243902439025E-2</v>
      </c>
      <c r="I77" s="5" t="s">
        <v>31</v>
      </c>
      <c r="J77" s="5" t="s">
        <v>55</v>
      </c>
    </row>
    <row r="78" spans="1:10" x14ac:dyDescent="0.25">
      <c r="A78" s="32">
        <v>46176</v>
      </c>
      <c r="B78" s="5" t="s">
        <v>54</v>
      </c>
      <c r="C78" s="33">
        <v>352355709841441</v>
      </c>
      <c r="D78" s="5" t="s">
        <v>48</v>
      </c>
      <c r="E78" s="5">
        <v>3570</v>
      </c>
      <c r="F78" s="5">
        <v>3677.1</v>
      </c>
      <c r="G78" s="5">
        <f t="shared" si="2"/>
        <v>-107.09999999999991</v>
      </c>
      <c r="H78" s="6">
        <f t="shared" si="3"/>
        <v>-2.9126213592232986E-2</v>
      </c>
      <c r="I78" s="5" t="s">
        <v>31</v>
      </c>
      <c r="J78" s="5" t="s">
        <v>55</v>
      </c>
    </row>
    <row r="79" spans="1:10" x14ac:dyDescent="0.25">
      <c r="A79" s="31">
        <v>46176</v>
      </c>
      <c r="B79" t="s">
        <v>56</v>
      </c>
      <c r="C79" s="30" t="s">
        <v>57</v>
      </c>
      <c r="D79" t="s">
        <v>58</v>
      </c>
      <c r="E79">
        <v>1320</v>
      </c>
      <c r="F79">
        <v>1249.5</v>
      </c>
      <c r="G79">
        <f t="shared" si="2"/>
        <v>70.5</v>
      </c>
      <c r="H79" s="4">
        <f t="shared" si="3"/>
        <v>5.6422569027611044E-2</v>
      </c>
      <c r="I79" t="s">
        <v>31</v>
      </c>
    </row>
    <row r="80" spans="1:10" x14ac:dyDescent="0.25">
      <c r="A80" s="31">
        <v>46176</v>
      </c>
      <c r="B80" t="s">
        <v>59</v>
      </c>
      <c r="C80" s="30" t="s">
        <v>60</v>
      </c>
      <c r="D80" t="s">
        <v>61</v>
      </c>
      <c r="E80">
        <v>1320</v>
      </c>
      <c r="F80">
        <v>1249.5</v>
      </c>
      <c r="G80">
        <f t="shared" si="2"/>
        <v>70.5</v>
      </c>
      <c r="H80" s="4">
        <f t="shared" si="3"/>
        <v>5.6422569027611044E-2</v>
      </c>
      <c r="I80" t="s">
        <v>31</v>
      </c>
    </row>
    <row r="81" spans="1:9" x14ac:dyDescent="0.25">
      <c r="A81" s="31">
        <v>46176</v>
      </c>
      <c r="B81" t="s">
        <v>59</v>
      </c>
      <c r="C81" s="30" t="s">
        <v>62</v>
      </c>
      <c r="D81" t="s">
        <v>63</v>
      </c>
      <c r="E81">
        <v>1320</v>
      </c>
      <c r="F81">
        <v>1249.5</v>
      </c>
      <c r="G81">
        <f t="shared" si="2"/>
        <v>70.5</v>
      </c>
      <c r="H81" s="4">
        <f t="shared" si="3"/>
        <v>5.6422569027611044E-2</v>
      </c>
      <c r="I81" t="s">
        <v>31</v>
      </c>
    </row>
    <row r="82" spans="1:9" x14ac:dyDescent="0.25">
      <c r="A82" s="31">
        <v>46176</v>
      </c>
      <c r="B82" t="s">
        <v>59</v>
      </c>
      <c r="C82" s="30" t="s">
        <v>64</v>
      </c>
      <c r="D82" t="s">
        <v>63</v>
      </c>
      <c r="E82">
        <v>1320</v>
      </c>
      <c r="F82">
        <v>1249.5</v>
      </c>
      <c r="G82">
        <f t="shared" si="2"/>
        <v>70.5</v>
      </c>
      <c r="H82" s="4">
        <f t="shared" si="3"/>
        <v>5.6422569027611044E-2</v>
      </c>
      <c r="I82" t="s">
        <v>31</v>
      </c>
    </row>
    <row r="83" spans="1:9" x14ac:dyDescent="0.25">
      <c r="A83" s="31">
        <v>46176</v>
      </c>
      <c r="B83" t="s">
        <v>59</v>
      </c>
      <c r="C83" s="30" t="s">
        <v>65</v>
      </c>
      <c r="D83" t="s">
        <v>63</v>
      </c>
      <c r="E83">
        <v>1320</v>
      </c>
      <c r="F83">
        <v>1249.5</v>
      </c>
      <c r="G83">
        <f t="shared" si="2"/>
        <v>70.5</v>
      </c>
      <c r="H83" s="4">
        <f t="shared" si="3"/>
        <v>5.6422569027611044E-2</v>
      </c>
      <c r="I83" t="s">
        <v>31</v>
      </c>
    </row>
    <row r="84" spans="1:9" x14ac:dyDescent="0.25">
      <c r="A84" s="31">
        <v>46176</v>
      </c>
      <c r="B84" t="s">
        <v>59</v>
      </c>
      <c r="C84" s="30" t="s">
        <v>66</v>
      </c>
      <c r="D84" t="s">
        <v>67</v>
      </c>
      <c r="E84">
        <v>1320</v>
      </c>
      <c r="F84">
        <v>1178.0999999999999</v>
      </c>
      <c r="G84">
        <f t="shared" si="2"/>
        <v>141.90000000000009</v>
      </c>
      <c r="H84" s="4">
        <f t="shared" si="3"/>
        <v>0.12044817927170877</v>
      </c>
      <c r="I84" t="s">
        <v>31</v>
      </c>
    </row>
    <row r="85" spans="1:9" x14ac:dyDescent="0.25">
      <c r="A85" s="31">
        <v>46176</v>
      </c>
      <c r="B85" t="s">
        <v>59</v>
      </c>
      <c r="C85" s="30" t="s">
        <v>68</v>
      </c>
      <c r="D85" t="s">
        <v>63</v>
      </c>
      <c r="E85">
        <v>1320</v>
      </c>
      <c r="F85">
        <v>1249.5</v>
      </c>
      <c r="G85">
        <f t="shared" si="2"/>
        <v>70.5</v>
      </c>
      <c r="H85" s="4">
        <f t="shared" si="3"/>
        <v>5.6422569027611044E-2</v>
      </c>
      <c r="I85" t="s">
        <v>31</v>
      </c>
    </row>
    <row r="86" spans="1:9" x14ac:dyDescent="0.25">
      <c r="A86" s="31">
        <v>46176</v>
      </c>
      <c r="B86" t="s">
        <v>59</v>
      </c>
      <c r="C86" s="30" t="s">
        <v>69</v>
      </c>
      <c r="D86" t="s">
        <v>63</v>
      </c>
      <c r="E86">
        <v>1320</v>
      </c>
      <c r="F86">
        <v>1249.5</v>
      </c>
      <c r="G86">
        <f t="shared" si="2"/>
        <v>70.5</v>
      </c>
      <c r="H86" s="4">
        <f t="shared" si="3"/>
        <v>5.6422569027611044E-2</v>
      </c>
      <c r="I86" t="s">
        <v>31</v>
      </c>
    </row>
    <row r="87" spans="1:9" x14ac:dyDescent="0.25">
      <c r="A87" s="31">
        <v>46176</v>
      </c>
      <c r="B87" t="s">
        <v>59</v>
      </c>
      <c r="C87" s="30" t="s">
        <v>70</v>
      </c>
      <c r="D87" t="s">
        <v>63</v>
      </c>
      <c r="E87">
        <v>1320</v>
      </c>
      <c r="F87">
        <v>1178.0999999999999</v>
      </c>
      <c r="G87">
        <f t="shared" si="2"/>
        <v>141.90000000000009</v>
      </c>
      <c r="H87" s="4">
        <f t="shared" si="3"/>
        <v>0.12044817927170877</v>
      </c>
      <c r="I87" t="s">
        <v>31</v>
      </c>
    </row>
    <row r="88" spans="1:9" x14ac:dyDescent="0.25">
      <c r="A88" s="31">
        <v>46176</v>
      </c>
      <c r="B88" t="s">
        <v>59</v>
      </c>
      <c r="C88" s="30" t="s">
        <v>71</v>
      </c>
      <c r="D88" t="s">
        <v>63</v>
      </c>
      <c r="E88">
        <v>1320</v>
      </c>
      <c r="F88">
        <v>1249.5</v>
      </c>
      <c r="G88">
        <f t="shared" si="2"/>
        <v>70.5</v>
      </c>
      <c r="H88" s="4">
        <f t="shared" si="3"/>
        <v>5.6422569027611044E-2</v>
      </c>
      <c r="I88" t="s">
        <v>31</v>
      </c>
    </row>
    <row r="89" spans="1:9" x14ac:dyDescent="0.25">
      <c r="A89" s="31">
        <v>46176</v>
      </c>
      <c r="B89" t="s">
        <v>59</v>
      </c>
      <c r="C89" s="30" t="s">
        <v>72</v>
      </c>
      <c r="D89" t="s">
        <v>63</v>
      </c>
      <c r="E89">
        <v>1320</v>
      </c>
      <c r="F89">
        <v>1249.5</v>
      </c>
      <c r="G89">
        <f t="shared" si="2"/>
        <v>70.5</v>
      </c>
      <c r="H89" s="4">
        <f t="shared" si="3"/>
        <v>5.6422569027611044E-2</v>
      </c>
      <c r="I89" t="s">
        <v>31</v>
      </c>
    </row>
    <row r="90" spans="1:9" x14ac:dyDescent="0.25">
      <c r="A90" s="31">
        <v>46176</v>
      </c>
      <c r="B90" t="s">
        <v>59</v>
      </c>
      <c r="C90" s="30" t="s">
        <v>73</v>
      </c>
      <c r="D90" t="s">
        <v>63</v>
      </c>
      <c r="E90">
        <v>1320</v>
      </c>
      <c r="F90">
        <v>1249.5</v>
      </c>
      <c r="G90">
        <f t="shared" si="2"/>
        <v>70.5</v>
      </c>
      <c r="H90" s="4">
        <f t="shared" si="3"/>
        <v>5.6422569027611044E-2</v>
      </c>
      <c r="I90" t="s">
        <v>31</v>
      </c>
    </row>
    <row r="91" spans="1:9" x14ac:dyDescent="0.25">
      <c r="A91" s="31">
        <v>46176</v>
      </c>
      <c r="B91" t="s">
        <v>59</v>
      </c>
      <c r="C91" s="30" t="s">
        <v>74</v>
      </c>
      <c r="D91" t="s">
        <v>63</v>
      </c>
      <c r="E91">
        <v>1320</v>
      </c>
      <c r="F91">
        <v>1249.5</v>
      </c>
      <c r="G91">
        <f t="shared" si="2"/>
        <v>70.5</v>
      </c>
      <c r="H91" s="4">
        <f t="shared" si="3"/>
        <v>5.6422569027611044E-2</v>
      </c>
      <c r="I91" t="s">
        <v>31</v>
      </c>
    </row>
    <row r="92" spans="1:9" x14ac:dyDescent="0.25">
      <c r="A92" s="31">
        <v>46176</v>
      </c>
      <c r="B92" t="s">
        <v>59</v>
      </c>
      <c r="C92" s="30" t="s">
        <v>75</v>
      </c>
      <c r="D92" t="s">
        <v>63</v>
      </c>
      <c r="E92">
        <v>1320</v>
      </c>
      <c r="F92">
        <v>1178.0999999999999</v>
      </c>
      <c r="G92">
        <f t="shared" si="2"/>
        <v>141.90000000000009</v>
      </c>
      <c r="H92" s="4">
        <f t="shared" si="3"/>
        <v>0.12044817927170877</v>
      </c>
      <c r="I92" t="s">
        <v>31</v>
      </c>
    </row>
    <row r="93" spans="1:9" x14ac:dyDescent="0.25">
      <c r="A93" s="31">
        <v>46176</v>
      </c>
      <c r="B93" t="s">
        <v>59</v>
      </c>
      <c r="C93" s="30" t="s">
        <v>76</v>
      </c>
      <c r="D93" t="s">
        <v>63</v>
      </c>
      <c r="E93">
        <v>1320</v>
      </c>
      <c r="F93">
        <v>1178.0999999999999</v>
      </c>
      <c r="G93">
        <f t="shared" si="2"/>
        <v>141.90000000000009</v>
      </c>
      <c r="H93" s="4">
        <f t="shared" si="3"/>
        <v>0.12044817927170877</v>
      </c>
      <c r="I93" t="s">
        <v>31</v>
      </c>
    </row>
    <row r="94" spans="1:9" x14ac:dyDescent="0.25">
      <c r="A94" s="31">
        <v>46176</v>
      </c>
      <c r="B94" t="s">
        <v>59</v>
      </c>
      <c r="C94" s="30" t="s">
        <v>77</v>
      </c>
      <c r="D94" t="s">
        <v>63</v>
      </c>
      <c r="E94">
        <v>1320</v>
      </c>
      <c r="F94">
        <v>1178.0999999999999</v>
      </c>
      <c r="G94">
        <f t="shared" si="2"/>
        <v>141.90000000000009</v>
      </c>
      <c r="H94" s="4">
        <f t="shared" si="3"/>
        <v>0.12044817927170877</v>
      </c>
      <c r="I94" t="s">
        <v>31</v>
      </c>
    </row>
    <row r="95" spans="1:9" x14ac:dyDescent="0.25">
      <c r="A95" s="31">
        <v>46176</v>
      </c>
      <c r="B95" t="s">
        <v>59</v>
      </c>
      <c r="C95" s="30" t="s">
        <v>78</v>
      </c>
      <c r="D95" t="s">
        <v>63</v>
      </c>
      <c r="E95">
        <v>1320</v>
      </c>
      <c r="F95">
        <v>1249.5</v>
      </c>
      <c r="G95">
        <f t="shared" si="2"/>
        <v>70.5</v>
      </c>
      <c r="H95" s="4">
        <f t="shared" si="3"/>
        <v>5.6422569027611044E-2</v>
      </c>
      <c r="I95" t="s">
        <v>31</v>
      </c>
    </row>
    <row r="96" spans="1:9" x14ac:dyDescent="0.25">
      <c r="A96" s="31">
        <v>46176</v>
      </c>
      <c r="B96" t="s">
        <v>59</v>
      </c>
      <c r="C96" s="30" t="s">
        <v>79</v>
      </c>
      <c r="D96" t="s">
        <v>63</v>
      </c>
      <c r="E96">
        <v>1320</v>
      </c>
      <c r="F96">
        <v>1249.5</v>
      </c>
      <c r="G96">
        <f t="shared" si="2"/>
        <v>70.5</v>
      </c>
      <c r="H96" s="4">
        <f t="shared" si="3"/>
        <v>5.6422569027611044E-2</v>
      </c>
      <c r="I96" t="s">
        <v>31</v>
      </c>
    </row>
    <row r="97" spans="1:9" x14ac:dyDescent="0.25">
      <c r="A97" s="31">
        <v>46176</v>
      </c>
      <c r="B97" t="s">
        <v>59</v>
      </c>
      <c r="C97" s="30" t="s">
        <v>80</v>
      </c>
      <c r="D97" t="s">
        <v>63</v>
      </c>
      <c r="E97">
        <v>1320</v>
      </c>
      <c r="F97">
        <v>1249.5</v>
      </c>
      <c r="G97">
        <f t="shared" si="2"/>
        <v>70.5</v>
      </c>
      <c r="H97" s="4">
        <f t="shared" si="3"/>
        <v>5.6422569027611044E-2</v>
      </c>
      <c r="I97" t="s">
        <v>31</v>
      </c>
    </row>
    <row r="98" spans="1:9" x14ac:dyDescent="0.25">
      <c r="A98" s="31">
        <v>46176</v>
      </c>
      <c r="B98" t="s">
        <v>59</v>
      </c>
      <c r="C98" s="30" t="s">
        <v>81</v>
      </c>
      <c r="D98" t="s">
        <v>63</v>
      </c>
      <c r="E98">
        <v>1320</v>
      </c>
      <c r="F98">
        <v>1249.5</v>
      </c>
      <c r="G98">
        <f t="shared" si="2"/>
        <v>70.5</v>
      </c>
      <c r="H98" s="4">
        <f t="shared" si="3"/>
        <v>5.6422569027611044E-2</v>
      </c>
      <c r="I98" t="s">
        <v>31</v>
      </c>
    </row>
    <row r="99" spans="1:9" x14ac:dyDescent="0.25">
      <c r="A99" s="31">
        <v>46176</v>
      </c>
      <c r="B99" t="s">
        <v>59</v>
      </c>
      <c r="C99" s="30" t="s">
        <v>82</v>
      </c>
      <c r="D99" t="s">
        <v>63</v>
      </c>
      <c r="E99">
        <v>1320</v>
      </c>
      <c r="F99">
        <v>1249.5</v>
      </c>
      <c r="G99">
        <f t="shared" si="2"/>
        <v>70.5</v>
      </c>
      <c r="H99" s="4">
        <f t="shared" si="3"/>
        <v>5.6422569027611044E-2</v>
      </c>
      <c r="I99" t="s">
        <v>31</v>
      </c>
    </row>
    <row r="100" spans="1:9" x14ac:dyDescent="0.25">
      <c r="A100" s="31">
        <v>46176</v>
      </c>
      <c r="B100" t="s">
        <v>59</v>
      </c>
      <c r="C100" s="30" t="s">
        <v>83</v>
      </c>
      <c r="D100" t="s">
        <v>63</v>
      </c>
      <c r="E100">
        <v>1320</v>
      </c>
      <c r="F100">
        <v>1249.5</v>
      </c>
      <c r="G100">
        <f t="shared" si="2"/>
        <v>70.5</v>
      </c>
      <c r="H100" s="4">
        <f t="shared" si="3"/>
        <v>5.6422569027611044E-2</v>
      </c>
      <c r="I100" t="s">
        <v>31</v>
      </c>
    </row>
    <row r="101" spans="1:9" x14ac:dyDescent="0.25">
      <c r="A101" s="31">
        <v>46176</v>
      </c>
      <c r="B101" t="s">
        <v>59</v>
      </c>
      <c r="C101" s="30" t="s">
        <v>84</v>
      </c>
      <c r="D101" t="s">
        <v>85</v>
      </c>
      <c r="E101">
        <v>1520</v>
      </c>
      <c r="F101">
        <v>1249.5</v>
      </c>
      <c r="G101">
        <f t="shared" si="2"/>
        <v>270.5</v>
      </c>
      <c r="H101" s="4">
        <f t="shared" si="3"/>
        <v>0.21648659463785513</v>
      </c>
      <c r="I101" t="s">
        <v>31</v>
      </c>
    </row>
    <row r="102" spans="1:9" x14ac:dyDescent="0.25">
      <c r="A102" s="31">
        <v>46176</v>
      </c>
      <c r="B102" t="s">
        <v>59</v>
      </c>
      <c r="C102" s="30" t="s">
        <v>86</v>
      </c>
      <c r="D102" t="s">
        <v>87</v>
      </c>
      <c r="E102">
        <v>1520</v>
      </c>
      <c r="F102">
        <v>1178.0999999999999</v>
      </c>
      <c r="G102">
        <f t="shared" si="2"/>
        <v>341.90000000000009</v>
      </c>
      <c r="H102" s="4">
        <f t="shared" si="3"/>
        <v>0.2902130549189374</v>
      </c>
      <c r="I102" t="s">
        <v>31</v>
      </c>
    </row>
    <row r="103" spans="1:9" x14ac:dyDescent="0.25">
      <c r="A103" s="31">
        <v>46176</v>
      </c>
      <c r="B103" t="s">
        <v>59</v>
      </c>
      <c r="C103" s="30" t="s">
        <v>88</v>
      </c>
      <c r="D103" t="s">
        <v>63</v>
      </c>
      <c r="E103">
        <v>1320</v>
      </c>
      <c r="F103">
        <v>1249.5</v>
      </c>
      <c r="G103">
        <f t="shared" si="2"/>
        <v>70.5</v>
      </c>
      <c r="H103" s="4">
        <f t="shared" si="3"/>
        <v>5.6422569027611044E-2</v>
      </c>
      <c r="I103" t="s">
        <v>31</v>
      </c>
    </row>
    <row r="104" spans="1:9" x14ac:dyDescent="0.25">
      <c r="A104" s="31">
        <v>46176</v>
      </c>
      <c r="B104" t="s">
        <v>59</v>
      </c>
      <c r="C104" s="30" t="s">
        <v>89</v>
      </c>
      <c r="D104" t="s">
        <v>63</v>
      </c>
      <c r="E104">
        <v>1320</v>
      </c>
      <c r="F104">
        <v>1249.5</v>
      </c>
      <c r="G104">
        <f t="shared" si="2"/>
        <v>70.5</v>
      </c>
      <c r="H104" s="4">
        <f t="shared" si="3"/>
        <v>5.6422569027611044E-2</v>
      </c>
      <c r="I104" t="s">
        <v>31</v>
      </c>
    </row>
    <row r="105" spans="1:9" x14ac:dyDescent="0.25">
      <c r="A105" s="31">
        <v>46177</v>
      </c>
      <c r="B105" t="s">
        <v>90</v>
      </c>
      <c r="C105" s="30">
        <v>351682397269283</v>
      </c>
      <c r="D105" t="s">
        <v>91</v>
      </c>
      <c r="E105">
        <v>1493.67</v>
      </c>
      <c r="F105">
        <v>999.6</v>
      </c>
      <c r="G105">
        <f t="shared" si="2"/>
        <v>494.07000000000005</v>
      </c>
      <c r="H105" s="4">
        <f t="shared" si="3"/>
        <v>0.49426770708283319</v>
      </c>
      <c r="I105" t="s">
        <v>31</v>
      </c>
    </row>
    <row r="106" spans="1:9" x14ac:dyDescent="0.25">
      <c r="A106" s="31">
        <v>46177</v>
      </c>
      <c r="B106" t="s">
        <v>95</v>
      </c>
      <c r="C106" s="30">
        <v>350795045818052</v>
      </c>
      <c r="D106" t="s">
        <v>96</v>
      </c>
      <c r="E106">
        <v>3316.45</v>
      </c>
      <c r="F106">
        <v>2748.9</v>
      </c>
      <c r="G106">
        <f t="shared" si="2"/>
        <v>567.54999999999973</v>
      </c>
      <c r="H106" s="4">
        <f t="shared" si="3"/>
        <v>0.20646440394339544</v>
      </c>
      <c r="I106" t="s">
        <v>31</v>
      </c>
    </row>
    <row r="107" spans="1:9" x14ac:dyDescent="0.25">
      <c r="A107" s="31">
        <v>46177</v>
      </c>
      <c r="B107" t="s">
        <v>34</v>
      </c>
      <c r="C107" s="30">
        <v>354956974060332</v>
      </c>
      <c r="D107" t="s">
        <v>97</v>
      </c>
      <c r="E107">
        <v>3139.24</v>
      </c>
      <c r="F107">
        <v>2677.5</v>
      </c>
      <c r="G107">
        <f t="shared" si="2"/>
        <v>461.73999999999978</v>
      </c>
      <c r="H107" s="4">
        <f t="shared" si="3"/>
        <v>0.17245191409897284</v>
      </c>
      <c r="I107" t="s">
        <v>31</v>
      </c>
    </row>
    <row r="108" spans="1:9" x14ac:dyDescent="0.25">
      <c r="A108" s="31">
        <v>46177</v>
      </c>
      <c r="B108" t="s">
        <v>36</v>
      </c>
      <c r="C108" s="30">
        <v>357247254328418</v>
      </c>
      <c r="D108" t="s">
        <v>98</v>
      </c>
      <c r="E108">
        <v>3291.13</v>
      </c>
      <c r="F108">
        <v>2998.8</v>
      </c>
      <c r="G108">
        <f t="shared" si="2"/>
        <v>292.32999999999993</v>
      </c>
      <c r="H108" s="4">
        <f t="shared" si="3"/>
        <v>9.7482326263838834E-2</v>
      </c>
      <c r="I108" t="s">
        <v>31</v>
      </c>
    </row>
    <row r="109" spans="1:9" x14ac:dyDescent="0.25">
      <c r="A109" s="31">
        <v>46177</v>
      </c>
      <c r="B109" t="s">
        <v>36</v>
      </c>
      <c r="C109" s="30">
        <v>357329443565710</v>
      </c>
      <c r="D109" t="s">
        <v>37</v>
      </c>
      <c r="E109">
        <v>3392.4</v>
      </c>
      <c r="F109">
        <v>3248.7</v>
      </c>
      <c r="G109">
        <f t="shared" si="2"/>
        <v>143.70000000000027</v>
      </c>
      <c r="H109" s="4">
        <f t="shared" si="3"/>
        <v>4.4233077846523312E-2</v>
      </c>
      <c r="I109" t="s">
        <v>31</v>
      </c>
    </row>
    <row r="110" spans="1:9" x14ac:dyDescent="0.25">
      <c r="A110" s="31">
        <v>46177</v>
      </c>
      <c r="B110" t="s">
        <v>36</v>
      </c>
      <c r="C110" s="30">
        <v>357329448436974</v>
      </c>
      <c r="D110" t="s">
        <v>99</v>
      </c>
      <c r="E110">
        <v>3354.43</v>
      </c>
      <c r="F110">
        <v>3177.3</v>
      </c>
      <c r="G110">
        <f t="shared" si="2"/>
        <v>177.12999999999965</v>
      </c>
      <c r="H110" s="4">
        <f t="shared" si="3"/>
        <v>5.5748591571459935E-2</v>
      </c>
      <c r="I110" t="s">
        <v>31</v>
      </c>
    </row>
    <row r="111" spans="1:9" x14ac:dyDescent="0.25">
      <c r="A111" s="31">
        <v>46177</v>
      </c>
      <c r="B111" t="s">
        <v>38</v>
      </c>
      <c r="C111" s="30" t="s">
        <v>100</v>
      </c>
      <c r="D111" t="s">
        <v>101</v>
      </c>
      <c r="E111">
        <v>2040</v>
      </c>
      <c r="F111">
        <v>1999.2</v>
      </c>
      <c r="G111">
        <f t="shared" si="2"/>
        <v>40.799999999999955</v>
      </c>
      <c r="H111" s="4">
        <f t="shared" si="3"/>
        <v>2.04081632653061E-2</v>
      </c>
      <c r="I111" t="s">
        <v>31</v>
      </c>
    </row>
    <row r="112" spans="1:9" x14ac:dyDescent="0.25">
      <c r="A112" s="31">
        <v>46177</v>
      </c>
      <c r="B112" t="s">
        <v>38</v>
      </c>
      <c r="C112" s="30" t="s">
        <v>102</v>
      </c>
      <c r="D112" t="s">
        <v>101</v>
      </c>
      <c r="E112">
        <v>2040</v>
      </c>
      <c r="F112">
        <v>1999.2</v>
      </c>
      <c r="G112">
        <f t="shared" si="2"/>
        <v>40.799999999999955</v>
      </c>
      <c r="H112" s="4">
        <f t="shared" si="3"/>
        <v>2.04081632653061E-2</v>
      </c>
      <c r="I112" t="s">
        <v>31</v>
      </c>
    </row>
    <row r="113" spans="1:9" x14ac:dyDescent="0.25">
      <c r="A113" s="31">
        <v>46177</v>
      </c>
      <c r="B113" t="s">
        <v>38</v>
      </c>
      <c r="C113" s="30" t="s">
        <v>103</v>
      </c>
      <c r="D113" t="s">
        <v>101</v>
      </c>
      <c r="E113">
        <v>2040</v>
      </c>
      <c r="F113">
        <v>1999.2</v>
      </c>
      <c r="G113">
        <f t="shared" si="2"/>
        <v>40.799999999999955</v>
      </c>
      <c r="H113" s="4">
        <f t="shared" si="3"/>
        <v>2.04081632653061E-2</v>
      </c>
      <c r="I113" t="s">
        <v>31</v>
      </c>
    </row>
    <row r="114" spans="1:9" x14ac:dyDescent="0.25">
      <c r="A114" s="31">
        <v>46178</v>
      </c>
      <c r="B114" t="s">
        <v>104</v>
      </c>
      <c r="C114" s="30" t="s">
        <v>105</v>
      </c>
      <c r="D114" t="s">
        <v>106</v>
      </c>
      <c r="E114">
        <v>1210</v>
      </c>
      <c r="F114">
        <v>1124.55</v>
      </c>
      <c r="G114">
        <f t="shared" si="2"/>
        <v>85.450000000000045</v>
      </c>
      <c r="H114" s="4">
        <f t="shared" si="3"/>
        <v>7.5985949935529817E-2</v>
      </c>
      <c r="I114" t="s">
        <v>31</v>
      </c>
    </row>
    <row r="115" spans="1:9" x14ac:dyDescent="0.25">
      <c r="A115" s="31">
        <v>46178</v>
      </c>
      <c r="B115" t="s">
        <v>104</v>
      </c>
      <c r="C115" s="30" t="s">
        <v>107</v>
      </c>
      <c r="D115" t="s">
        <v>106</v>
      </c>
      <c r="E115">
        <v>1210</v>
      </c>
      <c r="F115">
        <v>1124.55</v>
      </c>
      <c r="G115">
        <f t="shared" si="2"/>
        <v>85.450000000000045</v>
      </c>
      <c r="H115" s="4">
        <f t="shared" si="3"/>
        <v>7.5985949935529817E-2</v>
      </c>
      <c r="I115" t="s">
        <v>31</v>
      </c>
    </row>
    <row r="116" spans="1:9" x14ac:dyDescent="0.25">
      <c r="A116" s="31">
        <v>46178</v>
      </c>
      <c r="B116" t="s">
        <v>111</v>
      </c>
      <c r="C116" s="30" t="s">
        <v>112</v>
      </c>
      <c r="E116">
        <v>500</v>
      </c>
      <c r="F116">
        <v>481.95</v>
      </c>
      <c r="G116">
        <f t="shared" si="2"/>
        <v>18.050000000000011</v>
      </c>
      <c r="H116" s="4">
        <f t="shared" si="3"/>
        <v>3.7452017844174734E-2</v>
      </c>
      <c r="I116" t="s">
        <v>31</v>
      </c>
    </row>
    <row r="117" spans="1:9" x14ac:dyDescent="0.25">
      <c r="A117" s="31">
        <v>46178</v>
      </c>
      <c r="B117" t="s">
        <v>111</v>
      </c>
      <c r="C117" s="30" t="s">
        <v>113</v>
      </c>
      <c r="D117" t="s">
        <v>114</v>
      </c>
      <c r="E117">
        <v>550</v>
      </c>
      <c r="F117">
        <v>481.95</v>
      </c>
      <c r="G117">
        <f t="shared" si="2"/>
        <v>68.050000000000011</v>
      </c>
      <c r="H117" s="4">
        <f t="shared" si="3"/>
        <v>0.14119721962859219</v>
      </c>
      <c r="I117" t="s">
        <v>31</v>
      </c>
    </row>
    <row r="118" spans="1:9" x14ac:dyDescent="0.25">
      <c r="A118" s="31">
        <v>46178</v>
      </c>
      <c r="B118" t="s">
        <v>90</v>
      </c>
      <c r="C118" s="30">
        <v>351682397748443</v>
      </c>
      <c r="D118" t="s">
        <v>91</v>
      </c>
      <c r="E118">
        <v>1493.67</v>
      </c>
      <c r="F118">
        <v>999.6</v>
      </c>
      <c r="G118">
        <f t="shared" si="2"/>
        <v>494.07000000000005</v>
      </c>
      <c r="H118" s="4">
        <f t="shared" si="3"/>
        <v>0.49426770708283319</v>
      </c>
      <c r="I118" t="s">
        <v>31</v>
      </c>
    </row>
    <row r="119" spans="1:9" x14ac:dyDescent="0.25">
      <c r="A119" s="31">
        <v>46178</v>
      </c>
      <c r="B119" t="s">
        <v>34</v>
      </c>
      <c r="C119" s="30">
        <v>355079367074833</v>
      </c>
      <c r="D119" t="s">
        <v>97</v>
      </c>
      <c r="E119">
        <v>3101.26</v>
      </c>
      <c r="F119">
        <v>2677.5</v>
      </c>
      <c r="G119">
        <f t="shared" si="2"/>
        <v>423.76000000000022</v>
      </c>
      <c r="H119" s="4">
        <f t="shared" si="3"/>
        <v>0.15826704014939316</v>
      </c>
      <c r="I119" t="s">
        <v>31</v>
      </c>
    </row>
    <row r="120" spans="1:9" x14ac:dyDescent="0.25">
      <c r="A120" s="31">
        <v>46178</v>
      </c>
      <c r="B120" t="s">
        <v>34</v>
      </c>
      <c r="C120" s="30">
        <v>356245419984696</v>
      </c>
      <c r="D120" t="s">
        <v>99</v>
      </c>
      <c r="E120">
        <v>3063.29</v>
      </c>
      <c r="F120">
        <v>2677.5</v>
      </c>
      <c r="G120">
        <f t="shared" si="2"/>
        <v>385.78999999999996</v>
      </c>
      <c r="H120" s="4">
        <f t="shared" si="3"/>
        <v>0.1440859010270775</v>
      </c>
      <c r="I120" t="s">
        <v>31</v>
      </c>
    </row>
    <row r="121" spans="1:9" x14ac:dyDescent="0.25">
      <c r="A121" s="31">
        <v>46178</v>
      </c>
      <c r="B121" t="s">
        <v>36</v>
      </c>
      <c r="C121" s="30">
        <v>350035239482591</v>
      </c>
      <c r="D121" t="s">
        <v>37</v>
      </c>
      <c r="E121">
        <v>3443.03</v>
      </c>
      <c r="F121">
        <v>3034.5</v>
      </c>
      <c r="G121">
        <f t="shared" si="2"/>
        <v>408.5300000000002</v>
      </c>
      <c r="H121" s="4">
        <f t="shared" si="3"/>
        <v>0.13462843961113863</v>
      </c>
      <c r="I121" t="s">
        <v>31</v>
      </c>
    </row>
    <row r="122" spans="1:9" x14ac:dyDescent="0.25">
      <c r="A122" s="31">
        <v>46178</v>
      </c>
      <c r="B122" t="s">
        <v>36</v>
      </c>
      <c r="C122" s="30">
        <v>356392249976268</v>
      </c>
      <c r="D122" t="s">
        <v>37</v>
      </c>
      <c r="E122">
        <v>3443.03</v>
      </c>
      <c r="F122">
        <v>3034.5</v>
      </c>
      <c r="G122">
        <f t="shared" si="2"/>
        <v>408.5300000000002</v>
      </c>
      <c r="H122" s="4">
        <f t="shared" si="3"/>
        <v>0.13462843961113863</v>
      </c>
      <c r="I122" t="s">
        <v>31</v>
      </c>
    </row>
    <row r="123" spans="1:9" x14ac:dyDescent="0.25">
      <c r="A123" s="31">
        <v>46178</v>
      </c>
      <c r="B123" t="s">
        <v>36</v>
      </c>
      <c r="C123" s="30">
        <v>358434702781393</v>
      </c>
      <c r="D123" t="s">
        <v>37</v>
      </c>
      <c r="E123">
        <v>3443.03</v>
      </c>
      <c r="F123">
        <v>3034.5</v>
      </c>
      <c r="G123">
        <f t="shared" si="2"/>
        <v>408.5300000000002</v>
      </c>
      <c r="H123" s="4">
        <f t="shared" si="3"/>
        <v>0.13462843961113863</v>
      </c>
      <c r="I123" t="s">
        <v>31</v>
      </c>
    </row>
    <row r="124" spans="1:9" x14ac:dyDescent="0.25">
      <c r="A124" s="31">
        <v>46178</v>
      </c>
      <c r="B124" t="s">
        <v>115</v>
      </c>
      <c r="C124" s="30" t="s">
        <v>116</v>
      </c>
      <c r="D124" t="s">
        <v>17</v>
      </c>
      <c r="E124">
        <v>1350</v>
      </c>
      <c r="F124">
        <v>1249.5</v>
      </c>
      <c r="G124">
        <f t="shared" si="2"/>
        <v>100.5</v>
      </c>
      <c r="H124" s="4">
        <f t="shared" si="3"/>
        <v>8.0432172869147653E-2</v>
      </c>
      <c r="I124" t="s">
        <v>31</v>
      </c>
    </row>
    <row r="125" spans="1:9" x14ac:dyDescent="0.25">
      <c r="A125" s="31">
        <v>46178</v>
      </c>
      <c r="B125" t="s">
        <v>115</v>
      </c>
      <c r="C125" s="30" t="s">
        <v>117</v>
      </c>
      <c r="D125" t="s">
        <v>17</v>
      </c>
      <c r="E125">
        <v>1350</v>
      </c>
      <c r="F125">
        <v>1249.5</v>
      </c>
      <c r="G125">
        <f t="shared" si="2"/>
        <v>100.5</v>
      </c>
      <c r="H125" s="4">
        <f t="shared" si="3"/>
        <v>8.0432172869147653E-2</v>
      </c>
      <c r="I125" t="s">
        <v>31</v>
      </c>
    </row>
    <row r="126" spans="1:9" x14ac:dyDescent="0.25">
      <c r="A126" s="31">
        <v>46178</v>
      </c>
      <c r="B126" t="s">
        <v>118</v>
      </c>
      <c r="C126" s="30" t="s">
        <v>119</v>
      </c>
      <c r="E126">
        <v>770</v>
      </c>
      <c r="F126">
        <v>501.2</v>
      </c>
      <c r="G126">
        <f t="shared" si="2"/>
        <v>268.8</v>
      </c>
      <c r="H126" s="4">
        <f t="shared" si="3"/>
        <v>0.53631284916201116</v>
      </c>
      <c r="I126" t="s">
        <v>31</v>
      </c>
    </row>
    <row r="127" spans="1:9" x14ac:dyDescent="0.25">
      <c r="A127" s="31">
        <v>46178</v>
      </c>
      <c r="B127" t="s">
        <v>118</v>
      </c>
      <c r="C127" s="30" t="s">
        <v>120</v>
      </c>
      <c r="E127">
        <v>770</v>
      </c>
      <c r="F127">
        <v>501.2</v>
      </c>
      <c r="G127">
        <f t="shared" si="2"/>
        <v>268.8</v>
      </c>
      <c r="H127" s="4">
        <f t="shared" si="3"/>
        <v>0.53631284916201116</v>
      </c>
      <c r="I127" t="s">
        <v>31</v>
      </c>
    </row>
    <row r="128" spans="1:9" x14ac:dyDescent="0.25">
      <c r="A128" s="31">
        <v>46178</v>
      </c>
      <c r="B128" t="s">
        <v>121</v>
      </c>
      <c r="C128" s="30" t="s">
        <v>122</v>
      </c>
      <c r="E128">
        <v>350</v>
      </c>
      <c r="F128">
        <v>143.19999999999999</v>
      </c>
      <c r="G128">
        <f t="shared" si="2"/>
        <v>206.8</v>
      </c>
      <c r="H128" s="4">
        <f t="shared" si="3"/>
        <v>1.4441340782122907</v>
      </c>
      <c r="I128" t="s">
        <v>31</v>
      </c>
    </row>
    <row r="129" spans="1:9" x14ac:dyDescent="0.25">
      <c r="A129" s="31">
        <v>46178</v>
      </c>
      <c r="B129" t="s">
        <v>123</v>
      </c>
      <c r="C129" s="30" t="s">
        <v>124</v>
      </c>
      <c r="D129" t="s">
        <v>17</v>
      </c>
      <c r="E129">
        <v>2920</v>
      </c>
      <c r="F129">
        <v>2534.7199999999998</v>
      </c>
      <c r="G129">
        <f t="shared" si="2"/>
        <v>385.2800000000002</v>
      </c>
      <c r="H129" s="4">
        <f t="shared" si="3"/>
        <v>0.15200100997348828</v>
      </c>
      <c r="I129" t="s">
        <v>31</v>
      </c>
    </row>
    <row r="130" spans="1:9" x14ac:dyDescent="0.25">
      <c r="A130" s="31">
        <v>46178</v>
      </c>
      <c r="B130" t="s">
        <v>123</v>
      </c>
      <c r="C130" s="30" t="s">
        <v>125</v>
      </c>
      <c r="D130" t="s">
        <v>17</v>
      </c>
      <c r="E130">
        <v>3000</v>
      </c>
      <c r="F130">
        <v>2534.6999999999998</v>
      </c>
      <c r="G130">
        <f t="shared" si="2"/>
        <v>465.30000000000018</v>
      </c>
      <c r="H130" s="4">
        <f t="shared" si="3"/>
        <v>0.18357202035743883</v>
      </c>
      <c r="I130" t="s">
        <v>31</v>
      </c>
    </row>
    <row r="131" spans="1:9" x14ac:dyDescent="0.25">
      <c r="A131" s="31">
        <v>46178</v>
      </c>
      <c r="B131" t="s">
        <v>123</v>
      </c>
      <c r="C131" s="30" t="s">
        <v>126</v>
      </c>
      <c r="D131" t="s">
        <v>17</v>
      </c>
      <c r="E131">
        <v>3000</v>
      </c>
      <c r="F131">
        <v>2534.7199999999998</v>
      </c>
      <c r="G131">
        <f t="shared" ref="G131:G194" si="4">E131-F131</f>
        <v>465.2800000000002</v>
      </c>
      <c r="H131" s="4">
        <f t="shared" ref="H131:H194" si="5">(E131-F131)/F131</f>
        <v>0.18356268147961124</v>
      </c>
      <c r="I131" t="s">
        <v>31</v>
      </c>
    </row>
    <row r="132" spans="1:9" x14ac:dyDescent="0.25">
      <c r="A132" s="31">
        <v>46178</v>
      </c>
      <c r="B132" t="s">
        <v>123</v>
      </c>
      <c r="C132" s="30" t="s">
        <v>127</v>
      </c>
      <c r="D132" t="s">
        <v>17</v>
      </c>
      <c r="E132">
        <v>2920</v>
      </c>
      <c r="F132">
        <v>2534.6999999999998</v>
      </c>
      <c r="G132">
        <f t="shared" si="4"/>
        <v>385.30000000000018</v>
      </c>
      <c r="H132" s="4">
        <f t="shared" si="5"/>
        <v>0.15201009981457381</v>
      </c>
      <c r="I132" t="s">
        <v>31</v>
      </c>
    </row>
    <row r="133" spans="1:9" x14ac:dyDescent="0.25">
      <c r="A133" s="31">
        <v>46178</v>
      </c>
      <c r="B133" t="s">
        <v>123</v>
      </c>
      <c r="C133" s="30" t="s">
        <v>128</v>
      </c>
      <c r="D133" t="s">
        <v>17</v>
      </c>
      <c r="E133">
        <v>3000</v>
      </c>
      <c r="F133">
        <v>2534.7199999999998</v>
      </c>
      <c r="G133">
        <f t="shared" si="4"/>
        <v>465.2800000000002</v>
      </c>
      <c r="H133" s="4">
        <f t="shared" si="5"/>
        <v>0.18356268147961124</v>
      </c>
      <c r="I133" t="s">
        <v>31</v>
      </c>
    </row>
    <row r="134" spans="1:9" x14ac:dyDescent="0.25">
      <c r="A134" s="31">
        <v>46178</v>
      </c>
      <c r="B134" t="s">
        <v>123</v>
      </c>
      <c r="C134" s="30" t="s">
        <v>129</v>
      </c>
      <c r="D134" t="s">
        <v>17</v>
      </c>
      <c r="E134">
        <v>3000</v>
      </c>
      <c r="F134">
        <v>2534.6999999999998</v>
      </c>
      <c r="G134">
        <f t="shared" si="4"/>
        <v>465.30000000000018</v>
      </c>
      <c r="H134" s="4">
        <f t="shared" si="5"/>
        <v>0.18357202035743883</v>
      </c>
      <c r="I134" t="s">
        <v>31</v>
      </c>
    </row>
    <row r="135" spans="1:9" x14ac:dyDescent="0.25">
      <c r="A135" s="31">
        <v>46178</v>
      </c>
      <c r="B135" t="s">
        <v>123</v>
      </c>
      <c r="C135" s="30" t="s">
        <v>130</v>
      </c>
      <c r="D135" t="s">
        <v>17</v>
      </c>
      <c r="E135">
        <v>2920</v>
      </c>
      <c r="F135">
        <v>2534.7199999999998</v>
      </c>
      <c r="G135">
        <f t="shared" si="4"/>
        <v>385.2800000000002</v>
      </c>
      <c r="H135" s="4">
        <f t="shared" si="5"/>
        <v>0.15200100997348828</v>
      </c>
      <c r="I135" t="s">
        <v>31</v>
      </c>
    </row>
    <row r="136" spans="1:9" x14ac:dyDescent="0.25">
      <c r="A136" s="31">
        <v>46178</v>
      </c>
      <c r="B136" t="s">
        <v>131</v>
      </c>
      <c r="C136" s="30" t="s">
        <v>132</v>
      </c>
      <c r="E136">
        <v>1750</v>
      </c>
      <c r="F136">
        <v>1186.3499999999999</v>
      </c>
      <c r="G136">
        <f t="shared" si="4"/>
        <v>563.65000000000009</v>
      </c>
      <c r="H136" s="4">
        <f t="shared" si="5"/>
        <v>0.47511274075947246</v>
      </c>
      <c r="I136" t="s">
        <v>31</v>
      </c>
    </row>
    <row r="137" spans="1:9" x14ac:dyDescent="0.25">
      <c r="A137" s="31">
        <v>46178</v>
      </c>
      <c r="B137" t="s">
        <v>131</v>
      </c>
      <c r="C137" s="30" t="s">
        <v>133</v>
      </c>
      <c r="E137">
        <v>1750</v>
      </c>
      <c r="F137">
        <v>1186.3499999999999</v>
      </c>
      <c r="G137">
        <f t="shared" si="4"/>
        <v>563.65000000000009</v>
      </c>
      <c r="H137" s="4">
        <f t="shared" si="5"/>
        <v>0.47511274075947246</v>
      </c>
      <c r="I137" t="s">
        <v>31</v>
      </c>
    </row>
    <row r="138" spans="1:9" x14ac:dyDescent="0.25">
      <c r="A138" s="31">
        <v>46178</v>
      </c>
      <c r="B138" t="s">
        <v>131</v>
      </c>
      <c r="C138" s="30" t="s">
        <v>140</v>
      </c>
      <c r="E138">
        <v>1850</v>
      </c>
      <c r="F138">
        <v>1213.8</v>
      </c>
      <c r="G138">
        <f t="shared" si="4"/>
        <v>636.20000000000005</v>
      </c>
      <c r="H138" s="4">
        <f t="shared" si="5"/>
        <v>0.52413906739166261</v>
      </c>
      <c r="I138" t="s">
        <v>31</v>
      </c>
    </row>
    <row r="139" spans="1:9" x14ac:dyDescent="0.25">
      <c r="A139" s="31">
        <v>46178</v>
      </c>
      <c r="B139" t="s">
        <v>131</v>
      </c>
      <c r="C139" s="30" t="s">
        <v>141</v>
      </c>
      <c r="E139">
        <v>1700</v>
      </c>
      <c r="F139">
        <v>1213.8</v>
      </c>
      <c r="G139">
        <f t="shared" si="4"/>
        <v>486.20000000000005</v>
      </c>
      <c r="H139" s="4">
        <f t="shared" si="5"/>
        <v>0.40056022408963593</v>
      </c>
      <c r="I139" t="s">
        <v>31</v>
      </c>
    </row>
    <row r="140" spans="1:9" x14ac:dyDescent="0.25">
      <c r="A140" s="31">
        <v>46178</v>
      </c>
      <c r="B140" t="s">
        <v>131</v>
      </c>
      <c r="C140" s="30" t="s">
        <v>142</v>
      </c>
      <c r="E140">
        <v>1880</v>
      </c>
      <c r="F140">
        <v>1213.8</v>
      </c>
      <c r="G140">
        <f t="shared" si="4"/>
        <v>666.2</v>
      </c>
      <c r="H140" s="4">
        <f t="shared" si="5"/>
        <v>0.54885483605206797</v>
      </c>
      <c r="I140" t="s">
        <v>31</v>
      </c>
    </row>
    <row r="141" spans="1:9" x14ac:dyDescent="0.25">
      <c r="A141" s="31">
        <v>46178</v>
      </c>
      <c r="B141" t="s">
        <v>131</v>
      </c>
      <c r="C141" s="30" t="s">
        <v>143</v>
      </c>
      <c r="E141">
        <v>1880</v>
      </c>
      <c r="F141">
        <v>1213.8</v>
      </c>
      <c r="G141">
        <f t="shared" si="4"/>
        <v>666.2</v>
      </c>
      <c r="H141" s="4">
        <f t="shared" si="5"/>
        <v>0.54885483605206797</v>
      </c>
      <c r="I141" t="s">
        <v>31</v>
      </c>
    </row>
    <row r="142" spans="1:9" x14ac:dyDescent="0.25">
      <c r="A142" s="31">
        <v>46178</v>
      </c>
      <c r="B142" t="s">
        <v>131</v>
      </c>
      <c r="C142" s="30" t="s">
        <v>144</v>
      </c>
      <c r="E142">
        <v>1850</v>
      </c>
      <c r="F142">
        <v>1220.5999999999999</v>
      </c>
      <c r="G142">
        <f t="shared" si="4"/>
        <v>629.40000000000009</v>
      </c>
      <c r="H142" s="4">
        <f t="shared" si="5"/>
        <v>0.51564804194658376</v>
      </c>
      <c r="I142" t="s">
        <v>31</v>
      </c>
    </row>
    <row r="143" spans="1:9" x14ac:dyDescent="0.25">
      <c r="A143" s="31">
        <v>46178</v>
      </c>
      <c r="B143" t="s">
        <v>145</v>
      </c>
      <c r="C143" s="30" t="s">
        <v>152</v>
      </c>
      <c r="E143">
        <v>1930</v>
      </c>
      <c r="F143">
        <v>1581.76</v>
      </c>
      <c r="G143">
        <f t="shared" si="4"/>
        <v>348.24</v>
      </c>
      <c r="H143" s="4">
        <f t="shared" si="5"/>
        <v>0.2201598219704633</v>
      </c>
      <c r="I143" t="s">
        <v>31</v>
      </c>
    </row>
    <row r="144" spans="1:9" x14ac:dyDescent="0.25">
      <c r="A144" s="31">
        <v>46178</v>
      </c>
      <c r="B144" t="s">
        <v>145</v>
      </c>
      <c r="C144" s="30" t="s">
        <v>153</v>
      </c>
      <c r="E144">
        <v>1930</v>
      </c>
      <c r="F144">
        <v>1581.76</v>
      </c>
      <c r="G144">
        <f t="shared" si="4"/>
        <v>348.24</v>
      </c>
      <c r="H144" s="4">
        <f t="shared" si="5"/>
        <v>0.2201598219704633</v>
      </c>
      <c r="I144" t="s">
        <v>31</v>
      </c>
    </row>
    <row r="145" spans="1:10" x14ac:dyDescent="0.25">
      <c r="A145" s="32">
        <v>46178</v>
      </c>
      <c r="B145" s="5" t="s">
        <v>154</v>
      </c>
      <c r="C145" s="33">
        <v>9700612063240</v>
      </c>
      <c r="D145" s="5" t="s">
        <v>155</v>
      </c>
      <c r="E145" s="5">
        <v>130</v>
      </c>
      <c r="F145" s="5">
        <v>135.66</v>
      </c>
      <c r="G145" s="5">
        <f t="shared" si="4"/>
        <v>-5.6599999999999966</v>
      </c>
      <c r="H145" s="6">
        <f t="shared" si="5"/>
        <v>-4.1721951938670183E-2</v>
      </c>
      <c r="I145" s="5" t="s">
        <v>31</v>
      </c>
      <c r="J145" s="5" t="s">
        <v>55</v>
      </c>
    </row>
    <row r="146" spans="1:10" x14ac:dyDescent="0.25">
      <c r="A146" s="32">
        <v>46178</v>
      </c>
      <c r="B146" s="5" t="s">
        <v>154</v>
      </c>
      <c r="C146" s="33">
        <v>9710291865243</v>
      </c>
      <c r="D146" s="5" t="s">
        <v>156</v>
      </c>
      <c r="E146" s="5">
        <v>130</v>
      </c>
      <c r="F146" s="5">
        <v>135.66</v>
      </c>
      <c r="G146" s="5">
        <f t="shared" si="4"/>
        <v>-5.6599999999999966</v>
      </c>
      <c r="H146" s="6">
        <f t="shared" si="5"/>
        <v>-4.1721951938670183E-2</v>
      </c>
      <c r="I146" s="5" t="s">
        <v>31</v>
      </c>
      <c r="J146" s="5" t="s">
        <v>55</v>
      </c>
    </row>
    <row r="147" spans="1:10" x14ac:dyDescent="0.25">
      <c r="A147" s="31">
        <v>46178</v>
      </c>
      <c r="B147" t="s">
        <v>157</v>
      </c>
      <c r="C147" s="30" t="s">
        <v>158</v>
      </c>
      <c r="E147">
        <v>1200</v>
      </c>
      <c r="F147">
        <v>1035.3</v>
      </c>
      <c r="G147">
        <f t="shared" si="4"/>
        <v>164.70000000000005</v>
      </c>
      <c r="H147" s="4">
        <f t="shared" si="5"/>
        <v>0.15908432338452627</v>
      </c>
      <c r="I147" t="s">
        <v>31</v>
      </c>
    </row>
    <row r="148" spans="1:10" x14ac:dyDescent="0.25">
      <c r="A148" s="31">
        <v>46178</v>
      </c>
      <c r="B148" t="s">
        <v>157</v>
      </c>
      <c r="C148" s="30" t="s">
        <v>159</v>
      </c>
      <c r="E148">
        <v>1250</v>
      </c>
      <c r="F148">
        <v>1035.3</v>
      </c>
      <c r="G148">
        <f t="shared" si="4"/>
        <v>214.70000000000005</v>
      </c>
      <c r="H148" s="4">
        <f t="shared" si="5"/>
        <v>0.20737950352554821</v>
      </c>
      <c r="I148" t="s">
        <v>31</v>
      </c>
    </row>
    <row r="149" spans="1:10" x14ac:dyDescent="0.25">
      <c r="A149" s="31">
        <v>46178</v>
      </c>
      <c r="B149" t="s">
        <v>157</v>
      </c>
      <c r="C149" s="30" t="s">
        <v>160</v>
      </c>
      <c r="E149">
        <v>1350</v>
      </c>
      <c r="F149">
        <v>1035.3</v>
      </c>
      <c r="G149">
        <f t="shared" si="4"/>
        <v>314.70000000000005</v>
      </c>
      <c r="H149" s="4">
        <f t="shared" si="5"/>
        <v>0.30396986380759206</v>
      </c>
      <c r="I149" t="s">
        <v>31</v>
      </c>
    </row>
    <row r="150" spans="1:10" x14ac:dyDescent="0.25">
      <c r="A150" s="31">
        <v>46178</v>
      </c>
      <c r="B150" t="s">
        <v>161</v>
      </c>
      <c r="C150" s="30">
        <v>53017225217</v>
      </c>
      <c r="E150">
        <v>2000</v>
      </c>
      <c r="F150">
        <v>1695.75</v>
      </c>
      <c r="G150">
        <f t="shared" si="4"/>
        <v>304.25</v>
      </c>
      <c r="H150" s="4">
        <f t="shared" si="5"/>
        <v>0.17941913607548282</v>
      </c>
      <c r="I150" t="s">
        <v>31</v>
      </c>
    </row>
    <row r="151" spans="1:10" x14ac:dyDescent="0.25">
      <c r="A151" s="31">
        <v>46178</v>
      </c>
      <c r="B151" t="s">
        <v>161</v>
      </c>
      <c r="C151" s="30">
        <v>601110254121</v>
      </c>
      <c r="E151">
        <v>1900</v>
      </c>
      <c r="F151">
        <v>1695.75</v>
      </c>
      <c r="G151">
        <f t="shared" si="4"/>
        <v>204.25</v>
      </c>
      <c r="H151" s="4">
        <f t="shared" si="5"/>
        <v>0.12044817927170869</v>
      </c>
      <c r="I151" t="s">
        <v>31</v>
      </c>
    </row>
    <row r="152" spans="1:10" x14ac:dyDescent="0.25">
      <c r="A152" s="31">
        <v>46178</v>
      </c>
      <c r="B152" t="s">
        <v>161</v>
      </c>
      <c r="C152" s="30">
        <v>605454253921</v>
      </c>
      <c r="E152">
        <v>1900</v>
      </c>
      <c r="F152">
        <v>1695.75</v>
      </c>
      <c r="G152">
        <f t="shared" si="4"/>
        <v>204.25</v>
      </c>
      <c r="H152" s="4">
        <f t="shared" si="5"/>
        <v>0.12044817927170869</v>
      </c>
      <c r="I152" t="s">
        <v>31</v>
      </c>
    </row>
    <row r="153" spans="1:10" x14ac:dyDescent="0.25">
      <c r="A153" s="31">
        <v>46179</v>
      </c>
      <c r="B153" t="s">
        <v>164</v>
      </c>
      <c r="C153" s="30">
        <v>357208787454352</v>
      </c>
      <c r="D153" t="s">
        <v>165</v>
      </c>
      <c r="E153">
        <v>2265.8200000000002</v>
      </c>
      <c r="F153">
        <v>1892.1</v>
      </c>
      <c r="G153">
        <f t="shared" si="4"/>
        <v>373.72000000000025</v>
      </c>
      <c r="H153" s="4">
        <f t="shared" si="5"/>
        <v>0.19751598752708646</v>
      </c>
      <c r="I153" t="s">
        <v>31</v>
      </c>
    </row>
    <row r="154" spans="1:10" x14ac:dyDescent="0.25">
      <c r="A154" s="31">
        <v>46179</v>
      </c>
      <c r="B154" t="s">
        <v>166</v>
      </c>
      <c r="C154" s="30" t="s">
        <v>167</v>
      </c>
      <c r="D154" t="s">
        <v>168</v>
      </c>
      <c r="E154">
        <v>4250</v>
      </c>
      <c r="F154">
        <v>3998.4</v>
      </c>
      <c r="G154">
        <f t="shared" si="4"/>
        <v>251.59999999999991</v>
      </c>
      <c r="H154" s="4">
        <f t="shared" si="5"/>
        <v>6.2925170068027184E-2</v>
      </c>
      <c r="I154" t="s">
        <v>31</v>
      </c>
    </row>
    <row r="155" spans="1:10" x14ac:dyDescent="0.25">
      <c r="A155" s="31">
        <v>46179</v>
      </c>
      <c r="B155" t="s">
        <v>166</v>
      </c>
      <c r="C155" s="30" t="s">
        <v>169</v>
      </c>
      <c r="D155" t="s">
        <v>170</v>
      </c>
      <c r="E155">
        <v>4220</v>
      </c>
      <c r="F155">
        <v>3998.4</v>
      </c>
      <c r="G155">
        <f t="shared" si="4"/>
        <v>221.59999999999991</v>
      </c>
      <c r="H155" s="4">
        <f t="shared" si="5"/>
        <v>5.5422168867546993E-2</v>
      </c>
      <c r="I155" t="s">
        <v>31</v>
      </c>
    </row>
    <row r="156" spans="1:10" x14ac:dyDescent="0.25">
      <c r="A156" s="31">
        <v>46179</v>
      </c>
      <c r="B156" t="s">
        <v>171</v>
      </c>
      <c r="C156" s="30" t="s">
        <v>172</v>
      </c>
      <c r="D156" t="s">
        <v>17</v>
      </c>
      <c r="E156">
        <v>1830</v>
      </c>
      <c r="F156">
        <v>1677.9</v>
      </c>
      <c r="G156">
        <f t="shared" si="4"/>
        <v>152.09999999999991</v>
      </c>
      <c r="H156" s="4">
        <f t="shared" si="5"/>
        <v>9.0649025567673819E-2</v>
      </c>
      <c r="I156" t="s">
        <v>31</v>
      </c>
    </row>
    <row r="157" spans="1:10" x14ac:dyDescent="0.25">
      <c r="A157" s="31">
        <v>46179</v>
      </c>
      <c r="B157" t="s">
        <v>171</v>
      </c>
      <c r="C157" s="30" t="s">
        <v>173</v>
      </c>
      <c r="D157" t="s">
        <v>17</v>
      </c>
      <c r="E157">
        <v>1830</v>
      </c>
      <c r="F157">
        <v>1677.9</v>
      </c>
      <c r="G157">
        <f t="shared" si="4"/>
        <v>152.09999999999991</v>
      </c>
      <c r="H157" s="4">
        <f t="shared" si="5"/>
        <v>9.0649025567673819E-2</v>
      </c>
      <c r="I157" t="s">
        <v>31</v>
      </c>
    </row>
    <row r="158" spans="1:10" x14ac:dyDescent="0.25">
      <c r="A158" s="31">
        <v>46179</v>
      </c>
      <c r="B158" t="s">
        <v>171</v>
      </c>
      <c r="C158" s="30" t="s">
        <v>174</v>
      </c>
      <c r="D158" t="s">
        <v>17</v>
      </c>
      <c r="E158">
        <v>1830</v>
      </c>
      <c r="F158">
        <v>1677.9</v>
      </c>
      <c r="G158">
        <f t="shared" si="4"/>
        <v>152.09999999999991</v>
      </c>
      <c r="H158" s="4">
        <f t="shared" si="5"/>
        <v>9.0649025567673819E-2</v>
      </c>
      <c r="I158" t="s">
        <v>31</v>
      </c>
    </row>
    <row r="159" spans="1:10" x14ac:dyDescent="0.25">
      <c r="A159" s="31">
        <v>46179</v>
      </c>
      <c r="B159" t="s">
        <v>171</v>
      </c>
      <c r="C159" s="30" t="s">
        <v>175</v>
      </c>
      <c r="D159" t="s">
        <v>17</v>
      </c>
      <c r="E159">
        <v>1830</v>
      </c>
      <c r="F159">
        <v>1677.9</v>
      </c>
      <c r="G159">
        <f t="shared" si="4"/>
        <v>152.09999999999991</v>
      </c>
      <c r="H159" s="4">
        <f t="shared" si="5"/>
        <v>9.0649025567673819E-2</v>
      </c>
      <c r="I159" t="s">
        <v>31</v>
      </c>
    </row>
    <row r="160" spans="1:10" x14ac:dyDescent="0.25">
      <c r="A160" s="31">
        <v>46179</v>
      </c>
      <c r="B160" t="s">
        <v>171</v>
      </c>
      <c r="C160" s="30" t="s">
        <v>176</v>
      </c>
      <c r="D160" t="s">
        <v>17</v>
      </c>
      <c r="E160">
        <v>1830</v>
      </c>
      <c r="F160">
        <v>1677.9</v>
      </c>
      <c r="G160">
        <f t="shared" si="4"/>
        <v>152.09999999999991</v>
      </c>
      <c r="H160" s="4">
        <f t="shared" si="5"/>
        <v>9.0649025567673819E-2</v>
      </c>
      <c r="I160" t="s">
        <v>31</v>
      </c>
    </row>
    <row r="161" spans="1:9" x14ac:dyDescent="0.25">
      <c r="A161" s="31">
        <v>46179</v>
      </c>
      <c r="B161" t="s">
        <v>171</v>
      </c>
      <c r="C161" s="30" t="s">
        <v>177</v>
      </c>
      <c r="D161" t="s">
        <v>17</v>
      </c>
      <c r="E161">
        <v>1830</v>
      </c>
      <c r="F161">
        <v>1677.9</v>
      </c>
      <c r="G161">
        <f t="shared" si="4"/>
        <v>152.09999999999991</v>
      </c>
      <c r="H161" s="4">
        <f t="shared" si="5"/>
        <v>9.0649025567673819E-2</v>
      </c>
      <c r="I161" t="s">
        <v>31</v>
      </c>
    </row>
    <row r="162" spans="1:9" x14ac:dyDescent="0.25">
      <c r="A162" s="31">
        <v>46179</v>
      </c>
      <c r="B162" t="s">
        <v>171</v>
      </c>
      <c r="C162" s="30" t="s">
        <v>178</v>
      </c>
      <c r="D162" t="s">
        <v>17</v>
      </c>
      <c r="E162">
        <v>1830</v>
      </c>
      <c r="F162">
        <v>1677.9</v>
      </c>
      <c r="G162">
        <f t="shared" si="4"/>
        <v>152.09999999999991</v>
      </c>
      <c r="H162" s="4">
        <f t="shared" si="5"/>
        <v>9.0649025567673819E-2</v>
      </c>
      <c r="I162" t="s">
        <v>31</v>
      </c>
    </row>
    <row r="163" spans="1:9" x14ac:dyDescent="0.25">
      <c r="A163" s="31">
        <v>46179</v>
      </c>
      <c r="B163" t="s">
        <v>171</v>
      </c>
      <c r="C163" s="30" t="s">
        <v>179</v>
      </c>
      <c r="D163" t="s">
        <v>17</v>
      </c>
      <c r="E163">
        <v>1830</v>
      </c>
      <c r="F163">
        <v>1677.9</v>
      </c>
      <c r="G163">
        <f t="shared" si="4"/>
        <v>152.09999999999991</v>
      </c>
      <c r="H163" s="4">
        <f t="shared" si="5"/>
        <v>9.0649025567673819E-2</v>
      </c>
      <c r="I163" t="s">
        <v>31</v>
      </c>
    </row>
    <row r="164" spans="1:9" x14ac:dyDescent="0.25">
      <c r="A164" s="31">
        <v>46179</v>
      </c>
      <c r="B164" t="s">
        <v>171</v>
      </c>
      <c r="C164" s="30" t="s">
        <v>180</v>
      </c>
      <c r="D164" t="s">
        <v>17</v>
      </c>
      <c r="E164">
        <v>1830</v>
      </c>
      <c r="F164">
        <v>1677.9</v>
      </c>
      <c r="G164">
        <f t="shared" si="4"/>
        <v>152.09999999999991</v>
      </c>
      <c r="H164" s="4">
        <f t="shared" si="5"/>
        <v>9.0649025567673819E-2</v>
      </c>
      <c r="I164" t="s">
        <v>31</v>
      </c>
    </row>
    <row r="165" spans="1:9" x14ac:dyDescent="0.25">
      <c r="A165" s="31">
        <v>46179</v>
      </c>
      <c r="B165" t="s">
        <v>171</v>
      </c>
      <c r="C165" s="30" t="s">
        <v>181</v>
      </c>
      <c r="D165" t="s">
        <v>17</v>
      </c>
      <c r="E165">
        <v>1830</v>
      </c>
      <c r="F165">
        <v>1677.9</v>
      </c>
      <c r="G165">
        <f t="shared" si="4"/>
        <v>152.09999999999991</v>
      </c>
      <c r="H165" s="4">
        <f t="shared" si="5"/>
        <v>9.0649025567673819E-2</v>
      </c>
      <c r="I165" t="s">
        <v>31</v>
      </c>
    </row>
    <row r="166" spans="1:9" x14ac:dyDescent="0.25">
      <c r="A166" s="31">
        <v>46179</v>
      </c>
      <c r="B166" t="s">
        <v>171</v>
      </c>
      <c r="C166" s="30" t="s">
        <v>182</v>
      </c>
      <c r="D166" t="s">
        <v>17</v>
      </c>
      <c r="E166">
        <v>1830</v>
      </c>
      <c r="F166">
        <v>1677.9</v>
      </c>
      <c r="G166">
        <f t="shared" si="4"/>
        <v>152.09999999999991</v>
      </c>
      <c r="H166" s="4">
        <f t="shared" si="5"/>
        <v>9.0649025567673819E-2</v>
      </c>
      <c r="I166" t="s">
        <v>31</v>
      </c>
    </row>
    <row r="167" spans="1:9" x14ac:dyDescent="0.25">
      <c r="A167" s="31">
        <v>46179</v>
      </c>
      <c r="B167" t="s">
        <v>171</v>
      </c>
      <c r="C167" s="30" t="s">
        <v>183</v>
      </c>
      <c r="D167" t="s">
        <v>17</v>
      </c>
      <c r="E167">
        <v>1830</v>
      </c>
      <c r="F167">
        <v>1677.9</v>
      </c>
      <c r="G167">
        <f t="shared" si="4"/>
        <v>152.09999999999991</v>
      </c>
      <c r="H167" s="4">
        <f t="shared" si="5"/>
        <v>9.0649025567673819E-2</v>
      </c>
      <c r="I167" t="s">
        <v>31</v>
      </c>
    </row>
    <row r="168" spans="1:9" x14ac:dyDescent="0.25">
      <c r="A168" s="31">
        <v>46179</v>
      </c>
      <c r="B168" t="s">
        <v>171</v>
      </c>
      <c r="C168" s="30" t="s">
        <v>184</v>
      </c>
      <c r="D168" t="s">
        <v>17</v>
      </c>
      <c r="E168">
        <v>1830</v>
      </c>
      <c r="F168">
        <v>1677.9</v>
      </c>
      <c r="G168">
        <f t="shared" si="4"/>
        <v>152.09999999999991</v>
      </c>
      <c r="H168" s="4">
        <f t="shared" si="5"/>
        <v>9.0649025567673819E-2</v>
      </c>
      <c r="I168" t="s">
        <v>31</v>
      </c>
    </row>
    <row r="169" spans="1:9" x14ac:dyDescent="0.25">
      <c r="A169" s="31">
        <v>46179</v>
      </c>
      <c r="B169" t="s">
        <v>171</v>
      </c>
      <c r="C169" s="30" t="s">
        <v>185</v>
      </c>
      <c r="D169" t="s">
        <v>17</v>
      </c>
      <c r="E169">
        <v>1830</v>
      </c>
      <c r="F169">
        <v>1677.9</v>
      </c>
      <c r="G169">
        <f t="shared" si="4"/>
        <v>152.09999999999991</v>
      </c>
      <c r="H169" s="4">
        <f t="shared" si="5"/>
        <v>9.0649025567673819E-2</v>
      </c>
      <c r="I169" t="s">
        <v>31</v>
      </c>
    </row>
    <row r="170" spans="1:9" x14ac:dyDescent="0.25">
      <c r="A170" s="31">
        <v>46179</v>
      </c>
      <c r="B170" t="s">
        <v>171</v>
      </c>
      <c r="C170" s="30" t="s">
        <v>186</v>
      </c>
      <c r="D170" t="s">
        <v>17</v>
      </c>
      <c r="E170">
        <v>1830</v>
      </c>
      <c r="F170">
        <v>1677.9</v>
      </c>
      <c r="G170">
        <f t="shared" si="4"/>
        <v>152.09999999999991</v>
      </c>
      <c r="H170" s="4">
        <f t="shared" si="5"/>
        <v>9.0649025567673819E-2</v>
      </c>
      <c r="I170" t="s">
        <v>31</v>
      </c>
    </row>
    <row r="171" spans="1:9" x14ac:dyDescent="0.25">
      <c r="A171" s="31">
        <v>46179</v>
      </c>
      <c r="B171" t="s">
        <v>171</v>
      </c>
      <c r="C171" s="30" t="s">
        <v>187</v>
      </c>
      <c r="D171" t="s">
        <v>17</v>
      </c>
      <c r="E171">
        <v>1830</v>
      </c>
      <c r="F171">
        <v>1677.9</v>
      </c>
      <c r="G171">
        <f t="shared" si="4"/>
        <v>152.09999999999991</v>
      </c>
      <c r="H171" s="4">
        <f t="shared" si="5"/>
        <v>9.0649025567673819E-2</v>
      </c>
      <c r="I171" t="s">
        <v>31</v>
      </c>
    </row>
    <row r="172" spans="1:9" x14ac:dyDescent="0.25">
      <c r="A172" s="31">
        <v>46179</v>
      </c>
      <c r="B172" t="s">
        <v>171</v>
      </c>
      <c r="C172" s="30" t="s">
        <v>188</v>
      </c>
      <c r="D172" t="s">
        <v>17</v>
      </c>
      <c r="E172">
        <v>1830</v>
      </c>
      <c r="F172">
        <v>1677.9</v>
      </c>
      <c r="G172">
        <f t="shared" si="4"/>
        <v>152.09999999999991</v>
      </c>
      <c r="H172" s="4">
        <f t="shared" si="5"/>
        <v>9.0649025567673819E-2</v>
      </c>
      <c r="I172" t="s">
        <v>31</v>
      </c>
    </row>
    <row r="173" spans="1:9" x14ac:dyDescent="0.25">
      <c r="A173" s="31">
        <v>46179</v>
      </c>
      <c r="B173" t="s">
        <v>171</v>
      </c>
      <c r="C173" s="30" t="s">
        <v>189</v>
      </c>
      <c r="D173" t="s">
        <v>17</v>
      </c>
      <c r="E173">
        <v>1830</v>
      </c>
      <c r="F173">
        <v>1677.9</v>
      </c>
      <c r="G173">
        <f t="shared" si="4"/>
        <v>152.09999999999991</v>
      </c>
      <c r="H173" s="4">
        <f t="shared" si="5"/>
        <v>9.0649025567673819E-2</v>
      </c>
      <c r="I173" t="s">
        <v>31</v>
      </c>
    </row>
    <row r="174" spans="1:9" x14ac:dyDescent="0.25">
      <c r="A174" s="31">
        <v>46179</v>
      </c>
      <c r="B174" t="s">
        <v>171</v>
      </c>
      <c r="C174" s="30" t="s">
        <v>190</v>
      </c>
      <c r="D174" t="s">
        <v>17</v>
      </c>
      <c r="E174">
        <v>1830</v>
      </c>
      <c r="F174">
        <v>1677.9</v>
      </c>
      <c r="G174">
        <f t="shared" si="4"/>
        <v>152.09999999999991</v>
      </c>
      <c r="H174" s="4">
        <f t="shared" si="5"/>
        <v>9.0649025567673819E-2</v>
      </c>
      <c r="I174" t="s">
        <v>31</v>
      </c>
    </row>
    <row r="175" spans="1:9" x14ac:dyDescent="0.25">
      <c r="A175" s="31">
        <v>46179</v>
      </c>
      <c r="B175" t="s">
        <v>171</v>
      </c>
      <c r="C175" s="30" t="s">
        <v>191</v>
      </c>
      <c r="D175" t="s">
        <v>17</v>
      </c>
      <c r="E175">
        <v>1830</v>
      </c>
      <c r="F175">
        <v>1677.9</v>
      </c>
      <c r="G175">
        <f t="shared" si="4"/>
        <v>152.09999999999991</v>
      </c>
      <c r="H175" s="4">
        <f t="shared" si="5"/>
        <v>9.0649025567673819E-2</v>
      </c>
      <c r="I175" t="s">
        <v>31</v>
      </c>
    </row>
    <row r="176" spans="1:9" x14ac:dyDescent="0.25">
      <c r="A176" s="31">
        <v>46179</v>
      </c>
      <c r="B176" t="s">
        <v>171</v>
      </c>
      <c r="C176" s="30" t="s">
        <v>192</v>
      </c>
      <c r="D176" t="s">
        <v>17</v>
      </c>
      <c r="E176">
        <v>1830</v>
      </c>
      <c r="F176">
        <v>1677.9</v>
      </c>
      <c r="G176">
        <f t="shared" si="4"/>
        <v>152.09999999999991</v>
      </c>
      <c r="H176" s="4">
        <f t="shared" si="5"/>
        <v>9.0649025567673819E-2</v>
      </c>
      <c r="I176" t="s">
        <v>31</v>
      </c>
    </row>
    <row r="177" spans="1:9" x14ac:dyDescent="0.25">
      <c r="A177" s="31">
        <v>46179</v>
      </c>
      <c r="B177" t="s">
        <v>171</v>
      </c>
      <c r="C177" s="30" t="s">
        <v>193</v>
      </c>
      <c r="D177" t="s">
        <v>17</v>
      </c>
      <c r="E177">
        <v>1830</v>
      </c>
      <c r="F177">
        <v>1677.9</v>
      </c>
      <c r="G177">
        <f t="shared" si="4"/>
        <v>152.09999999999991</v>
      </c>
      <c r="H177" s="4">
        <f t="shared" si="5"/>
        <v>9.0649025567673819E-2</v>
      </c>
      <c r="I177" t="s">
        <v>31</v>
      </c>
    </row>
    <row r="178" spans="1:9" x14ac:dyDescent="0.25">
      <c r="A178" s="31">
        <v>46179</v>
      </c>
      <c r="B178" t="s">
        <v>171</v>
      </c>
      <c r="C178" s="30" t="s">
        <v>194</v>
      </c>
      <c r="D178" t="s">
        <v>17</v>
      </c>
      <c r="E178">
        <v>1830</v>
      </c>
      <c r="F178">
        <v>1677.9</v>
      </c>
      <c r="G178">
        <f t="shared" si="4"/>
        <v>152.09999999999991</v>
      </c>
      <c r="H178" s="4">
        <f t="shared" si="5"/>
        <v>9.0649025567673819E-2</v>
      </c>
      <c r="I178" t="s">
        <v>31</v>
      </c>
    </row>
    <row r="179" spans="1:9" x14ac:dyDescent="0.25">
      <c r="A179" s="31">
        <v>46179</v>
      </c>
      <c r="B179" t="s">
        <v>171</v>
      </c>
      <c r="C179" s="30" t="s">
        <v>195</v>
      </c>
      <c r="D179" t="s">
        <v>17</v>
      </c>
      <c r="E179">
        <v>1830</v>
      </c>
      <c r="F179">
        <v>1677.9</v>
      </c>
      <c r="G179">
        <f t="shared" si="4"/>
        <v>152.09999999999991</v>
      </c>
      <c r="H179" s="4">
        <f t="shared" si="5"/>
        <v>9.0649025567673819E-2</v>
      </c>
      <c r="I179" t="s">
        <v>31</v>
      </c>
    </row>
    <row r="180" spans="1:9" x14ac:dyDescent="0.25">
      <c r="A180" s="31">
        <v>46179</v>
      </c>
      <c r="B180" t="s">
        <v>171</v>
      </c>
      <c r="C180" s="30" t="s">
        <v>196</v>
      </c>
      <c r="D180" t="s">
        <v>17</v>
      </c>
      <c r="E180">
        <v>1830</v>
      </c>
      <c r="F180">
        <v>1677.9</v>
      </c>
      <c r="G180">
        <f t="shared" si="4"/>
        <v>152.09999999999991</v>
      </c>
      <c r="H180" s="4">
        <f t="shared" si="5"/>
        <v>9.0649025567673819E-2</v>
      </c>
      <c r="I180" t="s">
        <v>31</v>
      </c>
    </row>
    <row r="181" spans="1:9" x14ac:dyDescent="0.25">
      <c r="A181" s="31">
        <v>46179</v>
      </c>
      <c r="B181" t="s">
        <v>171</v>
      </c>
      <c r="C181" s="30" t="s">
        <v>197</v>
      </c>
      <c r="D181" t="s">
        <v>17</v>
      </c>
      <c r="E181">
        <v>1830</v>
      </c>
      <c r="F181">
        <v>1677.9</v>
      </c>
      <c r="G181">
        <f t="shared" si="4"/>
        <v>152.09999999999991</v>
      </c>
      <c r="H181" s="4">
        <f t="shared" si="5"/>
        <v>9.0649025567673819E-2</v>
      </c>
      <c r="I181" t="s">
        <v>31</v>
      </c>
    </row>
    <row r="182" spans="1:9" x14ac:dyDescent="0.25">
      <c r="A182" s="31">
        <v>46179</v>
      </c>
      <c r="B182" t="s">
        <v>171</v>
      </c>
      <c r="C182" s="30" t="s">
        <v>198</v>
      </c>
      <c r="D182" t="s">
        <v>17</v>
      </c>
      <c r="E182">
        <v>1830</v>
      </c>
      <c r="F182">
        <v>1677.9</v>
      </c>
      <c r="G182">
        <f t="shared" si="4"/>
        <v>152.09999999999991</v>
      </c>
      <c r="H182" s="4">
        <f t="shared" si="5"/>
        <v>9.0649025567673819E-2</v>
      </c>
      <c r="I182" t="s">
        <v>31</v>
      </c>
    </row>
    <row r="183" spans="1:9" x14ac:dyDescent="0.25">
      <c r="A183" s="31">
        <v>46179</v>
      </c>
      <c r="B183" t="s">
        <v>171</v>
      </c>
      <c r="C183" s="30" t="s">
        <v>199</v>
      </c>
      <c r="D183" t="s">
        <v>17</v>
      </c>
      <c r="E183">
        <v>1830</v>
      </c>
      <c r="F183">
        <v>1677.9</v>
      </c>
      <c r="G183">
        <f t="shared" si="4"/>
        <v>152.09999999999991</v>
      </c>
      <c r="H183" s="4">
        <f t="shared" si="5"/>
        <v>9.0649025567673819E-2</v>
      </c>
      <c r="I183" t="s">
        <v>31</v>
      </c>
    </row>
    <row r="184" spans="1:9" x14ac:dyDescent="0.25">
      <c r="A184" s="31">
        <v>46182</v>
      </c>
      <c r="B184" t="s">
        <v>92</v>
      </c>
      <c r="C184" s="30">
        <v>351614409967901</v>
      </c>
      <c r="D184" t="s">
        <v>205</v>
      </c>
      <c r="E184">
        <v>2455.69</v>
      </c>
      <c r="F184">
        <v>2106.3000000000002</v>
      </c>
      <c r="G184">
        <f t="shared" si="4"/>
        <v>349.38999999999987</v>
      </c>
      <c r="H184" s="4">
        <f t="shared" si="5"/>
        <v>0.16587855481175515</v>
      </c>
      <c r="I184" t="s">
        <v>31</v>
      </c>
    </row>
    <row r="185" spans="1:9" x14ac:dyDescent="0.25">
      <c r="A185" s="31">
        <v>46182</v>
      </c>
      <c r="B185" t="s">
        <v>34</v>
      </c>
      <c r="C185" s="30">
        <v>355832519971417</v>
      </c>
      <c r="D185" t="s">
        <v>207</v>
      </c>
      <c r="E185">
        <v>3227.84</v>
      </c>
      <c r="F185">
        <v>2677.5</v>
      </c>
      <c r="G185">
        <f t="shared" si="4"/>
        <v>550.34000000000015</v>
      </c>
      <c r="H185" s="4">
        <f t="shared" si="5"/>
        <v>0.20554248366013078</v>
      </c>
      <c r="I185" t="s">
        <v>31</v>
      </c>
    </row>
    <row r="186" spans="1:9" x14ac:dyDescent="0.25">
      <c r="A186" s="31">
        <v>46182</v>
      </c>
      <c r="B186" t="s">
        <v>36</v>
      </c>
      <c r="C186" s="30">
        <v>355246652904624</v>
      </c>
      <c r="E186">
        <v>3392.4</v>
      </c>
      <c r="F186">
        <v>3257.8</v>
      </c>
      <c r="G186">
        <f t="shared" si="4"/>
        <v>134.59999999999991</v>
      </c>
      <c r="H186" s="4">
        <f t="shared" si="5"/>
        <v>4.131622567376754E-2</v>
      </c>
      <c r="I186" t="s">
        <v>31</v>
      </c>
    </row>
    <row r="187" spans="1:9" x14ac:dyDescent="0.25">
      <c r="A187" s="31">
        <v>46182</v>
      </c>
      <c r="B187" t="s">
        <v>36</v>
      </c>
      <c r="C187" s="30">
        <v>357329447094428</v>
      </c>
      <c r="D187" t="s">
        <v>37</v>
      </c>
      <c r="E187">
        <v>3417.72</v>
      </c>
      <c r="F187">
        <v>3034.5</v>
      </c>
      <c r="G187">
        <f t="shared" si="4"/>
        <v>383.2199999999998</v>
      </c>
      <c r="H187" s="4">
        <f t="shared" si="5"/>
        <v>0.12628769154720706</v>
      </c>
      <c r="I187" t="s">
        <v>31</v>
      </c>
    </row>
    <row r="188" spans="1:9" x14ac:dyDescent="0.25">
      <c r="A188" s="31">
        <v>46183</v>
      </c>
      <c r="B188" t="s">
        <v>171</v>
      </c>
      <c r="C188" s="30" t="s">
        <v>210</v>
      </c>
      <c r="D188" t="s">
        <v>17</v>
      </c>
      <c r="E188">
        <v>1825</v>
      </c>
      <c r="F188">
        <v>1677.9</v>
      </c>
      <c r="G188">
        <f t="shared" si="4"/>
        <v>147.09999999999991</v>
      </c>
      <c r="H188" s="4">
        <f t="shared" si="5"/>
        <v>8.7669110197270333E-2</v>
      </c>
      <c r="I188" t="s">
        <v>31</v>
      </c>
    </row>
    <row r="189" spans="1:9" x14ac:dyDescent="0.25">
      <c r="A189" s="31">
        <v>46183</v>
      </c>
      <c r="B189" t="s">
        <v>171</v>
      </c>
      <c r="C189" s="30" t="s">
        <v>211</v>
      </c>
      <c r="D189" t="s">
        <v>17</v>
      </c>
      <c r="E189">
        <v>1825</v>
      </c>
      <c r="F189">
        <v>1677.9</v>
      </c>
      <c r="G189">
        <f t="shared" si="4"/>
        <v>147.09999999999991</v>
      </c>
      <c r="H189" s="4">
        <f t="shared" si="5"/>
        <v>8.7669110197270333E-2</v>
      </c>
      <c r="I189" t="s">
        <v>31</v>
      </c>
    </row>
    <row r="190" spans="1:9" x14ac:dyDescent="0.25">
      <c r="A190" s="31">
        <v>46183</v>
      </c>
      <c r="B190" t="s">
        <v>171</v>
      </c>
      <c r="C190" s="30" t="s">
        <v>212</v>
      </c>
      <c r="D190" t="s">
        <v>17</v>
      </c>
      <c r="E190">
        <v>1825</v>
      </c>
      <c r="F190">
        <v>1677.9</v>
      </c>
      <c r="G190">
        <f t="shared" si="4"/>
        <v>147.09999999999991</v>
      </c>
      <c r="H190" s="4">
        <f t="shared" si="5"/>
        <v>8.7669110197270333E-2</v>
      </c>
      <c r="I190" t="s">
        <v>31</v>
      </c>
    </row>
    <row r="191" spans="1:9" x14ac:dyDescent="0.25">
      <c r="A191" s="31">
        <v>46183</v>
      </c>
      <c r="B191" t="s">
        <v>171</v>
      </c>
      <c r="C191" s="30" t="s">
        <v>213</v>
      </c>
      <c r="D191" t="s">
        <v>17</v>
      </c>
      <c r="E191">
        <v>1825</v>
      </c>
      <c r="F191">
        <v>1677.9</v>
      </c>
      <c r="G191">
        <f t="shared" si="4"/>
        <v>147.09999999999991</v>
      </c>
      <c r="H191" s="4">
        <f t="shared" si="5"/>
        <v>8.7669110197270333E-2</v>
      </c>
      <c r="I191" t="s">
        <v>31</v>
      </c>
    </row>
    <row r="192" spans="1:9" x14ac:dyDescent="0.25">
      <c r="A192" s="31">
        <v>46183</v>
      </c>
      <c r="B192" t="s">
        <v>171</v>
      </c>
      <c r="C192" s="30" t="s">
        <v>214</v>
      </c>
      <c r="D192" t="s">
        <v>17</v>
      </c>
      <c r="E192">
        <v>1825</v>
      </c>
      <c r="F192">
        <v>1677.9</v>
      </c>
      <c r="G192">
        <f t="shared" si="4"/>
        <v>147.09999999999991</v>
      </c>
      <c r="H192" s="4">
        <f t="shared" si="5"/>
        <v>8.7669110197270333E-2</v>
      </c>
      <c r="I192" t="s">
        <v>31</v>
      </c>
    </row>
    <row r="193" spans="1:9" x14ac:dyDescent="0.25">
      <c r="A193" s="31">
        <v>46183</v>
      </c>
      <c r="B193" t="s">
        <v>171</v>
      </c>
      <c r="C193" s="30" t="s">
        <v>215</v>
      </c>
      <c r="D193" t="s">
        <v>17</v>
      </c>
      <c r="E193">
        <v>1830</v>
      </c>
      <c r="F193">
        <v>1677.9</v>
      </c>
      <c r="G193">
        <f t="shared" si="4"/>
        <v>152.09999999999991</v>
      </c>
      <c r="H193" s="4">
        <f t="shared" si="5"/>
        <v>9.0649025567673819E-2</v>
      </c>
      <c r="I193" t="s">
        <v>31</v>
      </c>
    </row>
    <row r="194" spans="1:9" x14ac:dyDescent="0.25">
      <c r="A194" s="31">
        <v>46183</v>
      </c>
      <c r="B194" t="s">
        <v>171</v>
      </c>
      <c r="C194" s="30" t="s">
        <v>216</v>
      </c>
      <c r="D194" t="s">
        <v>17</v>
      </c>
      <c r="E194">
        <v>1825</v>
      </c>
      <c r="F194">
        <v>1677.9</v>
      </c>
      <c r="G194">
        <f t="shared" si="4"/>
        <v>147.09999999999991</v>
      </c>
      <c r="H194" s="4">
        <f t="shared" si="5"/>
        <v>8.7669110197270333E-2</v>
      </c>
      <c r="I194" t="s">
        <v>31</v>
      </c>
    </row>
    <row r="195" spans="1:9" x14ac:dyDescent="0.25">
      <c r="A195" s="31">
        <v>46183</v>
      </c>
      <c r="B195" t="s">
        <v>171</v>
      </c>
      <c r="C195" s="30" t="s">
        <v>217</v>
      </c>
      <c r="D195" t="s">
        <v>17</v>
      </c>
      <c r="E195">
        <v>1825</v>
      </c>
      <c r="F195">
        <v>1677.9</v>
      </c>
      <c r="G195">
        <f t="shared" ref="G195:G258" si="6">E195-F195</f>
        <v>147.09999999999991</v>
      </c>
      <c r="H195" s="4">
        <f t="shared" ref="H195:H258" si="7">(E195-F195)/F195</f>
        <v>8.7669110197270333E-2</v>
      </c>
      <c r="I195" t="s">
        <v>31</v>
      </c>
    </row>
    <row r="196" spans="1:9" x14ac:dyDescent="0.25">
      <c r="A196" s="31">
        <v>46183</v>
      </c>
      <c r="B196" t="s">
        <v>171</v>
      </c>
      <c r="C196" s="30" t="s">
        <v>218</v>
      </c>
      <c r="D196" t="s">
        <v>17</v>
      </c>
      <c r="E196">
        <v>1825</v>
      </c>
      <c r="F196">
        <v>1677.9</v>
      </c>
      <c r="G196">
        <f t="shared" si="6"/>
        <v>147.09999999999991</v>
      </c>
      <c r="H196" s="4">
        <f t="shared" si="7"/>
        <v>8.7669110197270333E-2</v>
      </c>
      <c r="I196" t="s">
        <v>31</v>
      </c>
    </row>
    <row r="197" spans="1:9" x14ac:dyDescent="0.25">
      <c r="A197" s="31">
        <v>46183</v>
      </c>
      <c r="B197" t="s">
        <v>171</v>
      </c>
      <c r="C197" s="30" t="s">
        <v>219</v>
      </c>
      <c r="D197" t="s">
        <v>17</v>
      </c>
      <c r="E197">
        <v>1825</v>
      </c>
      <c r="F197">
        <v>1677.9</v>
      </c>
      <c r="G197">
        <f t="shared" si="6"/>
        <v>147.09999999999991</v>
      </c>
      <c r="H197" s="4">
        <f t="shared" si="7"/>
        <v>8.7669110197270333E-2</v>
      </c>
      <c r="I197" t="s">
        <v>31</v>
      </c>
    </row>
    <row r="198" spans="1:9" x14ac:dyDescent="0.25">
      <c r="A198" s="31">
        <v>46183</v>
      </c>
      <c r="B198" t="s">
        <v>171</v>
      </c>
      <c r="C198" s="30" t="s">
        <v>220</v>
      </c>
      <c r="D198" t="s">
        <v>17</v>
      </c>
      <c r="E198">
        <v>1825</v>
      </c>
      <c r="F198">
        <v>1677.9</v>
      </c>
      <c r="G198">
        <f t="shared" si="6"/>
        <v>147.09999999999991</v>
      </c>
      <c r="H198" s="4">
        <f t="shared" si="7"/>
        <v>8.7669110197270333E-2</v>
      </c>
      <c r="I198" t="s">
        <v>31</v>
      </c>
    </row>
    <row r="199" spans="1:9" x14ac:dyDescent="0.25">
      <c r="A199" s="31">
        <v>46183</v>
      </c>
      <c r="B199" t="s">
        <v>171</v>
      </c>
      <c r="C199" s="30" t="s">
        <v>221</v>
      </c>
      <c r="D199" t="s">
        <v>17</v>
      </c>
      <c r="E199">
        <v>1825</v>
      </c>
      <c r="F199">
        <v>1677.9</v>
      </c>
      <c r="G199">
        <f t="shared" si="6"/>
        <v>147.09999999999991</v>
      </c>
      <c r="H199" s="4">
        <f t="shared" si="7"/>
        <v>8.7669110197270333E-2</v>
      </c>
      <c r="I199" t="s">
        <v>31</v>
      </c>
    </row>
    <row r="200" spans="1:9" x14ac:dyDescent="0.25">
      <c r="A200" s="31">
        <v>46183</v>
      </c>
      <c r="B200" t="s">
        <v>171</v>
      </c>
      <c r="C200" s="30" t="s">
        <v>222</v>
      </c>
      <c r="D200" t="s">
        <v>17</v>
      </c>
      <c r="E200">
        <v>1830</v>
      </c>
      <c r="F200">
        <v>1677.9</v>
      </c>
      <c r="G200">
        <f t="shared" si="6"/>
        <v>152.09999999999991</v>
      </c>
      <c r="H200" s="4">
        <f t="shared" si="7"/>
        <v>9.0649025567673819E-2</v>
      </c>
      <c r="I200" t="s">
        <v>31</v>
      </c>
    </row>
    <row r="201" spans="1:9" x14ac:dyDescent="0.25">
      <c r="A201" s="31">
        <v>46183</v>
      </c>
      <c r="B201" t="s">
        <v>171</v>
      </c>
      <c r="C201" s="30" t="s">
        <v>223</v>
      </c>
      <c r="D201" t="s">
        <v>17</v>
      </c>
      <c r="E201">
        <v>1830</v>
      </c>
      <c r="F201">
        <v>1677.9</v>
      </c>
      <c r="G201">
        <f t="shared" si="6"/>
        <v>152.09999999999991</v>
      </c>
      <c r="H201" s="4">
        <f t="shared" si="7"/>
        <v>9.0649025567673819E-2</v>
      </c>
      <c r="I201" t="s">
        <v>31</v>
      </c>
    </row>
    <row r="202" spans="1:9" x14ac:dyDescent="0.25">
      <c r="A202" s="31">
        <v>46183</v>
      </c>
      <c r="B202" t="s">
        <v>171</v>
      </c>
      <c r="C202" s="30" t="s">
        <v>224</v>
      </c>
      <c r="D202" t="s">
        <v>17</v>
      </c>
      <c r="E202">
        <v>1830</v>
      </c>
      <c r="F202">
        <v>1677.9</v>
      </c>
      <c r="G202">
        <f t="shared" si="6"/>
        <v>152.09999999999991</v>
      </c>
      <c r="H202" s="4">
        <f t="shared" si="7"/>
        <v>9.0649025567673819E-2</v>
      </c>
      <c r="I202" t="s">
        <v>31</v>
      </c>
    </row>
    <row r="203" spans="1:9" x14ac:dyDescent="0.25">
      <c r="A203" s="31">
        <v>46183</v>
      </c>
      <c r="B203" t="s">
        <v>171</v>
      </c>
      <c r="C203" s="30" t="s">
        <v>225</v>
      </c>
      <c r="D203" t="s">
        <v>17</v>
      </c>
      <c r="E203">
        <v>1830</v>
      </c>
      <c r="F203">
        <v>1677.9</v>
      </c>
      <c r="G203">
        <f t="shared" si="6"/>
        <v>152.09999999999991</v>
      </c>
      <c r="H203" s="4">
        <f t="shared" si="7"/>
        <v>9.0649025567673819E-2</v>
      </c>
      <c r="I203" t="s">
        <v>31</v>
      </c>
    </row>
    <row r="204" spans="1:9" x14ac:dyDescent="0.25">
      <c r="A204" s="31">
        <v>46183</v>
      </c>
      <c r="B204" t="s">
        <v>171</v>
      </c>
      <c r="C204" s="30" t="s">
        <v>226</v>
      </c>
      <c r="D204" t="s">
        <v>17</v>
      </c>
      <c r="E204">
        <v>1825</v>
      </c>
      <c r="F204">
        <v>1677.9</v>
      </c>
      <c r="G204">
        <f t="shared" si="6"/>
        <v>147.09999999999991</v>
      </c>
      <c r="H204" s="4">
        <f t="shared" si="7"/>
        <v>8.7669110197270333E-2</v>
      </c>
      <c r="I204" t="s">
        <v>31</v>
      </c>
    </row>
    <row r="205" spans="1:9" x14ac:dyDescent="0.25">
      <c r="A205" s="31">
        <v>46183</v>
      </c>
      <c r="B205" t="s">
        <v>171</v>
      </c>
      <c r="C205" s="30" t="s">
        <v>227</v>
      </c>
      <c r="D205" t="s">
        <v>17</v>
      </c>
      <c r="E205">
        <v>1830</v>
      </c>
      <c r="F205">
        <v>1677.9</v>
      </c>
      <c r="G205">
        <f t="shared" si="6"/>
        <v>152.09999999999991</v>
      </c>
      <c r="H205" s="4">
        <f t="shared" si="7"/>
        <v>9.0649025567673819E-2</v>
      </c>
      <c r="I205" t="s">
        <v>31</v>
      </c>
    </row>
    <row r="206" spans="1:9" x14ac:dyDescent="0.25">
      <c r="A206" s="31">
        <v>46183</v>
      </c>
      <c r="B206" t="s">
        <v>171</v>
      </c>
      <c r="C206" s="30" t="s">
        <v>228</v>
      </c>
      <c r="D206" t="s">
        <v>17</v>
      </c>
      <c r="E206">
        <v>1825</v>
      </c>
      <c r="F206">
        <v>1677.9</v>
      </c>
      <c r="G206">
        <f t="shared" si="6"/>
        <v>147.09999999999991</v>
      </c>
      <c r="H206" s="4">
        <f t="shared" si="7"/>
        <v>8.7669110197270333E-2</v>
      </c>
      <c r="I206" t="s">
        <v>31</v>
      </c>
    </row>
    <row r="207" spans="1:9" x14ac:dyDescent="0.25">
      <c r="A207" s="31">
        <v>46183</v>
      </c>
      <c r="B207" t="s">
        <v>171</v>
      </c>
      <c r="C207" s="30" t="s">
        <v>229</v>
      </c>
      <c r="D207" t="s">
        <v>17</v>
      </c>
      <c r="E207">
        <v>1825</v>
      </c>
      <c r="F207">
        <v>1677.9</v>
      </c>
      <c r="G207">
        <f t="shared" si="6"/>
        <v>147.09999999999991</v>
      </c>
      <c r="H207" s="4">
        <f t="shared" si="7"/>
        <v>8.7669110197270333E-2</v>
      </c>
      <c r="I207" t="s">
        <v>31</v>
      </c>
    </row>
    <row r="208" spans="1:9" x14ac:dyDescent="0.25">
      <c r="A208" s="31">
        <v>46183</v>
      </c>
      <c r="B208" t="s">
        <v>171</v>
      </c>
      <c r="C208" s="30" t="s">
        <v>230</v>
      </c>
      <c r="D208" t="s">
        <v>17</v>
      </c>
      <c r="E208">
        <v>1825</v>
      </c>
      <c r="F208">
        <v>1677.9</v>
      </c>
      <c r="G208">
        <f t="shared" si="6"/>
        <v>147.09999999999991</v>
      </c>
      <c r="H208" s="4">
        <f t="shared" si="7"/>
        <v>8.7669110197270333E-2</v>
      </c>
      <c r="I208" t="s">
        <v>31</v>
      </c>
    </row>
    <row r="209" spans="1:9" x14ac:dyDescent="0.25">
      <c r="A209" s="31">
        <v>46183</v>
      </c>
      <c r="B209" t="s">
        <v>171</v>
      </c>
      <c r="C209" s="30" t="s">
        <v>231</v>
      </c>
      <c r="D209" t="s">
        <v>17</v>
      </c>
      <c r="E209">
        <v>1830</v>
      </c>
      <c r="F209">
        <v>1677.9</v>
      </c>
      <c r="G209">
        <f t="shared" si="6"/>
        <v>152.09999999999991</v>
      </c>
      <c r="H209" s="4">
        <f t="shared" si="7"/>
        <v>9.0649025567673819E-2</v>
      </c>
      <c r="I209" t="s">
        <v>31</v>
      </c>
    </row>
    <row r="210" spans="1:9" x14ac:dyDescent="0.25">
      <c r="A210" s="31">
        <v>46183</v>
      </c>
      <c r="B210" t="s">
        <v>171</v>
      </c>
      <c r="C210" s="30" t="s">
        <v>232</v>
      </c>
      <c r="D210" t="s">
        <v>17</v>
      </c>
      <c r="E210">
        <v>1830</v>
      </c>
      <c r="F210">
        <v>1677.9</v>
      </c>
      <c r="G210">
        <f t="shared" si="6"/>
        <v>152.09999999999991</v>
      </c>
      <c r="H210" s="4">
        <f t="shared" si="7"/>
        <v>9.0649025567673819E-2</v>
      </c>
      <c r="I210" t="s">
        <v>31</v>
      </c>
    </row>
    <row r="211" spans="1:9" x14ac:dyDescent="0.25">
      <c r="A211" s="31">
        <v>46183</v>
      </c>
      <c r="B211" t="s">
        <v>171</v>
      </c>
      <c r="C211" s="30" t="s">
        <v>233</v>
      </c>
      <c r="D211" t="s">
        <v>17</v>
      </c>
      <c r="E211">
        <v>1825</v>
      </c>
      <c r="F211">
        <v>1677.9</v>
      </c>
      <c r="G211">
        <f t="shared" si="6"/>
        <v>147.09999999999991</v>
      </c>
      <c r="H211" s="4">
        <f t="shared" si="7"/>
        <v>8.7669110197270333E-2</v>
      </c>
      <c r="I211" t="s">
        <v>31</v>
      </c>
    </row>
    <row r="212" spans="1:9" x14ac:dyDescent="0.25">
      <c r="A212" s="31">
        <v>46183</v>
      </c>
      <c r="B212" t="s">
        <v>171</v>
      </c>
      <c r="C212" s="30" t="s">
        <v>234</v>
      </c>
      <c r="D212" t="s">
        <v>17</v>
      </c>
      <c r="E212">
        <v>1825</v>
      </c>
      <c r="F212">
        <v>1677.9</v>
      </c>
      <c r="G212">
        <f t="shared" si="6"/>
        <v>147.09999999999991</v>
      </c>
      <c r="H212" s="4">
        <f t="shared" si="7"/>
        <v>8.7669110197270333E-2</v>
      </c>
      <c r="I212" t="s">
        <v>31</v>
      </c>
    </row>
    <row r="213" spans="1:9" x14ac:dyDescent="0.25">
      <c r="A213" s="31">
        <v>46183</v>
      </c>
      <c r="B213" t="s">
        <v>171</v>
      </c>
      <c r="C213" s="30" t="s">
        <v>235</v>
      </c>
      <c r="D213" t="s">
        <v>17</v>
      </c>
      <c r="E213">
        <v>1830</v>
      </c>
      <c r="F213">
        <v>1677.9</v>
      </c>
      <c r="G213">
        <f t="shared" si="6"/>
        <v>152.09999999999991</v>
      </c>
      <c r="H213" s="4">
        <f t="shared" si="7"/>
        <v>9.0649025567673819E-2</v>
      </c>
      <c r="I213" t="s">
        <v>31</v>
      </c>
    </row>
    <row r="214" spans="1:9" x14ac:dyDescent="0.25">
      <c r="A214" s="31">
        <v>46183</v>
      </c>
      <c r="B214" t="s">
        <v>171</v>
      </c>
      <c r="C214" s="30" t="s">
        <v>236</v>
      </c>
      <c r="D214" t="s">
        <v>17</v>
      </c>
      <c r="E214">
        <v>1825</v>
      </c>
      <c r="F214">
        <v>1677.9</v>
      </c>
      <c r="G214">
        <f t="shared" si="6"/>
        <v>147.09999999999991</v>
      </c>
      <c r="H214" s="4">
        <f t="shared" si="7"/>
        <v>8.7669110197270333E-2</v>
      </c>
      <c r="I214" t="s">
        <v>31</v>
      </c>
    </row>
    <row r="215" spans="1:9" x14ac:dyDescent="0.25">
      <c r="A215" s="31">
        <v>46183</v>
      </c>
      <c r="B215" t="s">
        <v>171</v>
      </c>
      <c r="C215" s="30" t="s">
        <v>237</v>
      </c>
      <c r="D215" t="s">
        <v>17</v>
      </c>
      <c r="E215">
        <v>1825</v>
      </c>
      <c r="F215">
        <v>1677.9</v>
      </c>
      <c r="G215">
        <f t="shared" si="6"/>
        <v>147.09999999999991</v>
      </c>
      <c r="H215" s="4">
        <f t="shared" si="7"/>
        <v>8.7669110197270333E-2</v>
      </c>
      <c r="I215" t="s">
        <v>31</v>
      </c>
    </row>
    <row r="216" spans="1:9" x14ac:dyDescent="0.25">
      <c r="A216" s="31">
        <v>46183</v>
      </c>
      <c r="B216" t="s">
        <v>171</v>
      </c>
      <c r="C216" s="30" t="s">
        <v>238</v>
      </c>
      <c r="D216" t="s">
        <v>17</v>
      </c>
      <c r="E216">
        <v>1830</v>
      </c>
      <c r="F216">
        <v>1677.9</v>
      </c>
      <c r="G216">
        <f t="shared" si="6"/>
        <v>152.09999999999991</v>
      </c>
      <c r="H216" s="4">
        <f t="shared" si="7"/>
        <v>9.0649025567673819E-2</v>
      </c>
      <c r="I216" t="s">
        <v>31</v>
      </c>
    </row>
    <row r="217" spans="1:9" x14ac:dyDescent="0.25">
      <c r="A217" s="31">
        <v>46183</v>
      </c>
      <c r="B217" t="s">
        <v>171</v>
      </c>
      <c r="C217" s="30" t="s">
        <v>239</v>
      </c>
      <c r="D217" t="s">
        <v>17</v>
      </c>
      <c r="E217">
        <v>1830</v>
      </c>
      <c r="F217">
        <v>1677.9</v>
      </c>
      <c r="G217">
        <f t="shared" si="6"/>
        <v>152.09999999999991</v>
      </c>
      <c r="H217" s="4">
        <f t="shared" si="7"/>
        <v>9.0649025567673819E-2</v>
      </c>
      <c r="I217" t="s">
        <v>31</v>
      </c>
    </row>
    <row r="218" spans="1:9" x14ac:dyDescent="0.25">
      <c r="A218" s="31">
        <v>46183</v>
      </c>
      <c r="B218" t="s">
        <v>171</v>
      </c>
      <c r="C218" s="30" t="s">
        <v>240</v>
      </c>
      <c r="D218" t="s">
        <v>17</v>
      </c>
      <c r="E218">
        <v>1825</v>
      </c>
      <c r="F218">
        <v>1677.9</v>
      </c>
      <c r="G218">
        <f t="shared" si="6"/>
        <v>147.09999999999991</v>
      </c>
      <c r="H218" s="4">
        <f t="shared" si="7"/>
        <v>8.7669110197270333E-2</v>
      </c>
      <c r="I218" t="s">
        <v>31</v>
      </c>
    </row>
    <row r="219" spans="1:9" x14ac:dyDescent="0.25">
      <c r="A219" s="31">
        <v>46183</v>
      </c>
      <c r="B219" t="s">
        <v>171</v>
      </c>
      <c r="C219" s="30" t="s">
        <v>241</v>
      </c>
      <c r="D219" t="s">
        <v>17</v>
      </c>
      <c r="E219">
        <v>1830</v>
      </c>
      <c r="F219">
        <v>1677.9</v>
      </c>
      <c r="G219">
        <f t="shared" si="6"/>
        <v>152.09999999999991</v>
      </c>
      <c r="H219" s="4">
        <f t="shared" si="7"/>
        <v>9.0649025567673819E-2</v>
      </c>
      <c r="I219" t="s">
        <v>31</v>
      </c>
    </row>
    <row r="220" spans="1:9" x14ac:dyDescent="0.25">
      <c r="A220" s="31">
        <v>46183</v>
      </c>
      <c r="B220" t="s">
        <v>171</v>
      </c>
      <c r="C220" s="30" t="s">
        <v>242</v>
      </c>
      <c r="D220" t="s">
        <v>17</v>
      </c>
      <c r="E220">
        <v>1825</v>
      </c>
      <c r="F220">
        <v>1677.9</v>
      </c>
      <c r="G220">
        <f t="shared" si="6"/>
        <v>147.09999999999991</v>
      </c>
      <c r="H220" s="4">
        <f t="shared" si="7"/>
        <v>8.7669110197270333E-2</v>
      </c>
      <c r="I220" t="s">
        <v>31</v>
      </c>
    </row>
    <row r="221" spans="1:9" x14ac:dyDescent="0.25">
      <c r="A221" s="31">
        <v>46183</v>
      </c>
      <c r="B221" t="s">
        <v>171</v>
      </c>
      <c r="C221" s="30" t="s">
        <v>243</v>
      </c>
      <c r="D221" t="s">
        <v>17</v>
      </c>
      <c r="E221">
        <v>1825</v>
      </c>
      <c r="F221">
        <v>1677.9</v>
      </c>
      <c r="G221">
        <f t="shared" si="6"/>
        <v>147.09999999999991</v>
      </c>
      <c r="H221" s="4">
        <f t="shared" si="7"/>
        <v>8.7669110197270333E-2</v>
      </c>
      <c r="I221" t="s">
        <v>31</v>
      </c>
    </row>
    <row r="222" spans="1:9" x14ac:dyDescent="0.25">
      <c r="A222" s="31">
        <v>46183</v>
      </c>
      <c r="B222" t="s">
        <v>171</v>
      </c>
      <c r="C222" s="30" t="s">
        <v>244</v>
      </c>
      <c r="D222" t="s">
        <v>17</v>
      </c>
      <c r="E222">
        <v>1825</v>
      </c>
      <c r="F222">
        <v>1677.9</v>
      </c>
      <c r="G222">
        <f t="shared" si="6"/>
        <v>147.09999999999991</v>
      </c>
      <c r="H222" s="4">
        <f t="shared" si="7"/>
        <v>8.7669110197270333E-2</v>
      </c>
      <c r="I222" t="s">
        <v>31</v>
      </c>
    </row>
    <row r="223" spans="1:9" x14ac:dyDescent="0.25">
      <c r="A223" s="31">
        <v>46183</v>
      </c>
      <c r="B223" t="s">
        <v>171</v>
      </c>
      <c r="C223" s="30" t="s">
        <v>245</v>
      </c>
      <c r="D223" t="s">
        <v>17</v>
      </c>
      <c r="E223">
        <v>1825</v>
      </c>
      <c r="F223">
        <v>1677.9</v>
      </c>
      <c r="G223">
        <f t="shared" si="6"/>
        <v>147.09999999999991</v>
      </c>
      <c r="H223" s="4">
        <f t="shared" si="7"/>
        <v>8.7669110197270333E-2</v>
      </c>
      <c r="I223" t="s">
        <v>31</v>
      </c>
    </row>
    <row r="224" spans="1:9" x14ac:dyDescent="0.25">
      <c r="A224" s="31">
        <v>46183</v>
      </c>
      <c r="B224" t="s">
        <v>171</v>
      </c>
      <c r="C224" s="30" t="s">
        <v>246</v>
      </c>
      <c r="D224" t="s">
        <v>17</v>
      </c>
      <c r="E224">
        <v>1825</v>
      </c>
      <c r="F224">
        <v>1677.9</v>
      </c>
      <c r="G224">
        <f t="shared" si="6"/>
        <v>147.09999999999991</v>
      </c>
      <c r="H224" s="4">
        <f t="shared" si="7"/>
        <v>8.7669110197270333E-2</v>
      </c>
      <c r="I224" t="s">
        <v>31</v>
      </c>
    </row>
    <row r="225" spans="1:9" x14ac:dyDescent="0.25">
      <c r="A225" s="31">
        <v>46183</v>
      </c>
      <c r="B225" t="s">
        <v>171</v>
      </c>
      <c r="C225" s="30" t="s">
        <v>247</v>
      </c>
      <c r="D225" t="s">
        <v>17</v>
      </c>
      <c r="E225">
        <v>1825</v>
      </c>
      <c r="F225">
        <v>1677.9</v>
      </c>
      <c r="G225">
        <f t="shared" si="6"/>
        <v>147.09999999999991</v>
      </c>
      <c r="H225" s="4">
        <f t="shared" si="7"/>
        <v>8.7669110197270333E-2</v>
      </c>
      <c r="I225" t="s">
        <v>31</v>
      </c>
    </row>
    <row r="226" spans="1:9" x14ac:dyDescent="0.25">
      <c r="A226" s="31">
        <v>46183</v>
      </c>
      <c r="B226" t="s">
        <v>171</v>
      </c>
      <c r="C226" s="30" t="s">
        <v>248</v>
      </c>
      <c r="D226" t="s">
        <v>17</v>
      </c>
      <c r="E226">
        <v>1825</v>
      </c>
      <c r="F226">
        <v>1677.9</v>
      </c>
      <c r="G226">
        <f t="shared" si="6"/>
        <v>147.09999999999991</v>
      </c>
      <c r="H226" s="4">
        <f t="shared" si="7"/>
        <v>8.7669110197270333E-2</v>
      </c>
      <c r="I226" t="s">
        <v>31</v>
      </c>
    </row>
    <row r="227" spans="1:9" x14ac:dyDescent="0.25">
      <c r="A227" s="31">
        <v>46183</v>
      </c>
      <c r="B227" t="s">
        <v>171</v>
      </c>
      <c r="C227" s="30" t="s">
        <v>249</v>
      </c>
      <c r="D227" t="s">
        <v>17</v>
      </c>
      <c r="E227">
        <v>1830</v>
      </c>
      <c r="F227">
        <v>1677.9</v>
      </c>
      <c r="G227">
        <f t="shared" si="6"/>
        <v>152.09999999999991</v>
      </c>
      <c r="H227" s="4">
        <f t="shared" si="7"/>
        <v>9.0649025567673819E-2</v>
      </c>
      <c r="I227" t="s">
        <v>31</v>
      </c>
    </row>
    <row r="228" spans="1:9" x14ac:dyDescent="0.25">
      <c r="A228" s="31">
        <v>46183</v>
      </c>
      <c r="B228" t="s">
        <v>171</v>
      </c>
      <c r="C228" s="30" t="s">
        <v>250</v>
      </c>
      <c r="D228" t="s">
        <v>17</v>
      </c>
      <c r="E228">
        <v>1825</v>
      </c>
      <c r="F228">
        <v>1677.9</v>
      </c>
      <c r="G228">
        <f t="shared" si="6"/>
        <v>147.09999999999991</v>
      </c>
      <c r="H228" s="4">
        <f t="shared" si="7"/>
        <v>8.7669110197270333E-2</v>
      </c>
      <c r="I228" t="s">
        <v>31</v>
      </c>
    </row>
    <row r="229" spans="1:9" x14ac:dyDescent="0.25">
      <c r="A229" s="31">
        <v>46183</v>
      </c>
      <c r="B229" t="s">
        <v>171</v>
      </c>
      <c r="C229" s="30" t="s">
        <v>251</v>
      </c>
      <c r="D229" t="s">
        <v>17</v>
      </c>
      <c r="E229">
        <v>1825</v>
      </c>
      <c r="F229">
        <v>1677.9</v>
      </c>
      <c r="G229">
        <f t="shared" si="6"/>
        <v>147.09999999999991</v>
      </c>
      <c r="H229" s="4">
        <f t="shared" si="7"/>
        <v>8.7669110197270333E-2</v>
      </c>
      <c r="I229" t="s">
        <v>31</v>
      </c>
    </row>
    <row r="230" spans="1:9" x14ac:dyDescent="0.25">
      <c r="A230" s="31">
        <v>46183</v>
      </c>
      <c r="B230" t="s">
        <v>171</v>
      </c>
      <c r="C230" s="30" t="s">
        <v>252</v>
      </c>
      <c r="D230" t="s">
        <v>17</v>
      </c>
      <c r="E230">
        <v>1825</v>
      </c>
      <c r="F230">
        <v>1677.9</v>
      </c>
      <c r="G230">
        <f t="shared" si="6"/>
        <v>147.09999999999991</v>
      </c>
      <c r="H230" s="4">
        <f t="shared" si="7"/>
        <v>8.7669110197270333E-2</v>
      </c>
      <c r="I230" t="s">
        <v>31</v>
      </c>
    </row>
    <row r="231" spans="1:9" x14ac:dyDescent="0.25">
      <c r="A231" s="31">
        <v>46183</v>
      </c>
      <c r="B231" t="s">
        <v>171</v>
      </c>
      <c r="C231" s="30" t="s">
        <v>253</v>
      </c>
      <c r="D231" t="s">
        <v>17</v>
      </c>
      <c r="E231">
        <v>1830</v>
      </c>
      <c r="F231">
        <v>1677.9</v>
      </c>
      <c r="G231">
        <f t="shared" si="6"/>
        <v>152.09999999999991</v>
      </c>
      <c r="H231" s="4">
        <f t="shared" si="7"/>
        <v>9.0649025567673819E-2</v>
      </c>
      <c r="I231" t="s">
        <v>31</v>
      </c>
    </row>
    <row r="232" spans="1:9" x14ac:dyDescent="0.25">
      <c r="A232" s="31">
        <v>46183</v>
      </c>
      <c r="B232" t="s">
        <v>171</v>
      </c>
      <c r="C232" s="30" t="s">
        <v>254</v>
      </c>
      <c r="D232" t="s">
        <v>17</v>
      </c>
      <c r="E232">
        <v>1830</v>
      </c>
      <c r="F232">
        <v>1677.9</v>
      </c>
      <c r="G232">
        <f t="shared" si="6"/>
        <v>152.09999999999991</v>
      </c>
      <c r="H232" s="4">
        <f t="shared" si="7"/>
        <v>9.0649025567673819E-2</v>
      </c>
      <c r="I232" t="s">
        <v>31</v>
      </c>
    </row>
    <row r="233" spans="1:9" x14ac:dyDescent="0.25">
      <c r="A233" s="31">
        <v>46183</v>
      </c>
      <c r="B233" t="s">
        <v>171</v>
      </c>
      <c r="C233" s="30" t="s">
        <v>255</v>
      </c>
      <c r="D233" t="s">
        <v>17</v>
      </c>
      <c r="E233">
        <v>1825</v>
      </c>
      <c r="F233">
        <v>1677.9</v>
      </c>
      <c r="G233">
        <f t="shared" si="6"/>
        <v>147.09999999999991</v>
      </c>
      <c r="H233" s="4">
        <f t="shared" si="7"/>
        <v>8.7669110197270333E-2</v>
      </c>
      <c r="I233" t="s">
        <v>31</v>
      </c>
    </row>
    <row r="234" spans="1:9" x14ac:dyDescent="0.25">
      <c r="A234" s="31">
        <v>46183</v>
      </c>
      <c r="B234" t="s">
        <v>171</v>
      </c>
      <c r="C234" s="30" t="s">
        <v>256</v>
      </c>
      <c r="D234" t="s">
        <v>17</v>
      </c>
      <c r="E234">
        <v>1825</v>
      </c>
      <c r="F234">
        <v>1677.9</v>
      </c>
      <c r="G234">
        <f t="shared" si="6"/>
        <v>147.09999999999991</v>
      </c>
      <c r="H234" s="4">
        <f t="shared" si="7"/>
        <v>8.7669110197270333E-2</v>
      </c>
      <c r="I234" t="s">
        <v>31</v>
      </c>
    </row>
    <row r="235" spans="1:9" x14ac:dyDescent="0.25">
      <c r="A235" s="31">
        <v>46183</v>
      </c>
      <c r="B235" t="s">
        <v>171</v>
      </c>
      <c r="C235" s="30" t="s">
        <v>257</v>
      </c>
      <c r="D235" t="s">
        <v>17</v>
      </c>
      <c r="E235">
        <v>1830</v>
      </c>
      <c r="F235">
        <v>1677.9</v>
      </c>
      <c r="G235">
        <f t="shared" si="6"/>
        <v>152.09999999999991</v>
      </c>
      <c r="H235" s="4">
        <f t="shared" si="7"/>
        <v>9.0649025567673819E-2</v>
      </c>
      <c r="I235" t="s">
        <v>31</v>
      </c>
    </row>
    <row r="236" spans="1:9" x14ac:dyDescent="0.25">
      <c r="A236" s="31">
        <v>46183</v>
      </c>
      <c r="B236" t="s">
        <v>171</v>
      </c>
      <c r="C236" s="30" t="s">
        <v>258</v>
      </c>
      <c r="D236" t="s">
        <v>17</v>
      </c>
      <c r="E236">
        <v>1830</v>
      </c>
      <c r="F236">
        <v>1677.9</v>
      </c>
      <c r="G236">
        <f t="shared" si="6"/>
        <v>152.09999999999991</v>
      </c>
      <c r="H236" s="4">
        <f t="shared" si="7"/>
        <v>9.0649025567673819E-2</v>
      </c>
      <c r="I236" t="s">
        <v>31</v>
      </c>
    </row>
    <row r="237" spans="1:9" x14ac:dyDescent="0.25">
      <c r="A237" s="31">
        <v>46183</v>
      </c>
      <c r="B237" t="s">
        <v>171</v>
      </c>
      <c r="C237" s="30" t="s">
        <v>259</v>
      </c>
      <c r="D237" t="s">
        <v>17</v>
      </c>
      <c r="E237">
        <v>1825</v>
      </c>
      <c r="F237">
        <v>1677.9</v>
      </c>
      <c r="G237">
        <f t="shared" si="6"/>
        <v>147.09999999999991</v>
      </c>
      <c r="H237" s="4">
        <f t="shared" si="7"/>
        <v>8.7669110197270333E-2</v>
      </c>
      <c r="I237" t="s">
        <v>31</v>
      </c>
    </row>
    <row r="238" spans="1:9" x14ac:dyDescent="0.25">
      <c r="A238" s="31">
        <v>46183</v>
      </c>
      <c r="B238" t="s">
        <v>171</v>
      </c>
      <c r="C238" s="30" t="s">
        <v>260</v>
      </c>
      <c r="D238" t="s">
        <v>17</v>
      </c>
      <c r="E238">
        <v>1825</v>
      </c>
      <c r="F238">
        <v>1677.9</v>
      </c>
      <c r="G238">
        <f t="shared" si="6"/>
        <v>147.09999999999991</v>
      </c>
      <c r="H238" s="4">
        <f t="shared" si="7"/>
        <v>8.7669110197270333E-2</v>
      </c>
      <c r="I238" t="s">
        <v>31</v>
      </c>
    </row>
    <row r="239" spans="1:9" x14ac:dyDescent="0.25">
      <c r="A239" s="31">
        <v>46183</v>
      </c>
      <c r="B239" t="s">
        <v>171</v>
      </c>
      <c r="C239" s="30" t="s">
        <v>261</v>
      </c>
      <c r="D239" t="s">
        <v>17</v>
      </c>
      <c r="E239">
        <v>1825</v>
      </c>
      <c r="F239">
        <v>1677.9</v>
      </c>
      <c r="G239">
        <f t="shared" si="6"/>
        <v>147.09999999999991</v>
      </c>
      <c r="H239" s="4">
        <f t="shared" si="7"/>
        <v>8.7669110197270333E-2</v>
      </c>
      <c r="I239" t="s">
        <v>31</v>
      </c>
    </row>
    <row r="240" spans="1:9" x14ac:dyDescent="0.25">
      <c r="A240" s="31">
        <v>46183</v>
      </c>
      <c r="B240" t="s">
        <v>171</v>
      </c>
      <c r="C240" s="30" t="s">
        <v>262</v>
      </c>
      <c r="D240" t="s">
        <v>17</v>
      </c>
      <c r="E240">
        <v>1830</v>
      </c>
      <c r="F240">
        <v>1677.9</v>
      </c>
      <c r="G240">
        <f t="shared" si="6"/>
        <v>152.09999999999991</v>
      </c>
      <c r="H240" s="4">
        <f t="shared" si="7"/>
        <v>9.0649025567673819E-2</v>
      </c>
      <c r="I240" t="s">
        <v>31</v>
      </c>
    </row>
    <row r="241" spans="1:9" x14ac:dyDescent="0.25">
      <c r="A241" s="31">
        <v>46183</v>
      </c>
      <c r="B241" t="s">
        <v>171</v>
      </c>
      <c r="C241" s="30" t="s">
        <v>263</v>
      </c>
      <c r="D241" t="s">
        <v>17</v>
      </c>
      <c r="E241">
        <v>1825</v>
      </c>
      <c r="F241">
        <v>1677.9</v>
      </c>
      <c r="G241">
        <f t="shared" si="6"/>
        <v>147.09999999999991</v>
      </c>
      <c r="H241" s="4">
        <f t="shared" si="7"/>
        <v>8.7669110197270333E-2</v>
      </c>
      <c r="I241" t="s">
        <v>31</v>
      </c>
    </row>
    <row r="242" spans="1:9" x14ac:dyDescent="0.25">
      <c r="A242" s="31">
        <v>46183</v>
      </c>
      <c r="B242" t="s">
        <v>171</v>
      </c>
      <c r="C242" s="30" t="s">
        <v>264</v>
      </c>
      <c r="D242" t="s">
        <v>17</v>
      </c>
      <c r="E242">
        <v>1825</v>
      </c>
      <c r="F242">
        <v>1677.9</v>
      </c>
      <c r="G242">
        <f t="shared" si="6"/>
        <v>147.09999999999991</v>
      </c>
      <c r="H242" s="4">
        <f t="shared" si="7"/>
        <v>8.7669110197270333E-2</v>
      </c>
      <c r="I242" t="s">
        <v>31</v>
      </c>
    </row>
    <row r="243" spans="1:9" x14ac:dyDescent="0.25">
      <c r="A243" s="31">
        <v>46183</v>
      </c>
      <c r="B243" t="s">
        <v>171</v>
      </c>
      <c r="C243" s="30" t="s">
        <v>265</v>
      </c>
      <c r="D243" t="s">
        <v>17</v>
      </c>
      <c r="E243">
        <v>1825</v>
      </c>
      <c r="F243">
        <v>1677.9</v>
      </c>
      <c r="G243">
        <f t="shared" si="6"/>
        <v>147.09999999999991</v>
      </c>
      <c r="H243" s="4">
        <f t="shared" si="7"/>
        <v>8.7669110197270333E-2</v>
      </c>
      <c r="I243" t="s">
        <v>31</v>
      </c>
    </row>
    <row r="244" spans="1:9" x14ac:dyDescent="0.25">
      <c r="A244" s="31">
        <v>46183</v>
      </c>
      <c r="B244" t="s">
        <v>171</v>
      </c>
      <c r="C244" s="30" t="s">
        <v>266</v>
      </c>
      <c r="D244" t="s">
        <v>17</v>
      </c>
      <c r="E244">
        <v>1825</v>
      </c>
      <c r="F244">
        <v>1677.9</v>
      </c>
      <c r="G244">
        <f t="shared" si="6"/>
        <v>147.09999999999991</v>
      </c>
      <c r="H244" s="4">
        <f t="shared" si="7"/>
        <v>8.7669110197270333E-2</v>
      </c>
      <c r="I244" t="s">
        <v>31</v>
      </c>
    </row>
    <row r="245" spans="1:9" x14ac:dyDescent="0.25">
      <c r="A245" s="31">
        <v>46183</v>
      </c>
      <c r="B245" t="s">
        <v>171</v>
      </c>
      <c r="C245" s="30" t="s">
        <v>267</v>
      </c>
      <c r="D245" t="s">
        <v>17</v>
      </c>
      <c r="E245">
        <v>1830</v>
      </c>
      <c r="F245">
        <v>1677.9</v>
      </c>
      <c r="G245">
        <f t="shared" si="6"/>
        <v>152.09999999999991</v>
      </c>
      <c r="H245" s="4">
        <f t="shared" si="7"/>
        <v>9.0649025567673819E-2</v>
      </c>
      <c r="I245" t="s">
        <v>31</v>
      </c>
    </row>
    <row r="246" spans="1:9" x14ac:dyDescent="0.25">
      <c r="A246" s="31">
        <v>46183</v>
      </c>
      <c r="B246" t="s">
        <v>171</v>
      </c>
      <c r="C246" s="30" t="s">
        <v>268</v>
      </c>
      <c r="D246" t="s">
        <v>17</v>
      </c>
      <c r="E246">
        <v>1825</v>
      </c>
      <c r="F246">
        <v>1677.9</v>
      </c>
      <c r="G246">
        <f t="shared" si="6"/>
        <v>147.09999999999991</v>
      </c>
      <c r="H246" s="4">
        <f t="shared" si="7"/>
        <v>8.7669110197270333E-2</v>
      </c>
      <c r="I246" t="s">
        <v>31</v>
      </c>
    </row>
    <row r="247" spans="1:9" x14ac:dyDescent="0.25">
      <c r="A247" s="31">
        <v>46183</v>
      </c>
      <c r="B247" t="s">
        <v>171</v>
      </c>
      <c r="C247" s="30" t="s">
        <v>269</v>
      </c>
      <c r="D247" t="s">
        <v>17</v>
      </c>
      <c r="E247">
        <v>1830</v>
      </c>
      <c r="F247">
        <v>1677.9</v>
      </c>
      <c r="G247">
        <f t="shared" si="6"/>
        <v>152.09999999999991</v>
      </c>
      <c r="H247" s="4">
        <f t="shared" si="7"/>
        <v>9.0649025567673819E-2</v>
      </c>
      <c r="I247" t="s">
        <v>31</v>
      </c>
    </row>
    <row r="248" spans="1:9" x14ac:dyDescent="0.25">
      <c r="A248" s="31">
        <v>46183</v>
      </c>
      <c r="B248" t="s">
        <v>123</v>
      </c>
      <c r="C248" s="30" t="s">
        <v>270</v>
      </c>
      <c r="D248" t="s">
        <v>17</v>
      </c>
      <c r="E248">
        <v>2980</v>
      </c>
      <c r="F248">
        <v>2534.6999999999998</v>
      </c>
      <c r="G248">
        <f t="shared" si="6"/>
        <v>445.30000000000018</v>
      </c>
      <c r="H248" s="4">
        <f t="shared" si="7"/>
        <v>0.17568154022172258</v>
      </c>
      <c r="I248" t="s">
        <v>31</v>
      </c>
    </row>
    <row r="249" spans="1:9" x14ac:dyDescent="0.25">
      <c r="A249" s="31">
        <v>46183</v>
      </c>
      <c r="B249" t="s">
        <v>123</v>
      </c>
      <c r="C249" s="30" t="s">
        <v>271</v>
      </c>
      <c r="D249" t="s">
        <v>17</v>
      </c>
      <c r="E249">
        <v>2980</v>
      </c>
      <c r="F249">
        <v>2534.6999999999998</v>
      </c>
      <c r="G249">
        <f t="shared" si="6"/>
        <v>445.30000000000018</v>
      </c>
      <c r="H249" s="4">
        <f t="shared" si="7"/>
        <v>0.17568154022172258</v>
      </c>
      <c r="I249" t="s">
        <v>31</v>
      </c>
    </row>
    <row r="250" spans="1:9" x14ac:dyDescent="0.25">
      <c r="A250" s="31">
        <v>46183</v>
      </c>
      <c r="B250" t="s">
        <v>123</v>
      </c>
      <c r="C250" s="30" t="s">
        <v>272</v>
      </c>
      <c r="D250" t="s">
        <v>17</v>
      </c>
      <c r="E250">
        <v>2980</v>
      </c>
      <c r="F250">
        <v>2534.6999999999998</v>
      </c>
      <c r="G250">
        <f t="shared" si="6"/>
        <v>445.30000000000018</v>
      </c>
      <c r="H250" s="4">
        <f t="shared" si="7"/>
        <v>0.17568154022172258</v>
      </c>
      <c r="I250" t="s">
        <v>31</v>
      </c>
    </row>
    <row r="251" spans="1:9" x14ac:dyDescent="0.25">
      <c r="A251" s="31">
        <v>46183</v>
      </c>
      <c r="B251" t="s">
        <v>123</v>
      </c>
      <c r="C251" s="30" t="s">
        <v>273</v>
      </c>
      <c r="D251" t="s">
        <v>17</v>
      </c>
      <c r="E251">
        <v>2980</v>
      </c>
      <c r="F251">
        <v>2534.6999999999998</v>
      </c>
      <c r="G251">
        <f t="shared" si="6"/>
        <v>445.30000000000018</v>
      </c>
      <c r="H251" s="4">
        <f t="shared" si="7"/>
        <v>0.17568154022172258</v>
      </c>
      <c r="I251" t="s">
        <v>31</v>
      </c>
    </row>
    <row r="252" spans="1:9" x14ac:dyDescent="0.25">
      <c r="A252" s="31">
        <v>46183</v>
      </c>
      <c r="B252" t="s">
        <v>123</v>
      </c>
      <c r="C252" s="30" t="s">
        <v>274</v>
      </c>
      <c r="D252" t="s">
        <v>17</v>
      </c>
      <c r="E252">
        <v>2980</v>
      </c>
      <c r="F252">
        <v>2534.6999999999998</v>
      </c>
      <c r="G252">
        <f t="shared" si="6"/>
        <v>445.30000000000018</v>
      </c>
      <c r="H252" s="4">
        <f t="shared" si="7"/>
        <v>0.17568154022172258</v>
      </c>
      <c r="I252" t="s">
        <v>31</v>
      </c>
    </row>
    <row r="253" spans="1:9" x14ac:dyDescent="0.25">
      <c r="A253" s="31">
        <v>46185</v>
      </c>
      <c r="B253" t="s">
        <v>278</v>
      </c>
      <c r="C253" s="30" t="s">
        <v>279</v>
      </c>
      <c r="D253" t="s">
        <v>17</v>
      </c>
      <c r="E253">
        <v>13950</v>
      </c>
      <c r="F253">
        <v>12495</v>
      </c>
      <c r="G253">
        <f t="shared" si="6"/>
        <v>1455</v>
      </c>
      <c r="H253" s="4">
        <f t="shared" si="7"/>
        <v>0.11644657863145258</v>
      </c>
      <c r="I253" t="s">
        <v>31</v>
      </c>
    </row>
    <row r="254" spans="1:9" x14ac:dyDescent="0.25">
      <c r="A254" s="31">
        <v>46185</v>
      </c>
      <c r="B254" t="s">
        <v>59</v>
      </c>
      <c r="C254" s="30" t="s">
        <v>280</v>
      </c>
      <c r="D254" t="s">
        <v>281</v>
      </c>
      <c r="E254">
        <v>1520</v>
      </c>
      <c r="F254">
        <v>1106.7</v>
      </c>
      <c r="G254">
        <f t="shared" si="6"/>
        <v>413.29999999999995</v>
      </c>
      <c r="H254" s="4">
        <f t="shared" si="7"/>
        <v>0.37345260684919124</v>
      </c>
      <c r="I254" t="s">
        <v>31</v>
      </c>
    </row>
    <row r="255" spans="1:9" x14ac:dyDescent="0.25">
      <c r="A255" s="31">
        <v>46185</v>
      </c>
      <c r="B255" t="s">
        <v>59</v>
      </c>
      <c r="C255" s="30" t="s">
        <v>282</v>
      </c>
      <c r="D255" t="s">
        <v>283</v>
      </c>
      <c r="E255">
        <v>1520</v>
      </c>
      <c r="F255">
        <v>1106.7</v>
      </c>
      <c r="G255">
        <f t="shared" si="6"/>
        <v>413.29999999999995</v>
      </c>
      <c r="H255" s="4">
        <f t="shared" si="7"/>
        <v>0.37345260684919124</v>
      </c>
      <c r="I255" t="s">
        <v>31</v>
      </c>
    </row>
    <row r="256" spans="1:9" x14ac:dyDescent="0.25">
      <c r="A256" s="31">
        <v>46185</v>
      </c>
      <c r="B256" t="s">
        <v>59</v>
      </c>
      <c r="C256" s="30" t="s">
        <v>284</v>
      </c>
      <c r="D256" t="s">
        <v>285</v>
      </c>
      <c r="E256">
        <v>1310</v>
      </c>
      <c r="F256">
        <v>1106.7</v>
      </c>
      <c r="G256">
        <f t="shared" si="6"/>
        <v>203.29999999999995</v>
      </c>
      <c r="H256" s="4">
        <f t="shared" si="7"/>
        <v>0.18369928616607928</v>
      </c>
      <c r="I256" t="s">
        <v>31</v>
      </c>
    </row>
    <row r="257" spans="1:10" x14ac:dyDescent="0.25">
      <c r="A257" s="31">
        <v>46185</v>
      </c>
      <c r="B257" t="s">
        <v>59</v>
      </c>
      <c r="C257" s="30" t="s">
        <v>286</v>
      </c>
      <c r="D257" t="s">
        <v>285</v>
      </c>
      <c r="E257">
        <v>1310</v>
      </c>
      <c r="F257">
        <v>1106.7</v>
      </c>
      <c r="G257">
        <f t="shared" si="6"/>
        <v>203.29999999999995</v>
      </c>
      <c r="H257" s="4">
        <f t="shared" si="7"/>
        <v>0.18369928616607928</v>
      </c>
      <c r="I257" t="s">
        <v>31</v>
      </c>
    </row>
    <row r="258" spans="1:10" x14ac:dyDescent="0.25">
      <c r="A258" s="31">
        <v>46185</v>
      </c>
      <c r="B258" t="s">
        <v>59</v>
      </c>
      <c r="C258" s="30" t="s">
        <v>287</v>
      </c>
      <c r="D258" t="s">
        <v>281</v>
      </c>
      <c r="E258">
        <v>1520</v>
      </c>
      <c r="F258">
        <v>1106.7</v>
      </c>
      <c r="G258">
        <f t="shared" si="6"/>
        <v>413.29999999999995</v>
      </c>
      <c r="H258" s="4">
        <f t="shared" si="7"/>
        <v>0.37345260684919124</v>
      </c>
      <c r="I258" t="s">
        <v>31</v>
      </c>
    </row>
    <row r="259" spans="1:10" x14ac:dyDescent="0.25">
      <c r="A259" s="31">
        <v>46185</v>
      </c>
      <c r="B259" t="s">
        <v>59</v>
      </c>
      <c r="C259" s="30" t="s">
        <v>288</v>
      </c>
      <c r="D259" t="s">
        <v>281</v>
      </c>
      <c r="E259">
        <v>1520</v>
      </c>
      <c r="F259">
        <v>1106.7</v>
      </c>
      <c r="G259">
        <f t="shared" ref="G259:G301" si="8">E259-F259</f>
        <v>413.29999999999995</v>
      </c>
      <c r="H259" s="4">
        <f t="shared" ref="H259:H301" si="9">(E259-F259)/F259</f>
        <v>0.37345260684919124</v>
      </c>
      <c r="I259" t="s">
        <v>31</v>
      </c>
    </row>
    <row r="260" spans="1:10" x14ac:dyDescent="0.25">
      <c r="A260" s="31">
        <v>46185</v>
      </c>
      <c r="B260" t="s">
        <v>59</v>
      </c>
      <c r="C260" s="30" t="s">
        <v>289</v>
      </c>
      <c r="D260" t="s">
        <v>281</v>
      </c>
      <c r="E260">
        <v>1520</v>
      </c>
      <c r="F260">
        <v>1106.7</v>
      </c>
      <c r="G260">
        <f t="shared" si="8"/>
        <v>413.29999999999995</v>
      </c>
      <c r="H260" s="4">
        <f t="shared" si="9"/>
        <v>0.37345260684919124</v>
      </c>
      <c r="I260" t="s">
        <v>31</v>
      </c>
    </row>
    <row r="261" spans="1:10" x14ac:dyDescent="0.25">
      <c r="A261" s="31">
        <v>46185</v>
      </c>
      <c r="B261" t="s">
        <v>59</v>
      </c>
      <c r="C261" s="30" t="s">
        <v>290</v>
      </c>
      <c r="D261" t="s">
        <v>285</v>
      </c>
      <c r="E261">
        <v>1310</v>
      </c>
      <c r="F261">
        <v>1106.7</v>
      </c>
      <c r="G261">
        <f t="shared" si="8"/>
        <v>203.29999999999995</v>
      </c>
      <c r="H261" s="4">
        <f t="shared" si="9"/>
        <v>0.18369928616607928</v>
      </c>
      <c r="I261" t="s">
        <v>31</v>
      </c>
    </row>
    <row r="262" spans="1:10" x14ac:dyDescent="0.25">
      <c r="A262" s="32">
        <v>46186</v>
      </c>
      <c r="B262" s="5" t="s">
        <v>291</v>
      </c>
      <c r="C262" s="33" t="s">
        <v>292</v>
      </c>
      <c r="D262" s="5"/>
      <c r="E262" s="5">
        <v>4600</v>
      </c>
      <c r="F262" s="5">
        <v>4738.8</v>
      </c>
      <c r="G262" s="5">
        <f t="shared" si="8"/>
        <v>-138.80000000000018</v>
      </c>
      <c r="H262" s="6">
        <f t="shared" si="9"/>
        <v>-2.929011564109061E-2</v>
      </c>
      <c r="I262" s="5" t="s">
        <v>31</v>
      </c>
      <c r="J262" s="5" t="s">
        <v>55</v>
      </c>
    </row>
    <row r="263" spans="1:10" x14ac:dyDescent="0.25">
      <c r="A263" s="31">
        <v>46186</v>
      </c>
      <c r="B263" t="s">
        <v>291</v>
      </c>
      <c r="C263" s="30" t="s">
        <v>293</v>
      </c>
      <c r="E263">
        <v>4600</v>
      </c>
      <c r="F263">
        <v>4498.2</v>
      </c>
      <c r="G263">
        <f t="shared" si="8"/>
        <v>101.80000000000018</v>
      </c>
      <c r="H263" s="4">
        <f t="shared" si="9"/>
        <v>2.2631274732115108E-2</v>
      </c>
      <c r="I263" t="s">
        <v>31</v>
      </c>
    </row>
    <row r="264" spans="1:10" x14ac:dyDescent="0.25">
      <c r="A264" s="31">
        <v>46186</v>
      </c>
      <c r="B264" t="s">
        <v>291</v>
      </c>
      <c r="C264" s="30" t="s">
        <v>294</v>
      </c>
      <c r="E264">
        <v>4600</v>
      </c>
      <c r="F264">
        <v>4045.4</v>
      </c>
      <c r="G264">
        <f t="shared" si="8"/>
        <v>554.59999999999991</v>
      </c>
      <c r="H264" s="4">
        <f t="shared" si="9"/>
        <v>0.1370939832896623</v>
      </c>
      <c r="I264" t="s">
        <v>31</v>
      </c>
    </row>
    <row r="265" spans="1:10" x14ac:dyDescent="0.25">
      <c r="A265" s="32">
        <v>46186</v>
      </c>
      <c r="B265" s="5" t="s">
        <v>291</v>
      </c>
      <c r="C265" s="33" t="s">
        <v>295</v>
      </c>
      <c r="D265" s="5"/>
      <c r="E265" s="5">
        <v>4400</v>
      </c>
      <c r="F265" s="5">
        <v>4738.8</v>
      </c>
      <c r="G265" s="5">
        <f t="shared" si="8"/>
        <v>-338.80000000000018</v>
      </c>
      <c r="H265" s="6">
        <f t="shared" si="9"/>
        <v>-7.1494893221912756E-2</v>
      </c>
      <c r="I265" s="5" t="s">
        <v>31</v>
      </c>
      <c r="J265" s="5" t="s">
        <v>55</v>
      </c>
    </row>
    <row r="266" spans="1:10" x14ac:dyDescent="0.25">
      <c r="A266" s="31">
        <v>46186</v>
      </c>
      <c r="B266" t="s">
        <v>296</v>
      </c>
      <c r="C266" s="30" t="s">
        <v>297</v>
      </c>
      <c r="D266" t="s">
        <v>168</v>
      </c>
      <c r="E266">
        <v>4100</v>
      </c>
      <c r="F266">
        <v>3284.4</v>
      </c>
      <c r="G266">
        <f t="shared" si="8"/>
        <v>815.59999999999991</v>
      </c>
      <c r="H266" s="4">
        <f t="shared" si="9"/>
        <v>0.24832541712337106</v>
      </c>
      <c r="I266" t="s">
        <v>31</v>
      </c>
    </row>
    <row r="267" spans="1:10" x14ac:dyDescent="0.25">
      <c r="A267" s="32">
        <v>46186</v>
      </c>
      <c r="B267" s="5" t="s">
        <v>298</v>
      </c>
      <c r="C267" s="33" t="s">
        <v>299</v>
      </c>
      <c r="D267" s="5" t="s">
        <v>300</v>
      </c>
      <c r="E267" s="5">
        <v>2230</v>
      </c>
      <c r="F267" s="5">
        <v>2320.5</v>
      </c>
      <c r="G267" s="5">
        <f t="shared" si="8"/>
        <v>-90.5</v>
      </c>
      <c r="H267" s="6">
        <f t="shared" si="9"/>
        <v>-3.9000215470803706E-2</v>
      </c>
      <c r="I267" s="5" t="s">
        <v>31</v>
      </c>
      <c r="J267" s="5" t="s">
        <v>55</v>
      </c>
    </row>
    <row r="268" spans="1:10" x14ac:dyDescent="0.25">
      <c r="A268" s="32">
        <v>46186</v>
      </c>
      <c r="B268" s="5" t="s">
        <v>298</v>
      </c>
      <c r="C268" s="33" t="s">
        <v>301</v>
      </c>
      <c r="D268" s="5" t="s">
        <v>300</v>
      </c>
      <c r="E268" s="5">
        <v>2230</v>
      </c>
      <c r="F268" s="5">
        <v>2320.5</v>
      </c>
      <c r="G268" s="5">
        <f t="shared" si="8"/>
        <v>-90.5</v>
      </c>
      <c r="H268" s="6">
        <f t="shared" si="9"/>
        <v>-3.9000215470803706E-2</v>
      </c>
      <c r="I268" s="5" t="s">
        <v>31</v>
      </c>
      <c r="J268" s="5" t="s">
        <v>55</v>
      </c>
    </row>
    <row r="269" spans="1:10" x14ac:dyDescent="0.25">
      <c r="A269" s="31">
        <v>46186</v>
      </c>
      <c r="B269" t="s">
        <v>302</v>
      </c>
      <c r="C269" s="30" t="s">
        <v>303</v>
      </c>
      <c r="D269" t="s">
        <v>168</v>
      </c>
      <c r="E269">
        <v>7250</v>
      </c>
      <c r="F269">
        <v>6604.5</v>
      </c>
      <c r="G269">
        <f t="shared" si="8"/>
        <v>645.5</v>
      </c>
      <c r="H269" s="4">
        <f t="shared" si="9"/>
        <v>9.7736391854038915E-2</v>
      </c>
      <c r="I269" t="s">
        <v>31</v>
      </c>
    </row>
    <row r="270" spans="1:10" x14ac:dyDescent="0.25">
      <c r="A270" s="31">
        <v>46186</v>
      </c>
      <c r="B270" t="s">
        <v>302</v>
      </c>
      <c r="C270" s="30" t="s">
        <v>304</v>
      </c>
      <c r="D270" t="s">
        <v>305</v>
      </c>
      <c r="E270">
        <v>7250</v>
      </c>
      <c r="F270">
        <v>6604.5</v>
      </c>
      <c r="G270">
        <f t="shared" si="8"/>
        <v>645.5</v>
      </c>
      <c r="H270" s="4">
        <f t="shared" si="9"/>
        <v>9.7736391854038915E-2</v>
      </c>
      <c r="I270" t="s">
        <v>31</v>
      </c>
    </row>
    <row r="271" spans="1:10" x14ac:dyDescent="0.25">
      <c r="A271" s="31">
        <v>46186</v>
      </c>
      <c r="B271" t="s">
        <v>306</v>
      </c>
      <c r="C271" s="30" t="s">
        <v>307</v>
      </c>
      <c r="D271" t="s">
        <v>308</v>
      </c>
      <c r="E271">
        <v>6800</v>
      </c>
      <c r="F271">
        <v>6247.5</v>
      </c>
      <c r="G271">
        <f t="shared" si="8"/>
        <v>552.5</v>
      </c>
      <c r="H271" s="4">
        <f t="shared" si="9"/>
        <v>8.8435374149659865E-2</v>
      </c>
      <c r="I271" t="s">
        <v>31</v>
      </c>
    </row>
    <row r="272" spans="1:10" x14ac:dyDescent="0.25">
      <c r="A272" s="31">
        <v>46186</v>
      </c>
      <c r="B272" t="s">
        <v>309</v>
      </c>
      <c r="C272" s="30" t="s">
        <v>310</v>
      </c>
      <c r="D272" t="s">
        <v>206</v>
      </c>
      <c r="E272">
        <v>14000</v>
      </c>
      <c r="F272">
        <v>12495</v>
      </c>
      <c r="G272">
        <f t="shared" si="8"/>
        <v>1505</v>
      </c>
      <c r="H272" s="4">
        <f t="shared" si="9"/>
        <v>0.12044817927170869</v>
      </c>
      <c r="I272" t="s">
        <v>31</v>
      </c>
    </row>
    <row r="273" spans="1:10" x14ac:dyDescent="0.25">
      <c r="A273" s="31">
        <v>46188</v>
      </c>
      <c r="B273" t="s">
        <v>34</v>
      </c>
      <c r="C273" s="30">
        <v>352440635277744</v>
      </c>
      <c r="D273" t="s">
        <v>37</v>
      </c>
      <c r="E273">
        <v>3000</v>
      </c>
      <c r="F273">
        <v>2891.7</v>
      </c>
      <c r="G273">
        <f t="shared" si="8"/>
        <v>108.30000000000018</v>
      </c>
      <c r="H273" s="4">
        <f t="shared" si="9"/>
        <v>3.7452017844174769E-2</v>
      </c>
      <c r="I273" t="s">
        <v>31</v>
      </c>
    </row>
    <row r="274" spans="1:10" x14ac:dyDescent="0.25">
      <c r="A274" s="31">
        <v>46189</v>
      </c>
      <c r="B274" t="s">
        <v>34</v>
      </c>
      <c r="C274" s="30">
        <v>355820205154547</v>
      </c>
      <c r="D274" t="s">
        <v>97</v>
      </c>
      <c r="E274">
        <v>3063.29</v>
      </c>
      <c r="F274">
        <v>2677.5</v>
      </c>
      <c r="G274">
        <f t="shared" si="8"/>
        <v>385.78999999999996</v>
      </c>
      <c r="H274" s="4">
        <f t="shared" si="9"/>
        <v>0.1440859010270775</v>
      </c>
      <c r="I274" t="s">
        <v>31</v>
      </c>
    </row>
    <row r="275" spans="1:10" x14ac:dyDescent="0.25">
      <c r="A275" s="31">
        <v>46192</v>
      </c>
      <c r="B275" t="s">
        <v>329</v>
      </c>
      <c r="C275" s="30">
        <v>352551952296362</v>
      </c>
      <c r="D275" t="s">
        <v>330</v>
      </c>
      <c r="E275">
        <v>2025.31</v>
      </c>
      <c r="F275">
        <v>1700.5</v>
      </c>
      <c r="G275">
        <f t="shared" si="8"/>
        <v>324.80999999999995</v>
      </c>
      <c r="H275" s="4">
        <f t="shared" si="9"/>
        <v>0.19100852690385178</v>
      </c>
      <c r="I275" t="s">
        <v>31</v>
      </c>
    </row>
    <row r="276" spans="1:10" x14ac:dyDescent="0.25">
      <c r="A276" s="31">
        <v>46193</v>
      </c>
      <c r="B276" t="s">
        <v>329</v>
      </c>
      <c r="C276" s="30">
        <v>358606711541302</v>
      </c>
      <c r="D276" t="s">
        <v>416</v>
      </c>
      <c r="E276">
        <v>2025.31</v>
      </c>
      <c r="F276">
        <v>1356.6</v>
      </c>
      <c r="G276">
        <f t="shared" si="8"/>
        <v>668.71</v>
      </c>
      <c r="H276" s="4">
        <f t="shared" si="9"/>
        <v>0.49293085655314761</v>
      </c>
      <c r="I276" t="s">
        <v>31</v>
      </c>
    </row>
    <row r="277" spans="1:10" x14ac:dyDescent="0.25">
      <c r="A277" s="31">
        <v>46193</v>
      </c>
      <c r="B277" t="s">
        <v>36</v>
      </c>
      <c r="C277" s="30">
        <v>351205745634691</v>
      </c>
      <c r="D277" t="s">
        <v>417</v>
      </c>
      <c r="E277">
        <v>4000</v>
      </c>
      <c r="F277">
        <v>3927</v>
      </c>
      <c r="G277">
        <f t="shared" si="8"/>
        <v>73</v>
      </c>
      <c r="H277" s="4">
        <f t="shared" si="9"/>
        <v>1.8589253883371529E-2</v>
      </c>
      <c r="I277" t="s">
        <v>31</v>
      </c>
    </row>
    <row r="278" spans="1:10" x14ac:dyDescent="0.25">
      <c r="A278" s="32">
        <v>46193</v>
      </c>
      <c r="B278" s="5" t="s">
        <v>36</v>
      </c>
      <c r="C278" s="33">
        <v>351205748322419</v>
      </c>
      <c r="D278" s="5" t="s">
        <v>418</v>
      </c>
      <c r="E278" s="5">
        <v>3920</v>
      </c>
      <c r="F278" s="5">
        <v>3927</v>
      </c>
      <c r="G278" s="5">
        <f t="shared" si="8"/>
        <v>-7</v>
      </c>
      <c r="H278" s="6">
        <f t="shared" si="9"/>
        <v>-1.7825311942959001E-3</v>
      </c>
      <c r="I278" s="5" t="s">
        <v>31</v>
      </c>
      <c r="J278" s="5" t="s">
        <v>55</v>
      </c>
    </row>
    <row r="279" spans="1:10" x14ac:dyDescent="0.25">
      <c r="A279" s="32">
        <v>46193</v>
      </c>
      <c r="B279" s="5" t="s">
        <v>36</v>
      </c>
      <c r="C279" s="33">
        <v>351668149676677</v>
      </c>
      <c r="D279" s="5" t="s">
        <v>419</v>
      </c>
      <c r="E279" s="5">
        <v>3920</v>
      </c>
      <c r="F279" s="5">
        <v>3927</v>
      </c>
      <c r="G279" s="5">
        <f t="shared" si="8"/>
        <v>-7</v>
      </c>
      <c r="H279" s="6">
        <f t="shared" si="9"/>
        <v>-1.7825311942959001E-3</v>
      </c>
      <c r="I279" s="5" t="s">
        <v>31</v>
      </c>
      <c r="J279" s="5" t="s">
        <v>55</v>
      </c>
    </row>
    <row r="280" spans="1:10" x14ac:dyDescent="0.25">
      <c r="A280" s="32">
        <v>46193</v>
      </c>
      <c r="B280" s="5" t="s">
        <v>36</v>
      </c>
      <c r="C280" s="33">
        <v>357329446208730</v>
      </c>
      <c r="D280" s="5" t="s">
        <v>418</v>
      </c>
      <c r="E280" s="5">
        <v>3920</v>
      </c>
      <c r="F280" s="5">
        <v>3927</v>
      </c>
      <c r="G280" s="5">
        <f t="shared" si="8"/>
        <v>-7</v>
      </c>
      <c r="H280" s="6">
        <f t="shared" si="9"/>
        <v>-1.7825311942959001E-3</v>
      </c>
      <c r="I280" s="5" t="s">
        <v>31</v>
      </c>
      <c r="J280" s="5" t="s">
        <v>55</v>
      </c>
    </row>
    <row r="281" spans="1:10" x14ac:dyDescent="0.25">
      <c r="A281" s="32">
        <v>46193</v>
      </c>
      <c r="B281" s="5" t="s">
        <v>36</v>
      </c>
      <c r="C281" s="33">
        <v>357329446779847</v>
      </c>
      <c r="D281" s="5" t="s">
        <v>418</v>
      </c>
      <c r="E281" s="5">
        <v>3920</v>
      </c>
      <c r="F281" s="5">
        <v>3927</v>
      </c>
      <c r="G281" s="5">
        <f t="shared" si="8"/>
        <v>-7</v>
      </c>
      <c r="H281" s="6">
        <f t="shared" si="9"/>
        <v>-1.7825311942959001E-3</v>
      </c>
      <c r="I281" s="5" t="s">
        <v>31</v>
      </c>
      <c r="J281" s="5" t="s">
        <v>55</v>
      </c>
    </row>
    <row r="282" spans="1:10" x14ac:dyDescent="0.25">
      <c r="A282" s="31">
        <v>46193</v>
      </c>
      <c r="B282" t="s">
        <v>36</v>
      </c>
      <c r="C282" s="30">
        <v>359178370656366</v>
      </c>
      <c r="D282" t="s">
        <v>420</v>
      </c>
      <c r="E282">
        <v>4000</v>
      </c>
      <c r="F282">
        <v>3927</v>
      </c>
      <c r="G282">
        <f t="shared" si="8"/>
        <v>73</v>
      </c>
      <c r="H282" s="4">
        <f t="shared" si="9"/>
        <v>1.8589253883371529E-2</v>
      </c>
      <c r="I282" t="s">
        <v>31</v>
      </c>
    </row>
    <row r="283" spans="1:10" x14ac:dyDescent="0.25">
      <c r="A283" s="32">
        <v>46193</v>
      </c>
      <c r="B283" s="5" t="s">
        <v>36</v>
      </c>
      <c r="C283" s="33">
        <v>359178371528606</v>
      </c>
      <c r="D283" s="5" t="s">
        <v>419</v>
      </c>
      <c r="E283" s="5">
        <v>3920</v>
      </c>
      <c r="F283" s="5">
        <v>3927</v>
      </c>
      <c r="G283" s="5">
        <f t="shared" si="8"/>
        <v>-7</v>
      </c>
      <c r="H283" s="6">
        <f t="shared" si="9"/>
        <v>-1.7825311942959001E-3</v>
      </c>
      <c r="I283" s="5" t="s">
        <v>31</v>
      </c>
      <c r="J283" s="5" t="s">
        <v>55</v>
      </c>
    </row>
    <row r="284" spans="1:10" x14ac:dyDescent="0.25">
      <c r="A284" s="31">
        <v>46193</v>
      </c>
      <c r="B284" t="s">
        <v>36</v>
      </c>
      <c r="C284" s="30">
        <v>359652124236055</v>
      </c>
      <c r="D284" t="s">
        <v>420</v>
      </c>
      <c r="E284">
        <v>4000</v>
      </c>
      <c r="F284">
        <v>3927</v>
      </c>
      <c r="G284">
        <f t="shared" si="8"/>
        <v>73</v>
      </c>
      <c r="H284" s="4">
        <f t="shared" si="9"/>
        <v>1.8589253883371529E-2</v>
      </c>
      <c r="I284" t="s">
        <v>31</v>
      </c>
    </row>
    <row r="285" spans="1:10" x14ac:dyDescent="0.25">
      <c r="A285" s="31">
        <v>46200</v>
      </c>
      <c r="B285" t="s">
        <v>483</v>
      </c>
      <c r="C285" s="30" t="s">
        <v>484</v>
      </c>
      <c r="D285" t="s">
        <v>485</v>
      </c>
      <c r="E285">
        <v>1120</v>
      </c>
      <c r="F285">
        <v>1017.45</v>
      </c>
      <c r="G285">
        <f t="shared" si="8"/>
        <v>102.54999999999995</v>
      </c>
      <c r="H285" s="4">
        <f t="shared" si="9"/>
        <v>0.10079119367045059</v>
      </c>
      <c r="I285" t="s">
        <v>31</v>
      </c>
    </row>
    <row r="286" spans="1:10" x14ac:dyDescent="0.25">
      <c r="A286" s="31">
        <v>46200</v>
      </c>
      <c r="B286" t="s">
        <v>532</v>
      </c>
      <c r="C286" s="30" t="s">
        <v>533</v>
      </c>
      <c r="D286" t="s">
        <v>534</v>
      </c>
      <c r="E286">
        <v>1245</v>
      </c>
      <c r="F286">
        <v>1071</v>
      </c>
      <c r="G286">
        <f t="shared" si="8"/>
        <v>174</v>
      </c>
      <c r="H286" s="4">
        <f t="shared" si="9"/>
        <v>0.16246498599439776</v>
      </c>
      <c r="I286" t="s">
        <v>31</v>
      </c>
    </row>
    <row r="287" spans="1:10" x14ac:dyDescent="0.25">
      <c r="A287" s="31">
        <v>46200</v>
      </c>
      <c r="B287" t="s">
        <v>532</v>
      </c>
      <c r="C287" s="30" t="s">
        <v>535</v>
      </c>
      <c r="D287" t="s">
        <v>536</v>
      </c>
      <c r="E287">
        <v>1245</v>
      </c>
      <c r="F287">
        <v>1071</v>
      </c>
      <c r="G287">
        <f t="shared" si="8"/>
        <v>174</v>
      </c>
      <c r="H287" s="4">
        <f t="shared" si="9"/>
        <v>0.16246498599439776</v>
      </c>
      <c r="I287" t="s">
        <v>31</v>
      </c>
    </row>
    <row r="288" spans="1:10" x14ac:dyDescent="0.25">
      <c r="A288" s="31">
        <v>46200</v>
      </c>
      <c r="B288" t="s">
        <v>537</v>
      </c>
      <c r="C288" s="30" t="s">
        <v>538</v>
      </c>
      <c r="D288" t="s">
        <v>536</v>
      </c>
      <c r="E288">
        <v>1245</v>
      </c>
      <c r="F288">
        <v>1071</v>
      </c>
      <c r="G288">
        <f t="shared" si="8"/>
        <v>174</v>
      </c>
      <c r="H288" s="4">
        <f t="shared" si="9"/>
        <v>0.16246498599439776</v>
      </c>
      <c r="I288" t="s">
        <v>31</v>
      </c>
    </row>
    <row r="289" spans="1:9" x14ac:dyDescent="0.25">
      <c r="A289" s="31">
        <v>46200</v>
      </c>
      <c r="B289" t="s">
        <v>59</v>
      </c>
      <c r="C289" s="30" t="s">
        <v>539</v>
      </c>
      <c r="D289" t="s">
        <v>285</v>
      </c>
      <c r="E289">
        <v>1245</v>
      </c>
      <c r="F289">
        <v>1071</v>
      </c>
      <c r="G289">
        <f t="shared" si="8"/>
        <v>174</v>
      </c>
      <c r="H289" s="4">
        <f t="shared" si="9"/>
        <v>0.16246498599439776</v>
      </c>
      <c r="I289" t="s">
        <v>31</v>
      </c>
    </row>
    <row r="290" spans="1:9" x14ac:dyDescent="0.25">
      <c r="A290" s="31">
        <v>46200</v>
      </c>
      <c r="B290" t="s">
        <v>59</v>
      </c>
      <c r="C290" s="30" t="s">
        <v>540</v>
      </c>
      <c r="D290" t="s">
        <v>281</v>
      </c>
      <c r="E290">
        <v>1440</v>
      </c>
      <c r="F290">
        <v>1071</v>
      </c>
      <c r="G290">
        <f t="shared" si="8"/>
        <v>369</v>
      </c>
      <c r="H290" s="4">
        <f t="shared" si="9"/>
        <v>0.34453781512605042</v>
      </c>
      <c r="I290" t="s">
        <v>31</v>
      </c>
    </row>
    <row r="291" spans="1:9" x14ac:dyDescent="0.25">
      <c r="A291" s="31">
        <v>46200</v>
      </c>
      <c r="B291" t="s">
        <v>59</v>
      </c>
      <c r="C291" s="30" t="s">
        <v>541</v>
      </c>
      <c r="D291" t="s">
        <v>285</v>
      </c>
      <c r="E291">
        <v>1440</v>
      </c>
      <c r="F291">
        <v>1071</v>
      </c>
      <c r="G291">
        <f t="shared" si="8"/>
        <v>369</v>
      </c>
      <c r="H291" s="4">
        <f t="shared" si="9"/>
        <v>0.34453781512605042</v>
      </c>
      <c r="I291" t="s">
        <v>31</v>
      </c>
    </row>
    <row r="292" spans="1:9" x14ac:dyDescent="0.25">
      <c r="A292" s="31">
        <v>46200</v>
      </c>
      <c r="B292" t="s">
        <v>59</v>
      </c>
      <c r="C292" s="30" t="s">
        <v>542</v>
      </c>
      <c r="D292" t="s">
        <v>285</v>
      </c>
      <c r="E292">
        <v>1245</v>
      </c>
      <c r="F292">
        <v>1071</v>
      </c>
      <c r="G292">
        <f t="shared" si="8"/>
        <v>174</v>
      </c>
      <c r="H292" s="4">
        <f t="shared" si="9"/>
        <v>0.16246498599439776</v>
      </c>
      <c r="I292" t="s">
        <v>31</v>
      </c>
    </row>
    <row r="293" spans="1:9" x14ac:dyDescent="0.25">
      <c r="A293" s="31">
        <v>46200</v>
      </c>
      <c r="B293" t="s">
        <v>59</v>
      </c>
      <c r="C293" s="30" t="s">
        <v>543</v>
      </c>
      <c r="D293" t="s">
        <v>285</v>
      </c>
      <c r="E293">
        <v>1245</v>
      </c>
      <c r="F293">
        <v>1071</v>
      </c>
      <c r="G293">
        <f t="shared" si="8"/>
        <v>174</v>
      </c>
      <c r="H293" s="4">
        <f t="shared" si="9"/>
        <v>0.16246498599439776</v>
      </c>
      <c r="I293" t="s">
        <v>31</v>
      </c>
    </row>
    <row r="294" spans="1:9" x14ac:dyDescent="0.25">
      <c r="A294" s="31">
        <v>46200</v>
      </c>
      <c r="B294" t="s">
        <v>59</v>
      </c>
      <c r="C294" s="30" t="s">
        <v>544</v>
      </c>
      <c r="D294" t="s">
        <v>285</v>
      </c>
      <c r="E294">
        <v>1245</v>
      </c>
      <c r="F294">
        <v>1071</v>
      </c>
      <c r="G294">
        <f t="shared" si="8"/>
        <v>174</v>
      </c>
      <c r="H294" s="4">
        <f t="shared" si="9"/>
        <v>0.16246498599439776</v>
      </c>
      <c r="I294" t="s">
        <v>31</v>
      </c>
    </row>
    <row r="295" spans="1:9" x14ac:dyDescent="0.25">
      <c r="A295" s="31">
        <v>46200</v>
      </c>
      <c r="B295" t="s">
        <v>59</v>
      </c>
      <c r="C295" s="30" t="s">
        <v>545</v>
      </c>
      <c r="D295" t="s">
        <v>281</v>
      </c>
      <c r="E295">
        <v>1440</v>
      </c>
      <c r="F295">
        <v>1071</v>
      </c>
      <c r="G295">
        <f t="shared" si="8"/>
        <v>369</v>
      </c>
      <c r="H295" s="4">
        <f t="shared" si="9"/>
        <v>0.34453781512605042</v>
      </c>
      <c r="I295" t="s">
        <v>31</v>
      </c>
    </row>
    <row r="296" spans="1:9" x14ac:dyDescent="0.25">
      <c r="A296" s="31">
        <v>46202</v>
      </c>
      <c r="B296" t="s">
        <v>550</v>
      </c>
      <c r="C296" s="30" t="s">
        <v>551</v>
      </c>
      <c r="D296" t="s">
        <v>17</v>
      </c>
      <c r="E296">
        <v>734.17</v>
      </c>
      <c r="F296">
        <v>714</v>
      </c>
      <c r="G296">
        <f t="shared" si="8"/>
        <v>20.169999999999959</v>
      </c>
      <c r="H296" s="4">
        <f t="shared" si="9"/>
        <v>2.8249299719887898E-2</v>
      </c>
      <c r="I296" t="s">
        <v>31</v>
      </c>
    </row>
    <row r="297" spans="1:9" x14ac:dyDescent="0.25">
      <c r="A297" s="31">
        <v>46202</v>
      </c>
      <c r="B297" t="s">
        <v>123</v>
      </c>
      <c r="C297" s="30" t="s">
        <v>556</v>
      </c>
      <c r="D297" t="s">
        <v>17</v>
      </c>
      <c r="E297">
        <v>3100</v>
      </c>
      <c r="F297">
        <v>2534.6999999999998</v>
      </c>
      <c r="G297">
        <f t="shared" si="8"/>
        <v>565.30000000000018</v>
      </c>
      <c r="H297" s="4">
        <f t="shared" si="9"/>
        <v>0.22302442103602013</v>
      </c>
      <c r="I297" t="s">
        <v>31</v>
      </c>
    </row>
    <row r="298" spans="1:9" x14ac:dyDescent="0.25">
      <c r="A298" s="31">
        <v>46202</v>
      </c>
      <c r="B298" t="s">
        <v>123</v>
      </c>
      <c r="C298" s="30" t="s">
        <v>557</v>
      </c>
      <c r="D298" t="s">
        <v>17</v>
      </c>
      <c r="E298">
        <v>3100</v>
      </c>
      <c r="F298">
        <v>2534.6999999999998</v>
      </c>
      <c r="G298">
        <f t="shared" si="8"/>
        <v>565.30000000000018</v>
      </c>
      <c r="H298" s="4">
        <f t="shared" si="9"/>
        <v>0.22302442103602013</v>
      </c>
      <c r="I298" t="s">
        <v>31</v>
      </c>
    </row>
    <row r="299" spans="1:9" x14ac:dyDescent="0.25">
      <c r="A299" s="31">
        <v>46202</v>
      </c>
      <c r="B299" t="s">
        <v>123</v>
      </c>
      <c r="C299" s="30" t="s">
        <v>558</v>
      </c>
      <c r="D299" t="s">
        <v>17</v>
      </c>
      <c r="E299">
        <v>3100</v>
      </c>
      <c r="F299">
        <v>2534.6999999999998</v>
      </c>
      <c r="G299">
        <f t="shared" si="8"/>
        <v>565.30000000000018</v>
      </c>
      <c r="H299" s="4">
        <f t="shared" si="9"/>
        <v>0.22302442103602013</v>
      </c>
      <c r="I299" t="s">
        <v>31</v>
      </c>
    </row>
    <row r="300" spans="1:9" x14ac:dyDescent="0.25">
      <c r="A300" s="31">
        <v>46202</v>
      </c>
      <c r="B300" t="s">
        <v>123</v>
      </c>
      <c r="C300" s="30" t="s">
        <v>559</v>
      </c>
      <c r="D300" t="s">
        <v>17</v>
      </c>
      <c r="E300">
        <v>3100</v>
      </c>
      <c r="F300">
        <v>2534.6999999999998</v>
      </c>
      <c r="G300">
        <f t="shared" si="8"/>
        <v>565.30000000000018</v>
      </c>
      <c r="H300" s="4">
        <f t="shared" si="9"/>
        <v>0.22302442103602013</v>
      </c>
      <c r="I300" t="s">
        <v>31</v>
      </c>
    </row>
    <row r="301" spans="1:9" x14ac:dyDescent="0.25">
      <c r="A301" s="2">
        <v>46203</v>
      </c>
      <c r="B301" t="s">
        <v>36</v>
      </c>
      <c r="C301" s="1">
        <v>353427330787076</v>
      </c>
      <c r="D301" t="s">
        <v>555</v>
      </c>
      <c r="E301">
        <v>3518.98</v>
      </c>
      <c r="F301">
        <v>3105.9</v>
      </c>
      <c r="G301">
        <f t="shared" si="8"/>
        <v>413.07999999999993</v>
      </c>
      <c r="H301" s="4">
        <f t="shared" si="9"/>
        <v>0.13299848675102222</v>
      </c>
      <c r="I301" t="s">
        <v>31</v>
      </c>
    </row>
    <row r="303" spans="1:9" x14ac:dyDescent="0.25">
      <c r="E303" s="7">
        <f t="shared" ref="E303:G303" si="10">SUM(E2:E302)</f>
        <v>709126.89000000025</v>
      </c>
      <c r="F303" s="7">
        <f t="shared" si="10"/>
        <v>647400.97000000195</v>
      </c>
      <c r="G303" s="7">
        <f t="shared" si="10"/>
        <v>61725.919999999918</v>
      </c>
    </row>
  </sheetData>
  <sortState xmlns:xlrd2="http://schemas.microsoft.com/office/spreadsheetml/2017/richdata2" ref="A2:J300">
    <sortCondition ref="I2:I300"/>
  </sortState>
  <conditionalFormatting sqref="C2:C300">
    <cfRule type="duplicateValues" dxfId="1" priority="2"/>
  </conditionalFormatting>
  <conditionalFormatting sqref="C3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Australia</vt:lpstr>
      <vt:lpstr>NewZealand</vt:lpstr>
      <vt:lpstr>ST USA</vt:lpstr>
      <vt:lpstr>USA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2026-06-30T18:05:42Z</dcterms:modified>
</cp:coreProperties>
</file>