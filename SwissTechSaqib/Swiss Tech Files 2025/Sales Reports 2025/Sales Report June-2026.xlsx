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672B048E-6022-425F-9881-1DAAE43AC894}" xr6:coauthVersionLast="47" xr6:coauthVersionMax="47" xr10:uidLastSave="{00000000-0000-0000-0000-000000000000}"/>
  <bookViews>
    <workbookView xWindow="-120" yWindow="-120" windowWidth="29040" windowHeight="15720" activeTab="1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7" i="2" l="1"/>
  <c r="C103" i="3" l="1"/>
  <c r="C101" i="3"/>
  <c r="C56" i="6"/>
  <c r="C58" i="6" s="1"/>
  <c r="C281" i="5"/>
  <c r="C74" i="4"/>
  <c r="C279" i="5"/>
  <c r="C72" i="4"/>
  <c r="C230" i="2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2" i="2" s="1"/>
</calcChain>
</file>

<file path=xl/sharedStrings.xml><?xml version="1.0" encoding="utf-8"?>
<sst xmlns="http://schemas.openxmlformats.org/spreadsheetml/2006/main" count="4832" uniqueCount="609">
  <si>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</si>
  <si>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</si>
  <si>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</si>
  <si>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</si>
  <si>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</si>
  <si>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</si>
  <si>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</si>
  <si>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</si>
  <si>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</si>
  <si>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</si>
  <si>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</si>
  <si>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</si>
  <si>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</si>
  <si>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</si>
  <si>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</si>
  <si>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</si>
  <si>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</si>
  <si>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</si>
  <si>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</si>
  <si>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</si>
  <si>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</si>
  <si>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</si>
  <si>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</si>
  <si>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</si>
  <si>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</si>
  <si>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</si>
  <si>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</si>
  <si>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</si>
  <si>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</si>
  <si>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</si>
  <si>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</si>
  <si>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</si>
  <si>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</si>
  <si>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</si>
  <si>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</si>
  <si>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</si>
  <si>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</si>
  <si>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</si>
  <si>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</si>
  <si>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</si>
  <si>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</si>
  <si>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</si>
  <si>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</si>
  <si>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</si>
  <si>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</si>
  <si>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</si>
  <si>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</si>
  <si>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</si>
  <si>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</si>
  <si>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</si>
  <si>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</si>
  <si>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</si>
  <si>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</si>
  <si>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</si>
  <si>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</si>
  <si>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</si>
  <si>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</si>
  <si>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</si>
  <si>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</si>
  <si>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</si>
  <si>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</si>
  <si>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</si>
  <si>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</si>
  <si>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</si>
  <si>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</si>
  <si>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</si>
  <si>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</si>
  <si>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</si>
  <si>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</si>
  <si>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</si>
  <si>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</si>
  <si>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</si>
  <si>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</si>
  <si>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</si>
  <si>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</si>
  <si>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</si>
  <si>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</si>
  <si>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</si>
  <si>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</si>
  <si>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</si>
  <si>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</si>
  <si>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</si>
  <si>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</si>
  <si>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</si>
  <si>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</si>
  <si>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</si>
  <si>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</si>
  <si>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</si>
  <si>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</si>
  <si>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</si>
  <si>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</si>
  <si>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</si>
  <si>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</si>
  <si>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</si>
  <si>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</si>
  <si>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</si>
  <si>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</si>
  <si>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</si>
  <si>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</si>
  <si>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</si>
  <si>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</si>
  <si>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</si>
  <si>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</si>
  <si>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</si>
  <si>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</si>
  <si>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</si>
  <si>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</si>
  <si>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</si>
  <si>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</si>
  <si>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</si>
  <si>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</si>
  <si>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</si>
  <si>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</si>
  <si>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</si>
  <si>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</si>
  <si>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</si>
  <si>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</si>
  <si>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</si>
  <si>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</si>
  <si>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</si>
  <si>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</si>
  <si>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</si>
  <si>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</si>
  <si>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</si>
  <si>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</si>
  <si>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</si>
  <si>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</si>
  <si>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</si>
  <si>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</si>
  <si>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</si>
  <si>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</si>
  <si>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</si>
  <si>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</si>
  <si>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</si>
  <si>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</si>
  <si>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</si>
  <si>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</si>
  <si>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</si>
  <si>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</si>
  <si>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</si>
  <si>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</si>
  <si>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</si>
  <si>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</si>
  <si>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</si>
  <si>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</si>
  <si>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</si>
  <si>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</si>
  <si>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</si>
  <si>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</si>
  <si>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</si>
  <si>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</si>
  <si>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</si>
  <si>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</si>
  <si>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</si>
  <si>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</si>
  <si>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</si>
  <si>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</si>
  <si>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</si>
  <si>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</si>
  <si>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</si>
  <si>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</si>
  <si>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</si>
  <si>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</si>
  <si>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</si>
  <si>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</si>
  <si>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</si>
  <si>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</si>
  <si>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</si>
  <si>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</si>
  <si>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</si>
  <si>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</si>
  <si>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</si>
  <si>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</si>
  <si>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</si>
  <si>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</si>
  <si>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</si>
  <si>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</si>
  <si>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</si>
  <si>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</si>
  <si>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</si>
  <si>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</si>
  <si>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</si>
  <si>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</si>
  <si>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</si>
  <si>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</si>
  <si>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</si>
  <si>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</si>
  <si>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</si>
  <si>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</si>
  <si>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</si>
  <si>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</si>
  <si>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</si>
  <si>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</si>
  <si>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</si>
  <si>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</si>
  <si>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</si>
  <si>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</si>
  <si>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</si>
  <si>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</si>
  <si>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</si>
  <si>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</si>
  <si>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</si>
  <si>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</si>
  <si>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</si>
  <si>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</si>
  <si>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</si>
  <si>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</si>
  <si>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</si>
  <si>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</si>
  <si>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</si>
  <si>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</si>
  <si>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</si>
  <si>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</si>
  <si>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</si>
  <si>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</si>
  <si>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</si>
  <si>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</si>
  <si>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</si>
  <si>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</si>
  <si>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</si>
  <si>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</si>
  <si>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</si>
  <si>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</si>
  <si>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</si>
  <si>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</si>
  <si>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</si>
  <si>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</si>
  <si>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</si>
  <si>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</si>
  <si>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</si>
  <si>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</si>
  <si>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</si>
  <si>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</si>
  <si>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</si>
  <si>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</si>
  <si>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</si>
  <si>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</si>
  <si>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</si>
  <si>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</si>
  <si>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</si>
  <si>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</si>
  <si>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</si>
  <si>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</si>
  <si>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</si>
  <si>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</si>
  <si>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</si>
  <si>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</si>
  <si>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</si>
  <si>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</si>
  <si>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</si>
  <si>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</si>
  <si>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</si>
  <si>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</si>
  <si>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</si>
  <si>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</si>
  <si>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</si>
  <si>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</si>
  <si>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</si>
  <si>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</si>
  <si>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</si>
  <si>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</si>
  <si>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</si>
  <si>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</si>
  <si>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</si>
  <si>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</si>
  <si>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</si>
  <si>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</si>
  <si>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</si>
  <si>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</si>
  <si>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</si>
  <si>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</si>
  <si>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</si>
  <si>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</si>
  <si>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</si>
  <si>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</si>
  <si>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</si>
  <si>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</si>
  <si>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</si>
  <si>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</si>
  <si>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</si>
  <si>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</si>
  <si>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</si>
  <si>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</si>
  <si>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</si>
  <si>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</si>
  <si>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</si>
  <si>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</si>
  <si>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</si>
  <si>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</si>
  <si>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</si>
  <si>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</si>
  <si>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</si>
  <si>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</si>
  <si>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</si>
  <si>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</si>
  <si>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</si>
  <si>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</si>
  <si>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</si>
  <si>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</si>
  <si>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</si>
  <si>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</si>
  <si>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</si>
  <si>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</si>
  <si>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</si>
  <si>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</si>
  <si>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</si>
  <si>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</si>
  <si>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</si>
  <si>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</si>
  <si>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</si>
  <si>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</si>
  <si>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</si>
  <si>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</si>
  <si>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</si>
  <si>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</si>
  <si>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</si>
  <si>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</si>
  <si>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</si>
  <si>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</si>
  <si>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</si>
  <si>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</si>
  <si>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</si>
  <si>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</si>
  <si>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</si>
  <si>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</si>
  <si>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</si>
  <si>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</si>
  <si>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</si>
  <si>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</si>
  <si>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</si>
  <si>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</si>
  <si>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</si>
  <si>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</si>
  <si>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</si>
  <si>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</si>
  <si>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</si>
  <si>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</si>
  <si>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</si>
  <si>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</si>
  <si>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</si>
  <si>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</si>
  <si>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</si>
  <si>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</si>
  <si>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</si>
  <si>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</si>
  <si>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</si>
  <si>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</si>
  <si>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</si>
  <si>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</si>
  <si>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</si>
  <si>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</si>
  <si>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</si>
  <si>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</si>
  <si>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</si>
  <si>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</si>
  <si>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</si>
  <si>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</si>
  <si>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</si>
  <si>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</si>
  <si>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</si>
  <si>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</si>
  <si>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</si>
  <si>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</si>
  <si>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</si>
  <si>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</si>
  <si>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</si>
  <si>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</si>
  <si>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</si>
  <si>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</si>
  <si>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</si>
  <si>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</si>
  <si>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</si>
  <si>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</si>
  <si>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</si>
  <si>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</si>
  <si>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</si>
  <si>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</si>
  <si>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</si>
  <si>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</si>
  <si>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</si>
  <si>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</si>
  <si>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</si>
  <si>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</si>
  <si>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</si>
  <si>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</si>
  <si>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</si>
  <si>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</si>
  <si>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</si>
  <si>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</si>
  <si>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</si>
  <si>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</si>
  <si>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</si>
  <si>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</si>
  <si>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</si>
  <si>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</si>
  <si>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</si>
  <si>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</si>
  <si>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</si>
  <si>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</si>
  <si>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</si>
  <si>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</si>
  <si>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</si>
  <si>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</si>
  <si>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</si>
  <si>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</si>
  <si>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</si>
  <si>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</si>
  <si>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</si>
  <si>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</si>
  <si>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</si>
  <si>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</si>
  <si>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</si>
  <si>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</si>
  <si>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</si>
  <si>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</si>
  <si>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</si>
  <si>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</si>
  <si>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</si>
  <si>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</si>
  <si>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</si>
  <si>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</si>
  <si>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</si>
  <si>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</si>
  <si>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</si>
  <si>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</si>
  <si>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</si>
  <si>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</si>
  <si>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</si>
  <si>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</si>
  <si>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</si>
  <si>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</si>
  <si>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</si>
  <si>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</si>
  <si>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</si>
  <si>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</si>
  <si>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</si>
  <si>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</si>
  <si>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</si>
  <si>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</si>
  <si>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</si>
  <si>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</si>
  <si>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</si>
  <si>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</si>
  <si>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</si>
  <si>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</si>
  <si>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</si>
  <si>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</si>
  <si>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</si>
  <si>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</si>
  <si>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</si>
  <si>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</si>
  <si>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</si>
  <si>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</si>
  <si>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</si>
  <si>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</si>
  <si>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</si>
  <si>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</si>
  <si>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</si>
  <si>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</si>
  <si>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</si>
  <si>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</si>
  <si>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</si>
  <si>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</si>
  <si>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</si>
  <si>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</si>
  <si>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</si>
  <si>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</si>
  <si>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</si>
  <si>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</si>
  <si>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</si>
  <si>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</si>
  <si>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</si>
  <si>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</si>
  <si>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</si>
  <si>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</si>
  <si>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</si>
  <si>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</si>
  <si>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</si>
  <si>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</si>
  <si>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</si>
  <si>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</si>
  <si>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</si>
  <si>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</si>
  <si>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</si>
  <si>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</si>
  <si>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</si>
  <si>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</si>
  <si>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</si>
  <si>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</si>
  <si>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</si>
  <si>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</si>
  <si>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</si>
  <si>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</si>
  <si>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</si>
  <si>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</si>
  <si>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</si>
  <si>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</si>
  <si>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</si>
  <si>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</si>
  <si>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</si>
  <si>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</si>
  <si>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</si>
  <si>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</si>
  <si>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</si>
  <si>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</si>
  <si>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</si>
  <si>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</si>
  <si>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</si>
  <si>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</si>
  <si>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</si>
  <si>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</si>
  <si>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</si>
  <si>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</si>
  <si>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</si>
  <si>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</si>
  <si>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</si>
  <si>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</si>
  <si>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</si>
  <si>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</si>
  <si>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</si>
  <si>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</si>
  <si>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</si>
  <si>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</si>
  <si>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</si>
  <si>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</si>
  <si>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</si>
  <si>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</si>
  <si>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</si>
  <si>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</si>
  <si>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</si>
  <si>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</si>
  <si>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</si>
  <si>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</si>
  <si>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</si>
  <si>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</si>
  <si>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</si>
  <si>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</si>
  <si>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</si>
  <si>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</si>
  <si>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</si>
  <si>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</si>
  <si>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</si>
  <si>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</si>
  <si>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</si>
  <si>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</si>
  <si>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</si>
  <si>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</si>
  <si>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</si>
  <si>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</si>
  <si>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</si>
  <si>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</si>
  <si>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</si>
  <si>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</si>
  <si>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</si>
  <si>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</si>
  <si>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</si>
  <si>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</si>
  <si>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</si>
  <si>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</si>
  <si>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</si>
  <si>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</si>
  <si>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</si>
  <si>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</si>
  <si>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</si>
  <si>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</si>
  <si>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</si>
  <si>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</si>
  <si>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</si>
  <si>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</si>
  <si>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</si>
  <si>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</si>
  <si>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</si>
  <si>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</si>
  <si>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</si>
  <si>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</si>
  <si>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</si>
  <si>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</si>
  <si>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</si>
  <si>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</si>
  <si>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</si>
  <si>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</si>
  <si>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</si>
  <si>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</si>
  <si>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</si>
  <si>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</si>
  <si>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</si>
  <si>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</si>
  <si>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</si>
  <si>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</si>
  <si>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</si>
  <si>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</si>
  <si>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</si>
  <si>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</si>
  <si>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</si>
  <si>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</si>
  <si>
    <t>Carry Exp</t>
  </si>
  <si>
    <t>408 Shop Exp</t>
  </si>
  <si>
    <t>Karachi Office Exp 7677/3 =2559</t>
  </si>
  <si>
    <t>ST Usa Business Exp in June-2026</t>
  </si>
  <si>
    <t>21.32 US$ @3.674 Claude AI Charges</t>
  </si>
  <si>
    <t>36.27 US$ @3.674 AWS Charges</t>
  </si>
  <si>
    <t>2-june label 17328 1833.25 US$ @3.674 ST</t>
  </si>
  <si>
    <t>22-june label 17424 &amp; 17511 1833.25 US$ @3.674 ST</t>
  </si>
  <si>
    <t>11-june label 57726 89.69 US$ @3.674 ST</t>
  </si>
  <si>
    <t>Total Profit in ST USA</t>
  </si>
  <si>
    <t>Total Profit in USA</t>
  </si>
  <si>
    <t>Total Profit in Karachi</t>
  </si>
  <si>
    <t>Total Profit in NewZealand</t>
  </si>
  <si>
    <t>Overall Profit in June-2026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</si>
</sst>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8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1" fillId="5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Fill="1" applyBorder="1" applyAlignment="1">
      <alignment horizontal="left"/>
    </xf>
    <xf numFmtId="2" fontId="3" fillId="5" borderId="1" xfId="1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7AF396E0-14CD-4B92-AB27-039AE1E776EB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5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47"/>
  <sheetViews>
    <sheetView tabSelected="1" topLeftCell="A216" workbookViewId="0">
      <selection activeCell="E231" sqref="E231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6" width="28.570312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 t="shared" ref="G2:G33" si="0">F2/11</f>
        <v>92.122727272727275</v>
      </c>
      <c r="H2" s="13">
        <f t="shared" ref="H2:H33" si="1">F2-G2</f>
        <v>921.22727272727275</v>
      </c>
      <c r="I2" s="13">
        <f t="shared" ref="I2:I33" si="2">E2-H2</f>
        <v>338.77272727272725</v>
      </c>
      <c r="J2" s="14">
        <f t="shared" ref="J2:J33" si="3"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 t="shared" si="0"/>
        <v>92.122727272727275</v>
      </c>
      <c r="H3" s="13">
        <f t="shared" si="1"/>
        <v>921.22727272727275</v>
      </c>
      <c r="I3" s="13">
        <f t="shared" si="2"/>
        <v>338.77272727272725</v>
      </c>
      <c r="J3" s="14">
        <f t="shared" si="3"/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 t="shared" si="0"/>
        <v>92.122727272727275</v>
      </c>
      <c r="H4" s="13">
        <f t="shared" si="1"/>
        <v>921.22727272727275</v>
      </c>
      <c r="I4" s="13">
        <f t="shared" si="2"/>
        <v>338.77272727272725</v>
      </c>
      <c r="J4" s="14">
        <f t="shared" si="3"/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 t="shared" si="0"/>
        <v>92.122727272727275</v>
      </c>
      <c r="H5" s="13">
        <f t="shared" si="1"/>
        <v>921.22727272727275</v>
      </c>
      <c r="I5" s="13">
        <f t="shared" si="2"/>
        <v>338.77272727272725</v>
      </c>
      <c r="J5" s="14">
        <f t="shared" si="3"/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 t="shared" si="0"/>
        <v>92.122727272727275</v>
      </c>
      <c r="H6" s="13">
        <f t="shared" si="1"/>
        <v>921.22727272727275</v>
      </c>
      <c r="I6" s="13">
        <f t="shared" si="2"/>
        <v>338.77272727272725</v>
      </c>
      <c r="J6" s="14">
        <f t="shared" si="3"/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 t="shared" si="0"/>
        <v>92.122727272727275</v>
      </c>
      <c r="H7" s="13">
        <f t="shared" si="1"/>
        <v>921.22727272727275</v>
      </c>
      <c r="I7" s="13">
        <f t="shared" si="2"/>
        <v>338.77272727272725</v>
      </c>
      <c r="J7" s="14">
        <f t="shared" si="3"/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 t="shared" si="0"/>
        <v>92.122727272727275</v>
      </c>
      <c r="H8" s="13">
        <f t="shared" si="1"/>
        <v>921.22727272727275</v>
      </c>
      <c r="I8" s="13">
        <f t="shared" si="2"/>
        <v>338.77272727272725</v>
      </c>
      <c r="J8" s="14">
        <f t="shared" si="3"/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 t="shared" si="0"/>
        <v>92.122727272727275</v>
      </c>
      <c r="H9" s="13">
        <f t="shared" si="1"/>
        <v>921.22727272727275</v>
      </c>
      <c r="I9" s="13">
        <f t="shared" si="2"/>
        <v>338.77272727272725</v>
      </c>
      <c r="J9" s="14">
        <f t="shared" si="3"/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 t="shared" si="0"/>
        <v>92.122727272727275</v>
      </c>
      <c r="H10" s="13">
        <f t="shared" si="1"/>
        <v>921.22727272727275</v>
      </c>
      <c r="I10" s="13">
        <f t="shared" si="2"/>
        <v>338.77272727272725</v>
      </c>
      <c r="J10" s="14">
        <f t="shared" si="3"/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 t="shared" si="0"/>
        <v>92.122727272727275</v>
      </c>
      <c r="H11" s="13">
        <f t="shared" si="1"/>
        <v>921.22727272727275</v>
      </c>
      <c r="I11" s="13">
        <f t="shared" si="2"/>
        <v>338.77272727272725</v>
      </c>
      <c r="J11" s="14">
        <f t="shared" si="3"/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 t="shared" si="0"/>
        <v>92.122727272727275</v>
      </c>
      <c r="H12" s="13">
        <f t="shared" si="1"/>
        <v>921.22727272727275</v>
      </c>
      <c r="I12" s="13">
        <f t="shared" si="2"/>
        <v>338.77272727272725</v>
      </c>
      <c r="J12" s="14">
        <f t="shared" si="3"/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 t="shared" si="0"/>
        <v>105.30818181818182</v>
      </c>
      <c r="H13" s="13">
        <f t="shared" si="1"/>
        <v>1053.0818181818183</v>
      </c>
      <c r="I13" s="13">
        <f t="shared" si="2"/>
        <v>706.91818181818167</v>
      </c>
      <c r="J13" s="14">
        <f t="shared" si="3"/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 t="shared" si="0"/>
        <v>105.30818181818182</v>
      </c>
      <c r="H14" s="13">
        <f t="shared" si="1"/>
        <v>1053.0818181818183</v>
      </c>
      <c r="I14" s="13">
        <f t="shared" si="2"/>
        <v>706.91818181818167</v>
      </c>
      <c r="J14" s="14">
        <f t="shared" si="3"/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 t="shared" si="0"/>
        <v>105.30818181818182</v>
      </c>
      <c r="H15" s="13">
        <f t="shared" si="1"/>
        <v>1053.0818181818183</v>
      </c>
      <c r="I15" s="13">
        <f t="shared" si="2"/>
        <v>706.91818181818167</v>
      </c>
      <c r="J15" s="14">
        <f t="shared" si="3"/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 t="shared" si="0"/>
        <v>105.30818181818182</v>
      </c>
      <c r="H16" s="13">
        <f t="shared" si="1"/>
        <v>1053.0818181818183</v>
      </c>
      <c r="I16" s="13">
        <f t="shared" si="2"/>
        <v>706.91818181818167</v>
      </c>
      <c r="J16" s="14">
        <f t="shared" si="3"/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 t="shared" si="0"/>
        <v>105.30818181818182</v>
      </c>
      <c r="H17" s="13">
        <f t="shared" si="1"/>
        <v>1053.0818181818183</v>
      </c>
      <c r="I17" s="13">
        <f t="shared" si="2"/>
        <v>706.91818181818167</v>
      </c>
      <c r="J17" s="14">
        <f t="shared" si="3"/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 t="shared" si="0"/>
        <v>105.30818181818182</v>
      </c>
      <c r="H18" s="13">
        <f t="shared" si="1"/>
        <v>1053.0818181818183</v>
      </c>
      <c r="I18" s="13">
        <f t="shared" si="2"/>
        <v>706.91818181818167</v>
      </c>
      <c r="J18" s="14">
        <f t="shared" si="3"/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 t="shared" si="0"/>
        <v>137.57909090909089</v>
      </c>
      <c r="H19" s="13">
        <f t="shared" si="1"/>
        <v>1375.7909090909091</v>
      </c>
      <c r="I19" s="13">
        <f t="shared" si="2"/>
        <v>657.53909090909087</v>
      </c>
      <c r="J19" s="14">
        <f t="shared" si="3"/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 t="shared" si="0"/>
        <v>137.57909090909089</v>
      </c>
      <c r="H20" s="13">
        <f t="shared" si="1"/>
        <v>1375.7909090909091</v>
      </c>
      <c r="I20" s="13">
        <f t="shared" si="2"/>
        <v>657.53909090909087</v>
      </c>
      <c r="J20" s="14">
        <f t="shared" si="3"/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 t="shared" si="0"/>
        <v>137.57909090909089</v>
      </c>
      <c r="H21" s="13">
        <f t="shared" si="1"/>
        <v>1375.7909090909091</v>
      </c>
      <c r="I21" s="13">
        <f t="shared" si="2"/>
        <v>524.20909090909095</v>
      </c>
      <c r="J21" s="14">
        <f t="shared" si="3"/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 t="shared" si="0"/>
        <v>137.57909090909089</v>
      </c>
      <c r="H22" s="13">
        <f t="shared" si="1"/>
        <v>1375.7909090909091</v>
      </c>
      <c r="I22" s="13">
        <f t="shared" si="2"/>
        <v>524.20909090909095</v>
      </c>
      <c r="J22" s="14">
        <f t="shared" si="3"/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 t="shared" si="0"/>
        <v>137.57909090909089</v>
      </c>
      <c r="H23" s="13">
        <f t="shared" si="1"/>
        <v>1375.7909090909091</v>
      </c>
      <c r="I23" s="13">
        <f t="shared" si="2"/>
        <v>657.53909090909087</v>
      </c>
      <c r="J23" s="14">
        <f t="shared" si="3"/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 t="shared" si="0"/>
        <v>9.0909090909090917</v>
      </c>
      <c r="H24" s="13">
        <f t="shared" si="1"/>
        <v>90.909090909090907</v>
      </c>
      <c r="I24" s="13">
        <f t="shared" si="2"/>
        <v>59.090909090909093</v>
      </c>
      <c r="J24" s="14">
        <f t="shared" si="3"/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 t="shared" si="0"/>
        <v>9.0909090909090917</v>
      </c>
      <c r="H25" s="13">
        <f t="shared" si="1"/>
        <v>90.909090909090907</v>
      </c>
      <c r="I25" s="13">
        <f t="shared" si="2"/>
        <v>59.090909090909093</v>
      </c>
      <c r="J25" s="14">
        <f t="shared" si="3"/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 t="shared" si="0"/>
        <v>9.0909090909090917</v>
      </c>
      <c r="H26" s="13">
        <f t="shared" si="1"/>
        <v>90.909090909090907</v>
      </c>
      <c r="I26" s="13">
        <f t="shared" si="2"/>
        <v>59.090909090909093</v>
      </c>
      <c r="J26" s="14">
        <f t="shared" si="3"/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 t="shared" si="0"/>
        <v>9.0909090909090917</v>
      </c>
      <c r="H27" s="13">
        <f t="shared" si="1"/>
        <v>90.909090909090907</v>
      </c>
      <c r="I27" s="13">
        <f t="shared" si="2"/>
        <v>59.090909090909093</v>
      </c>
      <c r="J27" s="14">
        <f t="shared" si="3"/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 t="shared" si="0"/>
        <v>189.30999999999997</v>
      </c>
      <c r="H28" s="18">
        <f t="shared" si="1"/>
        <v>1893.1</v>
      </c>
      <c r="I28" s="18">
        <f t="shared" si="2"/>
        <v>-193.09999999999991</v>
      </c>
      <c r="J28" s="19">
        <f t="shared" si="3"/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 t="shared" si="0"/>
        <v>189.30999999999997</v>
      </c>
      <c r="H29" s="18">
        <f t="shared" si="1"/>
        <v>1893.1</v>
      </c>
      <c r="I29" s="18">
        <f t="shared" si="2"/>
        <v>-193.09999999999991</v>
      </c>
      <c r="J29" s="19">
        <f t="shared" si="3"/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 t="shared" si="0"/>
        <v>189.30999999999997</v>
      </c>
      <c r="H30" s="18">
        <f t="shared" si="1"/>
        <v>1893.1</v>
      </c>
      <c r="I30" s="18">
        <f t="shared" si="2"/>
        <v>-193.09999999999991</v>
      </c>
      <c r="J30" s="19">
        <f t="shared" si="3"/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 t="shared" si="0"/>
        <v>189.30999999999997</v>
      </c>
      <c r="H31" s="18">
        <f t="shared" si="1"/>
        <v>1893.1</v>
      </c>
      <c r="I31" s="18">
        <f t="shared" si="2"/>
        <v>-193.09999999999991</v>
      </c>
      <c r="J31" s="19">
        <f t="shared" si="3"/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 t="shared" si="0"/>
        <v>189.30999999999997</v>
      </c>
      <c r="H32" s="18">
        <f t="shared" si="1"/>
        <v>1893.1</v>
      </c>
      <c r="I32" s="18">
        <f t="shared" si="2"/>
        <v>-193.09999999999991</v>
      </c>
      <c r="J32" s="19">
        <f t="shared" si="3"/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 t="shared" si="0"/>
        <v>189.30999999999997</v>
      </c>
      <c r="H33" s="18">
        <f t="shared" si="1"/>
        <v>1893.1</v>
      </c>
      <c r="I33" s="18">
        <f t="shared" si="2"/>
        <v>-193.09999999999991</v>
      </c>
      <c r="J33" s="19">
        <f t="shared" si="3"/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 t="shared" ref="G34:G65" si="4">F34/11</f>
        <v>189.30999999999997</v>
      </c>
      <c r="H34" s="18">
        <f t="shared" ref="H34:H65" si="5">F34-G34</f>
        <v>1893.1</v>
      </c>
      <c r="I34" s="18">
        <f t="shared" ref="I34:I65" si="6">E34-H34</f>
        <v>-193.09999999999991</v>
      </c>
      <c r="J34" s="19">
        <f t="shared" ref="J34:J66" si="7"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 t="shared" si="4"/>
        <v>189.30999999999997</v>
      </c>
      <c r="H35" s="18">
        <f t="shared" si="5"/>
        <v>1893.1</v>
      </c>
      <c r="I35" s="18">
        <f t="shared" si="6"/>
        <v>-193.09999999999991</v>
      </c>
      <c r="J35" s="19">
        <f t="shared" si="7"/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 t="shared" si="4"/>
        <v>189.30999999999997</v>
      </c>
      <c r="H36" s="18">
        <f t="shared" si="5"/>
        <v>1893.1</v>
      </c>
      <c r="I36" s="18">
        <f t="shared" si="6"/>
        <v>-193.09999999999991</v>
      </c>
      <c r="J36" s="19">
        <f t="shared" si="7"/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 t="shared" si="4"/>
        <v>189.30999999999997</v>
      </c>
      <c r="H37" s="18">
        <f t="shared" si="5"/>
        <v>1893.1</v>
      </c>
      <c r="I37" s="18">
        <f t="shared" si="6"/>
        <v>-193.09999999999991</v>
      </c>
      <c r="J37" s="19">
        <f t="shared" si="7"/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 t="shared" si="4"/>
        <v>441.48363636363632</v>
      </c>
      <c r="H38" s="13">
        <f t="shared" si="5"/>
        <v>4414.8363636363638</v>
      </c>
      <c r="I38" s="13">
        <f t="shared" si="6"/>
        <v>1235.1636363636362</v>
      </c>
      <c r="J38" s="14">
        <f t="shared" si="7"/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 t="shared" si="4"/>
        <v>448.03727272727269</v>
      </c>
      <c r="H39" s="13">
        <f t="shared" si="5"/>
        <v>4480.3727272727274</v>
      </c>
      <c r="I39" s="13">
        <f t="shared" si="6"/>
        <v>1119.6272727272726</v>
      </c>
      <c r="J39" s="14">
        <f t="shared" si="7"/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 t="shared" si="4"/>
        <v>448.03727272727269</v>
      </c>
      <c r="H40" s="13">
        <f t="shared" si="5"/>
        <v>4480.3727272727274</v>
      </c>
      <c r="I40" s="13">
        <f t="shared" si="6"/>
        <v>1119.6272727272726</v>
      </c>
      <c r="J40" s="14">
        <f t="shared" si="7"/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 t="shared" si="4"/>
        <v>441.48363636363632</v>
      </c>
      <c r="H41" s="13">
        <f t="shared" si="5"/>
        <v>4414.8363636363638</v>
      </c>
      <c r="I41" s="13">
        <f t="shared" si="6"/>
        <v>1235.1636363636362</v>
      </c>
      <c r="J41" s="14">
        <f t="shared" si="7"/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 t="shared" si="4"/>
        <v>84.394545454545451</v>
      </c>
      <c r="H42" s="13">
        <f t="shared" si="5"/>
        <v>843.9454545454546</v>
      </c>
      <c r="I42" s="13">
        <f t="shared" si="6"/>
        <v>491.0545454545454</v>
      </c>
      <c r="J42" s="14">
        <f t="shared" si="7"/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 t="shared" si="4"/>
        <v>92.122727272727275</v>
      </c>
      <c r="H43" s="13">
        <f t="shared" si="5"/>
        <v>921.22727272727275</v>
      </c>
      <c r="I43" s="13">
        <f t="shared" si="6"/>
        <v>413.77272727272725</v>
      </c>
      <c r="J43" s="14">
        <f t="shared" si="7"/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 t="shared" si="4"/>
        <v>92.122727272727275</v>
      </c>
      <c r="H44" s="13">
        <f t="shared" si="5"/>
        <v>921.22727272727275</v>
      </c>
      <c r="I44" s="13">
        <f t="shared" si="6"/>
        <v>413.77272727272725</v>
      </c>
      <c r="J44" s="14">
        <f t="shared" si="7"/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 t="shared" si="4"/>
        <v>92.621818181818185</v>
      </c>
      <c r="H45" s="13">
        <f t="shared" si="5"/>
        <v>926.21818181818185</v>
      </c>
      <c r="I45" s="13">
        <f t="shared" si="6"/>
        <v>408.78181818181815</v>
      </c>
      <c r="J45" s="14">
        <f t="shared" si="7"/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 t="shared" si="4"/>
        <v>84.394545454545451</v>
      </c>
      <c r="H46" s="13">
        <f t="shared" si="5"/>
        <v>843.9454545454546</v>
      </c>
      <c r="I46" s="13">
        <f t="shared" si="6"/>
        <v>491.0545454545454</v>
      </c>
      <c r="J46" s="14">
        <f t="shared" si="7"/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 t="shared" si="4"/>
        <v>92.122727272727275</v>
      </c>
      <c r="H47" s="13">
        <f t="shared" si="5"/>
        <v>921.22727272727275</v>
      </c>
      <c r="I47" s="13">
        <f t="shared" si="6"/>
        <v>413.77272727272725</v>
      </c>
      <c r="J47" s="14">
        <f t="shared" si="7"/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 t="shared" si="4"/>
        <v>92.122727272727275</v>
      </c>
      <c r="H48" s="13">
        <f t="shared" si="5"/>
        <v>921.22727272727275</v>
      </c>
      <c r="I48" s="13">
        <f t="shared" si="6"/>
        <v>413.77272727272725</v>
      </c>
      <c r="J48" s="14">
        <f t="shared" si="7"/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 t="shared" si="4"/>
        <v>100.75181818181818</v>
      </c>
      <c r="H49" s="13">
        <f t="shared" si="5"/>
        <v>1007.5181818181818</v>
      </c>
      <c r="I49" s="13">
        <f t="shared" si="6"/>
        <v>327.4818181818182</v>
      </c>
      <c r="J49" s="14">
        <f t="shared" si="7"/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 t="shared" si="4"/>
        <v>92.122727272727275</v>
      </c>
      <c r="H50" s="13">
        <f t="shared" si="5"/>
        <v>921.22727272727275</v>
      </c>
      <c r="I50" s="13">
        <f t="shared" si="6"/>
        <v>413.77272727272725</v>
      </c>
      <c r="J50" s="14">
        <f t="shared" si="7"/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 t="shared" si="4"/>
        <v>100.75181818181818</v>
      </c>
      <c r="H51" s="13">
        <f t="shared" si="5"/>
        <v>1007.5181818181818</v>
      </c>
      <c r="I51" s="13">
        <f t="shared" si="6"/>
        <v>327.4818181818182</v>
      </c>
      <c r="J51" s="14">
        <f t="shared" si="7"/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 t="shared" si="4"/>
        <v>92.122727272727275</v>
      </c>
      <c r="H52" s="13">
        <f t="shared" si="5"/>
        <v>921.22727272727275</v>
      </c>
      <c r="I52" s="13">
        <f t="shared" si="6"/>
        <v>413.77272727272725</v>
      </c>
      <c r="J52" s="14">
        <f t="shared" si="7"/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 t="shared" si="4"/>
        <v>100.75181818181818</v>
      </c>
      <c r="H53" s="13">
        <f t="shared" si="5"/>
        <v>1007.5181818181818</v>
      </c>
      <c r="I53" s="13">
        <f t="shared" si="6"/>
        <v>327.4818181818182</v>
      </c>
      <c r="J53" s="14">
        <f t="shared" si="7"/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 t="shared" si="4"/>
        <v>92.122727272727275</v>
      </c>
      <c r="H54" s="13">
        <f t="shared" si="5"/>
        <v>921.22727272727275</v>
      </c>
      <c r="I54" s="13">
        <f t="shared" si="6"/>
        <v>413.77272727272725</v>
      </c>
      <c r="J54" s="14">
        <f t="shared" si="7"/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 t="shared" si="4"/>
        <v>100.75181818181818</v>
      </c>
      <c r="H55" s="13">
        <f t="shared" si="5"/>
        <v>1007.5181818181818</v>
      </c>
      <c r="I55" s="13">
        <f t="shared" si="6"/>
        <v>327.4818181818182</v>
      </c>
      <c r="J55" s="14">
        <f t="shared" si="7"/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 t="shared" si="4"/>
        <v>92.122727272727275</v>
      </c>
      <c r="H56" s="13">
        <f t="shared" si="5"/>
        <v>921.22727272727275</v>
      </c>
      <c r="I56" s="13">
        <f t="shared" si="6"/>
        <v>413.77272727272725</v>
      </c>
      <c r="J56" s="14">
        <f t="shared" si="7"/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 t="shared" si="4"/>
        <v>100.75181818181818</v>
      </c>
      <c r="H57" s="13">
        <f t="shared" si="5"/>
        <v>1007.5181818181818</v>
      </c>
      <c r="I57" s="13">
        <f t="shared" si="6"/>
        <v>327.4818181818182</v>
      </c>
      <c r="J57" s="14">
        <f t="shared" si="7"/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 t="shared" si="4"/>
        <v>100.75181818181818</v>
      </c>
      <c r="H58" s="13">
        <f t="shared" si="5"/>
        <v>1007.5181818181818</v>
      </c>
      <c r="I58" s="13">
        <f t="shared" si="6"/>
        <v>327.4818181818182</v>
      </c>
      <c r="J58" s="14">
        <f t="shared" si="7"/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 t="shared" si="4"/>
        <v>84.394545454545451</v>
      </c>
      <c r="H59" s="13">
        <f t="shared" si="5"/>
        <v>843.9454545454546</v>
      </c>
      <c r="I59" s="13">
        <f t="shared" si="6"/>
        <v>491.0545454545454</v>
      </c>
      <c r="J59" s="14">
        <f t="shared" si="7"/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 t="shared" si="4"/>
        <v>100.75181818181818</v>
      </c>
      <c r="H60" s="13">
        <f t="shared" si="5"/>
        <v>1007.5181818181818</v>
      </c>
      <c r="I60" s="13">
        <f t="shared" si="6"/>
        <v>327.4818181818182</v>
      </c>
      <c r="J60" s="14">
        <f t="shared" si="7"/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 t="shared" si="4"/>
        <v>92.122727272727275</v>
      </c>
      <c r="H61" s="13">
        <f t="shared" si="5"/>
        <v>921.22727272727275</v>
      </c>
      <c r="I61" s="13">
        <f t="shared" si="6"/>
        <v>413.77272727272725</v>
      </c>
      <c r="J61" s="14">
        <f t="shared" si="7"/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 t="shared" si="4"/>
        <v>84.394545454545451</v>
      </c>
      <c r="H62" s="13">
        <f t="shared" si="5"/>
        <v>843.9454545454546</v>
      </c>
      <c r="I62" s="13">
        <f t="shared" si="6"/>
        <v>491.0545454545454</v>
      </c>
      <c r="J62" s="14">
        <f t="shared" si="7"/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 t="shared" si="4"/>
        <v>100.75181818181818</v>
      </c>
      <c r="H63" s="13">
        <f t="shared" si="5"/>
        <v>1007.5181818181818</v>
      </c>
      <c r="I63" s="13">
        <f t="shared" si="6"/>
        <v>327.4818181818182</v>
      </c>
      <c r="J63" s="14">
        <f t="shared" si="7"/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 t="shared" si="4"/>
        <v>100.75181818181818</v>
      </c>
      <c r="H64" s="13">
        <f t="shared" si="5"/>
        <v>1007.5181818181818</v>
      </c>
      <c r="I64" s="13">
        <f t="shared" si="6"/>
        <v>327.4818181818182</v>
      </c>
      <c r="J64" s="14">
        <f t="shared" si="7"/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 t="shared" si="4"/>
        <v>92.122727272727275</v>
      </c>
      <c r="H65" s="13">
        <f t="shared" si="5"/>
        <v>921.22727272727275</v>
      </c>
      <c r="I65" s="13">
        <f t="shared" si="6"/>
        <v>413.77272727272725</v>
      </c>
      <c r="J65" s="14">
        <f t="shared" si="7"/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 t="shared" ref="G66:G97" si="8">F66/11</f>
        <v>84.394545454545451</v>
      </c>
      <c r="H66" s="13">
        <f t="shared" ref="H66:H97" si="9">F66-G66</f>
        <v>843.9454545454546</v>
      </c>
      <c r="I66" s="13">
        <f t="shared" ref="I66:I97" si="10">E66-H66</f>
        <v>491.0545454545454</v>
      </c>
      <c r="J66" s="14">
        <f t="shared" si="7"/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11">F67/11</f>
        <v>92.122727272727275</v>
      </c>
      <c r="H67" s="13">
        <f t="shared" ref="H67:H130" si="12">F67-G67</f>
        <v>921.22727272727275</v>
      </c>
      <c r="I67" s="13">
        <f t="shared" ref="I67:I130" si="13">E67-H67</f>
        <v>413.77272727272725</v>
      </c>
      <c r="J67" s="14">
        <f t="shared" ref="J67:J130" si="14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11"/>
        <v>84.394545454545451</v>
      </c>
      <c r="H68" s="13">
        <f t="shared" si="12"/>
        <v>843.9454545454546</v>
      </c>
      <c r="I68" s="13">
        <f t="shared" si="13"/>
        <v>491.0545454545454</v>
      </c>
      <c r="J68" s="14">
        <f t="shared" si="14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11"/>
        <v>94</v>
      </c>
      <c r="H69" s="13">
        <f t="shared" si="12"/>
        <v>940</v>
      </c>
      <c r="I69" s="13">
        <f t="shared" si="13"/>
        <v>395</v>
      </c>
      <c r="J69" s="14">
        <f t="shared" si="14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11"/>
        <v>94</v>
      </c>
      <c r="H70" s="13">
        <f t="shared" si="12"/>
        <v>940</v>
      </c>
      <c r="I70" s="13">
        <f t="shared" si="13"/>
        <v>395</v>
      </c>
      <c r="J70" s="14">
        <f t="shared" si="14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11"/>
        <v>94</v>
      </c>
      <c r="H71" s="13">
        <f t="shared" si="12"/>
        <v>940</v>
      </c>
      <c r="I71" s="13">
        <f t="shared" si="13"/>
        <v>395</v>
      </c>
      <c r="J71" s="14">
        <f t="shared" si="14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11"/>
        <v>83.924545454545452</v>
      </c>
      <c r="H72" s="13">
        <f t="shared" si="12"/>
        <v>839.24545454545455</v>
      </c>
      <c r="I72" s="13">
        <f t="shared" si="13"/>
        <v>495.75454545454545</v>
      </c>
      <c r="J72" s="14">
        <f t="shared" si="14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11"/>
        <v>83.924545454545452</v>
      </c>
      <c r="H73" s="13">
        <f t="shared" si="12"/>
        <v>839.24545454545455</v>
      </c>
      <c r="I73" s="13">
        <f t="shared" si="13"/>
        <v>495.75454545454545</v>
      </c>
      <c r="J73" s="14">
        <f t="shared" si="14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11"/>
        <v>94</v>
      </c>
      <c r="H74" s="13">
        <f t="shared" si="12"/>
        <v>940</v>
      </c>
      <c r="I74" s="13">
        <f t="shared" si="13"/>
        <v>395</v>
      </c>
      <c r="J74" s="14">
        <f t="shared" si="14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11"/>
        <v>94</v>
      </c>
      <c r="H75" s="13">
        <f t="shared" si="12"/>
        <v>940</v>
      </c>
      <c r="I75" s="13">
        <f t="shared" si="13"/>
        <v>395</v>
      </c>
      <c r="J75" s="14">
        <f t="shared" si="14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11"/>
        <v>94</v>
      </c>
      <c r="H76" s="13">
        <f t="shared" si="12"/>
        <v>940</v>
      </c>
      <c r="I76" s="13">
        <f t="shared" si="13"/>
        <v>395</v>
      </c>
      <c r="J76" s="14">
        <f t="shared" si="14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11"/>
        <v>94</v>
      </c>
      <c r="H77" s="13">
        <f t="shared" si="12"/>
        <v>940</v>
      </c>
      <c r="I77" s="13">
        <f t="shared" si="13"/>
        <v>395</v>
      </c>
      <c r="J77" s="14">
        <f t="shared" si="14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11"/>
        <v>94</v>
      </c>
      <c r="H78" s="13">
        <f t="shared" si="12"/>
        <v>940</v>
      </c>
      <c r="I78" s="13">
        <f t="shared" si="13"/>
        <v>395</v>
      </c>
      <c r="J78" s="14">
        <f t="shared" si="14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11"/>
        <v>94</v>
      </c>
      <c r="H79" s="13">
        <f t="shared" si="12"/>
        <v>940</v>
      </c>
      <c r="I79" s="13">
        <f t="shared" si="13"/>
        <v>395</v>
      </c>
      <c r="J79" s="14">
        <f t="shared" si="14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11"/>
        <v>84.394545454545451</v>
      </c>
      <c r="H80" s="13">
        <f t="shared" si="12"/>
        <v>843.9454545454546</v>
      </c>
      <c r="I80" s="13">
        <f t="shared" si="13"/>
        <v>491.0545454545454</v>
      </c>
      <c r="J80" s="14">
        <f t="shared" si="14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11"/>
        <v>94</v>
      </c>
      <c r="H81" s="13">
        <f t="shared" si="12"/>
        <v>940</v>
      </c>
      <c r="I81" s="13">
        <f t="shared" si="13"/>
        <v>395</v>
      </c>
      <c r="J81" s="14">
        <f t="shared" si="14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11"/>
        <v>94</v>
      </c>
      <c r="H82" s="13">
        <f t="shared" si="12"/>
        <v>940</v>
      </c>
      <c r="I82" s="13">
        <f t="shared" si="13"/>
        <v>395</v>
      </c>
      <c r="J82" s="14">
        <f t="shared" si="14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11"/>
        <v>94</v>
      </c>
      <c r="H83" s="13">
        <f t="shared" si="12"/>
        <v>940</v>
      </c>
      <c r="I83" s="13">
        <f t="shared" si="13"/>
        <v>395</v>
      </c>
      <c r="J83" s="14">
        <f t="shared" si="14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11"/>
        <v>83.924545454545452</v>
      </c>
      <c r="H84" s="13">
        <f t="shared" si="12"/>
        <v>839.24545454545455</v>
      </c>
      <c r="I84" s="13">
        <f t="shared" si="13"/>
        <v>495.75454545454545</v>
      </c>
      <c r="J84" s="14">
        <f t="shared" si="14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11"/>
        <v>94</v>
      </c>
      <c r="H85" s="13">
        <f t="shared" si="12"/>
        <v>940</v>
      </c>
      <c r="I85" s="13">
        <f t="shared" si="13"/>
        <v>395</v>
      </c>
      <c r="J85" s="14">
        <f t="shared" si="14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11"/>
        <v>94</v>
      </c>
      <c r="H86" s="13">
        <f t="shared" si="12"/>
        <v>940</v>
      </c>
      <c r="I86" s="13">
        <f t="shared" si="13"/>
        <v>395</v>
      </c>
      <c r="J86" s="14">
        <f t="shared" si="14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11"/>
        <v>94</v>
      </c>
      <c r="H87" s="13">
        <f t="shared" si="12"/>
        <v>940</v>
      </c>
      <c r="I87" s="13">
        <f t="shared" si="13"/>
        <v>395</v>
      </c>
      <c r="J87" s="14">
        <f t="shared" si="14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11"/>
        <v>92.621818181818185</v>
      </c>
      <c r="H88" s="13">
        <f t="shared" si="12"/>
        <v>926.21818181818185</v>
      </c>
      <c r="I88" s="13">
        <f t="shared" si="13"/>
        <v>408.78181818181815</v>
      </c>
      <c r="J88" s="14">
        <f t="shared" si="14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11"/>
        <v>93.797272727272727</v>
      </c>
      <c r="H89" s="13">
        <f t="shared" si="12"/>
        <v>937.9727272727273</v>
      </c>
      <c r="I89" s="13">
        <f t="shared" si="13"/>
        <v>397.0272727272727</v>
      </c>
      <c r="J89" s="14">
        <f t="shared" si="14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11"/>
        <v>94</v>
      </c>
      <c r="H90" s="13">
        <f t="shared" si="12"/>
        <v>940</v>
      </c>
      <c r="I90" s="13">
        <f t="shared" si="13"/>
        <v>395</v>
      </c>
      <c r="J90" s="14">
        <f t="shared" si="14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11"/>
        <v>94</v>
      </c>
      <c r="H91" s="13">
        <f t="shared" si="12"/>
        <v>940</v>
      </c>
      <c r="I91" s="13">
        <f t="shared" si="13"/>
        <v>395</v>
      </c>
      <c r="J91" s="14">
        <f t="shared" si="14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11"/>
        <v>93.797272727272727</v>
      </c>
      <c r="H92" s="13">
        <f t="shared" si="12"/>
        <v>937.9727272727273</v>
      </c>
      <c r="I92" s="13">
        <f t="shared" si="13"/>
        <v>397.0272727272727</v>
      </c>
      <c r="J92" s="14">
        <f t="shared" si="14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11"/>
        <v>94</v>
      </c>
      <c r="H93" s="13">
        <f t="shared" si="12"/>
        <v>940</v>
      </c>
      <c r="I93" s="13">
        <f t="shared" si="13"/>
        <v>395</v>
      </c>
      <c r="J93" s="14">
        <f t="shared" si="14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11"/>
        <v>94</v>
      </c>
      <c r="H94" s="13">
        <f t="shared" si="12"/>
        <v>940</v>
      </c>
      <c r="I94" s="13">
        <f t="shared" si="13"/>
        <v>395</v>
      </c>
      <c r="J94" s="14">
        <f t="shared" si="14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11"/>
        <v>94</v>
      </c>
      <c r="H95" s="13">
        <f t="shared" si="12"/>
        <v>940</v>
      </c>
      <c r="I95" s="13">
        <f t="shared" si="13"/>
        <v>395</v>
      </c>
      <c r="J95" s="14">
        <f t="shared" si="14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11"/>
        <v>92.621818181818185</v>
      </c>
      <c r="H96" s="13">
        <f t="shared" si="12"/>
        <v>926.21818181818185</v>
      </c>
      <c r="I96" s="13">
        <f t="shared" si="13"/>
        <v>408.78181818181815</v>
      </c>
      <c r="J96" s="14">
        <f t="shared" si="14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11"/>
        <v>27.694545454545452</v>
      </c>
      <c r="H97" s="13">
        <f t="shared" si="12"/>
        <v>276.94545454545454</v>
      </c>
      <c r="I97" s="13">
        <f t="shared" si="13"/>
        <v>63.054545454545462</v>
      </c>
      <c r="J97" s="14">
        <f t="shared" si="14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11"/>
        <v>26.310000000000002</v>
      </c>
      <c r="H98" s="13">
        <f t="shared" si="12"/>
        <v>263.10000000000002</v>
      </c>
      <c r="I98" s="13">
        <f t="shared" si="13"/>
        <v>76.899999999999977</v>
      </c>
      <c r="J98" s="14">
        <f t="shared" si="14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11"/>
        <v>27.694545454545452</v>
      </c>
      <c r="H99" s="13">
        <f t="shared" si="12"/>
        <v>276.94545454545454</v>
      </c>
      <c r="I99" s="13">
        <f t="shared" si="13"/>
        <v>63.054545454545462</v>
      </c>
      <c r="J99" s="14">
        <f t="shared" si="14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11"/>
        <v>27.694545454545452</v>
      </c>
      <c r="H100" s="13">
        <f t="shared" si="12"/>
        <v>276.94545454545454</v>
      </c>
      <c r="I100" s="13">
        <f t="shared" si="13"/>
        <v>63.054545454545462</v>
      </c>
      <c r="J100" s="14">
        <f t="shared" si="14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11"/>
        <v>27.694545454545452</v>
      </c>
      <c r="H101" s="13">
        <f t="shared" si="12"/>
        <v>276.94545454545454</v>
      </c>
      <c r="I101" s="13">
        <f t="shared" si="13"/>
        <v>63.054545454545462</v>
      </c>
      <c r="J101" s="14">
        <f t="shared" si="14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11"/>
        <v>26.08909090909091</v>
      </c>
      <c r="H102" s="13">
        <f t="shared" si="12"/>
        <v>260.89090909090913</v>
      </c>
      <c r="I102" s="13">
        <f t="shared" si="13"/>
        <v>79.109090909090867</v>
      </c>
      <c r="J102" s="14">
        <f t="shared" si="14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11"/>
        <v>27.694545454545452</v>
      </c>
      <c r="H103" s="13">
        <f t="shared" si="12"/>
        <v>276.94545454545454</v>
      </c>
      <c r="I103" s="13">
        <f t="shared" si="13"/>
        <v>63.054545454545462</v>
      </c>
      <c r="J103" s="14">
        <f t="shared" si="14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11"/>
        <v>27.694545454545452</v>
      </c>
      <c r="H104" s="13">
        <f t="shared" si="12"/>
        <v>276.94545454545454</v>
      </c>
      <c r="I104" s="13">
        <f t="shared" si="13"/>
        <v>63.054545454545462</v>
      </c>
      <c r="J104" s="14">
        <f t="shared" si="14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11"/>
        <v>24.790909090909089</v>
      </c>
      <c r="H105" s="13">
        <f t="shared" si="12"/>
        <v>247.90909090909091</v>
      </c>
      <c r="I105" s="13">
        <f t="shared" si="13"/>
        <v>92.090909090909093</v>
      </c>
      <c r="J105" s="14">
        <f t="shared" si="14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11"/>
        <v>24.790909090909089</v>
      </c>
      <c r="H106" s="13">
        <f t="shared" si="12"/>
        <v>247.90909090909091</v>
      </c>
      <c r="I106" s="13">
        <f t="shared" si="13"/>
        <v>92.090909090909093</v>
      </c>
      <c r="J106" s="14">
        <f t="shared" si="14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11"/>
        <v>24.790909090909089</v>
      </c>
      <c r="H107" s="13">
        <f t="shared" si="12"/>
        <v>247.90909090909091</v>
      </c>
      <c r="I107" s="13">
        <f t="shared" si="13"/>
        <v>92.090909090909093</v>
      </c>
      <c r="J107" s="14">
        <f t="shared" si="14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11"/>
        <v>26.08909090909091</v>
      </c>
      <c r="H108" s="13">
        <f t="shared" si="12"/>
        <v>260.89090909090913</v>
      </c>
      <c r="I108" s="13">
        <f t="shared" si="13"/>
        <v>79.109090909090867</v>
      </c>
      <c r="J108" s="14">
        <f t="shared" si="14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11"/>
        <v>441.48363636363632</v>
      </c>
      <c r="H109" s="13">
        <f t="shared" si="12"/>
        <v>4414.8363636363638</v>
      </c>
      <c r="I109" s="13">
        <f t="shared" si="13"/>
        <v>1160.1636363636362</v>
      </c>
      <c r="J109" s="14">
        <f t="shared" si="14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11"/>
        <v>447.88181818181818</v>
      </c>
      <c r="H110" s="13">
        <f t="shared" si="12"/>
        <v>4478.818181818182</v>
      </c>
      <c r="I110" s="13">
        <f t="shared" si="13"/>
        <v>1121.181818181818</v>
      </c>
      <c r="J110" s="14">
        <f t="shared" si="14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11"/>
        <v>441.48363636363632</v>
      </c>
      <c r="H111" s="13">
        <f t="shared" si="12"/>
        <v>4414.8363636363638</v>
      </c>
      <c r="I111" s="13">
        <f t="shared" si="13"/>
        <v>1160.1636363636362</v>
      </c>
      <c r="J111" s="14">
        <f t="shared" si="14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11"/>
        <v>441.48363636363632</v>
      </c>
      <c r="H112" s="13">
        <f t="shared" si="12"/>
        <v>4414.8363636363638</v>
      </c>
      <c r="I112" s="13">
        <f t="shared" si="13"/>
        <v>1160.1636363636362</v>
      </c>
      <c r="J112" s="14">
        <f t="shared" si="14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11"/>
        <v>447.88181818181818</v>
      </c>
      <c r="H113" s="13">
        <f t="shared" si="12"/>
        <v>4478.818181818182</v>
      </c>
      <c r="I113" s="13">
        <f t="shared" si="13"/>
        <v>1121.181818181818</v>
      </c>
      <c r="J113" s="14">
        <f t="shared" si="14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11"/>
        <v>441.48363636363632</v>
      </c>
      <c r="H114" s="13">
        <f t="shared" si="12"/>
        <v>4414.8363636363638</v>
      </c>
      <c r="I114" s="13">
        <f t="shared" si="13"/>
        <v>1160.1636363636362</v>
      </c>
      <c r="J114" s="14">
        <f t="shared" si="14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11"/>
        <v>441.48363636363632</v>
      </c>
      <c r="H115" s="13">
        <f t="shared" si="12"/>
        <v>4414.8363636363638</v>
      </c>
      <c r="I115" s="13">
        <f t="shared" si="13"/>
        <v>1160.1636363636362</v>
      </c>
      <c r="J115" s="14">
        <f t="shared" si="14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11"/>
        <v>306.4581818181818</v>
      </c>
      <c r="H116" s="13">
        <f t="shared" si="12"/>
        <v>3064.5818181818181</v>
      </c>
      <c r="I116" s="13">
        <f t="shared" si="13"/>
        <v>1035.4181818181819</v>
      </c>
      <c r="J116" s="14">
        <f t="shared" si="14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11"/>
        <v>306.72909090909093</v>
      </c>
      <c r="H117" s="13">
        <f t="shared" si="12"/>
        <v>3067.2909090909088</v>
      </c>
      <c r="I117" s="13">
        <f t="shared" si="13"/>
        <v>1032.7090909090912</v>
      </c>
      <c r="J117" s="14">
        <f t="shared" si="14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11"/>
        <v>306.4581818181818</v>
      </c>
      <c r="H118" s="13">
        <f t="shared" si="12"/>
        <v>3064.5818181818181</v>
      </c>
      <c r="I118" s="13">
        <f t="shared" si="13"/>
        <v>1135.4181818181819</v>
      </c>
      <c r="J118" s="14">
        <f t="shared" si="14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11"/>
        <v>448.03727272727269</v>
      </c>
      <c r="H119" s="13">
        <f t="shared" si="12"/>
        <v>4480.3727272727274</v>
      </c>
      <c r="I119" s="13">
        <f t="shared" si="13"/>
        <v>1019.6272727272726</v>
      </c>
      <c r="J119" s="14">
        <f t="shared" si="14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11"/>
        <v>441.48363636363632</v>
      </c>
      <c r="H120" s="13">
        <f t="shared" si="12"/>
        <v>4414.8363636363638</v>
      </c>
      <c r="I120" s="13">
        <f t="shared" si="13"/>
        <v>1185.1636363636362</v>
      </c>
      <c r="J120" s="14">
        <f t="shared" si="14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11"/>
        <v>448.03727272727269</v>
      </c>
      <c r="H121" s="13">
        <f t="shared" si="12"/>
        <v>4480.3727272727274</v>
      </c>
      <c r="I121" s="13">
        <f t="shared" si="13"/>
        <v>1019.6272727272726</v>
      </c>
      <c r="J121" s="14">
        <f t="shared" si="14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11"/>
        <v>488.4945454545454</v>
      </c>
      <c r="H122" s="13">
        <f t="shared" si="12"/>
        <v>4884.9454545454546</v>
      </c>
      <c r="I122" s="13">
        <f t="shared" si="13"/>
        <v>615.0545454545454</v>
      </c>
      <c r="J122" s="14">
        <f t="shared" si="14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11"/>
        <v>441.48363636363632</v>
      </c>
      <c r="H123" s="13">
        <f t="shared" si="12"/>
        <v>4414.8363636363638</v>
      </c>
      <c r="I123" s="13">
        <f t="shared" si="13"/>
        <v>1185.1636363636362</v>
      </c>
      <c r="J123" s="14">
        <f t="shared" si="14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11"/>
        <v>448.03727272727269</v>
      </c>
      <c r="H124" s="13">
        <f t="shared" si="12"/>
        <v>4480.3727272727274</v>
      </c>
      <c r="I124" s="13">
        <f t="shared" si="13"/>
        <v>1019.6272727272726</v>
      </c>
      <c r="J124" s="14">
        <f t="shared" si="14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11"/>
        <v>448.03727272727269</v>
      </c>
      <c r="H125" s="13">
        <f t="shared" si="12"/>
        <v>4480.3727272727274</v>
      </c>
      <c r="I125" s="13">
        <f t="shared" si="13"/>
        <v>1019.6272727272726</v>
      </c>
      <c r="J125" s="14">
        <f t="shared" si="14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11"/>
        <v>448.03727272727269</v>
      </c>
      <c r="H126" s="13">
        <f t="shared" si="12"/>
        <v>4480.3727272727274</v>
      </c>
      <c r="I126" s="13">
        <f t="shared" si="13"/>
        <v>1119.6272727272726</v>
      </c>
      <c r="J126" s="14">
        <f t="shared" si="14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11"/>
        <v>448.03727272727269</v>
      </c>
      <c r="H127" s="13">
        <f t="shared" si="12"/>
        <v>4480.3727272727274</v>
      </c>
      <c r="I127" s="13">
        <f t="shared" si="13"/>
        <v>1119.6272727272726</v>
      </c>
      <c r="J127" s="14">
        <f t="shared" si="14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11"/>
        <v>448.03727272727269</v>
      </c>
      <c r="H128" s="13">
        <f t="shared" si="12"/>
        <v>4480.3727272727274</v>
      </c>
      <c r="I128" s="13">
        <f t="shared" si="13"/>
        <v>1019.6272727272726</v>
      </c>
      <c r="J128" s="14">
        <f t="shared" si="14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11"/>
        <v>469.29363636363632</v>
      </c>
      <c r="H129" s="13">
        <f t="shared" si="12"/>
        <v>4692.9363636363632</v>
      </c>
      <c r="I129" s="13">
        <f t="shared" si="13"/>
        <v>807.06363636363676</v>
      </c>
      <c r="J129" s="14">
        <f t="shared" si="14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11"/>
        <v>448.03727272727269</v>
      </c>
      <c r="H130" s="13">
        <f t="shared" si="12"/>
        <v>4480.3727272727274</v>
      </c>
      <c r="I130" s="13">
        <f t="shared" si="13"/>
        <v>1019.6272727272726</v>
      </c>
      <c r="J130" s="14">
        <f t="shared" si="14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15">F131/11</f>
        <v>279.04000000000002</v>
      </c>
      <c r="H131" s="13">
        <f t="shared" ref="H131:H191" si="16">F131-G131</f>
        <v>2790.4</v>
      </c>
      <c r="I131" s="13">
        <f t="shared" ref="I131:I191" si="17">E131-H131</f>
        <v>1234.5999999999999</v>
      </c>
      <c r="J131" s="14">
        <f t="shared" ref="J131:J191" si="18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15"/>
        <v>285.74363636363637</v>
      </c>
      <c r="H132" s="13">
        <f t="shared" si="16"/>
        <v>2857.4363636363632</v>
      </c>
      <c r="I132" s="13">
        <f t="shared" si="17"/>
        <v>1167.5636363636368</v>
      </c>
      <c r="J132" s="14">
        <f t="shared" si="18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15"/>
        <v>279.04000000000002</v>
      </c>
      <c r="H133" s="13">
        <f t="shared" si="16"/>
        <v>2790.4</v>
      </c>
      <c r="I133" s="13">
        <f t="shared" si="17"/>
        <v>1234.5999999999999</v>
      </c>
      <c r="J133" s="14">
        <f t="shared" si="18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15"/>
        <v>279.04000000000002</v>
      </c>
      <c r="H134" s="13">
        <f t="shared" si="16"/>
        <v>2790.4</v>
      </c>
      <c r="I134" s="13">
        <f t="shared" si="17"/>
        <v>1234.5999999999999</v>
      </c>
      <c r="J134" s="14">
        <f t="shared" si="18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15"/>
        <v>285.74363636363637</v>
      </c>
      <c r="H135" s="13">
        <f t="shared" si="16"/>
        <v>2857.4363636363632</v>
      </c>
      <c r="I135" s="13">
        <f t="shared" si="17"/>
        <v>1167.5636363636368</v>
      </c>
      <c r="J135" s="14">
        <f t="shared" si="18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15"/>
        <v>279.04000000000002</v>
      </c>
      <c r="H136" s="13">
        <f t="shared" si="16"/>
        <v>2790.4</v>
      </c>
      <c r="I136" s="13">
        <f t="shared" si="17"/>
        <v>1234.5999999999999</v>
      </c>
      <c r="J136" s="14">
        <f t="shared" si="18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15"/>
        <v>279.04000000000002</v>
      </c>
      <c r="H137" s="13">
        <f t="shared" si="16"/>
        <v>2790.4</v>
      </c>
      <c r="I137" s="13">
        <f t="shared" si="17"/>
        <v>1234.5999999999999</v>
      </c>
      <c r="J137" s="14">
        <f t="shared" si="18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15"/>
        <v>285.74363636363637</v>
      </c>
      <c r="H138" s="13">
        <f t="shared" si="16"/>
        <v>2857.4363636363632</v>
      </c>
      <c r="I138" s="13">
        <f t="shared" si="17"/>
        <v>1167.5636363636368</v>
      </c>
      <c r="J138" s="14">
        <f t="shared" si="18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15"/>
        <v>285.74363636363637</v>
      </c>
      <c r="H139" s="13">
        <f t="shared" si="16"/>
        <v>2857.4363636363632</v>
      </c>
      <c r="I139" s="13">
        <f t="shared" si="17"/>
        <v>1167.5636363636368</v>
      </c>
      <c r="J139" s="14">
        <f t="shared" si="18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15"/>
        <v>279.04000000000002</v>
      </c>
      <c r="H140" s="13">
        <f t="shared" si="16"/>
        <v>2790.4</v>
      </c>
      <c r="I140" s="13">
        <f t="shared" si="17"/>
        <v>1234.5999999999999</v>
      </c>
      <c r="J140" s="14">
        <f t="shared" si="18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15"/>
        <v>285.74363636363637</v>
      </c>
      <c r="H141" s="13">
        <f t="shared" si="16"/>
        <v>2857.4363636363632</v>
      </c>
      <c r="I141" s="13">
        <f t="shared" si="17"/>
        <v>1167.5636363636368</v>
      </c>
      <c r="J141" s="14">
        <f t="shared" si="18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15"/>
        <v>285.74363636363637</v>
      </c>
      <c r="H142" s="13">
        <f t="shared" si="16"/>
        <v>2857.4363636363632</v>
      </c>
      <c r="I142" s="13">
        <f t="shared" si="17"/>
        <v>1167.5636363636368</v>
      </c>
      <c r="J142" s="14">
        <f t="shared" si="18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15"/>
        <v>84.38818181818182</v>
      </c>
      <c r="H143" s="13">
        <f t="shared" si="16"/>
        <v>843.88181818181818</v>
      </c>
      <c r="I143" s="13">
        <f t="shared" si="17"/>
        <v>506.11818181818182</v>
      </c>
      <c r="J143" s="14">
        <f t="shared" si="18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15"/>
        <v>448.03727272727269</v>
      </c>
      <c r="H144" s="13">
        <f t="shared" si="16"/>
        <v>4480.3727272727274</v>
      </c>
      <c r="I144" s="13">
        <f t="shared" si="17"/>
        <v>1069.6272727272726</v>
      </c>
      <c r="J144" s="14">
        <f t="shared" si="18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15"/>
        <v>448.03727272727269</v>
      </c>
      <c r="H145" s="13">
        <f t="shared" si="16"/>
        <v>4480.3727272727274</v>
      </c>
      <c r="I145" s="13">
        <f t="shared" si="17"/>
        <v>1069.6272727272726</v>
      </c>
      <c r="J145" s="14">
        <f t="shared" si="18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15"/>
        <v>448.03727272727269</v>
      </c>
      <c r="H146" s="13">
        <f t="shared" si="16"/>
        <v>4480.3727272727274</v>
      </c>
      <c r="I146" s="13">
        <f t="shared" si="17"/>
        <v>1069.6272727272726</v>
      </c>
      <c r="J146" s="14">
        <f t="shared" si="18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15"/>
        <v>448.03727272727269</v>
      </c>
      <c r="H147" s="13">
        <f t="shared" si="16"/>
        <v>4480.3727272727274</v>
      </c>
      <c r="I147" s="13">
        <f t="shared" si="17"/>
        <v>1069.6272727272726</v>
      </c>
      <c r="J147" s="14">
        <f t="shared" si="18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15"/>
        <v>448.03727272727269</v>
      </c>
      <c r="H148" s="13">
        <f t="shared" si="16"/>
        <v>4480.3727272727274</v>
      </c>
      <c r="I148" s="13">
        <f t="shared" si="17"/>
        <v>1069.6272727272726</v>
      </c>
      <c r="J148" s="14">
        <f t="shared" si="18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15"/>
        <v>447.88181818181818</v>
      </c>
      <c r="H149" s="13">
        <f t="shared" si="16"/>
        <v>4478.818181818182</v>
      </c>
      <c r="I149" s="13">
        <f t="shared" si="17"/>
        <v>1071.181818181818</v>
      </c>
      <c r="J149" s="14">
        <f t="shared" si="18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15"/>
        <v>447.88181818181818</v>
      </c>
      <c r="H150" s="13">
        <f t="shared" si="16"/>
        <v>4478.818181818182</v>
      </c>
      <c r="I150" s="13">
        <f t="shared" si="17"/>
        <v>1071.181818181818</v>
      </c>
      <c r="J150" s="14">
        <f t="shared" si="18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15"/>
        <v>447.88181818181818</v>
      </c>
      <c r="H151" s="13">
        <f t="shared" si="16"/>
        <v>4478.818181818182</v>
      </c>
      <c r="I151" s="13">
        <f t="shared" si="17"/>
        <v>1071.181818181818</v>
      </c>
      <c r="J151" s="14">
        <f t="shared" si="18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15"/>
        <v>447.88181818181818</v>
      </c>
      <c r="H152" s="13">
        <f t="shared" si="16"/>
        <v>4478.818181818182</v>
      </c>
      <c r="I152" s="13">
        <f t="shared" si="17"/>
        <v>1221.181818181818</v>
      </c>
      <c r="J152" s="14">
        <f t="shared" si="18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15"/>
        <v>441.48363636363632</v>
      </c>
      <c r="H153" s="13">
        <f t="shared" si="16"/>
        <v>4414.8363636363638</v>
      </c>
      <c r="I153" s="13">
        <f t="shared" si="17"/>
        <v>1135.1636363636362</v>
      </c>
      <c r="J153" s="14">
        <f t="shared" si="18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15"/>
        <v>448.03727272727269</v>
      </c>
      <c r="H154" s="13">
        <f t="shared" si="16"/>
        <v>4480.3727272727274</v>
      </c>
      <c r="I154" s="13">
        <f t="shared" si="17"/>
        <v>1069.6272727272726</v>
      </c>
      <c r="J154" s="14">
        <f t="shared" si="18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15"/>
        <v>441.48363636363632</v>
      </c>
      <c r="H155" s="13">
        <f t="shared" si="16"/>
        <v>4414.8363636363638</v>
      </c>
      <c r="I155" s="13">
        <f t="shared" si="17"/>
        <v>1160.1636363636362</v>
      </c>
      <c r="J155" s="14">
        <f t="shared" si="18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15"/>
        <v>441.48363636363632</v>
      </c>
      <c r="H156" s="13">
        <f t="shared" si="16"/>
        <v>4414.8363636363638</v>
      </c>
      <c r="I156" s="13">
        <f t="shared" si="17"/>
        <v>1135.1636363636362</v>
      </c>
      <c r="J156" s="14">
        <f t="shared" si="18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15"/>
        <v>447.88181818181818</v>
      </c>
      <c r="H157" s="13">
        <f t="shared" si="16"/>
        <v>4478.818181818182</v>
      </c>
      <c r="I157" s="13">
        <f t="shared" si="17"/>
        <v>1071.181818181818</v>
      </c>
      <c r="J157" s="14">
        <f t="shared" si="18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15"/>
        <v>448.03727272727269</v>
      </c>
      <c r="H158" s="13">
        <f t="shared" si="16"/>
        <v>4480.3727272727274</v>
      </c>
      <c r="I158" s="13">
        <f t="shared" si="17"/>
        <v>1069.6272727272726</v>
      </c>
      <c r="J158" s="14">
        <f t="shared" si="18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15"/>
        <v>448.03727272727269</v>
      </c>
      <c r="H159" s="13">
        <f t="shared" si="16"/>
        <v>4480.3727272727274</v>
      </c>
      <c r="I159" s="13">
        <f t="shared" si="17"/>
        <v>1069.6272727272726</v>
      </c>
      <c r="J159" s="14">
        <f t="shared" si="18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15"/>
        <v>447.88181818181818</v>
      </c>
      <c r="H160" s="13">
        <f t="shared" si="16"/>
        <v>4478.818181818182</v>
      </c>
      <c r="I160" s="13">
        <f t="shared" si="17"/>
        <v>1071.181818181818</v>
      </c>
      <c r="J160" s="14">
        <f t="shared" si="18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15"/>
        <v>447.88181818181818</v>
      </c>
      <c r="H161" s="13">
        <f t="shared" si="16"/>
        <v>4478.818181818182</v>
      </c>
      <c r="I161" s="13">
        <f t="shared" si="17"/>
        <v>1261.181818181818</v>
      </c>
      <c r="J161" s="14">
        <f t="shared" si="18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15"/>
        <v>441.48363636363632</v>
      </c>
      <c r="H162" s="13">
        <f t="shared" si="16"/>
        <v>4414.8363636363638</v>
      </c>
      <c r="I162" s="13">
        <f t="shared" si="17"/>
        <v>1135.1636363636362</v>
      </c>
      <c r="J162" s="14">
        <f t="shared" si="18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15"/>
        <v>455.83090909090913</v>
      </c>
      <c r="H163" s="13">
        <f t="shared" si="16"/>
        <v>4558.3090909090915</v>
      </c>
      <c r="I163" s="13">
        <f t="shared" si="17"/>
        <v>991.69090909090846</v>
      </c>
      <c r="J163" s="14">
        <f t="shared" si="18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15"/>
        <v>447.88181818181818</v>
      </c>
      <c r="H164" s="13">
        <f t="shared" si="16"/>
        <v>4478.818181818182</v>
      </c>
      <c r="I164" s="13">
        <f t="shared" si="17"/>
        <v>1261.181818181818</v>
      </c>
      <c r="J164" s="14">
        <f t="shared" si="18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15"/>
        <v>455.83090909090913</v>
      </c>
      <c r="H165" s="13">
        <f t="shared" si="16"/>
        <v>4558.3090909090915</v>
      </c>
      <c r="I165" s="13">
        <f t="shared" si="17"/>
        <v>991.69090909090846</v>
      </c>
      <c r="J165" s="14">
        <f t="shared" si="18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15"/>
        <v>455.83090909090913</v>
      </c>
      <c r="H166" s="13">
        <f t="shared" si="16"/>
        <v>4558.3090909090915</v>
      </c>
      <c r="I166" s="13">
        <f t="shared" si="17"/>
        <v>991.69090909090846</v>
      </c>
      <c r="J166" s="14">
        <f t="shared" si="18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15"/>
        <v>455.83090909090913</v>
      </c>
      <c r="H167" s="13">
        <f t="shared" si="16"/>
        <v>4558.3090909090915</v>
      </c>
      <c r="I167" s="13">
        <f t="shared" si="17"/>
        <v>991.69090909090846</v>
      </c>
      <c r="J167" s="14">
        <f t="shared" si="18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15"/>
        <v>441.48363636363632</v>
      </c>
      <c r="H168" s="13">
        <f t="shared" si="16"/>
        <v>4414.8363636363638</v>
      </c>
      <c r="I168" s="13">
        <f t="shared" si="17"/>
        <v>1135.1636363636362</v>
      </c>
      <c r="J168" s="14">
        <f t="shared" si="18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15"/>
        <v>448.03727272727269</v>
      </c>
      <c r="H169" s="13">
        <f t="shared" si="16"/>
        <v>4480.3727272727274</v>
      </c>
      <c r="I169" s="13">
        <f t="shared" si="17"/>
        <v>1069.6272727272726</v>
      </c>
      <c r="J169" s="14">
        <f t="shared" si="18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15"/>
        <v>448.03727272727269</v>
      </c>
      <c r="H170" s="13">
        <f t="shared" si="16"/>
        <v>4480.3727272727274</v>
      </c>
      <c r="I170" s="13">
        <f t="shared" si="17"/>
        <v>1069.6272727272726</v>
      </c>
      <c r="J170" s="14">
        <f t="shared" si="18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15"/>
        <v>441.48363636363632</v>
      </c>
      <c r="H171" s="13">
        <f t="shared" si="16"/>
        <v>4414.8363636363638</v>
      </c>
      <c r="I171" s="13">
        <f t="shared" si="17"/>
        <v>1135.1636363636362</v>
      </c>
      <c r="J171" s="14">
        <f t="shared" si="18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15"/>
        <v>448.03727272727269</v>
      </c>
      <c r="H172" s="13">
        <f t="shared" si="16"/>
        <v>4480.3727272727274</v>
      </c>
      <c r="I172" s="13">
        <f t="shared" si="17"/>
        <v>1069.6272727272726</v>
      </c>
      <c r="J172" s="14">
        <f t="shared" si="18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15"/>
        <v>447.88181818181818</v>
      </c>
      <c r="H173" s="13">
        <f t="shared" si="16"/>
        <v>4478.818181818182</v>
      </c>
      <c r="I173" s="13">
        <f t="shared" si="17"/>
        <v>1261.181818181818</v>
      </c>
      <c r="J173" s="14">
        <f t="shared" si="18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15"/>
        <v>448.03727272727269</v>
      </c>
      <c r="H174" s="13">
        <f t="shared" si="16"/>
        <v>4480.3727272727274</v>
      </c>
      <c r="I174" s="13">
        <f t="shared" si="17"/>
        <v>1069.6272727272726</v>
      </c>
      <c r="J174" s="14">
        <f t="shared" si="18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15"/>
        <v>447.88181818181818</v>
      </c>
      <c r="H175" s="13">
        <f t="shared" si="16"/>
        <v>4478.818181818182</v>
      </c>
      <c r="I175" s="13">
        <f t="shared" si="17"/>
        <v>1071.181818181818</v>
      </c>
      <c r="J175" s="14">
        <f t="shared" si="18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15"/>
        <v>488.4945454545454</v>
      </c>
      <c r="H176" s="13">
        <f t="shared" si="16"/>
        <v>4884.9454545454546</v>
      </c>
      <c r="I176" s="13">
        <f t="shared" si="17"/>
        <v>665.0545454545454</v>
      </c>
      <c r="J176" s="14">
        <f t="shared" si="18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15"/>
        <v>448.03727272727269</v>
      </c>
      <c r="H177" s="13">
        <f t="shared" si="16"/>
        <v>4480.3727272727274</v>
      </c>
      <c r="I177" s="13">
        <f t="shared" si="17"/>
        <v>1069.6272727272726</v>
      </c>
      <c r="J177" s="14">
        <f t="shared" si="18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15"/>
        <v>455.83090909090913</v>
      </c>
      <c r="H178" s="13">
        <f t="shared" si="16"/>
        <v>4558.3090909090915</v>
      </c>
      <c r="I178" s="13">
        <f t="shared" si="17"/>
        <v>991.69090909090846</v>
      </c>
      <c r="J178" s="14">
        <f t="shared" si="18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15"/>
        <v>448.03727272727269</v>
      </c>
      <c r="H179" s="13">
        <f t="shared" si="16"/>
        <v>4480.3727272727274</v>
      </c>
      <c r="I179" s="13">
        <f t="shared" si="17"/>
        <v>1094.6272727272726</v>
      </c>
      <c r="J179" s="14">
        <f t="shared" si="18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15"/>
        <v>448.03727272727269</v>
      </c>
      <c r="H180" s="13">
        <f t="shared" si="16"/>
        <v>4480.3727272727274</v>
      </c>
      <c r="I180" s="13">
        <f t="shared" si="17"/>
        <v>1069.6272727272726</v>
      </c>
      <c r="J180" s="14">
        <f t="shared" si="18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15"/>
        <v>448.03727272727269</v>
      </c>
      <c r="H181" s="13">
        <f t="shared" si="16"/>
        <v>4480.3727272727274</v>
      </c>
      <c r="I181" s="13">
        <f t="shared" si="17"/>
        <v>1069.6272727272726</v>
      </c>
      <c r="J181" s="14">
        <f t="shared" si="18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15"/>
        <v>447.88181818181818</v>
      </c>
      <c r="H182" s="13">
        <f t="shared" si="16"/>
        <v>4478.818181818182</v>
      </c>
      <c r="I182" s="13">
        <f t="shared" si="17"/>
        <v>1071.181818181818</v>
      </c>
      <c r="J182" s="14">
        <f t="shared" si="18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15"/>
        <v>448.03727272727269</v>
      </c>
      <c r="H183" s="13">
        <f t="shared" si="16"/>
        <v>4480.3727272727274</v>
      </c>
      <c r="I183" s="13">
        <f t="shared" si="17"/>
        <v>1069.6272727272726</v>
      </c>
      <c r="J183" s="14">
        <f t="shared" si="18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15"/>
        <v>448.03727272727269</v>
      </c>
      <c r="H184" s="13">
        <f t="shared" si="16"/>
        <v>4480.3727272727274</v>
      </c>
      <c r="I184" s="13">
        <f t="shared" si="17"/>
        <v>1069.6272727272726</v>
      </c>
      <c r="J184" s="14">
        <f t="shared" si="18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15"/>
        <v>448.03727272727269</v>
      </c>
      <c r="H185" s="13">
        <f t="shared" si="16"/>
        <v>4480.3727272727274</v>
      </c>
      <c r="I185" s="13">
        <f t="shared" si="17"/>
        <v>1069.6272727272726</v>
      </c>
      <c r="J185" s="14">
        <f t="shared" si="18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15"/>
        <v>448.03727272727269</v>
      </c>
      <c r="H186" s="13">
        <f t="shared" si="16"/>
        <v>4480.3727272727274</v>
      </c>
      <c r="I186" s="13">
        <f t="shared" si="17"/>
        <v>1069.6272727272726</v>
      </c>
      <c r="J186" s="14">
        <f t="shared" si="18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15"/>
        <v>447.88181818181818</v>
      </c>
      <c r="H187" s="13">
        <f t="shared" si="16"/>
        <v>4478.818181818182</v>
      </c>
      <c r="I187" s="13">
        <f t="shared" si="17"/>
        <v>1221.181818181818</v>
      </c>
      <c r="J187" s="14">
        <f t="shared" si="18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15"/>
        <v>448.03727272727269</v>
      </c>
      <c r="H188" s="13">
        <f t="shared" si="16"/>
        <v>4480.3727272727274</v>
      </c>
      <c r="I188" s="13">
        <f t="shared" si="17"/>
        <v>1069.6272727272726</v>
      </c>
      <c r="J188" s="14">
        <f t="shared" si="18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15"/>
        <v>441.48363636363632</v>
      </c>
      <c r="H189" s="13">
        <f t="shared" si="16"/>
        <v>4414.8363636363638</v>
      </c>
      <c r="I189" s="13">
        <f t="shared" si="17"/>
        <v>1135.1636363636362</v>
      </c>
      <c r="J189" s="14">
        <f t="shared" si="18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15"/>
        <v>441.48363636363632</v>
      </c>
      <c r="H190" s="13">
        <f t="shared" si="16"/>
        <v>4414.8363636363638</v>
      </c>
      <c r="I190" s="13">
        <f t="shared" si="17"/>
        <v>1135.1636363636362</v>
      </c>
      <c r="J190" s="14">
        <f t="shared" si="18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15"/>
        <v>957.05181818181813</v>
      </c>
      <c r="H191" s="13">
        <f t="shared" si="16"/>
        <v>9570.5181818181809</v>
      </c>
      <c r="I191" s="13">
        <f t="shared" si="17"/>
        <v>2029.4818181818191</v>
      </c>
      <c r="J191" s="14">
        <f t="shared" si="18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 t="shared" ref="G192:G207" si="19">F192/11</f>
        <v>285.74363636363637</v>
      </c>
      <c r="H192" s="13">
        <f t="shared" ref="H192:H207" si="20">F192-G192</f>
        <v>2857.4363636363632</v>
      </c>
      <c r="I192" s="13">
        <f t="shared" ref="I192:I207" si="21">E192-H192</f>
        <v>1317.5636363636368</v>
      </c>
      <c r="J192" s="14">
        <f t="shared" ref="J192:J207" si="22"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 t="shared" si="19"/>
        <v>138.86636363636364</v>
      </c>
      <c r="H193" s="13">
        <f t="shared" si="20"/>
        <v>1388.6636363636362</v>
      </c>
      <c r="I193" s="13">
        <f t="shared" si="21"/>
        <v>681.33636363636379</v>
      </c>
      <c r="J193" s="14">
        <f t="shared" si="22"/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 t="shared" si="19"/>
        <v>138.86636363636364</v>
      </c>
      <c r="H194" s="13">
        <f t="shared" si="20"/>
        <v>1388.6636363636362</v>
      </c>
      <c r="I194" s="13">
        <f t="shared" si="21"/>
        <v>681.33636363636379</v>
      </c>
      <c r="J194" s="14">
        <f t="shared" si="22"/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 t="shared" si="19"/>
        <v>283.18181818181819</v>
      </c>
      <c r="H195" s="13">
        <f t="shared" si="20"/>
        <v>2831.818181818182</v>
      </c>
      <c r="I195" s="13">
        <f t="shared" si="21"/>
        <v>1168.181818181818</v>
      </c>
      <c r="J195" s="14">
        <f t="shared" si="22"/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 t="shared" si="19"/>
        <v>283.18181818181819</v>
      </c>
      <c r="H196" s="13">
        <f t="shared" si="20"/>
        <v>2831.818181818182</v>
      </c>
      <c r="I196" s="13">
        <f t="shared" si="21"/>
        <v>1168.181818181818</v>
      </c>
      <c r="J196" s="14">
        <f t="shared" si="22"/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 t="shared" si="19"/>
        <v>283.18181818181819</v>
      </c>
      <c r="H197" s="13">
        <f t="shared" si="20"/>
        <v>2831.818181818182</v>
      </c>
      <c r="I197" s="13">
        <f t="shared" si="21"/>
        <v>1168.181818181818</v>
      </c>
      <c r="J197" s="14">
        <f t="shared" si="22"/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 t="shared" si="19"/>
        <v>283.18181818181819</v>
      </c>
      <c r="H198" s="13">
        <f t="shared" si="20"/>
        <v>2831.818181818182</v>
      </c>
      <c r="I198" s="13">
        <f t="shared" si="21"/>
        <v>1168.181818181818</v>
      </c>
      <c r="J198" s="14">
        <f t="shared" si="22"/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 t="shared" si="19"/>
        <v>283.18181818181819</v>
      </c>
      <c r="H199" s="13">
        <f t="shared" si="20"/>
        <v>2831.818181818182</v>
      </c>
      <c r="I199" s="13">
        <f t="shared" si="21"/>
        <v>1168.181818181818</v>
      </c>
      <c r="J199" s="14">
        <f t="shared" si="22"/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 t="shared" si="19"/>
        <v>283.18181818181819</v>
      </c>
      <c r="H200" s="13">
        <f t="shared" si="20"/>
        <v>2831.818181818182</v>
      </c>
      <c r="I200" s="13">
        <f t="shared" si="21"/>
        <v>1168.181818181818</v>
      </c>
      <c r="J200" s="14">
        <f t="shared" si="22"/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 t="shared" si="19"/>
        <v>283.18181818181819</v>
      </c>
      <c r="H201" s="13">
        <f t="shared" si="20"/>
        <v>2831.818181818182</v>
      </c>
      <c r="I201" s="13">
        <f t="shared" si="21"/>
        <v>1168.181818181818</v>
      </c>
      <c r="J201" s="14">
        <f t="shared" si="22"/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 t="shared" si="19"/>
        <v>283.18181818181819</v>
      </c>
      <c r="H202" s="13">
        <f t="shared" si="20"/>
        <v>2831.818181818182</v>
      </c>
      <c r="I202" s="13">
        <f t="shared" si="21"/>
        <v>1168.181818181818</v>
      </c>
      <c r="J202" s="14">
        <f t="shared" si="22"/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 t="shared" si="19"/>
        <v>283.18181818181819</v>
      </c>
      <c r="H203" s="13">
        <f t="shared" si="20"/>
        <v>2831.818181818182</v>
      </c>
      <c r="I203" s="13">
        <f t="shared" si="21"/>
        <v>1168.181818181818</v>
      </c>
      <c r="J203" s="14">
        <f t="shared" si="22"/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 t="shared" si="19"/>
        <v>283.18181818181819</v>
      </c>
      <c r="H204" s="13">
        <f t="shared" si="20"/>
        <v>2831.818181818182</v>
      </c>
      <c r="I204" s="13">
        <f t="shared" si="21"/>
        <v>1168.181818181818</v>
      </c>
      <c r="J204" s="14">
        <f t="shared" si="22"/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 t="shared" si="19"/>
        <v>283.18181818181819</v>
      </c>
      <c r="H205" s="13">
        <f t="shared" si="20"/>
        <v>2831.818181818182</v>
      </c>
      <c r="I205" s="13">
        <f t="shared" si="21"/>
        <v>1168.181818181818</v>
      </c>
      <c r="J205" s="14">
        <f t="shared" si="22"/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 t="shared" si="19"/>
        <v>283.18181818181819</v>
      </c>
      <c r="H206" s="13">
        <f t="shared" si="20"/>
        <v>2831.818181818182</v>
      </c>
      <c r="I206" s="13">
        <f t="shared" si="21"/>
        <v>1168.181818181818</v>
      </c>
      <c r="J206" s="14">
        <f t="shared" si="22"/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 t="shared" si="19"/>
        <v>283.18181818181819</v>
      </c>
      <c r="H207" s="13">
        <f t="shared" si="20"/>
        <v>2831.818181818182</v>
      </c>
      <c r="I207" s="13">
        <f t="shared" si="21"/>
        <v>1168.181818181818</v>
      </c>
      <c r="J207" s="14">
        <f t="shared" si="22"/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1" t="s">
        <v>583</v>
      </c>
      <c r="C213" s="21">
        <v>10691.07</v>
      </c>
    </row>
    <row r="214" spans="2:12" x14ac:dyDescent="0.25">
      <c r="B214" s="42" t="s">
        <v>584</v>
      </c>
      <c r="C214" s="21">
        <v>15682.45</v>
      </c>
    </row>
    <row r="215" spans="2:12" x14ac:dyDescent="0.25">
      <c r="B215" s="42" t="s">
        <v>585</v>
      </c>
      <c r="C215" s="21">
        <v>11863.87</v>
      </c>
    </row>
    <row r="216" spans="2:12" x14ac:dyDescent="0.25">
      <c r="B216" s="42" t="s">
        <v>590</v>
      </c>
      <c r="C216" s="21">
        <v>3273.66</v>
      </c>
    </row>
    <row r="217" spans="2:12" x14ac:dyDescent="0.25">
      <c r="B217" s="42" t="s">
        <v>586</v>
      </c>
      <c r="C217" s="21">
        <v>15154.99</v>
      </c>
    </row>
    <row r="218" spans="2:12" s="45" customFormat="1" x14ac:dyDescent="0.25">
      <c r="B218" s="47" t="s">
        <v>597</v>
      </c>
      <c r="C218" s="48">
        <v>2559</v>
      </c>
      <c r="G218" s="3"/>
      <c r="J218" s="4"/>
    </row>
    <row r="219" spans="2:12" x14ac:dyDescent="0.25">
      <c r="B219" s="50" t="s">
        <v>594</v>
      </c>
      <c r="C219" s="21">
        <v>7045.14</v>
      </c>
    </row>
    <row r="220" spans="2:12" x14ac:dyDescent="0.25">
      <c r="B220" s="42" t="s">
        <v>576</v>
      </c>
      <c r="C220" s="21">
        <v>10140</v>
      </c>
    </row>
    <row r="221" spans="2:12" x14ac:dyDescent="0.25">
      <c r="B221" s="42" t="s">
        <v>587</v>
      </c>
      <c r="C221" s="32">
        <v>12303.19</v>
      </c>
    </row>
    <row r="222" spans="2:12" x14ac:dyDescent="0.25">
      <c r="B222" s="42" t="s">
        <v>577</v>
      </c>
      <c r="C222" s="21">
        <v>6337.5</v>
      </c>
    </row>
    <row r="223" spans="2:12" x14ac:dyDescent="0.25">
      <c r="B223" s="42" t="s">
        <v>578</v>
      </c>
      <c r="C223" s="21">
        <v>3727.36</v>
      </c>
    </row>
    <row r="224" spans="2:12" x14ac:dyDescent="0.25">
      <c r="B224" s="42" t="s">
        <v>579</v>
      </c>
      <c r="C224" s="21">
        <v>3727.37</v>
      </c>
    </row>
    <row r="225" spans="2:3" x14ac:dyDescent="0.25">
      <c r="B225" s="42" t="s">
        <v>580</v>
      </c>
      <c r="C225" s="21">
        <v>1013.5</v>
      </c>
    </row>
    <row r="226" spans="2:3" x14ac:dyDescent="0.25">
      <c r="B226" s="42" t="s">
        <v>581</v>
      </c>
      <c r="C226" s="21">
        <v>320</v>
      </c>
    </row>
    <row r="227" spans="2:3" x14ac:dyDescent="0.25">
      <c r="B227" s="42" t="s">
        <v>582</v>
      </c>
      <c r="C227" s="21">
        <v>256</v>
      </c>
    </row>
    <row r="228" spans="2:3" x14ac:dyDescent="0.25">
      <c r="B228" s="10" t="s">
        <v>593</v>
      </c>
      <c r="C228" s="21">
        <v>4984.16</v>
      </c>
    </row>
    <row r="229" spans="2:3" x14ac:dyDescent="0.25">
      <c r="B229" s="10"/>
      <c r="C229" s="21"/>
    </row>
    <row r="230" spans="2:3" x14ac:dyDescent="0.25">
      <c r="B230" s="5" t="s">
        <v>588</v>
      </c>
      <c r="C230" s="5">
        <f>SUM(C213:C229)</f>
        <v>109079.26000000001</v>
      </c>
    </row>
    <row r="231" spans="2:3" x14ac:dyDescent="0.25">
      <c r="B231" s="10"/>
      <c r="C231" s="21"/>
    </row>
    <row r="232" spans="2:3" ht="21" x14ac:dyDescent="0.25">
      <c r="B232" s="43" t="s">
        <v>589</v>
      </c>
      <c r="C232" s="44">
        <f>I209-C230</f>
        <v>37310.875454545545</v>
      </c>
    </row>
    <row r="238" spans="2:3" x14ac:dyDescent="0.25">
      <c r="C238" s="55"/>
    </row>
    <row r="239" spans="2:3" x14ac:dyDescent="0.25">
      <c r="C239" s="55"/>
    </row>
    <row r="240" spans="2:3" x14ac:dyDescent="0.25">
      <c r="C240" s="55"/>
    </row>
    <row r="241" spans="5:6" x14ac:dyDescent="0.25">
      <c r="E241" s="47" t="s">
        <v>589</v>
      </c>
      <c r="F241" s="56">
        <v>37310.875454545545</v>
      </c>
    </row>
    <row r="242" spans="5:6" x14ac:dyDescent="0.25">
      <c r="E242" s="47" t="s">
        <v>607</v>
      </c>
      <c r="F242" s="56">
        <v>107473.27015200008</v>
      </c>
    </row>
    <row r="243" spans="5:6" x14ac:dyDescent="0.25">
      <c r="E243" s="47" t="s">
        <v>604</v>
      </c>
      <c r="F243" s="56">
        <v>2746.2499999999563</v>
      </c>
    </row>
    <row r="244" spans="5:6" x14ac:dyDescent="0.25">
      <c r="E244" s="47" t="s">
        <v>605</v>
      </c>
      <c r="F244" s="56">
        <v>26030.559999999925</v>
      </c>
    </row>
    <row r="245" spans="5:6" x14ac:dyDescent="0.25">
      <c r="E245" s="47" t="s">
        <v>606</v>
      </c>
      <c r="F245" s="56">
        <v>2904.3890909090915</v>
      </c>
    </row>
    <row r="246" spans="5:6" x14ac:dyDescent="0.25">
      <c r="E246" s="47"/>
      <c r="F246" s="48"/>
    </row>
    <row r="247" spans="5:6" x14ac:dyDescent="0.25">
      <c r="E247" s="7" t="s">
        <v>608</v>
      </c>
      <c r="F247" s="57">
        <f>SUM(F241:F246)</f>
        <v>176465.3446974546</v>
      </c>
    </row>
  </sheetData>
  <conditionalFormatting sqref="C2:C207">
    <cfRule type="duplicateValues" dxfId="49" priority="43"/>
  </conditionalFormatting>
  <conditionalFormatting sqref="C220:C224">
    <cfRule type="duplicateValues" dxfId="48" priority="1"/>
  </conditionalFormatting>
  <conditionalFormatting sqref="C221">
    <cfRule type="duplicateValues" dxfId="47" priority="3"/>
    <cfRule type="duplicateValues" dxfId="46" priority="4"/>
  </conditionalFormatting>
  <conditionalFormatting sqref="C231 C1:C229 C233:C240 C248:C1048576 F241:F247">
    <cfRule type="duplicateValues" dxfId="4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103"/>
  <sheetViews>
    <sheetView topLeftCell="A81" workbookViewId="0">
      <selection activeCell="B103" sqref="B103:C103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2" t="s">
        <v>590</v>
      </c>
      <c r="C94" s="48">
        <v>3273.66</v>
      </c>
    </row>
    <row r="95" spans="1:11" x14ac:dyDescent="0.25">
      <c r="B95" s="42" t="s">
        <v>591</v>
      </c>
      <c r="C95" s="48">
        <v>5662.62</v>
      </c>
    </row>
    <row r="96" spans="1:11" x14ac:dyDescent="0.25">
      <c r="B96" s="42" t="s">
        <v>592</v>
      </c>
      <c r="C96" s="48">
        <v>5613.5</v>
      </c>
    </row>
    <row r="97" spans="2:3" x14ac:dyDescent="0.25">
      <c r="B97" s="47" t="s">
        <v>593</v>
      </c>
      <c r="C97" s="48">
        <v>4984.16</v>
      </c>
    </row>
    <row r="98" spans="2:3" x14ac:dyDescent="0.25">
      <c r="B98" s="50" t="s">
        <v>594</v>
      </c>
      <c r="C98" s="48">
        <v>7045.14</v>
      </c>
    </row>
    <row r="99" spans="2:3" x14ac:dyDescent="0.25">
      <c r="B99" s="47" t="s">
        <v>597</v>
      </c>
      <c r="C99" s="48">
        <v>2559</v>
      </c>
    </row>
    <row r="100" spans="2:3" x14ac:dyDescent="0.25">
      <c r="B100" s="47"/>
      <c r="C100" s="48"/>
    </row>
    <row r="101" spans="2:3" x14ac:dyDescent="0.25">
      <c r="B101" s="5" t="s">
        <v>588</v>
      </c>
      <c r="C101" s="5">
        <f>SUM(C94:C100)</f>
        <v>29138.079999999998</v>
      </c>
    </row>
    <row r="102" spans="2:3" x14ac:dyDescent="0.25">
      <c r="B102" s="47"/>
      <c r="C102" s="48"/>
    </row>
    <row r="103" spans="2:3" ht="21" x14ac:dyDescent="0.25">
      <c r="B103" s="43" t="s">
        <v>607</v>
      </c>
      <c r="C103" s="44">
        <f>I87-C101</f>
        <v>107473.27015200008</v>
      </c>
    </row>
  </sheetData>
  <conditionalFormatting sqref="C2:C85">
    <cfRule type="duplicateValues" dxfId="4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57" workbookViewId="0">
      <selection activeCell="B74" sqref="B74:C74"/>
    </sheetView>
  </sheetViews>
  <sheetFormatPr defaultRowHeight="15" x14ac:dyDescent="0.25"/>
  <cols>
    <col min="1" max="1" width="12.42578125" style="22" customWidth="1"/>
    <col min="2" max="2" width="48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51" t="s">
        <v>590</v>
      </c>
      <c r="C61" s="54">
        <v>1636.83</v>
      </c>
    </row>
    <row r="62" spans="1:10" x14ac:dyDescent="0.25">
      <c r="B62" s="52" t="s">
        <v>593</v>
      </c>
      <c r="C62" s="54">
        <v>2492.08</v>
      </c>
    </row>
    <row r="63" spans="1:10" x14ac:dyDescent="0.25">
      <c r="B63" s="53" t="s">
        <v>594</v>
      </c>
      <c r="C63" s="48">
        <v>3522.57</v>
      </c>
    </row>
    <row r="64" spans="1:10" x14ac:dyDescent="0.25">
      <c r="B64" s="42" t="s">
        <v>601</v>
      </c>
      <c r="C64" s="46">
        <v>3367.68</v>
      </c>
    </row>
    <row r="65" spans="2:3" x14ac:dyDescent="0.25">
      <c r="B65" s="42" t="s">
        <v>602</v>
      </c>
      <c r="C65" s="46">
        <v>4542.62</v>
      </c>
    </row>
    <row r="66" spans="2:3" x14ac:dyDescent="0.25">
      <c r="B66" s="42" t="s">
        <v>603</v>
      </c>
      <c r="C66" s="46">
        <v>164.76</v>
      </c>
    </row>
    <row r="67" spans="2:3" x14ac:dyDescent="0.25">
      <c r="B67" s="52" t="s">
        <v>597</v>
      </c>
      <c r="C67" s="54">
        <v>1279.5</v>
      </c>
    </row>
    <row r="68" spans="2:3" x14ac:dyDescent="0.25">
      <c r="B68" s="51" t="s">
        <v>598</v>
      </c>
      <c r="C68" s="54">
        <v>5511</v>
      </c>
    </row>
    <row r="69" spans="2:3" x14ac:dyDescent="0.25">
      <c r="B69" s="51" t="s">
        <v>600</v>
      </c>
      <c r="C69" s="54">
        <v>66.62</v>
      </c>
    </row>
    <row r="70" spans="2:3" x14ac:dyDescent="0.25">
      <c r="B70" s="51" t="s">
        <v>599</v>
      </c>
      <c r="C70" s="54">
        <v>39.159999999999997</v>
      </c>
    </row>
    <row r="71" spans="2:3" x14ac:dyDescent="0.25">
      <c r="B71" s="47"/>
      <c r="C71" s="49"/>
    </row>
    <row r="72" spans="2:3" x14ac:dyDescent="0.25">
      <c r="B72" s="5" t="s">
        <v>588</v>
      </c>
      <c r="C72" s="5">
        <f>SUM(C61:C71)</f>
        <v>22622.82</v>
      </c>
    </row>
    <row r="73" spans="2:3" x14ac:dyDescent="0.25">
      <c r="B73" s="47"/>
      <c r="C73" s="49"/>
    </row>
    <row r="74" spans="2:3" ht="21" x14ac:dyDescent="0.25">
      <c r="B74" s="43" t="s">
        <v>604</v>
      </c>
      <c r="C74" s="43">
        <f>G55-C72</f>
        <v>2746.2499999999563</v>
      </c>
    </row>
    <row r="75" spans="2:3" x14ac:dyDescent="0.25">
      <c r="C75" s="33"/>
    </row>
    <row r="76" spans="2:3" x14ac:dyDescent="0.25">
      <c r="C76" s="33"/>
    </row>
    <row r="77" spans="2:3" x14ac:dyDescent="0.25">
      <c r="C77" s="33"/>
    </row>
    <row r="78" spans="2:3" x14ac:dyDescent="0.25">
      <c r="C78" s="33"/>
    </row>
    <row r="79" spans="2:3" x14ac:dyDescent="0.25">
      <c r="C79" s="34"/>
    </row>
    <row r="80" spans="2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1:C71 C73 C75:C1048576">
    <cfRule type="duplicateValues" dxfId="43" priority="1"/>
  </conditionalFormatting>
  <conditionalFormatting sqref="C2:C53">
    <cfRule type="duplicateValues" dxfId="42" priority="3"/>
  </conditionalFormatting>
  <conditionalFormatting sqref="C60:C71 C73 C75:C113">
    <cfRule type="duplicateValues" dxfId="4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65" zoomScale="90" zoomScaleNormal="90" workbookViewId="0">
      <selection activeCell="B284" sqref="B284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 t="shared" ref="G2:G33" si="0">E2-F2</f>
        <v>90</v>
      </c>
      <c r="H2" s="14">
        <f t="shared" ref="H2:H33" si="1"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 t="shared" si="0"/>
        <v>470</v>
      </c>
      <c r="H3" s="14">
        <f t="shared" si="1"/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 t="shared" si="0"/>
        <v>130</v>
      </c>
      <c r="H4" s="14">
        <f t="shared" si="1"/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 t="shared" si="0"/>
        <v>130</v>
      </c>
      <c r="H5" s="14">
        <f t="shared" si="1"/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 t="shared" si="0"/>
        <v>130</v>
      </c>
      <c r="H6" s="14">
        <f t="shared" si="1"/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 t="shared" si="0"/>
        <v>20</v>
      </c>
      <c r="H7" s="14">
        <f t="shared" si="1"/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 t="shared" si="0"/>
        <v>20</v>
      </c>
      <c r="H8" s="14">
        <f t="shared" si="1"/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 t="shared" si="0"/>
        <v>20</v>
      </c>
      <c r="H9" s="14">
        <f t="shared" si="1"/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 t="shared" si="0"/>
        <v>20</v>
      </c>
      <c r="H10" s="14">
        <f t="shared" si="1"/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 t="shared" si="0"/>
        <v>20</v>
      </c>
      <c r="H11" s="14">
        <f t="shared" si="1"/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 t="shared" si="0"/>
        <v>100</v>
      </c>
      <c r="H12" s="14">
        <f t="shared" si="1"/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 t="shared" si="0"/>
        <v>45</v>
      </c>
      <c r="H13" s="14">
        <f t="shared" si="1"/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 t="shared" si="0"/>
        <v>45</v>
      </c>
      <c r="H14" s="14">
        <f t="shared" si="1"/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 t="shared" si="0"/>
        <v>80</v>
      </c>
      <c r="H15" s="14">
        <f t="shared" si="1"/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 t="shared" si="0"/>
        <v>2830</v>
      </c>
      <c r="H16" s="14">
        <f t="shared" si="1"/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 t="shared" si="0"/>
        <v>60</v>
      </c>
      <c r="H17" s="14">
        <f t="shared" si="1"/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 t="shared" si="0"/>
        <v>60</v>
      </c>
      <c r="H18" s="14">
        <f t="shared" si="1"/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 t="shared" si="0"/>
        <v>200</v>
      </c>
      <c r="H19" s="14">
        <f t="shared" si="1"/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 t="shared" si="0"/>
        <v>45</v>
      </c>
      <c r="H20" s="14">
        <f t="shared" si="1"/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 t="shared" si="0"/>
        <v>-50</v>
      </c>
      <c r="H21" s="19">
        <f t="shared" si="1"/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 t="shared" si="0"/>
        <v>-50</v>
      </c>
      <c r="H22" s="19">
        <f t="shared" si="1"/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 t="shared" si="0"/>
        <v>-50</v>
      </c>
      <c r="H23" s="19">
        <f t="shared" si="1"/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 t="shared" si="0"/>
        <v>-50</v>
      </c>
      <c r="H24" s="19">
        <f t="shared" si="1"/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 t="shared" si="0"/>
        <v>-50</v>
      </c>
      <c r="H25" s="19">
        <f t="shared" si="1"/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 t="shared" si="0"/>
        <v>-50</v>
      </c>
      <c r="H26" s="19">
        <f t="shared" si="1"/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 t="shared" si="0"/>
        <v>-50</v>
      </c>
      <c r="H27" s="19">
        <f t="shared" si="1"/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 t="shared" si="0"/>
        <v>-50</v>
      </c>
      <c r="H28" s="19">
        <f t="shared" si="1"/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 t="shared" si="0"/>
        <v>-50</v>
      </c>
      <c r="H29" s="19">
        <f t="shared" si="1"/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 t="shared" si="0"/>
        <v>-100</v>
      </c>
      <c r="H30" s="19">
        <f t="shared" si="1"/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 t="shared" si="0"/>
        <v>100</v>
      </c>
      <c r="H31" s="14">
        <f t="shared" si="1"/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 t="shared" si="0"/>
        <v>95.949999999999818</v>
      </c>
      <c r="H32" s="14">
        <f t="shared" si="1"/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 t="shared" si="0"/>
        <v>95.949999999999818</v>
      </c>
      <c r="H33" s="14">
        <f t="shared" si="1"/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 t="shared" ref="G34:G65" si="2">E34-F34</f>
        <v>95.949999999999818</v>
      </c>
      <c r="H34" s="14">
        <f t="shared" ref="H34:H65" si="3"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 t="shared" si="2"/>
        <v>95.949999999999818</v>
      </c>
      <c r="H35" s="14">
        <f t="shared" si="3"/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 t="shared" si="2"/>
        <v>95.949999999999818</v>
      </c>
      <c r="H36" s="14">
        <f t="shared" si="3"/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 t="shared" si="2"/>
        <v>95.949999999999818</v>
      </c>
      <c r="H37" s="14">
        <f t="shared" si="3"/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 t="shared" si="2"/>
        <v>95.949999999999818</v>
      </c>
      <c r="H38" s="14">
        <f t="shared" si="3"/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 t="shared" si="2"/>
        <v>95.949999999999818</v>
      </c>
      <c r="H39" s="14">
        <f t="shared" si="3"/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 t="shared" si="2"/>
        <v>95.949999999999818</v>
      </c>
      <c r="H40" s="14">
        <f t="shared" si="3"/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 t="shared" si="2"/>
        <v>95.949999999999818</v>
      </c>
      <c r="H41" s="14">
        <f t="shared" si="3"/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 t="shared" si="2"/>
        <v>95.949999999999818</v>
      </c>
      <c r="H42" s="14">
        <f t="shared" si="3"/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 t="shared" si="2"/>
        <v>35.799999999999955</v>
      </c>
      <c r="H43" s="14">
        <f t="shared" si="3"/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 t="shared" si="2"/>
        <v>35.799999999999955</v>
      </c>
      <c r="H44" s="14">
        <f t="shared" si="3"/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 t="shared" si="2"/>
        <v>35.799999999999955</v>
      </c>
      <c r="H45" s="14">
        <f t="shared" si="3"/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 t="shared" si="2"/>
        <v>35.799999999999955</v>
      </c>
      <c r="H46" s="14">
        <f t="shared" si="3"/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 t="shared" si="2"/>
        <v>35.799999999999955</v>
      </c>
      <c r="H47" s="14">
        <f t="shared" si="3"/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 t="shared" si="2"/>
        <v>35.799999999999955</v>
      </c>
      <c r="H48" s="14">
        <f t="shared" si="3"/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 t="shared" si="2"/>
        <v>264</v>
      </c>
      <c r="H49" s="14">
        <f t="shared" si="3"/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 t="shared" si="2"/>
        <v>40.75</v>
      </c>
      <c r="H50" s="14">
        <f t="shared" si="3"/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 t="shared" si="2"/>
        <v>40.75</v>
      </c>
      <c r="H51" s="14">
        <f t="shared" si="3"/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 t="shared" si="2"/>
        <v>40.75</v>
      </c>
      <c r="H52" s="14">
        <f t="shared" si="3"/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 t="shared" si="2"/>
        <v>122.90000000000009</v>
      </c>
      <c r="H53" s="14">
        <f t="shared" si="3"/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 t="shared" si="2"/>
        <v>122.90000000000009</v>
      </c>
      <c r="H54" s="14">
        <f t="shared" si="3"/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 t="shared" si="2"/>
        <v>140.75</v>
      </c>
      <c r="H55" s="14">
        <f t="shared" si="3"/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 t="shared" si="2"/>
        <v>122.90000000000009</v>
      </c>
      <c r="H56" s="14">
        <f t="shared" si="3"/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 t="shared" si="2"/>
        <v>140.75</v>
      </c>
      <c r="H57" s="14">
        <f t="shared" si="3"/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 t="shared" si="2"/>
        <v>140.75</v>
      </c>
      <c r="H58" s="14">
        <f t="shared" si="3"/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 t="shared" si="2"/>
        <v>122.90000000000009</v>
      </c>
      <c r="H59" s="14">
        <f t="shared" si="3"/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 t="shared" si="2"/>
        <v>140.75</v>
      </c>
      <c r="H60" s="14">
        <f t="shared" si="3"/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 t="shared" si="2"/>
        <v>70.5</v>
      </c>
      <c r="H61" s="14">
        <f t="shared" si="3"/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 t="shared" si="2"/>
        <v>70.5</v>
      </c>
      <c r="H62" s="14">
        <f t="shared" si="3"/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 t="shared" si="2"/>
        <v>70.5</v>
      </c>
      <c r="H63" s="14">
        <f t="shared" si="3"/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 t="shared" si="2"/>
        <v>70.5</v>
      </c>
      <c r="H64" s="14">
        <f t="shared" si="3"/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 t="shared" si="2"/>
        <v>70.5</v>
      </c>
      <c r="H65" s="14">
        <f t="shared" si="3"/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 t="shared" ref="G66:G97" si="4">E66-F66</f>
        <v>141.90000000000009</v>
      </c>
      <c r="H66" s="14">
        <f t="shared" ref="H66:H97" si="5"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 t="shared" si="4"/>
        <v>70.5</v>
      </c>
      <c r="H67" s="14">
        <f t="shared" si="5"/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 t="shared" si="4"/>
        <v>70.5</v>
      </c>
      <c r="H68" s="14">
        <f t="shared" si="5"/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 t="shared" si="4"/>
        <v>141.90000000000009</v>
      </c>
      <c r="H69" s="14">
        <f t="shared" si="5"/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 t="shared" si="4"/>
        <v>70.5</v>
      </c>
      <c r="H70" s="14">
        <f t="shared" si="5"/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 t="shared" si="4"/>
        <v>70.5</v>
      </c>
      <c r="H71" s="14">
        <f t="shared" si="5"/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 t="shared" si="4"/>
        <v>70.5</v>
      </c>
      <c r="H72" s="14">
        <f t="shared" si="5"/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 t="shared" si="4"/>
        <v>70.5</v>
      </c>
      <c r="H73" s="14">
        <f t="shared" si="5"/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 t="shared" si="4"/>
        <v>141.90000000000009</v>
      </c>
      <c r="H74" s="14">
        <f t="shared" si="5"/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 t="shared" si="4"/>
        <v>141.90000000000009</v>
      </c>
      <c r="H75" s="14">
        <f t="shared" si="5"/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 t="shared" si="4"/>
        <v>141.90000000000009</v>
      </c>
      <c r="H76" s="14">
        <f t="shared" si="5"/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 t="shared" si="4"/>
        <v>70.5</v>
      </c>
      <c r="H77" s="14">
        <f t="shared" si="5"/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 t="shared" si="4"/>
        <v>70.5</v>
      </c>
      <c r="H78" s="14">
        <f t="shared" si="5"/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 t="shared" si="4"/>
        <v>70.5</v>
      </c>
      <c r="H79" s="14">
        <f t="shared" si="5"/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 t="shared" si="4"/>
        <v>70.5</v>
      </c>
      <c r="H80" s="14">
        <f t="shared" si="5"/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 t="shared" si="4"/>
        <v>70.5</v>
      </c>
      <c r="H81" s="14">
        <f t="shared" si="5"/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 t="shared" si="4"/>
        <v>70.5</v>
      </c>
      <c r="H82" s="14">
        <f t="shared" si="5"/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 t="shared" si="4"/>
        <v>270.5</v>
      </c>
      <c r="H83" s="14">
        <f t="shared" si="5"/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 t="shared" si="4"/>
        <v>341.90000000000009</v>
      </c>
      <c r="H84" s="14">
        <f t="shared" si="5"/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 t="shared" si="4"/>
        <v>70.5</v>
      </c>
      <c r="H85" s="14">
        <f t="shared" si="5"/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 t="shared" si="4"/>
        <v>70.5</v>
      </c>
      <c r="H86" s="14">
        <f t="shared" si="5"/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 t="shared" si="4"/>
        <v>40.799999999999955</v>
      </c>
      <c r="H87" s="14">
        <f t="shared" si="5"/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 t="shared" si="4"/>
        <v>40.799999999999955</v>
      </c>
      <c r="H88" s="14">
        <f t="shared" si="5"/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 t="shared" si="4"/>
        <v>40.799999999999955</v>
      </c>
      <c r="H89" s="14">
        <f t="shared" si="5"/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 t="shared" si="4"/>
        <v>85.450000000000045</v>
      </c>
      <c r="H90" s="14">
        <f t="shared" si="5"/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 t="shared" si="4"/>
        <v>85.450000000000045</v>
      </c>
      <c r="H91" s="14">
        <f t="shared" si="5"/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 t="shared" si="4"/>
        <v>18.050000000000011</v>
      </c>
      <c r="H92" s="14">
        <f t="shared" si="5"/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 t="shared" si="4"/>
        <v>68.050000000000011</v>
      </c>
      <c r="H93" s="14">
        <f t="shared" si="5"/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 t="shared" si="4"/>
        <v>100.5</v>
      </c>
      <c r="H94" s="14">
        <f t="shared" si="5"/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 t="shared" si="4"/>
        <v>100.5</v>
      </c>
      <c r="H95" s="14">
        <f t="shared" si="5"/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 t="shared" si="4"/>
        <v>268.8</v>
      </c>
      <c r="H96" s="14">
        <f t="shared" si="5"/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 t="shared" si="4"/>
        <v>268.8</v>
      </c>
      <c r="H97" s="14">
        <f t="shared" si="5"/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 t="shared" ref="G98:G129" si="6">E98-F98</f>
        <v>206.8</v>
      </c>
      <c r="H98" s="14">
        <f t="shared" ref="H98:H129" si="7"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 t="shared" si="6"/>
        <v>385.2800000000002</v>
      </c>
      <c r="H99" s="14">
        <f t="shared" si="7"/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 t="shared" si="6"/>
        <v>465.30000000000018</v>
      </c>
      <c r="H100" s="14">
        <f t="shared" si="7"/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 t="shared" si="6"/>
        <v>465.2800000000002</v>
      </c>
      <c r="H101" s="14">
        <f t="shared" si="7"/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 t="shared" si="6"/>
        <v>385.30000000000018</v>
      </c>
      <c r="H102" s="14">
        <f t="shared" si="7"/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 t="shared" si="6"/>
        <v>465.2800000000002</v>
      </c>
      <c r="H103" s="14">
        <f t="shared" si="7"/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 t="shared" si="6"/>
        <v>465.30000000000018</v>
      </c>
      <c r="H104" s="14">
        <f t="shared" si="7"/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 t="shared" si="6"/>
        <v>385.2800000000002</v>
      </c>
      <c r="H105" s="14">
        <f t="shared" si="7"/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 t="shared" si="6"/>
        <v>563.65000000000009</v>
      </c>
      <c r="H106" s="14">
        <f t="shared" si="7"/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 t="shared" si="6"/>
        <v>563.65000000000009</v>
      </c>
      <c r="H107" s="14">
        <f t="shared" si="7"/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 t="shared" si="6"/>
        <v>636.20000000000005</v>
      </c>
      <c r="H108" s="14">
        <f t="shared" si="7"/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 t="shared" si="6"/>
        <v>486.20000000000005</v>
      </c>
      <c r="H109" s="14">
        <f t="shared" si="7"/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 t="shared" si="6"/>
        <v>666.2</v>
      </c>
      <c r="H110" s="14">
        <f t="shared" si="7"/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 t="shared" si="6"/>
        <v>666.2</v>
      </c>
      <c r="H111" s="14">
        <f t="shared" si="7"/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 t="shared" si="6"/>
        <v>629.40000000000009</v>
      </c>
      <c r="H112" s="14">
        <f t="shared" si="7"/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 t="shared" si="6"/>
        <v>348.24</v>
      </c>
      <c r="H113" s="14">
        <f t="shared" si="7"/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 t="shared" si="6"/>
        <v>348.24</v>
      </c>
      <c r="H114" s="14">
        <f t="shared" si="7"/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 t="shared" si="6"/>
        <v>-5.6599999999999966</v>
      </c>
      <c r="H115" s="19">
        <f t="shared" si="7"/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 t="shared" si="6"/>
        <v>-5.6599999999999966</v>
      </c>
      <c r="H116" s="19">
        <f t="shared" si="7"/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 t="shared" si="6"/>
        <v>164.70000000000005</v>
      </c>
      <c r="H117" s="14">
        <f t="shared" si="7"/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 t="shared" si="6"/>
        <v>214.70000000000005</v>
      </c>
      <c r="H118" s="14">
        <f t="shared" si="7"/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 t="shared" si="6"/>
        <v>314.70000000000005</v>
      </c>
      <c r="H119" s="14">
        <f t="shared" si="7"/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 t="shared" si="6"/>
        <v>304.25</v>
      </c>
      <c r="H120" s="14">
        <f t="shared" si="7"/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 t="shared" si="6"/>
        <v>204.25</v>
      </c>
      <c r="H121" s="14">
        <f t="shared" si="7"/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 t="shared" si="6"/>
        <v>204.25</v>
      </c>
      <c r="H122" s="14">
        <f t="shared" si="7"/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 t="shared" si="6"/>
        <v>251.59999999999991</v>
      </c>
      <c r="H123" s="14">
        <f t="shared" si="7"/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 t="shared" si="6"/>
        <v>221.59999999999991</v>
      </c>
      <c r="H124" s="14">
        <f t="shared" si="7"/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 t="shared" si="6"/>
        <v>152.09999999999991</v>
      </c>
      <c r="H125" s="14">
        <f t="shared" si="7"/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 t="shared" si="6"/>
        <v>152.09999999999991</v>
      </c>
      <c r="H126" s="14">
        <f t="shared" si="7"/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 t="shared" si="6"/>
        <v>152.09999999999991</v>
      </c>
      <c r="H127" s="14">
        <f t="shared" si="7"/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 t="shared" si="6"/>
        <v>152.09999999999991</v>
      </c>
      <c r="H128" s="14">
        <f t="shared" si="7"/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 t="shared" si="6"/>
        <v>152.09999999999991</v>
      </c>
      <c r="H129" s="14">
        <f t="shared" si="7"/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 t="shared" ref="G130:G161" si="8">E130-F130</f>
        <v>152.09999999999991</v>
      </c>
      <c r="H130" s="14">
        <f t="shared" ref="H130:H159" si="9"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 t="shared" si="8"/>
        <v>152.09999999999991</v>
      </c>
      <c r="H131" s="14">
        <f t="shared" si="9"/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 t="shared" si="8"/>
        <v>152.09999999999991</v>
      </c>
      <c r="H132" s="14">
        <f t="shared" si="9"/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 t="shared" si="8"/>
        <v>152.09999999999991</v>
      </c>
      <c r="H133" s="14">
        <f t="shared" si="9"/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 t="shared" si="8"/>
        <v>152.09999999999991</v>
      </c>
      <c r="H134" s="14">
        <f t="shared" si="9"/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 t="shared" si="8"/>
        <v>152.09999999999991</v>
      </c>
      <c r="H135" s="14">
        <f t="shared" si="9"/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 t="shared" si="8"/>
        <v>152.09999999999991</v>
      </c>
      <c r="H136" s="14">
        <f t="shared" si="9"/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 t="shared" si="8"/>
        <v>152.09999999999991</v>
      </c>
      <c r="H137" s="14">
        <f t="shared" si="9"/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 t="shared" si="8"/>
        <v>152.09999999999991</v>
      </c>
      <c r="H138" s="14">
        <f t="shared" si="9"/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 t="shared" si="8"/>
        <v>152.09999999999991</v>
      </c>
      <c r="H139" s="14">
        <f t="shared" si="9"/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 t="shared" si="8"/>
        <v>152.09999999999991</v>
      </c>
      <c r="H140" s="14">
        <f t="shared" si="9"/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 t="shared" si="8"/>
        <v>152.09999999999991</v>
      </c>
      <c r="H141" s="14">
        <f t="shared" si="9"/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 t="shared" si="8"/>
        <v>152.09999999999991</v>
      </c>
      <c r="H142" s="14">
        <f t="shared" si="9"/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 t="shared" si="8"/>
        <v>152.09999999999991</v>
      </c>
      <c r="H143" s="14">
        <f t="shared" si="9"/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 t="shared" si="8"/>
        <v>152.09999999999991</v>
      </c>
      <c r="H144" s="14">
        <f t="shared" si="9"/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 t="shared" si="8"/>
        <v>152.09999999999991</v>
      </c>
      <c r="H145" s="14">
        <f t="shared" si="9"/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 t="shared" si="8"/>
        <v>152.09999999999991</v>
      </c>
      <c r="H146" s="14">
        <f t="shared" si="9"/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 t="shared" si="8"/>
        <v>152.09999999999991</v>
      </c>
      <c r="H147" s="14">
        <f t="shared" si="9"/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 t="shared" si="8"/>
        <v>152.09999999999991</v>
      </c>
      <c r="H148" s="14">
        <f t="shared" si="9"/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 t="shared" si="8"/>
        <v>152.09999999999991</v>
      </c>
      <c r="H149" s="14">
        <f t="shared" si="9"/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 t="shared" si="8"/>
        <v>152.09999999999991</v>
      </c>
      <c r="H150" s="14">
        <f t="shared" si="9"/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 t="shared" si="8"/>
        <v>152.09999999999991</v>
      </c>
      <c r="H151" s="14">
        <f t="shared" si="9"/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 t="shared" si="8"/>
        <v>152.09999999999991</v>
      </c>
      <c r="H152" s="14">
        <f t="shared" si="9"/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 t="shared" si="8"/>
        <v>147.09999999999991</v>
      </c>
      <c r="H153" s="14">
        <f t="shared" si="9"/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 t="shared" si="8"/>
        <v>147.09999999999991</v>
      </c>
      <c r="H154" s="14">
        <f t="shared" si="9"/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 t="shared" si="8"/>
        <v>147.09999999999991</v>
      </c>
      <c r="H155" s="14">
        <f t="shared" si="9"/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 t="shared" si="8"/>
        <v>147.09999999999991</v>
      </c>
      <c r="H156" s="14">
        <f t="shared" si="9"/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 t="shared" si="8"/>
        <v>147.09999999999991</v>
      </c>
      <c r="H157" s="14">
        <f t="shared" si="9"/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 t="shared" si="8"/>
        <v>152.09999999999991</v>
      </c>
      <c r="H158" s="14">
        <f t="shared" si="9"/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 t="shared" si="8"/>
        <v>147.09999999999991</v>
      </c>
      <c r="H159" s="14">
        <f t="shared" si="9"/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10">E160-F160</f>
        <v>147.09999999999991</v>
      </c>
      <c r="H160" s="14">
        <f t="shared" ref="H160:H223" si="1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10"/>
        <v>147.09999999999991</v>
      </c>
      <c r="H161" s="14">
        <f t="shared" si="1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10"/>
        <v>147.09999999999991</v>
      </c>
      <c r="H162" s="14">
        <f t="shared" si="1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10"/>
        <v>147.09999999999991</v>
      </c>
      <c r="H163" s="14">
        <f t="shared" si="1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10"/>
        <v>147.09999999999991</v>
      </c>
      <c r="H164" s="14">
        <f t="shared" si="1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10"/>
        <v>152.09999999999991</v>
      </c>
      <c r="H165" s="14">
        <f t="shared" si="1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10"/>
        <v>152.09999999999991</v>
      </c>
      <c r="H166" s="14">
        <f t="shared" si="1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10"/>
        <v>152.09999999999991</v>
      </c>
      <c r="H167" s="14">
        <f t="shared" si="1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10"/>
        <v>152.09999999999991</v>
      </c>
      <c r="H168" s="14">
        <f t="shared" si="1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10"/>
        <v>147.09999999999991</v>
      </c>
      <c r="H169" s="14">
        <f t="shared" si="1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10"/>
        <v>152.09999999999991</v>
      </c>
      <c r="H170" s="14">
        <f t="shared" si="1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10"/>
        <v>147.09999999999991</v>
      </c>
      <c r="H171" s="14">
        <f t="shared" si="1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10"/>
        <v>147.09999999999991</v>
      </c>
      <c r="H172" s="14">
        <f t="shared" si="1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10"/>
        <v>147.09999999999991</v>
      </c>
      <c r="H173" s="14">
        <f t="shared" si="1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10"/>
        <v>152.09999999999991</v>
      </c>
      <c r="H174" s="14">
        <f t="shared" si="1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10"/>
        <v>152.09999999999991</v>
      </c>
      <c r="H175" s="14">
        <f t="shared" si="1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10"/>
        <v>147.09999999999991</v>
      </c>
      <c r="H176" s="14">
        <f t="shared" si="1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10"/>
        <v>147.09999999999991</v>
      </c>
      <c r="H177" s="14">
        <f t="shared" si="1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10"/>
        <v>152.09999999999991</v>
      </c>
      <c r="H178" s="14">
        <f t="shared" si="1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10"/>
        <v>147.09999999999991</v>
      </c>
      <c r="H179" s="14">
        <f t="shared" si="1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10"/>
        <v>147.09999999999991</v>
      </c>
      <c r="H180" s="14">
        <f t="shared" si="1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10"/>
        <v>152.09999999999991</v>
      </c>
      <c r="H181" s="14">
        <f t="shared" si="1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10"/>
        <v>152.09999999999991</v>
      </c>
      <c r="H182" s="14">
        <f t="shared" si="1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10"/>
        <v>147.09999999999991</v>
      </c>
      <c r="H183" s="14">
        <f t="shared" si="1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10"/>
        <v>152.09999999999991</v>
      </c>
      <c r="H184" s="14">
        <f t="shared" si="1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10"/>
        <v>147.09999999999991</v>
      </c>
      <c r="H185" s="14">
        <f t="shared" si="1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10"/>
        <v>147.09999999999991</v>
      </c>
      <c r="H186" s="14">
        <f t="shared" si="1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10"/>
        <v>147.09999999999991</v>
      </c>
      <c r="H187" s="14">
        <f t="shared" si="1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10"/>
        <v>147.09999999999991</v>
      </c>
      <c r="H188" s="14">
        <f t="shared" si="1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10"/>
        <v>147.09999999999991</v>
      </c>
      <c r="H189" s="14">
        <f t="shared" si="1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10"/>
        <v>147.09999999999991</v>
      </c>
      <c r="H190" s="14">
        <f t="shared" si="1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10"/>
        <v>147.09999999999991</v>
      </c>
      <c r="H191" s="14">
        <f t="shared" si="1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10"/>
        <v>152.09999999999991</v>
      </c>
      <c r="H192" s="14">
        <f t="shared" si="1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10"/>
        <v>147.09999999999991</v>
      </c>
      <c r="H193" s="14">
        <f t="shared" si="1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10"/>
        <v>147.09999999999991</v>
      </c>
      <c r="H194" s="14">
        <f t="shared" si="1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10"/>
        <v>147.09999999999991</v>
      </c>
      <c r="H195" s="14">
        <f t="shared" si="1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10"/>
        <v>152.09999999999991</v>
      </c>
      <c r="H196" s="14">
        <f t="shared" si="1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10"/>
        <v>152.09999999999991</v>
      </c>
      <c r="H197" s="14">
        <f t="shared" si="1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10"/>
        <v>147.09999999999991</v>
      </c>
      <c r="H198" s="14">
        <f t="shared" si="1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10"/>
        <v>147.09999999999991</v>
      </c>
      <c r="H199" s="14">
        <f t="shared" si="1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10"/>
        <v>152.09999999999991</v>
      </c>
      <c r="H200" s="14">
        <f t="shared" si="1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10"/>
        <v>152.09999999999991</v>
      </c>
      <c r="H201" s="14">
        <f t="shared" si="1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10"/>
        <v>147.09999999999991</v>
      </c>
      <c r="H202" s="14">
        <f t="shared" si="1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10"/>
        <v>147.09999999999991</v>
      </c>
      <c r="H203" s="14">
        <f t="shared" si="1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10"/>
        <v>147.09999999999991</v>
      </c>
      <c r="H204" s="14">
        <f t="shared" si="1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10"/>
        <v>152.09999999999991</v>
      </c>
      <c r="H205" s="14">
        <f t="shared" si="1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10"/>
        <v>147.09999999999991</v>
      </c>
      <c r="H206" s="14">
        <f t="shared" si="1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10"/>
        <v>147.09999999999991</v>
      </c>
      <c r="H207" s="14">
        <f t="shared" si="1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10"/>
        <v>147.09999999999991</v>
      </c>
      <c r="H208" s="14">
        <f t="shared" si="1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10"/>
        <v>147.09999999999991</v>
      </c>
      <c r="H209" s="14">
        <f t="shared" si="1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10"/>
        <v>152.09999999999991</v>
      </c>
      <c r="H210" s="14">
        <f t="shared" si="1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10"/>
        <v>147.09999999999991</v>
      </c>
      <c r="H211" s="14">
        <f t="shared" si="1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10"/>
        <v>152.09999999999991</v>
      </c>
      <c r="H212" s="14">
        <f t="shared" si="1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10"/>
        <v>445.30000000000018</v>
      </c>
      <c r="H213" s="14">
        <f t="shared" si="1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10"/>
        <v>445.30000000000018</v>
      </c>
      <c r="H214" s="14">
        <f t="shared" si="1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10"/>
        <v>445.30000000000018</v>
      </c>
      <c r="H215" s="14">
        <f t="shared" si="1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10"/>
        <v>445.30000000000018</v>
      </c>
      <c r="H216" s="14">
        <f t="shared" si="1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10"/>
        <v>445.30000000000018</v>
      </c>
      <c r="H217" s="14">
        <f t="shared" si="1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10"/>
        <v>1455</v>
      </c>
      <c r="H218" s="14">
        <f t="shared" si="1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10"/>
        <v>413.29999999999995</v>
      </c>
      <c r="H219" s="14">
        <f t="shared" si="1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10"/>
        <v>413.29999999999995</v>
      </c>
      <c r="H220" s="14">
        <f t="shared" si="1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10"/>
        <v>203.29999999999995</v>
      </c>
      <c r="H221" s="14">
        <f t="shared" si="1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10"/>
        <v>203.29999999999995</v>
      </c>
      <c r="H222" s="14">
        <f t="shared" si="1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10"/>
        <v>413.29999999999995</v>
      </c>
      <c r="H223" s="14">
        <f t="shared" si="1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 t="shared" ref="G224:G260" si="12">E224-F224</f>
        <v>413.29999999999995</v>
      </c>
      <c r="H224" s="14">
        <f t="shared" ref="H224:H260" si="13"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 t="shared" si="12"/>
        <v>413.29999999999995</v>
      </c>
      <c r="H225" s="14">
        <f t="shared" si="13"/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 t="shared" si="12"/>
        <v>203.29999999999995</v>
      </c>
      <c r="H226" s="14">
        <f t="shared" si="13"/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 t="shared" si="12"/>
        <v>-138.80000000000018</v>
      </c>
      <c r="H227" s="19">
        <f t="shared" si="13"/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 t="shared" si="12"/>
        <v>101.80000000000018</v>
      </c>
      <c r="H228" s="14">
        <f t="shared" si="13"/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 t="shared" si="12"/>
        <v>554.59999999999991</v>
      </c>
      <c r="H229" s="14">
        <f t="shared" si="13"/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 t="shared" si="12"/>
        <v>-338.80000000000018</v>
      </c>
      <c r="H230" s="19">
        <f t="shared" si="13"/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 t="shared" si="12"/>
        <v>815.59999999999991</v>
      </c>
      <c r="H231" s="14">
        <f t="shared" si="13"/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 t="shared" si="12"/>
        <v>-90.5</v>
      </c>
      <c r="H232" s="19">
        <f t="shared" si="13"/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 t="shared" si="12"/>
        <v>-90.5</v>
      </c>
      <c r="H233" s="19">
        <f t="shared" si="13"/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 t="shared" si="12"/>
        <v>645.5</v>
      </c>
      <c r="H234" s="14">
        <f t="shared" si="13"/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 t="shared" si="12"/>
        <v>645.5</v>
      </c>
      <c r="H235" s="14">
        <f t="shared" si="13"/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 t="shared" si="12"/>
        <v>552.5</v>
      </c>
      <c r="H236" s="14">
        <f t="shared" si="13"/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 t="shared" si="12"/>
        <v>1505</v>
      </c>
      <c r="H237" s="14">
        <f t="shared" si="13"/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 t="shared" si="12"/>
        <v>73</v>
      </c>
      <c r="H238" s="14">
        <f t="shared" si="13"/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 t="shared" si="12"/>
        <v>-7</v>
      </c>
      <c r="H239" s="19">
        <f t="shared" si="13"/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 t="shared" si="12"/>
        <v>-7</v>
      </c>
      <c r="H240" s="19">
        <f t="shared" si="13"/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 t="shared" si="12"/>
        <v>-7</v>
      </c>
      <c r="H241" s="19">
        <f t="shared" si="13"/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 t="shared" si="12"/>
        <v>-7</v>
      </c>
      <c r="H242" s="19">
        <f t="shared" si="13"/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 t="shared" si="12"/>
        <v>73</v>
      </c>
      <c r="H243" s="14">
        <f t="shared" si="13"/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 t="shared" si="12"/>
        <v>-7</v>
      </c>
      <c r="H244" s="19">
        <f t="shared" si="13"/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 t="shared" si="12"/>
        <v>73</v>
      </c>
      <c r="H245" s="14">
        <f t="shared" si="13"/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 t="shared" si="12"/>
        <v>102.54999999999995</v>
      </c>
      <c r="H246" s="14">
        <f t="shared" si="13"/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 t="shared" si="12"/>
        <v>174</v>
      </c>
      <c r="H247" s="14">
        <f t="shared" si="13"/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 t="shared" si="12"/>
        <v>174</v>
      </c>
      <c r="H248" s="14">
        <f t="shared" si="13"/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 t="shared" si="12"/>
        <v>174</v>
      </c>
      <c r="H249" s="14">
        <f t="shared" si="13"/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 t="shared" si="12"/>
        <v>174</v>
      </c>
      <c r="H250" s="14">
        <f t="shared" si="13"/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 t="shared" si="12"/>
        <v>369</v>
      </c>
      <c r="H251" s="14">
        <f t="shared" si="13"/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 t="shared" si="12"/>
        <v>369</v>
      </c>
      <c r="H252" s="14">
        <f t="shared" si="13"/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 t="shared" si="12"/>
        <v>174</v>
      </c>
      <c r="H253" s="14">
        <f t="shared" si="13"/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 t="shared" si="12"/>
        <v>174</v>
      </c>
      <c r="H254" s="14">
        <f t="shared" si="13"/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 t="shared" si="12"/>
        <v>174</v>
      </c>
      <c r="H255" s="14">
        <f t="shared" si="13"/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 t="shared" si="12"/>
        <v>369</v>
      </c>
      <c r="H256" s="14">
        <f t="shared" si="13"/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 t="shared" si="12"/>
        <v>445.30000000000018</v>
      </c>
      <c r="H257" s="14">
        <f t="shared" si="13"/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 t="shared" si="12"/>
        <v>445.30000000000018</v>
      </c>
      <c r="H258" s="14">
        <f t="shared" si="13"/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 t="shared" si="12"/>
        <v>445.30000000000018</v>
      </c>
      <c r="H259" s="14">
        <f t="shared" si="13"/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 t="shared" si="12"/>
        <v>445.30000000000018</v>
      </c>
      <c r="H260" s="14">
        <f t="shared" si="13"/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51" t="s">
        <v>590</v>
      </c>
      <c r="C268" s="54">
        <v>1636.83</v>
      </c>
    </row>
    <row r="269" spans="1:10" x14ac:dyDescent="0.25">
      <c r="B269" s="52" t="s">
        <v>593</v>
      </c>
      <c r="C269" s="54">
        <v>2492.08</v>
      </c>
    </row>
    <row r="270" spans="1:10" x14ac:dyDescent="0.25">
      <c r="B270" s="53" t="s">
        <v>594</v>
      </c>
      <c r="C270" s="48">
        <v>3522.57</v>
      </c>
    </row>
    <row r="271" spans="1:10" x14ac:dyDescent="0.25">
      <c r="B271" s="42" t="s">
        <v>601</v>
      </c>
      <c r="C271" s="46">
        <v>3367.68</v>
      </c>
    </row>
    <row r="272" spans="1:10" x14ac:dyDescent="0.25">
      <c r="B272" s="42" t="s">
        <v>602</v>
      </c>
      <c r="C272" s="46">
        <v>4542.62</v>
      </c>
      <c r="D272" s="35"/>
    </row>
    <row r="273" spans="2:4" x14ac:dyDescent="0.25">
      <c r="B273" s="42" t="s">
        <v>603</v>
      </c>
      <c r="C273" s="46">
        <v>164.76</v>
      </c>
      <c r="D273" s="35"/>
    </row>
    <row r="274" spans="2:4" x14ac:dyDescent="0.25">
      <c r="B274" s="52" t="s">
        <v>597</v>
      </c>
      <c r="C274" s="54">
        <v>1279.5</v>
      </c>
      <c r="D274" s="35"/>
    </row>
    <row r="275" spans="2:4" x14ac:dyDescent="0.25">
      <c r="B275" s="51" t="s">
        <v>598</v>
      </c>
      <c r="C275" s="54">
        <v>5511</v>
      </c>
      <c r="D275" s="37"/>
    </row>
    <row r="276" spans="2:4" x14ac:dyDescent="0.25">
      <c r="B276" s="51" t="s">
        <v>600</v>
      </c>
      <c r="C276" s="54">
        <v>66.62</v>
      </c>
      <c r="D276" s="35"/>
    </row>
    <row r="277" spans="2:4" x14ac:dyDescent="0.25">
      <c r="B277" s="51" t="s">
        <v>599</v>
      </c>
      <c r="C277" s="54">
        <v>39.159999999999997</v>
      </c>
      <c r="D277" s="35"/>
    </row>
    <row r="278" spans="2:4" x14ac:dyDescent="0.25">
      <c r="B278" s="47"/>
      <c r="C278" s="49"/>
      <c r="D278" s="35"/>
    </row>
    <row r="279" spans="2:4" x14ac:dyDescent="0.25">
      <c r="B279" s="5" t="s">
        <v>588</v>
      </c>
      <c r="C279" s="5">
        <f>SUM(C268:C278)</f>
        <v>22622.82</v>
      </c>
      <c r="D279" s="35"/>
    </row>
    <row r="280" spans="2:4" x14ac:dyDescent="0.25">
      <c r="B280" s="47"/>
      <c r="C280" s="49"/>
      <c r="D280" s="35"/>
    </row>
    <row r="281" spans="2:4" ht="21" x14ac:dyDescent="0.25">
      <c r="B281" s="43" t="s">
        <v>605</v>
      </c>
      <c r="C281" s="43">
        <f>G262-C279</f>
        <v>26030.559999999925</v>
      </c>
      <c r="D281" s="35"/>
    </row>
    <row r="282" spans="2:4" x14ac:dyDescent="0.25">
      <c r="C282" s="33"/>
      <c r="D282" s="35"/>
    </row>
    <row r="283" spans="2:4" x14ac:dyDescent="0.25">
      <c r="C283" s="33"/>
      <c r="D283" s="35"/>
    </row>
    <row r="284" spans="2:4" x14ac:dyDescent="0.25">
      <c r="C284" s="36"/>
      <c r="D284" s="37"/>
    </row>
    <row r="285" spans="2:4" x14ac:dyDescent="0.25">
      <c r="C285" s="33"/>
      <c r="D285" s="35"/>
    </row>
    <row r="286" spans="2:4" x14ac:dyDescent="0.25">
      <c r="C286" s="33"/>
      <c r="D286" s="35"/>
    </row>
    <row r="287" spans="2:4" x14ac:dyDescent="0.25">
      <c r="C287" s="33"/>
      <c r="D287" s="35"/>
    </row>
    <row r="288" spans="2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1:C267 C278 C280 C282:C1048576">
    <cfRule type="duplicateValues" dxfId="40" priority="3"/>
  </conditionalFormatting>
  <conditionalFormatting sqref="C2:C260">
    <cfRule type="duplicateValues" dxfId="39" priority="5"/>
  </conditionalFormatting>
  <conditionalFormatting sqref="C268:C277">
    <cfRule type="duplicateValues" dxfId="38" priority="1"/>
  </conditionalFormatting>
  <conditionalFormatting sqref="C268:C277">
    <cfRule type="duplicateValues" dxfId="37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33" workbookViewId="0">
      <selection activeCell="B58" sqref="B58:C58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 t="shared" ref="G4:G45" si="0">E4-F4</f>
        <v>313.28999999999996</v>
      </c>
      <c r="H4" s="14">
        <f t="shared" ref="H4:H45" si="1"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 t="shared" si="0"/>
        <v>317.07999999999993</v>
      </c>
      <c r="H5" s="14">
        <f t="shared" si="1"/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 t="shared" si="0"/>
        <v>387.34000000000015</v>
      </c>
      <c r="H6" s="14">
        <f t="shared" si="1"/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 t="shared" si="0"/>
        <v>455.69000000000005</v>
      </c>
      <c r="H7" s="14">
        <f t="shared" si="1"/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 t="shared" si="0"/>
        <v>534.17000000000007</v>
      </c>
      <c r="H8" s="14">
        <f t="shared" si="1"/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 t="shared" si="0"/>
        <v>425.30999999999995</v>
      </c>
      <c r="H9" s="14">
        <f t="shared" si="1"/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 t="shared" si="0"/>
        <v>412.65000000000009</v>
      </c>
      <c r="H10" s="14">
        <f t="shared" si="1"/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 t="shared" si="0"/>
        <v>-252.53999999999996</v>
      </c>
      <c r="H11" s="19">
        <f t="shared" si="1"/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 t="shared" si="0"/>
        <v>-202.53999999999996</v>
      </c>
      <c r="H12" s="19">
        <f t="shared" si="1"/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 t="shared" si="0"/>
        <v>367.07999999999993</v>
      </c>
      <c r="H13" s="14">
        <f t="shared" si="1"/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 t="shared" si="0"/>
        <v>553.15999999999985</v>
      </c>
      <c r="H14" s="14">
        <f t="shared" si="1"/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 t="shared" si="0"/>
        <v>318.98</v>
      </c>
      <c r="H15" s="14">
        <f t="shared" si="1"/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 t="shared" si="0"/>
        <v>729.83000000000038</v>
      </c>
      <c r="H16" s="14">
        <f t="shared" si="1"/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 t="shared" si="0"/>
        <v>230.0300000000002</v>
      </c>
      <c r="H17" s="14">
        <f t="shared" si="1"/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 t="shared" si="0"/>
        <v>-89.25</v>
      </c>
      <c r="H18" s="19">
        <f t="shared" si="1"/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 t="shared" si="0"/>
        <v>-89.25</v>
      </c>
      <c r="H19" s="19">
        <f t="shared" si="1"/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 t="shared" si="0"/>
        <v>-89.25</v>
      </c>
      <c r="H20" s="19">
        <f t="shared" si="1"/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 t="shared" si="0"/>
        <v>-107.09999999999991</v>
      </c>
      <c r="H21" s="19">
        <f t="shared" si="1"/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 t="shared" si="0"/>
        <v>494.07000000000005</v>
      </c>
      <c r="H22" s="14">
        <f t="shared" si="1"/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 t="shared" si="0"/>
        <v>567.54999999999973</v>
      </c>
      <c r="H23" s="14">
        <f t="shared" si="1"/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 t="shared" si="0"/>
        <v>461.73999999999978</v>
      </c>
      <c r="H24" s="14">
        <f t="shared" si="1"/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 t="shared" si="0"/>
        <v>292.32999999999993</v>
      </c>
      <c r="H25" s="14">
        <f t="shared" si="1"/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 t="shared" si="0"/>
        <v>143.70000000000027</v>
      </c>
      <c r="H26" s="14">
        <f t="shared" si="1"/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 t="shared" si="0"/>
        <v>177.12999999999965</v>
      </c>
      <c r="H27" s="14">
        <f t="shared" si="1"/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 t="shared" si="0"/>
        <v>494.07000000000005</v>
      </c>
      <c r="H28" s="14">
        <f t="shared" si="1"/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 t="shared" si="0"/>
        <v>423.76000000000022</v>
      </c>
      <c r="H29" s="14">
        <f t="shared" si="1"/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 t="shared" si="0"/>
        <v>385.78999999999996</v>
      </c>
      <c r="H30" s="14">
        <f t="shared" si="1"/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 t="shared" si="0"/>
        <v>408.5300000000002</v>
      </c>
      <c r="H31" s="14">
        <f t="shared" si="1"/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 t="shared" si="0"/>
        <v>408.5300000000002</v>
      </c>
      <c r="H32" s="14">
        <f t="shared" si="1"/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 t="shared" si="0"/>
        <v>408.5300000000002</v>
      </c>
      <c r="H33" s="14">
        <f t="shared" si="1"/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 t="shared" si="0"/>
        <v>373.72000000000025</v>
      </c>
      <c r="H34" s="14">
        <f t="shared" si="1"/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 t="shared" si="0"/>
        <v>349.38999999999987</v>
      </c>
      <c r="H35" s="14">
        <f t="shared" si="1"/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 t="shared" si="0"/>
        <v>550.34000000000015</v>
      </c>
      <c r="H36" s="14">
        <f t="shared" si="1"/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 t="shared" si="0"/>
        <v>134.59999999999991</v>
      </c>
      <c r="H37" s="14">
        <f t="shared" si="1"/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 t="shared" si="0"/>
        <v>383.2199999999998</v>
      </c>
      <c r="H38" s="14">
        <f t="shared" si="1"/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 t="shared" si="0"/>
        <v>108.30000000000018</v>
      </c>
      <c r="H39" s="14">
        <f t="shared" si="1"/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 t="shared" si="0"/>
        <v>385.78999999999996</v>
      </c>
      <c r="H40" s="14">
        <f t="shared" si="1"/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 t="shared" si="0"/>
        <v>324.80999999999995</v>
      </c>
      <c r="H41" s="14">
        <f t="shared" si="1"/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 t="shared" si="0"/>
        <v>668.71</v>
      </c>
      <c r="H42" s="14">
        <f t="shared" si="1"/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 t="shared" si="0"/>
        <v>20.169999999999959</v>
      </c>
      <c r="H43" s="14">
        <f t="shared" si="1"/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 t="shared" si="0"/>
        <v>413.07999999999993</v>
      </c>
      <c r="H44" s="14">
        <f t="shared" si="1"/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 t="shared" si="0"/>
        <v>108.01909090909066</v>
      </c>
      <c r="H45" s="14">
        <f t="shared" si="1"/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2">SUM(E2:E46)</f>
        <v>132444.34999999998</v>
      </c>
      <c r="F47" s="8">
        <f t="shared" si="2"/>
        <v>119693.16090909092</v>
      </c>
      <c r="G47" s="8">
        <f t="shared" si="2"/>
        <v>12751.189090909093</v>
      </c>
      <c r="H47" s="40">
        <f>AVERAGE(H2:H46)</f>
        <v>0.31059634475706616</v>
      </c>
      <c r="I47" s="10"/>
      <c r="J47" s="10"/>
    </row>
    <row r="50" spans="2:3" x14ac:dyDescent="0.25">
      <c r="C50" s="33"/>
    </row>
    <row r="51" spans="2:3" x14ac:dyDescent="0.25">
      <c r="C51" s="33"/>
    </row>
    <row r="52" spans="2:3" x14ac:dyDescent="0.25">
      <c r="C52" s="33"/>
    </row>
    <row r="53" spans="2:3" x14ac:dyDescent="0.25">
      <c r="B53" s="47" t="s">
        <v>595</v>
      </c>
      <c r="C53" s="48">
        <v>8151.89</v>
      </c>
    </row>
    <row r="54" spans="2:3" x14ac:dyDescent="0.25">
      <c r="B54" s="47" t="s">
        <v>596</v>
      </c>
      <c r="C54" s="32">
        <v>1694.91</v>
      </c>
    </row>
    <row r="55" spans="2:3" x14ac:dyDescent="0.25">
      <c r="B55" s="47"/>
      <c r="C55" s="32"/>
    </row>
    <row r="56" spans="2:3" x14ac:dyDescent="0.25">
      <c r="B56" s="5" t="s">
        <v>588</v>
      </c>
      <c r="C56" s="5">
        <f>SUM(C53:C55)</f>
        <v>9846.8000000000011</v>
      </c>
    </row>
    <row r="57" spans="2:3" x14ac:dyDescent="0.25">
      <c r="B57" s="47"/>
      <c r="C57" s="49"/>
    </row>
    <row r="58" spans="2:3" ht="21" x14ac:dyDescent="0.25">
      <c r="B58" s="43" t="s">
        <v>606</v>
      </c>
      <c r="C58" s="44">
        <f>G47-C56</f>
        <v>2904.3890909090915</v>
      </c>
    </row>
    <row r="59" spans="2:3" x14ac:dyDescent="0.25">
      <c r="C59" s="33"/>
    </row>
    <row r="60" spans="2:3" x14ac:dyDescent="0.25">
      <c r="C60" s="33"/>
    </row>
    <row r="61" spans="2:3" x14ac:dyDescent="0.25">
      <c r="C61" s="33"/>
    </row>
    <row r="62" spans="2:3" x14ac:dyDescent="0.25">
      <c r="C62" s="34"/>
    </row>
    <row r="63" spans="2:3" x14ac:dyDescent="0.25">
      <c r="C63" s="33"/>
    </row>
    <row r="64" spans="2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1:C44 C46:C55 C57 C59:C1048576">
    <cfRule type="duplicateValues" dxfId="36" priority="3"/>
  </conditionalFormatting>
  <conditionalFormatting sqref="C2:C3">
    <cfRule type="duplicateValues" dxfId="35" priority="37"/>
  </conditionalFormatting>
  <conditionalFormatting sqref="C4:C5">
    <cfRule type="duplicateValues" dxfId="34" priority="35"/>
    <cfRule type="duplicateValues" dxfId="33" priority="36"/>
  </conditionalFormatting>
  <conditionalFormatting sqref="C6:C9">
    <cfRule type="duplicateValues" dxfId="32" priority="33"/>
    <cfRule type="duplicateValues" dxfId="31" priority="34"/>
  </conditionalFormatting>
  <conditionalFormatting sqref="C10">
    <cfRule type="duplicateValues" dxfId="30" priority="31"/>
    <cfRule type="duplicateValues" dxfId="29" priority="32"/>
  </conditionalFormatting>
  <conditionalFormatting sqref="C11:C12">
    <cfRule type="duplicateValues" dxfId="28" priority="29"/>
    <cfRule type="duplicateValues" dxfId="27" priority="30"/>
  </conditionalFormatting>
  <conditionalFormatting sqref="C13:C15">
    <cfRule type="duplicateValues" dxfId="26" priority="27"/>
    <cfRule type="duplicateValues" dxfId="25" priority="28"/>
  </conditionalFormatting>
  <conditionalFormatting sqref="C16:C17">
    <cfRule type="duplicateValues" dxfId="24" priority="25"/>
    <cfRule type="duplicateValues" dxfId="23" priority="26"/>
  </conditionalFormatting>
  <conditionalFormatting sqref="C18">
    <cfRule type="duplicateValues" dxfId="22" priority="23"/>
    <cfRule type="duplicateValues" dxfId="21" priority="24"/>
  </conditionalFormatting>
  <conditionalFormatting sqref="C19">
    <cfRule type="duplicateValues" dxfId="20" priority="21"/>
    <cfRule type="duplicateValues" dxfId="19" priority="22"/>
  </conditionalFormatting>
  <conditionalFormatting sqref="C20:C21">
    <cfRule type="duplicateValues" dxfId="18" priority="19"/>
    <cfRule type="duplicateValues" dxfId="17" priority="20"/>
  </conditionalFormatting>
  <conditionalFormatting sqref="C22:C27">
    <cfRule type="duplicateValues" dxfId="16" priority="17"/>
    <cfRule type="duplicateValues" dxfId="15" priority="18"/>
  </conditionalFormatting>
  <conditionalFormatting sqref="C28:C33">
    <cfRule type="duplicateValues" dxfId="14" priority="15"/>
    <cfRule type="duplicateValues" dxfId="13" priority="16"/>
  </conditionalFormatting>
  <conditionalFormatting sqref="C34">
    <cfRule type="duplicateValues" dxfId="12" priority="13"/>
    <cfRule type="duplicateValues" dxfId="11" priority="14"/>
  </conditionalFormatting>
  <conditionalFormatting sqref="C35:C38">
    <cfRule type="duplicateValues" dxfId="10" priority="11"/>
    <cfRule type="duplicateValues" dxfId="9" priority="12"/>
  </conditionalFormatting>
  <conditionalFormatting sqref="C39:C42">
    <cfRule type="duplicateValues" dxfId="8" priority="9"/>
    <cfRule type="duplicateValues" dxfId="7" priority="10"/>
  </conditionalFormatting>
  <conditionalFormatting sqref="C43">
    <cfRule type="duplicateValues" dxfId="6" priority="7"/>
    <cfRule type="duplicateValues" dxfId="5" priority="8"/>
  </conditionalFormatting>
  <conditionalFormatting sqref="C44">
    <cfRule type="duplicateValues" dxfId="4" priority="5"/>
    <cfRule type="duplicateValues" dxfId="3" priority="6"/>
  </conditionalFormatting>
  <conditionalFormatting sqref="C45">
    <cfRule type="duplicateValues" dxfId="2" priority="1"/>
    <cfRule type="duplicateValues" dxfId="1" priority="2"/>
  </conditionalFormatting>
  <conditionalFormatting sqref="C50:C55 C57 C59:C103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2026-07-02T10:24:29Z</dcterms:modified>
</cp:coreProperties>
</file>